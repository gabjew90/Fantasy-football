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coring" sheetId="1" state="visible" r:id="rId3"/>
    <sheet name="DraftSheet" sheetId="2" state="visible" r:id="rId4"/>
    <sheet name="Aggregate" sheetId="3" state="hidden" r:id="rId5"/>
    <sheet name="QB" sheetId="4" state="hidden" r:id="rId6"/>
    <sheet name="RB" sheetId="5" state="hidden" r:id="rId7"/>
    <sheet name="WR" sheetId="6" state="hidden" r:id="rId8"/>
    <sheet name="TE" sheetId="7" state="hidden" r:id="rId9"/>
    <sheet name="ECR" sheetId="8" state="hidden" r:id="rId10"/>
    <sheet name="FLEX" sheetId="9" state="hidden" r:id="rId11"/>
    <sheet name="RISK" sheetId="10" state="hidden" r:id="rId12"/>
    <sheet name="Rookies" sheetId="11" state="hidden" r:id="rId13"/>
  </sheets>
  <definedNames>
    <definedName function="false" hidden="false" localSheetId="1" name="_xlnm.Print_Area" vbProcedure="false">DraftSheet!$B$1:$AC$84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<sst xmlns="http://schemas.openxmlformats.org/spreadsheetml/2006/main" count="10234" uniqueCount="2117">
  <si>
    <t xml:space="preserve">Updated:</t>
  </si>
  <si>
    <t xml:space="preserve">LEAGUE SETTINGS &amp; SCORING INPUTS</t>
  </si>
  <si>
    <t xml:space="preserve">INPUT YOUR LEAGUE SCORING HERE</t>
  </si>
  <si>
    <t xml:space="preserve">LEAGUE &amp; ROSTER SETTINGS</t>
  </si>
  <si>
    <t xml:space="preserve">Setting:</t>
  </si>
  <si>
    <t xml:space="preserve">Points:</t>
  </si>
  <si>
    <t xml:space="preserve">DESCRIPTION</t>
  </si>
  <si>
    <t xml:space="preserve">#TEAMS:</t>
  </si>
  <si>
    <t xml:space="preserve">QB:</t>
  </si>
  <si>
    <t xml:space="preserve">RB:</t>
  </si>
  <si>
    <t xml:space="preserve">WR:</t>
  </si>
  <si>
    <t xml:space="preserve">TE:</t>
  </si>
  <si>
    <t xml:space="preserve">FLEX:</t>
  </si>
  <si>
    <t xml:space="preserve">BENCH:</t>
  </si>
  <si>
    <t xml:space="preserve">SUPERFLEX:</t>
  </si>
  <si>
    <t xml:space="preserve">PASSING</t>
  </si>
  <si>
    <t xml:space="preserve">PassINCMP</t>
  </si>
  <si>
    <t xml:space="preserve">Points Per Pass Incompletion (Use a Negative, Default is 0)</t>
  </si>
  <si>
    <t xml:space="preserve">ADVANCED SETTINGS</t>
  </si>
  <si>
    <t xml:space="preserve">PassCMP</t>
  </si>
  <si>
    <t xml:space="preserve">Points Per Pass Completion (Default is 0)</t>
  </si>
  <si>
    <t xml:space="preserve">Snake OR Auction</t>
  </si>
  <si>
    <t xml:space="preserve">Snake</t>
  </si>
  <si>
    <t xml:space="preserve">ESTIMATED KEEPER SAVINGS</t>
  </si>
  <si>
    <t xml:space="preserve">PassYDS</t>
  </si>
  <si>
    <t xml:space="preserve">Passing Yards Per 1 Point (Default is 25)</t>
  </si>
  <si>
    <t xml:space="preserve">Budget:</t>
  </si>
  <si>
    <t xml:space="preserve">Est. Total Saved (Auction Keepers)</t>
  </si>
  <si>
    <t xml:space="preserve">PassTDs</t>
  </si>
  <si>
    <t xml:space="preserve">Points Per Passing Touchdown (Default is 4)</t>
  </si>
  <si>
    <t xml:space="preserve">In the Yellow Cell (Dropdown) Change from SNAKE to AUCTION if you want AUCTION Values. </t>
  </si>
  <si>
    <t xml:space="preserve">INTS</t>
  </si>
  <si>
    <t xml:space="preserve">Points Per Interception (Use a Negative, Default is -2)</t>
  </si>
  <si>
    <t xml:space="preserve">SACKS</t>
  </si>
  <si>
    <t xml:space="preserve">Points Per Sack (Use a Negative, Default is 0)</t>
  </si>
  <si>
    <t xml:space="preserve">RUSHING</t>
  </si>
  <si>
    <t xml:space="preserve">RushATT</t>
  </si>
  <si>
    <t xml:space="preserve">Points Per Rush Attempt (Default is 0)</t>
  </si>
  <si>
    <t xml:space="preserve">RushYDS</t>
  </si>
  <si>
    <t xml:space="preserve">Rushing Yards Per 1 Point (Default is 10)</t>
  </si>
  <si>
    <t xml:space="preserve">RushTDS</t>
  </si>
  <si>
    <t xml:space="preserve">Points Per Rushing Touchdown (Default is 6)</t>
  </si>
  <si>
    <t xml:space="preserve">RECEIVING</t>
  </si>
  <si>
    <t xml:space="preserve">RB PPR</t>
  </si>
  <si>
    <t xml:space="preserve">RB Points Per Reception (Examples: 0 , .5 , 1)</t>
  </si>
  <si>
    <t xml:space="preserve">WR PPR</t>
  </si>
  <si>
    <t xml:space="preserve">WR Points Per Reception (Examples: 0 , .5 , 1)</t>
  </si>
  <si>
    <t xml:space="preserve">TE PPR</t>
  </si>
  <si>
    <t xml:space="preserve">TE Points Per Reception (Examples: 0 , .5 , 1)</t>
  </si>
  <si>
    <t xml:space="preserve">RecYDS</t>
  </si>
  <si>
    <t xml:space="preserve">Receiving Yards Per 1 Point (Default is 10)</t>
  </si>
  <si>
    <t xml:space="preserve">RecTDS</t>
  </si>
  <si>
    <t xml:space="preserve">Points Per Receiving Touchdown (Default is 6)</t>
  </si>
  <si>
    <t xml:space="preserve">OTHER:</t>
  </si>
  <si>
    <t xml:space="preserve">FL</t>
  </si>
  <si>
    <t xml:space="preserve">Points Per Fumble Lost (Use a Negative, Default is -2)</t>
  </si>
  <si>
    <t xml:space="preserve">Pass1D</t>
  </si>
  <si>
    <t xml:space="preserve">Points Per Passing 1st Down (Default is 0)</t>
  </si>
  <si>
    <t xml:space="preserve">Rush1D</t>
  </si>
  <si>
    <t xml:space="preserve">Points Per Rushing 1st Down (Default is 0)</t>
  </si>
  <si>
    <t xml:space="preserve">Rec1D</t>
  </si>
  <si>
    <t xml:space="preserve">Points Per Receiving 1st Down (Default is 0)</t>
  </si>
  <si>
    <t xml:space="preserve">🔒  CALCULATED VALUES BELOW — DO NOT EDIT (used internally for VBD/Auction math)</t>
  </si>
  <si>
    <t xml:space="preserve">QBs:</t>
  </si>
  <si>
    <t xml:space="preserve">POINTS</t>
  </si>
  <si>
    <t xml:space="preserve">RBs:</t>
  </si>
  <si>
    <t xml:space="preserve">PPR</t>
  </si>
  <si>
    <t xml:space="preserve">WRs:</t>
  </si>
  <si>
    <t xml:space="preserve">TEs:</t>
  </si>
  <si>
    <t xml:space="preserve">Baseline Calcs</t>
  </si>
  <si>
    <t xml:space="preserve">Roster</t>
  </si>
  <si>
    <t xml:space="preserve">Flex:</t>
  </si>
  <si>
    <t xml:space="preserve">Baselines: </t>
  </si>
  <si>
    <t xml:space="preserve">Total Dollars:</t>
  </si>
  <si>
    <t xml:space="preserve">Total Roster:</t>
  </si>
  <si>
    <t xml:space="preserve">Premium:</t>
  </si>
  <si>
    <t xml:space="preserve">Total VOR:</t>
  </si>
  <si>
    <t xml:space="preserve">Premium/VOR:</t>
  </si>
  <si>
    <t xml:space="preserve">PLAYER SEARCH</t>
  </si>
  <si>
    <t xml:space="preserve">TYPE NAME HERE:</t>
  </si>
  <si>
    <t xml:space="preserve">QUARTERBACK</t>
  </si>
  <si>
    <t xml:space="preserve">RUNNING BACK</t>
  </si>
  <si>
    <t xml:space="preserve">WIDE RECEIVER</t>
  </si>
  <si>
    <t xml:space="preserve">Position:</t>
  </si>
  <si>
    <t xml:space="preserve">TIER</t>
  </si>
  <si>
    <t xml:space="preserve">NAME</t>
  </si>
  <si>
    <t xml:space="preserve">TM/BYE</t>
  </si>
  <si>
    <t xml:space="preserve">PTS</t>
  </si>
  <si>
    <t xml:space="preserve">VALUE</t>
  </si>
  <si>
    <t xml:space="preserve">PS</t>
  </si>
  <si>
    <t xml:space="preserve">ECR</t>
  </si>
  <si>
    <t xml:space="preserve">DRAFT</t>
  </si>
  <si>
    <t xml:space="preserve">Tier:</t>
  </si>
  <si>
    <t xml:space="preserve">Name:</t>
  </si>
  <si>
    <t xml:space="preserve">TM/BYE:</t>
  </si>
  <si>
    <t xml:space="preserve">PTS:</t>
  </si>
  <si>
    <t xml:space="preserve">VALUE:</t>
  </si>
  <si>
    <t xml:space="preserve">PS:</t>
  </si>
  <si>
    <t xml:space="preserve">ECR:</t>
  </si>
  <si>
    <t xml:space="preserve">Drafted?:</t>
  </si>
  <si>
    <t xml:space="preserve">TIGHT END</t>
  </si>
  <si>
    <t xml:space="preserve">Baseline:</t>
  </si>
  <si>
    <t xml:space="preserve">PLAYER</t>
  </si>
  <si>
    <t xml:space="preserve">Team</t>
  </si>
  <si>
    <t xml:space="preserve">Bye</t>
  </si>
  <si>
    <t xml:space="preserve">Team/Bye</t>
  </si>
  <si>
    <t xml:space="preserve">LOW</t>
  </si>
  <si>
    <t xml:space="preserve">AVG</t>
  </si>
  <si>
    <t xml:space="preserve">HIGH</t>
  </si>
  <si>
    <t xml:space="preserve">Zscore Projection</t>
  </si>
  <si>
    <t xml:space="preserve">VBD</t>
  </si>
  <si>
    <t xml:space="preserve">Auc</t>
  </si>
  <si>
    <t xml:space="preserve">Tier</t>
  </si>
  <si>
    <t xml:space="preserve">Missed Games</t>
  </si>
  <si>
    <t xml:space="preserve">Auction</t>
  </si>
  <si>
    <t xml:space="preserve">V/R</t>
  </si>
  <si>
    <t xml:space="preserve">QBRank</t>
  </si>
  <si>
    <t xml:space="preserve">QBPts</t>
  </si>
  <si>
    <t xml:space="preserve">QB</t>
  </si>
  <si>
    <t xml:space="preserve">QBTier</t>
  </si>
  <si>
    <t xml:space="preserve">RBRank</t>
  </si>
  <si>
    <t xml:space="preserve">RBPts</t>
  </si>
  <si>
    <t xml:space="preserve">RB</t>
  </si>
  <si>
    <t xml:space="preserve">RB Tier</t>
  </si>
  <si>
    <t xml:space="preserve">WRRank</t>
  </si>
  <si>
    <t xml:space="preserve">WRPts</t>
  </si>
  <si>
    <t xml:space="preserve">WR</t>
  </si>
  <si>
    <t xml:space="preserve">WRTier</t>
  </si>
  <si>
    <t xml:space="preserve">TERank</t>
  </si>
  <si>
    <t xml:space="preserve">TEPts</t>
  </si>
  <si>
    <t xml:space="preserve">TE</t>
  </si>
  <si>
    <t xml:space="preserve">TETier</t>
  </si>
  <si>
    <t xml:space="preserve">QB1</t>
  </si>
  <si>
    <t xml:space="preserve">RB1</t>
  </si>
  <si>
    <t xml:space="preserve">WR1</t>
  </si>
  <si>
    <t xml:space="preserve">TE1</t>
  </si>
  <si>
    <t xml:space="preserve">QB2</t>
  </si>
  <si>
    <t xml:space="preserve">RB2</t>
  </si>
  <si>
    <t xml:space="preserve">WR2</t>
  </si>
  <si>
    <t xml:space="preserve">TE2</t>
  </si>
  <si>
    <t xml:space="preserve">QB3</t>
  </si>
  <si>
    <t xml:space="preserve">RB3</t>
  </si>
  <si>
    <t xml:space="preserve">WR3</t>
  </si>
  <si>
    <t xml:space="preserve">TE3</t>
  </si>
  <si>
    <t xml:space="preserve">QB4</t>
  </si>
  <si>
    <t xml:space="preserve">RB4</t>
  </si>
  <si>
    <t xml:space="preserve">WR4</t>
  </si>
  <si>
    <t xml:space="preserve">TE4</t>
  </si>
  <si>
    <t xml:space="preserve">QB5</t>
  </si>
  <si>
    <t xml:space="preserve">RB5</t>
  </si>
  <si>
    <t xml:space="preserve">WR5</t>
  </si>
  <si>
    <t xml:space="preserve">TE5</t>
  </si>
  <si>
    <t xml:space="preserve">QB6</t>
  </si>
  <si>
    <t xml:space="preserve">RB6</t>
  </si>
  <si>
    <t xml:space="preserve">WR6</t>
  </si>
  <si>
    <t xml:space="preserve">TE6</t>
  </si>
  <si>
    <t xml:space="preserve">QB7</t>
  </si>
  <si>
    <t xml:space="preserve">RB7</t>
  </si>
  <si>
    <t xml:space="preserve">WR7</t>
  </si>
  <si>
    <t xml:space="preserve">TE7</t>
  </si>
  <si>
    <t xml:space="preserve">QB8</t>
  </si>
  <si>
    <t xml:space="preserve">RB8</t>
  </si>
  <si>
    <t xml:space="preserve">WR8</t>
  </si>
  <si>
    <t xml:space="preserve">TE8</t>
  </si>
  <si>
    <t xml:space="preserve">QB9</t>
  </si>
  <si>
    <t xml:space="preserve">RB9</t>
  </si>
  <si>
    <t xml:space="preserve">WR9</t>
  </si>
  <si>
    <t xml:space="preserve">TE9</t>
  </si>
  <si>
    <t xml:space="preserve">QB10</t>
  </si>
  <si>
    <t xml:space="preserve">RB10</t>
  </si>
  <si>
    <t xml:space="preserve">WR10</t>
  </si>
  <si>
    <t xml:space="preserve">TE10</t>
  </si>
  <si>
    <t xml:space="preserve">QB11</t>
  </si>
  <si>
    <t xml:space="preserve">RB11</t>
  </si>
  <si>
    <t xml:space="preserve">WR11</t>
  </si>
  <si>
    <t xml:space="preserve">TE11</t>
  </si>
  <si>
    <t xml:space="preserve">QB12</t>
  </si>
  <si>
    <t xml:space="preserve">RB12</t>
  </si>
  <si>
    <t xml:space="preserve">WR12</t>
  </si>
  <si>
    <t xml:space="preserve">TE12</t>
  </si>
  <si>
    <t xml:space="preserve">QB13</t>
  </si>
  <si>
    <t xml:space="preserve">RB13</t>
  </si>
  <si>
    <t xml:space="preserve">WR13</t>
  </si>
  <si>
    <t xml:space="preserve">TE13</t>
  </si>
  <si>
    <t xml:space="preserve">QB14</t>
  </si>
  <si>
    <t xml:space="preserve">RB14</t>
  </si>
  <si>
    <t xml:space="preserve">WR14</t>
  </si>
  <si>
    <t xml:space="preserve">TE14</t>
  </si>
  <si>
    <t xml:space="preserve">QB15</t>
  </si>
  <si>
    <t xml:space="preserve">RB15</t>
  </si>
  <si>
    <t xml:space="preserve">WR15</t>
  </si>
  <si>
    <t xml:space="preserve">TE15</t>
  </si>
  <si>
    <t xml:space="preserve">QB16</t>
  </si>
  <si>
    <t xml:space="preserve">RB16</t>
  </si>
  <si>
    <t xml:space="preserve">WR16</t>
  </si>
  <si>
    <t xml:space="preserve">TE16</t>
  </si>
  <si>
    <t xml:space="preserve">QB17</t>
  </si>
  <si>
    <t xml:space="preserve">RB17</t>
  </si>
  <si>
    <t xml:space="preserve">WR17</t>
  </si>
  <si>
    <t xml:space="preserve">TE17</t>
  </si>
  <si>
    <t xml:space="preserve">QB18</t>
  </si>
  <si>
    <t xml:space="preserve">RB18</t>
  </si>
  <si>
    <t xml:space="preserve">WR18</t>
  </si>
  <si>
    <t xml:space="preserve">TE18</t>
  </si>
  <si>
    <t xml:space="preserve">QB19</t>
  </si>
  <si>
    <t xml:space="preserve">RB19</t>
  </si>
  <si>
    <t xml:space="preserve">WR19</t>
  </si>
  <si>
    <t xml:space="preserve">TE19</t>
  </si>
  <si>
    <t xml:space="preserve">QB20</t>
  </si>
  <si>
    <t xml:space="preserve">RB20</t>
  </si>
  <si>
    <t xml:space="preserve">WR20</t>
  </si>
  <si>
    <t xml:space="preserve">TE20</t>
  </si>
  <si>
    <t xml:space="preserve">QB21</t>
  </si>
  <si>
    <t xml:space="preserve">RB21</t>
  </si>
  <si>
    <t xml:space="preserve">WR21</t>
  </si>
  <si>
    <t xml:space="preserve">TE21</t>
  </si>
  <si>
    <t xml:space="preserve">QB22</t>
  </si>
  <si>
    <t xml:space="preserve">RB22</t>
  </si>
  <si>
    <t xml:space="preserve">WR22</t>
  </si>
  <si>
    <t xml:space="preserve">TE22</t>
  </si>
  <si>
    <t xml:space="preserve">QB23</t>
  </si>
  <si>
    <t xml:space="preserve">RB23</t>
  </si>
  <si>
    <t xml:space="preserve">WR23</t>
  </si>
  <si>
    <t xml:space="preserve">TE23</t>
  </si>
  <si>
    <t xml:space="preserve">QB24</t>
  </si>
  <si>
    <t xml:space="preserve">RB24</t>
  </si>
  <si>
    <t xml:space="preserve">WR24</t>
  </si>
  <si>
    <t xml:space="preserve">TE24</t>
  </si>
  <si>
    <t xml:space="preserve">QB25</t>
  </si>
  <si>
    <t xml:space="preserve">RB25</t>
  </si>
  <si>
    <t xml:space="preserve">WR25</t>
  </si>
  <si>
    <t xml:space="preserve">TE25</t>
  </si>
  <si>
    <t xml:space="preserve">QB26</t>
  </si>
  <si>
    <t xml:space="preserve">RB26</t>
  </si>
  <si>
    <t xml:space="preserve">WR26</t>
  </si>
  <si>
    <t xml:space="preserve">TE26</t>
  </si>
  <si>
    <t xml:space="preserve">QB27</t>
  </si>
  <si>
    <t xml:space="preserve">RB27</t>
  </si>
  <si>
    <t xml:space="preserve">WR27</t>
  </si>
  <si>
    <t xml:space="preserve">TE27</t>
  </si>
  <si>
    <t xml:space="preserve">QB28</t>
  </si>
  <si>
    <t xml:space="preserve">RB28</t>
  </si>
  <si>
    <t xml:space="preserve">WR28</t>
  </si>
  <si>
    <t xml:space="preserve">TE28</t>
  </si>
  <si>
    <t xml:space="preserve">QB29</t>
  </si>
  <si>
    <t xml:space="preserve">RB29</t>
  </si>
  <si>
    <t xml:space="preserve">WR29</t>
  </si>
  <si>
    <t xml:space="preserve">TE29</t>
  </si>
  <si>
    <t xml:space="preserve">QB30</t>
  </si>
  <si>
    <t xml:space="preserve">RB30</t>
  </si>
  <si>
    <t xml:space="preserve">WR30</t>
  </si>
  <si>
    <t xml:space="preserve">TE30</t>
  </si>
  <si>
    <t xml:space="preserve">QB31</t>
  </si>
  <si>
    <t xml:space="preserve">RB31</t>
  </si>
  <si>
    <t xml:space="preserve">WR31</t>
  </si>
  <si>
    <t xml:space="preserve">TE31</t>
  </si>
  <si>
    <t xml:space="preserve">QB32</t>
  </si>
  <si>
    <t xml:space="preserve">RB32</t>
  </si>
  <si>
    <t xml:space="preserve">WR32</t>
  </si>
  <si>
    <t xml:space="preserve">TE32</t>
  </si>
  <si>
    <t xml:space="preserve">QB33</t>
  </si>
  <si>
    <t xml:space="preserve">RB33</t>
  </si>
  <si>
    <t xml:space="preserve">WR33</t>
  </si>
  <si>
    <t xml:space="preserve">TE33</t>
  </si>
  <si>
    <t xml:space="preserve">QB34</t>
  </si>
  <si>
    <t xml:space="preserve">RB34</t>
  </si>
  <si>
    <t xml:space="preserve">WR34</t>
  </si>
  <si>
    <t xml:space="preserve">TE34</t>
  </si>
  <si>
    <t xml:space="preserve">QB35</t>
  </si>
  <si>
    <t xml:space="preserve">RB35</t>
  </si>
  <si>
    <t xml:space="preserve">WR35</t>
  </si>
  <si>
    <t xml:space="preserve">TE35</t>
  </si>
  <si>
    <t xml:space="preserve">QB36</t>
  </si>
  <si>
    <t xml:space="preserve">RB36</t>
  </si>
  <si>
    <t xml:space="preserve">WR36</t>
  </si>
  <si>
    <t xml:space="preserve">TE36</t>
  </si>
  <si>
    <t xml:space="preserve">QB37</t>
  </si>
  <si>
    <t xml:space="preserve">RB37</t>
  </si>
  <si>
    <t xml:space="preserve">WR37</t>
  </si>
  <si>
    <t xml:space="preserve">TE37</t>
  </si>
  <si>
    <t xml:space="preserve">QB38</t>
  </si>
  <si>
    <t xml:space="preserve">RB38</t>
  </si>
  <si>
    <t xml:space="preserve">WR38</t>
  </si>
  <si>
    <t xml:space="preserve">TE38</t>
  </si>
  <si>
    <t xml:space="preserve">QB39</t>
  </si>
  <si>
    <t xml:space="preserve">RB39</t>
  </si>
  <si>
    <t xml:space="preserve">WR39</t>
  </si>
  <si>
    <t xml:space="preserve">TE39</t>
  </si>
  <si>
    <t xml:space="preserve">QB40</t>
  </si>
  <si>
    <t xml:space="preserve">RB40</t>
  </si>
  <si>
    <t xml:space="preserve">WR40</t>
  </si>
  <si>
    <t xml:space="preserve">TE40</t>
  </si>
  <si>
    <t xml:space="preserve">QB41</t>
  </si>
  <si>
    <t xml:space="preserve">RB41</t>
  </si>
  <si>
    <t xml:space="preserve">WR41</t>
  </si>
  <si>
    <t xml:space="preserve">TE41</t>
  </si>
  <si>
    <t xml:space="preserve">QB42</t>
  </si>
  <si>
    <t xml:space="preserve">RB42</t>
  </si>
  <si>
    <t xml:space="preserve">WR42</t>
  </si>
  <si>
    <t xml:space="preserve">TE42</t>
  </si>
  <si>
    <t xml:space="preserve">QB43</t>
  </si>
  <si>
    <t xml:space="preserve">RB43</t>
  </si>
  <si>
    <t xml:space="preserve">WR43</t>
  </si>
  <si>
    <t xml:space="preserve">TE43</t>
  </si>
  <si>
    <t xml:space="preserve">QB44</t>
  </si>
  <si>
    <t xml:space="preserve">RB44</t>
  </si>
  <si>
    <t xml:space="preserve">WR44</t>
  </si>
  <si>
    <t xml:space="preserve">TE44</t>
  </si>
  <si>
    <t xml:space="preserve">QB45</t>
  </si>
  <si>
    <t xml:space="preserve">RB45</t>
  </si>
  <si>
    <t xml:space="preserve">WR45</t>
  </si>
  <si>
    <t xml:space="preserve">TE45</t>
  </si>
  <si>
    <t xml:space="preserve">QB46</t>
  </si>
  <si>
    <t xml:space="preserve">RB46</t>
  </si>
  <si>
    <t xml:space="preserve">WR46</t>
  </si>
  <si>
    <t xml:space="preserve">TE46</t>
  </si>
  <si>
    <t xml:space="preserve">QB47</t>
  </si>
  <si>
    <t xml:space="preserve">RB47</t>
  </si>
  <si>
    <t xml:space="preserve">WR47</t>
  </si>
  <si>
    <t xml:space="preserve">TE47</t>
  </si>
  <si>
    <t xml:space="preserve">QB48</t>
  </si>
  <si>
    <t xml:space="preserve">RB48</t>
  </si>
  <si>
    <t xml:space="preserve">WR48</t>
  </si>
  <si>
    <t xml:space="preserve">TE48</t>
  </si>
  <si>
    <t xml:space="preserve">RB49</t>
  </si>
  <si>
    <t xml:space="preserve">WR49</t>
  </si>
  <si>
    <t xml:space="preserve">TE49</t>
  </si>
  <si>
    <t xml:space="preserve">RB50</t>
  </si>
  <si>
    <t xml:space="preserve">WR50</t>
  </si>
  <si>
    <t xml:space="preserve">TE50</t>
  </si>
  <si>
    <t xml:space="preserve">RB51</t>
  </si>
  <si>
    <t xml:space="preserve">WR51</t>
  </si>
  <si>
    <t xml:space="preserve">TE51</t>
  </si>
  <si>
    <t xml:space="preserve">RB52</t>
  </si>
  <si>
    <t xml:space="preserve">WR52</t>
  </si>
  <si>
    <t xml:space="preserve">TE52</t>
  </si>
  <si>
    <t xml:space="preserve">RB53</t>
  </si>
  <si>
    <t xml:space="preserve">WR53</t>
  </si>
  <si>
    <t xml:space="preserve">TE53</t>
  </si>
  <si>
    <t xml:space="preserve">RB54</t>
  </si>
  <si>
    <t xml:space="preserve">WR54</t>
  </si>
  <si>
    <t xml:space="preserve">TE54</t>
  </si>
  <si>
    <t xml:space="preserve">RB55</t>
  </si>
  <si>
    <t xml:space="preserve">WR55</t>
  </si>
  <si>
    <t xml:space="preserve">TE55</t>
  </si>
  <si>
    <t xml:space="preserve">RB56</t>
  </si>
  <si>
    <t xml:space="preserve">WR56</t>
  </si>
  <si>
    <t xml:space="preserve">TE56</t>
  </si>
  <si>
    <t xml:space="preserve">RB57</t>
  </si>
  <si>
    <t xml:space="preserve">WR57</t>
  </si>
  <si>
    <t xml:space="preserve">TE57</t>
  </si>
  <si>
    <t xml:space="preserve">RB58</t>
  </si>
  <si>
    <t xml:space="preserve">WR58</t>
  </si>
  <si>
    <t xml:space="preserve">TE58</t>
  </si>
  <si>
    <t xml:space="preserve">RB59</t>
  </si>
  <si>
    <t xml:space="preserve">WR59</t>
  </si>
  <si>
    <t xml:space="preserve">TE59</t>
  </si>
  <si>
    <t xml:space="preserve">RB60</t>
  </si>
  <si>
    <t xml:space="preserve">WR60</t>
  </si>
  <si>
    <t xml:space="preserve">TE60</t>
  </si>
  <si>
    <t xml:space="preserve">RB61</t>
  </si>
  <si>
    <t xml:space="preserve">WR61</t>
  </si>
  <si>
    <t xml:space="preserve">TE61</t>
  </si>
  <si>
    <t xml:space="preserve">RB62</t>
  </si>
  <si>
    <t xml:space="preserve">WR62</t>
  </si>
  <si>
    <t xml:space="preserve">TE62</t>
  </si>
  <si>
    <t xml:space="preserve">RB63</t>
  </si>
  <si>
    <t xml:space="preserve">WR63</t>
  </si>
  <si>
    <t xml:space="preserve">TE63</t>
  </si>
  <si>
    <t xml:space="preserve">RB64</t>
  </si>
  <si>
    <t xml:space="preserve">WR64</t>
  </si>
  <si>
    <t xml:space="preserve">TE64</t>
  </si>
  <si>
    <t xml:space="preserve">RB65</t>
  </si>
  <si>
    <t xml:space="preserve">WR65</t>
  </si>
  <si>
    <t xml:space="preserve">TE65</t>
  </si>
  <si>
    <t xml:space="preserve">RB66</t>
  </si>
  <si>
    <t xml:space="preserve">WR66</t>
  </si>
  <si>
    <t xml:space="preserve">TE66</t>
  </si>
  <si>
    <t xml:space="preserve">RB67</t>
  </si>
  <si>
    <t xml:space="preserve">WR67</t>
  </si>
  <si>
    <t xml:space="preserve">TE67</t>
  </si>
  <si>
    <t xml:space="preserve">RB68</t>
  </si>
  <si>
    <t xml:space="preserve">WR68</t>
  </si>
  <si>
    <t xml:space="preserve">TE68</t>
  </si>
  <si>
    <t xml:space="preserve">RB69</t>
  </si>
  <si>
    <t xml:space="preserve">WR69</t>
  </si>
  <si>
    <t xml:space="preserve">TE69</t>
  </si>
  <si>
    <t xml:space="preserve">RB70</t>
  </si>
  <si>
    <t xml:space="preserve">WR70</t>
  </si>
  <si>
    <t xml:space="preserve">TE70</t>
  </si>
  <si>
    <t xml:space="preserve">RB71</t>
  </si>
  <si>
    <t xml:space="preserve">WR71</t>
  </si>
  <si>
    <t xml:space="preserve">TE71</t>
  </si>
  <si>
    <t xml:space="preserve">RB72</t>
  </si>
  <si>
    <t xml:space="preserve">WR72</t>
  </si>
  <si>
    <t xml:space="preserve">TE72</t>
  </si>
  <si>
    <t xml:space="preserve">RB73</t>
  </si>
  <si>
    <t xml:space="preserve">WR73</t>
  </si>
  <si>
    <t xml:space="preserve">TE73</t>
  </si>
  <si>
    <t xml:space="preserve">RB74</t>
  </si>
  <si>
    <t xml:space="preserve">WR74</t>
  </si>
  <si>
    <t xml:space="preserve">TE74</t>
  </si>
  <si>
    <t xml:space="preserve">RB75</t>
  </si>
  <si>
    <t xml:space="preserve">WR75</t>
  </si>
  <si>
    <t xml:space="preserve">TE75</t>
  </si>
  <si>
    <t xml:space="preserve">RB76</t>
  </si>
  <si>
    <t xml:space="preserve">WR76</t>
  </si>
  <si>
    <t xml:space="preserve">TE76</t>
  </si>
  <si>
    <t xml:space="preserve">RB77</t>
  </si>
  <si>
    <t xml:space="preserve">WR77</t>
  </si>
  <si>
    <t xml:space="preserve">TE77</t>
  </si>
  <si>
    <t xml:space="preserve">RB78</t>
  </si>
  <si>
    <t xml:space="preserve">WR78</t>
  </si>
  <si>
    <t xml:space="preserve">TE78</t>
  </si>
  <si>
    <t xml:space="preserve">RB79</t>
  </si>
  <si>
    <t xml:space="preserve">WR79</t>
  </si>
  <si>
    <t xml:space="preserve">TE79</t>
  </si>
  <si>
    <t xml:space="preserve">RB80</t>
  </si>
  <si>
    <t xml:space="preserve">WR80</t>
  </si>
  <si>
    <t xml:space="preserve">TE80</t>
  </si>
  <si>
    <t xml:space="preserve">RB81</t>
  </si>
  <si>
    <t xml:space="preserve">WR81</t>
  </si>
  <si>
    <t xml:space="preserve">TE81</t>
  </si>
  <si>
    <t xml:space="preserve">RB82</t>
  </si>
  <si>
    <t xml:space="preserve">WR82</t>
  </si>
  <si>
    <t xml:space="preserve">TE82</t>
  </si>
  <si>
    <t xml:space="preserve">RB83</t>
  </si>
  <si>
    <t xml:space="preserve">WR83</t>
  </si>
  <si>
    <t xml:space="preserve">TE83</t>
  </si>
  <si>
    <t xml:space="preserve">RB84</t>
  </si>
  <si>
    <t xml:space="preserve">WR84</t>
  </si>
  <si>
    <t xml:space="preserve">TE84</t>
  </si>
  <si>
    <t xml:space="preserve">RB85</t>
  </si>
  <si>
    <t xml:space="preserve">WR85</t>
  </si>
  <si>
    <t xml:space="preserve">TE85</t>
  </si>
  <si>
    <t xml:space="preserve">RB86</t>
  </si>
  <si>
    <t xml:space="preserve">WR86</t>
  </si>
  <si>
    <t xml:space="preserve">TE86</t>
  </si>
  <si>
    <t xml:space="preserve">RB87</t>
  </si>
  <si>
    <t xml:space="preserve">WR87</t>
  </si>
  <si>
    <t xml:space="preserve">TE87</t>
  </si>
  <si>
    <t xml:space="preserve">RB88</t>
  </si>
  <si>
    <t xml:space="preserve">WR88</t>
  </si>
  <si>
    <t xml:space="preserve">TE88</t>
  </si>
  <si>
    <t xml:space="preserve">RB89</t>
  </si>
  <si>
    <t xml:space="preserve">WR89</t>
  </si>
  <si>
    <t xml:space="preserve">TE89</t>
  </si>
  <si>
    <t xml:space="preserve">RB90</t>
  </si>
  <si>
    <t xml:space="preserve">WR90</t>
  </si>
  <si>
    <t xml:space="preserve">TE90</t>
  </si>
  <si>
    <t xml:space="preserve">RB91</t>
  </si>
  <si>
    <t xml:space="preserve">WR91</t>
  </si>
  <si>
    <t xml:space="preserve">TE91</t>
  </si>
  <si>
    <t xml:space="preserve">RB92</t>
  </si>
  <si>
    <t xml:space="preserve">WR92</t>
  </si>
  <si>
    <t xml:space="preserve">TE92</t>
  </si>
  <si>
    <t xml:space="preserve">RB93</t>
  </si>
  <si>
    <t xml:space="preserve">WR93</t>
  </si>
  <si>
    <t xml:space="preserve">TE93</t>
  </si>
  <si>
    <t xml:space="preserve">RB94</t>
  </si>
  <si>
    <t xml:space="preserve">WR94</t>
  </si>
  <si>
    <t xml:space="preserve">TE94</t>
  </si>
  <si>
    <t xml:space="preserve">RB95</t>
  </si>
  <si>
    <t xml:space="preserve">WR95</t>
  </si>
  <si>
    <t xml:space="preserve">TE95</t>
  </si>
  <si>
    <t xml:space="preserve">RB96</t>
  </si>
  <si>
    <t xml:space="preserve">WR96</t>
  </si>
  <si>
    <t xml:space="preserve">TE96</t>
  </si>
  <si>
    <t xml:space="preserve">RB97</t>
  </si>
  <si>
    <t xml:space="preserve">WR97</t>
  </si>
  <si>
    <t xml:space="preserve">TE97</t>
  </si>
  <si>
    <t xml:space="preserve">RB98</t>
  </si>
  <si>
    <t xml:space="preserve">WR98</t>
  </si>
  <si>
    <t xml:space="preserve">TE98</t>
  </si>
  <si>
    <t xml:space="preserve">RB99</t>
  </si>
  <si>
    <t xml:space="preserve">WR99</t>
  </si>
  <si>
    <t xml:space="preserve">TE99</t>
  </si>
  <si>
    <t xml:space="preserve">RB100</t>
  </si>
  <si>
    <t xml:space="preserve">WR100</t>
  </si>
  <si>
    <t xml:space="preserve">TE100</t>
  </si>
  <si>
    <t xml:space="preserve">Player</t>
  </si>
  <si>
    <t xml:space="preserve">ATT</t>
  </si>
  <si>
    <t xml:space="preserve">CMP</t>
  </si>
  <si>
    <t xml:space="preserve">YDS</t>
  </si>
  <si>
    <t xml:space="preserve">TDS</t>
  </si>
  <si>
    <t xml:space="preserve">FPTS</t>
  </si>
  <si>
    <t xml:space="preserve">Pa1D</t>
  </si>
  <si>
    <t xml:space="preserve">Ru1D</t>
  </si>
  <si>
    <t xml:space="preserve">Â </t>
  </si>
  <si>
    <t xml:space="preserve">Josh Allen</t>
  </si>
  <si>
    <t xml:space="preserve">BUF</t>
  </si>
  <si>
    <t xml:space="preserve">high</t>
  </si>
  <si>
    <t xml:space="preserve">low</t>
  </si>
  <si>
    <t xml:space="preserve">Lamar Jackson</t>
  </si>
  <si>
    <t xml:space="preserve">BAL</t>
  </si>
  <si>
    <t xml:space="preserve">Jayden Daniels</t>
  </si>
  <si>
    <t xml:space="preserve">WAS</t>
  </si>
  <si>
    <t xml:space="preserve">Drake Maye</t>
  </si>
  <si>
    <t xml:space="preserve">NE</t>
  </si>
  <si>
    <t xml:space="preserve">Jalen Hurts</t>
  </si>
  <si>
    <t xml:space="preserve">PHI</t>
  </si>
  <si>
    <t xml:space="preserve">Joe Burrow</t>
  </si>
  <si>
    <t xml:space="preserve">CIN</t>
  </si>
  <si>
    <t xml:space="preserve">Jaxson Dart</t>
  </si>
  <si>
    <t xml:space="preserve">NYG</t>
  </si>
  <si>
    <t xml:space="preserve">Trevor Lawrence</t>
  </si>
  <si>
    <t xml:space="preserve">JAC</t>
  </si>
  <si>
    <t xml:space="preserve">Brock Purdy</t>
  </si>
  <si>
    <t xml:space="preserve">SF</t>
  </si>
  <si>
    <t xml:space="preserve">Dak Prescott</t>
  </si>
  <si>
    <t xml:space="preserve">DAL</t>
  </si>
  <si>
    <t xml:space="preserve">Patrick Mahomes II</t>
  </si>
  <si>
    <t xml:space="preserve">KC</t>
  </si>
  <si>
    <t xml:space="preserve">Caleb Williams</t>
  </si>
  <si>
    <t xml:space="preserve">CHI</t>
  </si>
  <si>
    <t xml:space="preserve">Justin Herbert</t>
  </si>
  <si>
    <t xml:space="preserve">LAC</t>
  </si>
  <si>
    <t xml:space="preserve">Bo Nix</t>
  </si>
  <si>
    <t xml:space="preserve">DEN</t>
  </si>
  <si>
    <t xml:space="preserve">Matthew Stafford</t>
  </si>
  <si>
    <t xml:space="preserve">LAR</t>
  </si>
  <si>
    <t xml:space="preserve">Kyler Murray</t>
  </si>
  <si>
    <t xml:space="preserve">MIN</t>
  </si>
  <si>
    <t xml:space="preserve">Jared Goff</t>
  </si>
  <si>
    <t xml:space="preserve">DET</t>
  </si>
  <si>
    <t xml:space="preserve">Tyler Shough</t>
  </si>
  <si>
    <t xml:space="preserve">NO</t>
  </si>
  <si>
    <t xml:space="preserve">Baker Mayfield</t>
  </si>
  <si>
    <t xml:space="preserve">TB</t>
  </si>
  <si>
    <t xml:space="preserve">Jordan Love</t>
  </si>
  <si>
    <t xml:space="preserve">GB</t>
  </si>
  <si>
    <t xml:space="preserve">Daniel Jones</t>
  </si>
  <si>
    <t xml:space="preserve">IND</t>
  </si>
  <si>
    <t xml:space="preserve">Malik Willis</t>
  </si>
  <si>
    <t xml:space="preserve">MIA</t>
  </si>
  <si>
    <t xml:space="preserve">Sam Darnold</t>
  </si>
  <si>
    <t xml:space="preserve">SEA</t>
  </si>
  <si>
    <t xml:space="preserve">C.J. Stroud</t>
  </si>
  <si>
    <t xml:space="preserve">HOU</t>
  </si>
  <si>
    <t xml:space="preserve">Bryce Young</t>
  </si>
  <si>
    <t xml:space="preserve">CAR</t>
  </si>
  <si>
    <t xml:space="preserve">Geno Smith</t>
  </si>
  <si>
    <t xml:space="preserve">NYJ</t>
  </si>
  <si>
    <t xml:space="preserve">Cam Ward</t>
  </si>
  <si>
    <t xml:space="preserve">TEN</t>
  </si>
  <si>
    <t xml:space="preserve">Jacoby Brissett</t>
  </si>
  <si>
    <t xml:space="preserve">ARI</t>
  </si>
  <si>
    <t xml:space="preserve">Aaron Rodgers</t>
  </si>
  <si>
    <t xml:space="preserve">PIT</t>
  </si>
  <si>
    <t xml:space="preserve">Fernando Mendoza</t>
  </si>
  <si>
    <t xml:space="preserve">LV</t>
  </si>
  <si>
    <t xml:space="preserve">Tua Tagovailoa</t>
  </si>
  <si>
    <t xml:space="preserve">ATL</t>
  </si>
  <si>
    <t xml:space="preserve">Deshaun Watson</t>
  </si>
  <si>
    <t xml:space="preserve">CLE</t>
  </si>
  <si>
    <t xml:space="preserve">Shedeur Sanders</t>
  </si>
  <si>
    <t xml:space="preserve">Michael Penix Jr.</t>
  </si>
  <si>
    <t xml:space="preserve">Kirk Cousins</t>
  </si>
  <si>
    <t xml:space="preserve">Carson Beck</t>
  </si>
  <si>
    <t xml:space="preserve">Ty Simpson</t>
  </si>
  <si>
    <t xml:space="preserve">Marcus Mariota</t>
  </si>
  <si>
    <t xml:space="preserve">Riley Leonard</t>
  </si>
  <si>
    <t xml:space="preserve">Anthony Richardson Sr.</t>
  </si>
  <si>
    <t xml:space="preserve">J.J. McCarthy</t>
  </si>
  <si>
    <t xml:space="preserve">Justin Fields</t>
  </si>
  <si>
    <t xml:space="preserve">Jameis Winston</t>
  </si>
  <si>
    <t xml:space="preserve">Tommy DeVito</t>
  </si>
  <si>
    <t xml:space="preserve">Tyson Bagent</t>
  </si>
  <si>
    <t xml:space="preserve">Jarrett Stidham</t>
  </si>
  <si>
    <t xml:space="preserve">Davis Mills</t>
  </si>
  <si>
    <t xml:space="preserve">Tyrod Taylor</t>
  </si>
  <si>
    <t xml:space="preserve">Joshua Dobbs</t>
  </si>
  <si>
    <t xml:space="preserve">Tyler Huntley</t>
  </si>
  <si>
    <t xml:space="preserve">Quinn Ewers</t>
  </si>
  <si>
    <t xml:space="preserve">Mac Jones</t>
  </si>
  <si>
    <t xml:space="preserve">Trey Lance</t>
  </si>
  <si>
    <t xml:space="preserve">Tanner McKee</t>
  </si>
  <si>
    <t xml:space="preserve">Joe Flacco</t>
  </si>
  <si>
    <t xml:space="preserve">Kenny Pickett</t>
  </si>
  <si>
    <t xml:space="preserve">Jalon Daniels</t>
  </si>
  <si>
    <t xml:space="preserve">Spencer Rattler</t>
  </si>
  <si>
    <t xml:space="preserve">Sam Howell</t>
  </si>
  <si>
    <t xml:space="preserve">Drew Lock</t>
  </si>
  <si>
    <t xml:space="preserve">Andy Dalton</t>
  </si>
  <si>
    <t xml:space="preserve">Drew Allar</t>
  </si>
  <si>
    <t xml:space="preserve">Gardner Minshew II</t>
  </si>
  <si>
    <t xml:space="preserve">Cade Klubnik</t>
  </si>
  <si>
    <t xml:space="preserve">Cole Payton</t>
  </si>
  <si>
    <t xml:space="preserve">Kyle Allen</t>
  </si>
  <si>
    <t xml:space="preserve">Mitchell Trubisky</t>
  </si>
  <si>
    <t xml:space="preserve">Jalen Milroe</t>
  </si>
  <si>
    <t xml:space="preserve">Kyle McCord</t>
  </si>
  <si>
    <t xml:space="preserve">Joe Milton III</t>
  </si>
  <si>
    <t xml:space="preserve">Will Howard</t>
  </si>
  <si>
    <t xml:space="preserve">Mason Rudolph</t>
  </si>
  <si>
    <t xml:space="preserve">Stetson Bennett IV</t>
  </si>
  <si>
    <t xml:space="preserve">Brady Cook</t>
  </si>
  <si>
    <t xml:space="preserve">Josh Johnson</t>
  </si>
  <si>
    <t xml:space="preserve">Nick Mullens</t>
  </si>
  <si>
    <t xml:space="preserve">Aidan O'Connell</t>
  </si>
  <si>
    <t xml:space="preserve">REC</t>
  </si>
  <si>
    <t xml:space="preserve">Jahmyr Gibbs</t>
  </si>
  <si>
    <t xml:space="preserve">Bijan Robinson</t>
  </si>
  <si>
    <t xml:space="preserve">Christian McCaffrey</t>
  </si>
  <si>
    <t xml:space="preserve">Jonathan Taylor</t>
  </si>
  <si>
    <t xml:space="preserve">Derrick Henry</t>
  </si>
  <si>
    <t xml:space="preserve">De'Von Achane</t>
  </si>
  <si>
    <t xml:space="preserve">James Cook III</t>
  </si>
  <si>
    <t xml:space="preserve">Chase Brown</t>
  </si>
  <si>
    <t xml:space="preserve">Saquon Barkley</t>
  </si>
  <si>
    <t xml:space="preserve">Kenneth Walker III</t>
  </si>
  <si>
    <t xml:space="preserve">Ashton Jeanty</t>
  </si>
  <si>
    <t xml:space="preserve">Omarion Hampton</t>
  </si>
  <si>
    <t xml:space="preserve">Jeremiyah Love</t>
  </si>
  <si>
    <t xml:space="preserve">Javonte Williams</t>
  </si>
  <si>
    <t xml:space="preserve">Breece Hall</t>
  </si>
  <si>
    <t xml:space="preserve">Kyren Williams</t>
  </si>
  <si>
    <t xml:space="preserve">Travis Etienne Jr.</t>
  </si>
  <si>
    <t xml:space="preserve">Cam Skattebo</t>
  </si>
  <si>
    <t xml:space="preserve">D'Andre Swift</t>
  </si>
  <si>
    <t xml:space="preserve">Quinshon Judkins</t>
  </si>
  <si>
    <t xml:space="preserve">Bucky Irving</t>
  </si>
  <si>
    <t xml:space="preserve">Bhayshul Tuten</t>
  </si>
  <si>
    <t xml:space="preserve">David Montgomery</t>
  </si>
  <si>
    <t xml:space="preserve">Jaylen Warren</t>
  </si>
  <si>
    <t xml:space="preserve">Jadarian Price</t>
  </si>
  <si>
    <t xml:space="preserve">TreVeyon Henderson</t>
  </si>
  <si>
    <t xml:space="preserve">Tony Pollard</t>
  </si>
  <si>
    <t xml:space="preserve">Rhamondre Stevenson</t>
  </si>
  <si>
    <t xml:space="preserve">J.K. Dobbins</t>
  </si>
  <si>
    <t xml:space="preserve">Rico Dowdle</t>
  </si>
  <si>
    <t xml:space="preserve">Chuba Hubbard</t>
  </si>
  <si>
    <t xml:space="preserve">MarShawn Lloyd</t>
  </si>
  <si>
    <t xml:space="preserve">Jonathon Brooks</t>
  </si>
  <si>
    <t xml:space="preserve">Kenny Gainwell</t>
  </si>
  <si>
    <t xml:space="preserve">Kyle Monangai</t>
  </si>
  <si>
    <t xml:space="preserve">Rachaad White</t>
  </si>
  <si>
    <t xml:space="preserve">Aaron Jones Sr.</t>
  </si>
  <si>
    <t xml:space="preserve">Jacory Croskey-Merritt</t>
  </si>
  <si>
    <t xml:space="preserve">RJ Harvey</t>
  </si>
  <si>
    <t xml:space="preserve">Jordan Mason</t>
  </si>
  <si>
    <t xml:space="preserve">Blake Corum</t>
  </si>
  <si>
    <t xml:space="preserve">Josh Jacobs</t>
  </si>
  <si>
    <t xml:space="preserve">Tyjae Spears</t>
  </si>
  <si>
    <t xml:space="preserve">Woody Marks</t>
  </si>
  <si>
    <t xml:space="preserve">Zach Charbonnet</t>
  </si>
  <si>
    <t xml:space="preserve">Justice Hill</t>
  </si>
  <si>
    <t xml:space="preserve">Alvin Kamara</t>
  </si>
  <si>
    <t xml:space="preserve">Chris Rodriguez Jr.</t>
  </si>
  <si>
    <t xml:space="preserve">Mike Washington Jr.</t>
  </si>
  <si>
    <t xml:space="preserve">Dylan Sampson</t>
  </si>
  <si>
    <t xml:space="preserve">AJ Dillon</t>
  </si>
  <si>
    <t xml:space="preserve">Braelon Allen</t>
  </si>
  <si>
    <t xml:space="preserve">Samaje Perine</t>
  </si>
  <si>
    <t xml:space="preserve">Tyler Allgeier</t>
  </si>
  <si>
    <t xml:space="preserve">Kaelon Black</t>
  </si>
  <si>
    <t xml:space="preserve">Ty Johnson</t>
  </si>
  <si>
    <t xml:space="preserve">Brian Robinson Jr.</t>
  </si>
  <si>
    <t xml:space="preserve">Tank Bigsby</t>
  </si>
  <si>
    <t xml:space="preserve">Keaton Mitchell</t>
  </si>
  <si>
    <t xml:space="preserve">Isiah Pacheco</t>
  </si>
  <si>
    <t xml:space="preserve">Malik Davis</t>
  </si>
  <si>
    <t xml:space="preserve">Chris Brooks</t>
  </si>
  <si>
    <t xml:space="preserve">Najee Harris</t>
  </si>
  <si>
    <t xml:space="preserve">Jordan James</t>
  </si>
  <si>
    <t xml:space="preserve">Tyrone Tracy Jr.</t>
  </si>
  <si>
    <t xml:space="preserve">Kimani Vidal</t>
  </si>
  <si>
    <t xml:space="preserve">Brashard Smith</t>
  </si>
  <si>
    <t xml:space="preserve">Jaylen Wright</t>
  </si>
  <si>
    <t xml:space="preserve">Emanuel Wilson</t>
  </si>
  <si>
    <t xml:space="preserve">Jonah Coleman</t>
  </si>
  <si>
    <t xml:space="preserve">Kyle Juszczyk</t>
  </si>
  <si>
    <t xml:space="preserve">James Conner</t>
  </si>
  <si>
    <t xml:space="preserve">Isaiah Davis</t>
  </si>
  <si>
    <t xml:space="preserve">Emmett Johnson</t>
  </si>
  <si>
    <t xml:space="preserve">Adam Randall</t>
  </si>
  <si>
    <t xml:space="preserve">LeQuint Allen Jr.</t>
  </si>
  <si>
    <t xml:space="preserve">Jacob Saylors</t>
  </si>
  <si>
    <t xml:space="preserve">Roschon Johnson</t>
  </si>
  <si>
    <t xml:space="preserve">Ray Davis</t>
  </si>
  <si>
    <t xml:space="preserve">Sean Tucker</t>
  </si>
  <si>
    <t xml:space="preserve">Seth McGowan</t>
  </si>
  <si>
    <t xml:space="preserve">George Holani</t>
  </si>
  <si>
    <t xml:space="preserve">Emari Demercado</t>
  </si>
  <si>
    <t xml:space="preserve">Corey Kiner</t>
  </si>
  <si>
    <t xml:space="preserve">Ollie Gordon II</t>
  </si>
  <si>
    <t xml:space="preserve">Kendre Miller</t>
  </si>
  <si>
    <t xml:space="preserve">Audric Estime</t>
  </si>
  <si>
    <t xml:space="preserve">Will Shipley</t>
  </si>
  <si>
    <t xml:space="preserve">Eli Heidenreich</t>
  </si>
  <si>
    <t xml:space="preserve">Hunter Luepke</t>
  </si>
  <si>
    <t xml:space="preserve">Kaytron Allen</t>
  </si>
  <si>
    <t xml:space="preserve">Raheim Sanders</t>
  </si>
  <si>
    <t xml:space="preserve">Nicholas Singleton</t>
  </si>
  <si>
    <t xml:space="preserve">Demond Claiborne</t>
  </si>
  <si>
    <t xml:space="preserve">Tahj Brooks</t>
  </si>
  <si>
    <t xml:space="preserve">DJ Giddens</t>
  </si>
  <si>
    <t xml:space="preserve">Rasheen Ali</t>
  </si>
  <si>
    <t xml:space="preserve">Michael Burton</t>
  </si>
  <si>
    <t xml:space="preserve">Andrew Beck</t>
  </si>
  <si>
    <t xml:space="preserve">Alec Ingold</t>
  </si>
  <si>
    <t xml:space="preserve">Ameer Abdullah</t>
  </si>
  <si>
    <t xml:space="preserve">Isaac Guerendo</t>
  </si>
  <si>
    <t xml:space="preserve">Devin Singletary</t>
  </si>
  <si>
    <t xml:space="preserve">Kene Nwangwu</t>
  </si>
  <si>
    <t xml:space="preserve">Bam Knight</t>
  </si>
  <si>
    <t xml:space="preserve">Adam Prentice</t>
  </si>
  <si>
    <t xml:space="preserve">Connor Heyward</t>
  </si>
  <si>
    <t xml:space="preserve">Max Bredeson</t>
  </si>
  <si>
    <t xml:space="preserve">Kaleb Johnson</t>
  </si>
  <si>
    <t xml:space="preserve">Riley Nowakowski</t>
  </si>
  <si>
    <t xml:space="preserve">Reggie Gilliam</t>
  </si>
  <si>
    <t xml:space="preserve">Sione Vaki</t>
  </si>
  <si>
    <t xml:space="preserve">Patrick Ricard</t>
  </si>
  <si>
    <t xml:space="preserve">British Brooks</t>
  </si>
  <si>
    <t xml:space="preserve">DeeJay Dallas</t>
  </si>
  <si>
    <t xml:space="preserve">Jerome Ford</t>
  </si>
  <si>
    <t xml:space="preserve">Tyler Badie</t>
  </si>
  <si>
    <t xml:space="preserve">Trey Benson</t>
  </si>
  <si>
    <t xml:space="preserve">Trevor Etienne</t>
  </si>
  <si>
    <t xml:space="preserve">Dylan Laube</t>
  </si>
  <si>
    <t xml:space="preserve">Chris Collier</t>
  </si>
  <si>
    <t xml:space="preserve">Puka Nacua</t>
  </si>
  <si>
    <t xml:space="preserve">Ja'Marr Chase</t>
  </si>
  <si>
    <t xml:space="preserve">Jaxon Smith-Njigba</t>
  </si>
  <si>
    <t xml:space="preserve">Amon-Ra St. Brown</t>
  </si>
  <si>
    <t xml:space="preserve">Drake London</t>
  </si>
  <si>
    <t xml:space="preserve">CeeDee Lamb</t>
  </si>
  <si>
    <t xml:space="preserve">Justin Jefferson</t>
  </si>
  <si>
    <t xml:space="preserve">Rashee Rice</t>
  </si>
  <si>
    <t xml:space="preserve">Chris Olave</t>
  </si>
  <si>
    <t xml:space="preserve">A.J. Brown</t>
  </si>
  <si>
    <t xml:space="preserve">George Pickens</t>
  </si>
  <si>
    <t xml:space="preserve">Nico Collins</t>
  </si>
  <si>
    <t xml:space="preserve">Zay Flowers</t>
  </si>
  <si>
    <t xml:space="preserve">Malik Nabers</t>
  </si>
  <si>
    <t xml:space="preserve">Garrett Wilson</t>
  </si>
  <si>
    <t xml:space="preserve">Tetairoa McMillan</t>
  </si>
  <si>
    <t xml:space="preserve">DeVonta Smith</t>
  </si>
  <si>
    <t xml:space="preserve">Emeka Egbuka</t>
  </si>
  <si>
    <t xml:space="preserve">Davante Adams</t>
  </si>
  <si>
    <t xml:space="preserve">Tee Higgins</t>
  </si>
  <si>
    <t xml:space="preserve">Jameson Williams</t>
  </si>
  <si>
    <t xml:space="preserve">Ladd McConkey</t>
  </si>
  <si>
    <t xml:space="preserve">Terry McLaurin</t>
  </si>
  <si>
    <t xml:space="preserve">Rome Odunze</t>
  </si>
  <si>
    <t xml:space="preserve">DJ Moore</t>
  </si>
  <si>
    <t xml:space="preserve">Jaylen Waddle</t>
  </si>
  <si>
    <t xml:space="preserve">Luther Burden III</t>
  </si>
  <si>
    <t xml:space="preserve">Christian Watson</t>
  </si>
  <si>
    <t xml:space="preserve">Courtland Sutton</t>
  </si>
  <si>
    <t xml:space="preserve">Alec Pierce</t>
  </si>
  <si>
    <t xml:space="preserve">Marvin Harrison Jr.</t>
  </si>
  <si>
    <t xml:space="preserve">Mike Evans</t>
  </si>
  <si>
    <t xml:space="preserve">DK Metcalf</t>
  </si>
  <si>
    <t xml:space="preserve">Parker Washington</t>
  </si>
  <si>
    <t xml:space="preserve">Brian Thomas Jr.</t>
  </si>
  <si>
    <t xml:space="preserve">Michael Pittman Jr.</t>
  </si>
  <si>
    <t xml:space="preserve">Carnell Tate</t>
  </si>
  <si>
    <t xml:space="preserve">Jayden Reed</t>
  </si>
  <si>
    <t xml:space="preserve">Michael Wilson</t>
  </si>
  <si>
    <t xml:space="preserve">Quentin Johnston</t>
  </si>
  <si>
    <t xml:space="preserve">Jakobi Meyers</t>
  </si>
  <si>
    <t xml:space="preserve">Chris Godwin Jr.</t>
  </si>
  <si>
    <t xml:space="preserve">Jordan Addison</t>
  </si>
  <si>
    <t xml:space="preserve">Xavier Worthy</t>
  </si>
  <si>
    <t xml:space="preserve">Wan'Dale Robinson</t>
  </si>
  <si>
    <t xml:space="preserve">De'Zhaun Stribling</t>
  </si>
  <si>
    <t xml:space="preserve">Matthew Golden</t>
  </si>
  <si>
    <t xml:space="preserve">Romeo Doubs</t>
  </si>
  <si>
    <t xml:space="preserve">Stefon Diggs</t>
  </si>
  <si>
    <t xml:space="preserve">Deebo Samuel Sr.</t>
  </si>
  <si>
    <t xml:space="preserve">KC Concepcion</t>
  </si>
  <si>
    <t xml:space="preserve">Rashid Shaheed</t>
  </si>
  <si>
    <t xml:space="preserve">Khalil Shakir</t>
  </si>
  <si>
    <t xml:space="preserve">Josh Downs</t>
  </si>
  <si>
    <t xml:space="preserve">Jalen Coker</t>
  </si>
  <si>
    <t xml:space="preserve">Jerry Jeudy</t>
  </si>
  <si>
    <t xml:space="preserve">Calvin Ridley</t>
  </si>
  <si>
    <t xml:space="preserve">Makai Lemon</t>
  </si>
  <si>
    <t xml:space="preserve">Denzel Boston</t>
  </si>
  <si>
    <t xml:space="preserve">Tre Tucker</t>
  </si>
  <si>
    <t xml:space="preserve">Rashod Bateman</t>
  </si>
  <si>
    <t xml:space="preserve">Kayshon Boutte</t>
  </si>
  <si>
    <t xml:space="preserve">Keenan Allen</t>
  </si>
  <si>
    <t xml:space="preserve">Ja'Kobi Lane</t>
  </si>
  <si>
    <t xml:space="preserve">Jalen McMillan</t>
  </si>
  <si>
    <t xml:space="preserve">Jauan Jennings</t>
  </si>
  <si>
    <t xml:space="preserve">Jalen Nailor</t>
  </si>
  <si>
    <t xml:space="preserve">Devaughn Vele</t>
  </si>
  <si>
    <t xml:space="preserve">Cooper Kupp</t>
  </si>
  <si>
    <t xml:space="preserve">Jaylin Noel</t>
  </si>
  <si>
    <t xml:space="preserve">Adonai Mitchell</t>
  </si>
  <si>
    <t xml:space="preserve">Jordyn Tyson</t>
  </si>
  <si>
    <t xml:space="preserve">Germie Bernard</t>
  </si>
  <si>
    <t xml:space="preserve">Malik Washington</t>
  </si>
  <si>
    <t xml:space="preserve">Chris Bell</t>
  </si>
  <si>
    <t xml:space="preserve">Antonio Williams</t>
  </si>
  <si>
    <t xml:space="preserve">Caleb Douglas</t>
  </si>
  <si>
    <t xml:space="preserve">Omar Cooper Jr.</t>
  </si>
  <si>
    <t xml:space="preserve">Travis Hunter</t>
  </si>
  <si>
    <t xml:space="preserve">Xavier Hutchinson</t>
  </si>
  <si>
    <t xml:space="preserve">Dontayvion Wicks</t>
  </si>
  <si>
    <t xml:space="preserve">Tyquan Thornton</t>
  </si>
  <si>
    <t xml:space="preserve">Darius Slayton</t>
  </si>
  <si>
    <t xml:space="preserve">Troy Franklin</t>
  </si>
  <si>
    <t xml:space="preserve">Tory Horton</t>
  </si>
  <si>
    <t xml:space="preserve">Xavier Legette</t>
  </si>
  <si>
    <t xml:space="preserve">Jahan Dotson</t>
  </si>
  <si>
    <t xml:space="preserve">Bryce Lance</t>
  </si>
  <si>
    <t xml:space="preserve">Tre' Harris</t>
  </si>
  <si>
    <t xml:space="preserve">Isaac TeSlaa</t>
  </si>
  <si>
    <t xml:space="preserve">Ryan Flournoy</t>
  </si>
  <si>
    <t xml:space="preserve">Jalen Tolbert</t>
  </si>
  <si>
    <t xml:space="preserve">Malachi Fields</t>
  </si>
  <si>
    <t xml:space="preserve">Andrei Iosivas</t>
  </si>
  <si>
    <t xml:space="preserve">Malik Benson</t>
  </si>
  <si>
    <t xml:space="preserve">Ted Hurst III</t>
  </si>
  <si>
    <t xml:space="preserve">Hollywood Brown</t>
  </si>
  <si>
    <t xml:space="preserve">Elic Ayomanor</t>
  </si>
  <si>
    <t xml:space="preserve">DeMario Douglas</t>
  </si>
  <si>
    <t xml:space="preserve">Chimere Dike</t>
  </si>
  <si>
    <t xml:space="preserve">Zachariah Branch</t>
  </si>
  <si>
    <t xml:space="preserve">Keon Coleman</t>
  </si>
  <si>
    <t xml:space="preserve">Joshua Palmer</t>
  </si>
  <si>
    <t xml:space="preserve">Pat Bryant</t>
  </si>
  <si>
    <t xml:space="preserve">Ashton Dulin</t>
  </si>
  <si>
    <t xml:space="preserve">Marvin Mims Jr.</t>
  </si>
  <si>
    <t xml:space="preserve">KaVontae Turpin</t>
  </si>
  <si>
    <t xml:space="preserve">Kevin Coleman Jr.</t>
  </si>
  <si>
    <t xml:space="preserve">Devontez Walker</t>
  </si>
  <si>
    <t xml:space="preserve">Darnell Mooney</t>
  </si>
  <si>
    <t xml:space="preserve">Jack Bech</t>
  </si>
  <si>
    <t xml:space="preserve">Jahdae Walker</t>
  </si>
  <si>
    <t xml:space="preserve">Demarcus Robinson</t>
  </si>
  <si>
    <t xml:space="preserve">Mack Hollins</t>
  </si>
  <si>
    <t xml:space="preserve">Tank Dell</t>
  </si>
  <si>
    <t xml:space="preserve">Christian Kirk</t>
  </si>
  <si>
    <t xml:space="preserve">Cyrus Allen</t>
  </si>
  <si>
    <t xml:space="preserve">Luke McCaffrey</t>
  </si>
  <si>
    <t xml:space="preserve">Kyle Williams</t>
  </si>
  <si>
    <t xml:space="preserve">Theo Wease Jr.</t>
  </si>
  <si>
    <t xml:space="preserve">Kendrick Bourne</t>
  </si>
  <si>
    <t xml:space="preserve">Dyami Brown</t>
  </si>
  <si>
    <t xml:space="preserve">Treylon Burks</t>
  </si>
  <si>
    <t xml:space="preserve">Kalif Raymond</t>
  </si>
  <si>
    <t xml:space="preserve">Savion Williams</t>
  </si>
  <si>
    <t xml:space="preserve">Isaiah Bond</t>
  </si>
  <si>
    <t xml:space="preserve">Zavion Thomas</t>
  </si>
  <si>
    <t xml:space="preserve">Skyler Bell</t>
  </si>
  <si>
    <t xml:space="preserve">Tutu Atwell</t>
  </si>
  <si>
    <t xml:space="preserve">Olamide Zaccheaus</t>
  </si>
  <si>
    <t xml:space="preserve">Colbie Young</t>
  </si>
  <si>
    <t xml:space="preserve">Roman Wilson</t>
  </si>
  <si>
    <t xml:space="preserve">Brenen Thompson</t>
  </si>
  <si>
    <t xml:space="preserve">Isaiah Williams</t>
  </si>
  <si>
    <t xml:space="preserve">Jaylin Lane</t>
  </si>
  <si>
    <t xml:space="preserve">Elijah Sarratt</t>
  </si>
  <si>
    <t xml:space="preserve">Odell Beckham Jr.</t>
  </si>
  <si>
    <t xml:space="preserve">Tez Johnson</t>
  </si>
  <si>
    <t xml:space="preserve">Jimmy Horn Jr.</t>
  </si>
  <si>
    <t xml:space="preserve">Jordan Whittington</t>
  </si>
  <si>
    <t xml:space="preserve">Konata Mumpfield</t>
  </si>
  <si>
    <t xml:space="preserve">Barion Brown</t>
  </si>
  <si>
    <t xml:space="preserve">Jalen Royals</t>
  </si>
  <si>
    <t xml:space="preserve">KeAndre Lambert-Smith</t>
  </si>
  <si>
    <t xml:space="preserve">Laquon Treadwell</t>
  </si>
  <si>
    <t xml:space="preserve">Bo Melton</t>
  </si>
  <si>
    <t xml:space="preserve">Tay Martin</t>
  </si>
  <si>
    <t xml:space="preserve">Malachi Corley</t>
  </si>
  <si>
    <t xml:space="preserve">Derius Davis</t>
  </si>
  <si>
    <t xml:space="preserve">Dohnte Meyers</t>
  </si>
  <si>
    <t xml:space="preserve">Xavier Smith</t>
  </si>
  <si>
    <t xml:space="preserve">Efton Chism III</t>
  </si>
  <si>
    <t xml:space="preserve">Jacob Cowing</t>
  </si>
  <si>
    <t xml:space="preserve">Josh Cameron</t>
  </si>
  <si>
    <t xml:space="preserve">Tai Felton</t>
  </si>
  <si>
    <t xml:space="preserve">Jonathan Mingo</t>
  </si>
  <si>
    <t xml:space="preserve">Darius Cooper</t>
  </si>
  <si>
    <t xml:space="preserve">Reggie Virgil</t>
  </si>
  <si>
    <t xml:space="preserve">Dareke Young</t>
  </si>
  <si>
    <t xml:space="preserve">Brycen Tremayne</t>
  </si>
  <si>
    <t xml:space="preserve">Arian Smith</t>
  </si>
  <si>
    <t xml:space="preserve">Ben Skowronek</t>
  </si>
  <si>
    <t xml:space="preserve">Kameron Johnson</t>
  </si>
  <si>
    <t xml:space="preserve">Kaden Wetjen</t>
  </si>
  <si>
    <t xml:space="preserve">Braxton Berrios</t>
  </si>
  <si>
    <t xml:space="preserve">Gunner Olszewski</t>
  </si>
  <si>
    <t xml:space="preserve">Devin Duvernay</t>
  </si>
  <si>
    <t xml:space="preserve">Tylan Wallace</t>
  </si>
  <si>
    <t xml:space="preserve">Skyy Moore</t>
  </si>
  <si>
    <t xml:space="preserve">Jalen Brooks</t>
  </si>
  <si>
    <t xml:space="preserve">Nikko Remigio</t>
  </si>
  <si>
    <t xml:space="preserve">Tyrell Shavers</t>
  </si>
  <si>
    <t xml:space="preserve">Mason Tipton</t>
  </si>
  <si>
    <t xml:space="preserve">Dont'e Thornton Jr.</t>
  </si>
  <si>
    <t xml:space="preserve">LaJohntay Wester</t>
  </si>
  <si>
    <t xml:space="preserve">Ke'Shawn Williams</t>
  </si>
  <si>
    <t xml:space="preserve">Myles Price</t>
  </si>
  <si>
    <t xml:space="preserve">Trey McBride</t>
  </si>
  <si>
    <t xml:space="preserve">Brock Bowers</t>
  </si>
  <si>
    <t xml:space="preserve">Colston Loveland</t>
  </si>
  <si>
    <t xml:space="preserve">Tyler Warren</t>
  </si>
  <si>
    <t xml:space="preserve">Harold Fannin Jr.</t>
  </si>
  <si>
    <t xml:space="preserve">George Kittle</t>
  </si>
  <si>
    <t xml:space="preserve">Sam LaPorta</t>
  </si>
  <si>
    <t xml:space="preserve">Kyle Pitts Sr.</t>
  </si>
  <si>
    <t xml:space="preserve">Dallas Goedert</t>
  </si>
  <si>
    <t xml:space="preserve">Travis Kelce</t>
  </si>
  <si>
    <t xml:space="preserve">Tucker Kraft</t>
  </si>
  <si>
    <t xml:space="preserve">Mark Andrews</t>
  </si>
  <si>
    <t xml:space="preserve">Isaiah Likely</t>
  </si>
  <si>
    <t xml:space="preserve">Dalton Kincaid</t>
  </si>
  <si>
    <t xml:space="preserve">Jake Ferguson</t>
  </si>
  <si>
    <t xml:space="preserve">Hunter Henry</t>
  </si>
  <si>
    <t xml:space="preserve">Juwan Johnson</t>
  </si>
  <si>
    <t xml:space="preserve">Brenton Strange</t>
  </si>
  <si>
    <t xml:space="preserve">Dalton Schultz</t>
  </si>
  <si>
    <t xml:space="preserve">T.J. Hockenson</t>
  </si>
  <si>
    <t xml:space="preserve">Pat Freiermuth</t>
  </si>
  <si>
    <t xml:space="preserve">Greg Dulcich</t>
  </si>
  <si>
    <t xml:space="preserve">Kenyon Sadiq</t>
  </si>
  <si>
    <t xml:space="preserve">Terrance Ferguson</t>
  </si>
  <si>
    <t xml:space="preserve">Cade Otton</t>
  </si>
  <si>
    <t xml:space="preserve">AJ Barner</t>
  </si>
  <si>
    <t xml:space="preserve">Chig Okonkwo</t>
  </si>
  <si>
    <t xml:space="preserve">Darren Waller</t>
  </si>
  <si>
    <t xml:space="preserve">Evan Engram</t>
  </si>
  <si>
    <t xml:space="preserve">Mike Gesicki</t>
  </si>
  <si>
    <t xml:space="preserve">Gunnar Helm</t>
  </si>
  <si>
    <t xml:space="preserve">David Njoku</t>
  </si>
  <si>
    <t xml:space="preserve">Mason Taylor</t>
  </si>
  <si>
    <t xml:space="preserve">Colby Parkinson</t>
  </si>
  <si>
    <t xml:space="preserve">Oronde Gadsden II</t>
  </si>
  <si>
    <t xml:space="preserve">Michael Mayer</t>
  </si>
  <si>
    <t xml:space="preserve">Dawson Knox</t>
  </si>
  <si>
    <t xml:space="preserve">Theo Johnson</t>
  </si>
  <si>
    <t xml:space="preserve">Darnell Washington</t>
  </si>
  <si>
    <t xml:space="preserve">Erick All Jr.</t>
  </si>
  <si>
    <t xml:space="preserve">Tyler Higbee</t>
  </si>
  <si>
    <t xml:space="preserve">Cole Kmet</t>
  </si>
  <si>
    <t xml:space="preserve">Noah Fant</t>
  </si>
  <si>
    <t xml:space="preserve">Will Kacmarek</t>
  </si>
  <si>
    <t xml:space="preserve">Charlie Kolar</t>
  </si>
  <si>
    <t xml:space="preserve">Jonnu Smith</t>
  </si>
  <si>
    <t xml:space="preserve">Brock Wright</t>
  </si>
  <si>
    <t xml:space="preserve">Josh Oliver</t>
  </si>
  <si>
    <t xml:space="preserve">Daniel Bellinger</t>
  </si>
  <si>
    <t xml:space="preserve">Adam Trautman</t>
  </si>
  <si>
    <t xml:space="preserve">Austin Hooper</t>
  </si>
  <si>
    <t xml:space="preserve">Eli Raridon</t>
  </si>
  <si>
    <t xml:space="preserve">Tommy Tremble</t>
  </si>
  <si>
    <t xml:space="preserve">Noah Gray</t>
  </si>
  <si>
    <t xml:space="preserve">Eli Stowers</t>
  </si>
  <si>
    <t xml:space="preserve">Elijah Arroyo</t>
  </si>
  <si>
    <t xml:space="preserve">Davis Allen</t>
  </si>
  <si>
    <t xml:space="preserve">Ja'Tavion Sanders</t>
  </si>
  <si>
    <t xml:space="preserve">Elijah Higgins</t>
  </si>
  <si>
    <t xml:space="preserve">Marlin Klein</t>
  </si>
  <si>
    <t xml:space="preserve">John Bates</t>
  </si>
  <si>
    <t xml:space="preserve">Jeremy Ruckert</t>
  </si>
  <si>
    <t xml:space="preserve">Drew Sample</t>
  </si>
  <si>
    <t xml:space="preserve">Nate Boerkircher</t>
  </si>
  <si>
    <t xml:space="preserve">Jake Tonges</t>
  </si>
  <si>
    <t xml:space="preserve">Nate Adkins</t>
  </si>
  <si>
    <t xml:space="preserve">Cade Stover</t>
  </si>
  <si>
    <t xml:space="preserve">Jackson Hawes</t>
  </si>
  <si>
    <t xml:space="preserve">Ben Sinnott</t>
  </si>
  <si>
    <t xml:space="preserve">Jack Endries</t>
  </si>
  <si>
    <t xml:space="preserve">Luke Schoonmaker</t>
  </si>
  <si>
    <t xml:space="preserve">Luke Musgrave</t>
  </si>
  <si>
    <t xml:space="preserve">Foster Moreau</t>
  </si>
  <si>
    <t xml:space="preserve">Bauer Sharp</t>
  </si>
  <si>
    <t xml:space="preserve">Dallen Bentley</t>
  </si>
  <si>
    <t xml:space="preserve">Mo Alie-Cox</t>
  </si>
  <si>
    <t xml:space="preserve">Charlie Woerner</t>
  </si>
  <si>
    <t xml:space="preserve">Thomas Fidone II</t>
  </si>
  <si>
    <t xml:space="preserve">Jared Wiley</t>
  </si>
  <si>
    <t xml:space="preserve">Will Mallory</t>
  </si>
  <si>
    <t xml:space="preserve">Kylen Granson</t>
  </si>
  <si>
    <t xml:space="preserve">Oscar Delp</t>
  </si>
  <si>
    <t xml:space="preserve">Durham Smythe</t>
  </si>
  <si>
    <t xml:space="preserve">Mitchell Evans</t>
  </si>
  <si>
    <t xml:space="preserve">Payne Durham</t>
  </si>
  <si>
    <t xml:space="preserve">Max Klare</t>
  </si>
  <si>
    <t xml:space="preserve">Grant Calcaterra</t>
  </si>
  <si>
    <t xml:space="preserve">Seydou Traore</t>
  </si>
  <si>
    <t xml:space="preserve">Brevyn Spann-Ford</t>
  </si>
  <si>
    <t xml:space="preserve">Tanner Koziol</t>
  </si>
  <si>
    <t xml:space="preserve">Sam Roush</t>
  </si>
  <si>
    <t xml:space="preserve">Josh Whyle</t>
  </si>
  <si>
    <t xml:space="preserve">Hunter Long</t>
  </si>
  <si>
    <t xml:space="preserve">Josh Cuevas</t>
  </si>
  <si>
    <t xml:space="preserve">Ian Thomas</t>
  </si>
  <si>
    <t xml:space="preserve">Ko Kieft</t>
  </si>
  <si>
    <t xml:space="preserve">Drew Ogletree</t>
  </si>
  <si>
    <t xml:space="preserve">Blake Whiteheart</t>
  </si>
  <si>
    <t xml:space="preserve">Chris Manhertz</t>
  </si>
  <si>
    <t xml:space="preserve">Justin Joly</t>
  </si>
  <si>
    <t xml:space="preserve">Tyler Conklin</t>
  </si>
  <si>
    <t xml:space="preserve">Luke Farrell</t>
  </si>
  <si>
    <t xml:space="preserve">Eric Saubert</t>
  </si>
  <si>
    <t xml:space="preserve">Johnny Mundt</t>
  </si>
  <si>
    <t xml:space="preserve">Carsen Ryan</t>
  </si>
  <si>
    <t xml:space="preserve">Tanner Hudson</t>
  </si>
  <si>
    <t xml:space="preserve">Quintin Morris</t>
  </si>
  <si>
    <t xml:space="preserve">Cole Turner</t>
  </si>
  <si>
    <t xml:space="preserve">Jelani Woods</t>
  </si>
  <si>
    <t xml:space="preserve">Lucas Krull</t>
  </si>
  <si>
    <t xml:space="preserve">Ben Sims</t>
  </si>
  <si>
    <t xml:space="preserve">Julian Hill</t>
  </si>
  <si>
    <t xml:space="preserve">Tip Reiman</t>
  </si>
  <si>
    <t xml:space="preserve">CJ Dippre</t>
  </si>
  <si>
    <t xml:space="preserve">Joe Royer</t>
  </si>
  <si>
    <t xml:space="preserve">Jackson Meeks</t>
  </si>
  <si>
    <t xml:space="preserve">RK</t>
  </si>
  <si>
    <t xml:space="preserve">TIERS</t>
  </si>
  <si>
    <t xml:space="preserve">PLAYER NAME</t>
  </si>
  <si>
    <t xml:space="preserve">TEAM</t>
  </si>
  <si>
    <t xml:space="preserve">POS</t>
  </si>
  <si>
    <t xml:space="preserve">BYE WEEK</t>
  </si>
  <si>
    <t xml:space="preserve">UPSIDE </t>
  </si>
  <si>
    <t xml:space="preserve">BUST </t>
  </si>
  <si>
    <t xml:space="preserve">SOS SEASON</t>
  </si>
  <si>
    <t xml:space="preserve">ECR VS. ADP</t>
  </si>
  <si>
    <t xml:space="preserve">% OVER </t>
  </si>
  <si>
    <t xml:space="preserve">Proj Missed</t>
  </si>
  <si>
    <t xml:space="preserve">Pts</t>
  </si>
  <si>
    <t xml:space="preserve">5 out of 5</t>
  </si>
  <si>
    <t xml:space="preserve">1 out of 5</t>
  </si>
  <si>
    <t xml:space="preserve">5 out of 5 stars</t>
  </si>
  <si>
    <t xml:space="preserve">2 out of 5 stars</t>
  </si>
  <si>
    <t xml:space="preserve">4 out of 5 stars</t>
  </si>
  <si>
    <t xml:space="preserve">2 out of 5</t>
  </si>
  <si>
    <t xml:space="preserve">1 out of 5 stars</t>
  </si>
  <si>
    <t xml:space="preserve">3 out of 5 stars</t>
  </si>
  <si>
    <t xml:space="preserve">4 out of 5</t>
  </si>
  <si>
    <t xml:space="preserve">3 out of 5</t>
  </si>
  <si>
    <t xml:space="preserve">-</t>
  </si>
  <si>
    <t xml:space="preserve">Houston Texans</t>
  </si>
  <si>
    <t xml:space="preserve">DST1</t>
  </si>
  <si>
    <t xml:space="preserve">Los Angeles Rams</t>
  </si>
  <si>
    <t xml:space="preserve">DST2</t>
  </si>
  <si>
    <t xml:space="preserve">Denver Broncos</t>
  </si>
  <si>
    <t xml:space="preserve">DST3</t>
  </si>
  <si>
    <t xml:space="preserve">Seattle Seahawks</t>
  </si>
  <si>
    <t xml:space="preserve">DST4</t>
  </si>
  <si>
    <t xml:space="preserve">Philadelphia Eagles</t>
  </si>
  <si>
    <t xml:space="preserve">DST5</t>
  </si>
  <si>
    <t xml:space="preserve">0 out of 5 stars</t>
  </si>
  <si>
    <t xml:space="preserve">New England Patriots</t>
  </si>
  <si>
    <t xml:space="preserve">DST6</t>
  </si>
  <si>
    <t xml:space="preserve">Minnesota Vikings</t>
  </si>
  <si>
    <t xml:space="preserve">DST7</t>
  </si>
  <si>
    <t xml:space="preserve">Pittsburgh Steelers</t>
  </si>
  <si>
    <t xml:space="preserve">DST8</t>
  </si>
  <si>
    <t xml:space="preserve">Jacksonville Jaguars</t>
  </si>
  <si>
    <t xml:space="preserve">DST9</t>
  </si>
  <si>
    <t xml:space="preserve">Los Angeles Chargers</t>
  </si>
  <si>
    <t xml:space="preserve">DST10</t>
  </si>
  <si>
    <t xml:space="preserve">Baltimore Ravens</t>
  </si>
  <si>
    <t xml:space="preserve">DST11</t>
  </si>
  <si>
    <t xml:space="preserve">Brandon Aubrey</t>
  </si>
  <si>
    <t xml:space="preserve">K1</t>
  </si>
  <si>
    <t xml:space="preserve">Kansas City Chiefs</t>
  </si>
  <si>
    <t xml:space="preserve">DST12</t>
  </si>
  <si>
    <t xml:space="preserve">Cameron Dicker</t>
  </si>
  <si>
    <t xml:space="preserve">K2</t>
  </si>
  <si>
    <t xml:space="preserve">Ka'imi Fairbairn</t>
  </si>
  <si>
    <t xml:space="preserve">K3</t>
  </si>
  <si>
    <t xml:space="preserve">Cam Little</t>
  </si>
  <si>
    <t xml:space="preserve">K4</t>
  </si>
  <si>
    <t xml:space="preserve">Jason Myers</t>
  </si>
  <si>
    <t xml:space="preserve">K5</t>
  </si>
  <si>
    <t xml:space="preserve">Green Bay Packers</t>
  </si>
  <si>
    <t xml:space="preserve">DST13</t>
  </si>
  <si>
    <t xml:space="preserve">Jake Bates</t>
  </si>
  <si>
    <t xml:space="preserve">K6</t>
  </si>
  <si>
    <t xml:space="preserve">Eddy Pineiro</t>
  </si>
  <si>
    <t xml:space="preserve">K7</t>
  </si>
  <si>
    <t xml:space="preserve">Tyler Loop</t>
  </si>
  <si>
    <t xml:space="preserve">K8</t>
  </si>
  <si>
    <t xml:space="preserve">Detroit Lions</t>
  </si>
  <si>
    <t xml:space="preserve">DST14</t>
  </si>
  <si>
    <t xml:space="preserve">Buffalo Bills</t>
  </si>
  <si>
    <t xml:space="preserve">DST15</t>
  </si>
  <si>
    <t xml:space="preserve">Harrison Mevis</t>
  </si>
  <si>
    <t xml:space="preserve">K9</t>
  </si>
  <si>
    <t xml:space="preserve">Cairo Santos</t>
  </si>
  <si>
    <t xml:space="preserve">K10</t>
  </si>
  <si>
    <t xml:space="preserve">Cleveland Browns</t>
  </si>
  <si>
    <t xml:space="preserve">DST16</t>
  </si>
  <si>
    <t xml:space="preserve">Andy Borregales</t>
  </si>
  <si>
    <t xml:space="preserve">K11</t>
  </si>
  <si>
    <t xml:space="preserve">Chase McLaughlin</t>
  </si>
  <si>
    <t xml:space="preserve">K12</t>
  </si>
  <si>
    <t xml:space="preserve">Evan McPherson</t>
  </si>
  <si>
    <t xml:space="preserve">K13</t>
  </si>
  <si>
    <t xml:space="preserve">Harrison Butker</t>
  </si>
  <si>
    <t xml:space="preserve">K14</t>
  </si>
  <si>
    <t xml:space="preserve">Chris Boswell</t>
  </si>
  <si>
    <t xml:space="preserve">K15</t>
  </si>
  <si>
    <t xml:space="preserve">Wil Lutz</t>
  </si>
  <si>
    <t xml:space="preserve">K16</t>
  </si>
  <si>
    <t xml:space="preserve">Will Reichard</t>
  </si>
  <si>
    <t xml:space="preserve">K17</t>
  </si>
  <si>
    <t xml:space="preserve">WR101</t>
  </si>
  <si>
    <t xml:space="preserve">WR102</t>
  </si>
  <si>
    <t xml:space="preserve">WR103</t>
  </si>
  <si>
    <t xml:space="preserve">San Francisco 49ers</t>
  </si>
  <si>
    <t xml:space="preserve">DST17</t>
  </si>
  <si>
    <t xml:space="preserve">Atlanta Falcons</t>
  </si>
  <si>
    <t xml:space="preserve">DST18</t>
  </si>
  <si>
    <t xml:space="preserve">WR104</t>
  </si>
  <si>
    <t xml:space="preserve">New Orleans Saints</t>
  </si>
  <si>
    <t xml:space="preserve">DST19</t>
  </si>
  <si>
    <t xml:space="preserve">WR105</t>
  </si>
  <si>
    <t xml:space="preserve">Jaydon Blue</t>
  </si>
  <si>
    <t xml:space="preserve">WR106</t>
  </si>
  <si>
    <t xml:space="preserve">WR107</t>
  </si>
  <si>
    <t xml:space="preserve">Devin Neal</t>
  </si>
  <si>
    <t xml:space="preserve">FA</t>
  </si>
  <si>
    <t xml:space="preserve">Indianapolis Colts</t>
  </si>
  <si>
    <t xml:space="preserve">DST20</t>
  </si>
  <si>
    <t xml:space="preserve">WR108</t>
  </si>
  <si>
    <t xml:space="preserve">WR109</t>
  </si>
  <si>
    <t xml:space="preserve">Brandon Aiyuk</t>
  </si>
  <si>
    <t xml:space="preserve">WR110</t>
  </si>
  <si>
    <t xml:space="preserve">Jarquez Hunter</t>
  </si>
  <si>
    <t xml:space="preserve">Jaleel McLaughlin</t>
  </si>
  <si>
    <t xml:space="preserve">Chicago Bears</t>
  </si>
  <si>
    <t xml:space="preserve">DST21</t>
  </si>
  <si>
    <t xml:space="preserve">Kareem Hunt</t>
  </si>
  <si>
    <t xml:space="preserve">Tyreek Hill</t>
  </si>
  <si>
    <t xml:space="preserve">WR111</t>
  </si>
  <si>
    <t xml:space="preserve">WR112</t>
  </si>
  <si>
    <t xml:space="preserve">Charlie Smyth</t>
  </si>
  <si>
    <t xml:space="preserve">K18</t>
  </si>
  <si>
    <t xml:space="preserve">WR113</t>
  </si>
  <si>
    <t xml:space="preserve">WR114</t>
  </si>
  <si>
    <t xml:space="preserve">WR115</t>
  </si>
  <si>
    <t xml:space="preserve">WR116</t>
  </si>
  <si>
    <t xml:space="preserve">WR117</t>
  </si>
  <si>
    <t xml:space="preserve">Joe Mixon</t>
  </si>
  <si>
    <t xml:space="preserve">RB101</t>
  </si>
  <si>
    <t xml:space="preserve">Dallas Cowboys</t>
  </si>
  <si>
    <t xml:space="preserve">DST22</t>
  </si>
  <si>
    <t xml:space="preserve">WR118</t>
  </si>
  <si>
    <t xml:space="preserve">RB102</t>
  </si>
  <si>
    <t xml:space="preserve">Jake Elliott</t>
  </si>
  <si>
    <t xml:space="preserve">K19</t>
  </si>
  <si>
    <t xml:space="preserve">WR119</t>
  </si>
  <si>
    <t xml:space="preserve">WR120</t>
  </si>
  <si>
    <t xml:space="preserve">WR121</t>
  </si>
  <si>
    <t xml:space="preserve">WR122</t>
  </si>
  <si>
    <t xml:space="preserve">WR123</t>
  </si>
  <si>
    <t xml:space="preserve">WR124</t>
  </si>
  <si>
    <t xml:space="preserve">WR125</t>
  </si>
  <si>
    <t xml:space="preserve">WR126</t>
  </si>
  <si>
    <t xml:space="preserve">WR127</t>
  </si>
  <si>
    <t xml:space="preserve">RB103</t>
  </si>
  <si>
    <t xml:space="preserve">RB104</t>
  </si>
  <si>
    <t xml:space="preserve">WR128</t>
  </si>
  <si>
    <t xml:space="preserve">Tyler Bass</t>
  </si>
  <si>
    <t xml:space="preserve">K20</t>
  </si>
  <si>
    <t xml:space="preserve">Cedric Tillman</t>
  </si>
  <si>
    <t xml:space="preserve">WR129</t>
  </si>
  <si>
    <t xml:space="preserve">WR130</t>
  </si>
  <si>
    <t xml:space="preserve">New York Giants</t>
  </si>
  <si>
    <t xml:space="preserve">DST23</t>
  </si>
  <si>
    <t xml:space="preserve">Chris Brazzell II</t>
  </si>
  <si>
    <t xml:space="preserve">WR131</t>
  </si>
  <si>
    <t xml:space="preserve">RB105</t>
  </si>
  <si>
    <t xml:space="preserve">Carolina Panthers</t>
  </si>
  <si>
    <t xml:space="preserve">DST24</t>
  </si>
  <si>
    <t xml:space="preserve">WR132</t>
  </si>
  <si>
    <t xml:space="preserve">Michael Carter</t>
  </si>
  <si>
    <t xml:space="preserve">RB106</t>
  </si>
  <si>
    <t xml:space="preserve">WR133</t>
  </si>
  <si>
    <t xml:space="preserve">WR134</t>
  </si>
  <si>
    <t xml:space="preserve">Trey Smack</t>
  </si>
  <si>
    <t xml:space="preserve">K21</t>
  </si>
  <si>
    <t xml:space="preserve">WR135</t>
  </si>
  <si>
    <t xml:space="preserve">Tampa Bay Buccaneers</t>
  </si>
  <si>
    <t xml:space="preserve">DST25</t>
  </si>
  <si>
    <t xml:space="preserve">WR136</t>
  </si>
  <si>
    <t xml:space="preserve">RB107</t>
  </si>
  <si>
    <t xml:space="preserve">WR137</t>
  </si>
  <si>
    <t xml:space="preserve">RB108</t>
  </si>
  <si>
    <t xml:space="preserve">WR138</t>
  </si>
  <si>
    <t xml:space="preserve">J'Mari Taylor</t>
  </si>
  <si>
    <t xml:space="preserve">RB109</t>
  </si>
  <si>
    <t xml:space="preserve">WR139</t>
  </si>
  <si>
    <t xml:space="preserve">CJ Daniels</t>
  </si>
  <si>
    <t xml:space="preserve">WR140</t>
  </si>
  <si>
    <t xml:space="preserve">John Metchie III</t>
  </si>
  <si>
    <t xml:space="preserve">WR141</t>
  </si>
  <si>
    <t xml:space="preserve">Jawhar Jordan</t>
  </si>
  <si>
    <t xml:space="preserve">RB110</t>
  </si>
  <si>
    <t xml:space="preserve">RB111</t>
  </si>
  <si>
    <t xml:space="preserve">RB112</t>
  </si>
  <si>
    <t xml:space="preserve">WR142</t>
  </si>
  <si>
    <t xml:space="preserve">Austin Ekeler</t>
  </si>
  <si>
    <t xml:space="preserve">RB113</t>
  </si>
  <si>
    <t xml:space="preserve">WR143</t>
  </si>
  <si>
    <t xml:space="preserve">WR144</t>
  </si>
  <si>
    <t xml:space="preserve">Spencer Shrader</t>
  </si>
  <si>
    <t xml:space="preserve">K22</t>
  </si>
  <si>
    <t xml:space="preserve">Daniel Carlson</t>
  </si>
  <si>
    <t xml:space="preserve">K23</t>
  </si>
  <si>
    <t xml:space="preserve">Jeremy McNichols</t>
  </si>
  <si>
    <t xml:space="preserve">RB114</t>
  </si>
  <si>
    <t xml:space="preserve">Matt Hibner</t>
  </si>
  <si>
    <t xml:space="preserve">Jam Miller</t>
  </si>
  <si>
    <t xml:space="preserve">RB115</t>
  </si>
  <si>
    <t xml:space="preserve">Tennessee Titans</t>
  </si>
  <si>
    <t xml:space="preserve">DST26</t>
  </si>
  <si>
    <t xml:space="preserve">WR145</t>
  </si>
  <si>
    <t xml:space="preserve">RB116</t>
  </si>
  <si>
    <t xml:space="preserve">Zane Gonzalez</t>
  </si>
  <si>
    <t xml:space="preserve">K24</t>
  </si>
  <si>
    <t xml:space="preserve">RB117</t>
  </si>
  <si>
    <t xml:space="preserve">WR146</t>
  </si>
  <si>
    <t xml:space="preserve">Phil Mafah</t>
  </si>
  <si>
    <t xml:space="preserve">RB118</t>
  </si>
  <si>
    <t xml:space="preserve">Deion Burks</t>
  </si>
  <si>
    <t xml:space="preserve">WR147</t>
  </si>
  <si>
    <t xml:space="preserve">Ronnie Rivers</t>
  </si>
  <si>
    <t xml:space="preserve">RB119</t>
  </si>
  <si>
    <t xml:space="preserve">Cincinnati Bengals</t>
  </si>
  <si>
    <t xml:space="preserve">DST27</t>
  </si>
  <si>
    <t xml:space="preserve">Nick Westbrook-Ikhine</t>
  </si>
  <si>
    <t xml:space="preserve">WR148</t>
  </si>
  <si>
    <t xml:space="preserve">WR149</t>
  </si>
  <si>
    <t xml:space="preserve">RB120</t>
  </si>
  <si>
    <t xml:space="preserve">Las Vegas Raiders</t>
  </si>
  <si>
    <t xml:space="preserve">DST28</t>
  </si>
  <si>
    <t xml:space="preserve">Miami Dolphins</t>
  </si>
  <si>
    <t xml:space="preserve">DST29</t>
  </si>
  <si>
    <t xml:space="preserve">Blake Grupe</t>
  </si>
  <si>
    <t xml:space="preserve">K25</t>
  </si>
  <si>
    <t xml:space="preserve">Dameon Pierce</t>
  </si>
  <si>
    <t xml:space="preserve">RB121</t>
  </si>
  <si>
    <t xml:space="preserve">WR150</t>
  </si>
  <si>
    <t xml:space="preserve">RB122</t>
  </si>
  <si>
    <t xml:space="preserve">WR151</t>
  </si>
  <si>
    <t xml:space="preserve">RB123</t>
  </si>
  <si>
    <t xml:space="preserve">RB124</t>
  </si>
  <si>
    <t xml:space="preserve">RB125</t>
  </si>
  <si>
    <t xml:space="preserve">Zach Ertz</t>
  </si>
  <si>
    <t xml:space="preserve">Tim Patrick</t>
  </si>
  <si>
    <t xml:space="preserve">WR152</t>
  </si>
  <si>
    <t xml:space="preserve">WR153</t>
  </si>
  <si>
    <t xml:space="preserve">Khalil Herbert</t>
  </si>
  <si>
    <t xml:space="preserve">RB126</t>
  </si>
  <si>
    <t xml:space="preserve">RB127</t>
  </si>
  <si>
    <t xml:space="preserve">WR154</t>
  </si>
  <si>
    <t xml:space="preserve">Chad Ryland</t>
  </si>
  <si>
    <t xml:space="preserve">K26</t>
  </si>
  <si>
    <t xml:space="preserve">Julius Chestnut</t>
  </si>
  <si>
    <t xml:space="preserve">RB128</t>
  </si>
  <si>
    <t xml:space="preserve">Elijah Moore</t>
  </si>
  <si>
    <t xml:space="preserve">WR155</t>
  </si>
  <si>
    <t xml:space="preserve">Brandon McManus</t>
  </si>
  <si>
    <t xml:space="preserve">K27</t>
  </si>
  <si>
    <t xml:space="preserve">Antonio Gibson</t>
  </si>
  <si>
    <t xml:space="preserve">RB129</t>
  </si>
  <si>
    <t xml:space="preserve">Joey Slye</t>
  </si>
  <si>
    <t xml:space="preserve">K28</t>
  </si>
  <si>
    <t xml:space="preserve">Nick Folk</t>
  </si>
  <si>
    <t xml:space="preserve">K29</t>
  </si>
  <si>
    <t xml:space="preserve">Arizona Cardinals</t>
  </si>
  <si>
    <t xml:space="preserve">DST30</t>
  </si>
  <si>
    <t xml:space="preserve">Ryan Fitzgerald</t>
  </si>
  <si>
    <t xml:space="preserve">K30</t>
  </si>
  <si>
    <t xml:space="preserve">Josh Williams</t>
  </si>
  <si>
    <t xml:space="preserve">RB130</t>
  </si>
  <si>
    <t xml:space="preserve">Damien Martinez</t>
  </si>
  <si>
    <t xml:space="preserve">RB131</t>
  </si>
  <si>
    <t xml:space="preserve">Tyler Goodson</t>
  </si>
  <si>
    <t xml:space="preserve">RB132</t>
  </si>
  <si>
    <t xml:space="preserve">Chris Blair</t>
  </si>
  <si>
    <t xml:space="preserve">WR156</t>
  </si>
  <si>
    <t xml:space="preserve">Robert Henry Jr.</t>
  </si>
  <si>
    <t xml:space="preserve">RB133</t>
  </si>
  <si>
    <t xml:space="preserve">Washington Commanders</t>
  </si>
  <si>
    <t xml:space="preserve">DST31</t>
  </si>
  <si>
    <t xml:space="preserve">New York Jets</t>
  </si>
  <si>
    <t xml:space="preserve">DST32</t>
  </si>
  <si>
    <t xml:space="preserve">WR157</t>
  </si>
  <si>
    <t xml:space="preserve">Tommy Myers</t>
  </si>
  <si>
    <t xml:space="preserve">Brittain Brown</t>
  </si>
  <si>
    <t xml:space="preserve">RB134</t>
  </si>
  <si>
    <t xml:space="preserve">WR158</t>
  </si>
  <si>
    <t xml:space="preserve">Tyler Lockett</t>
  </si>
  <si>
    <t xml:space="preserve">WR159</t>
  </si>
  <si>
    <t xml:space="preserve">WR160</t>
  </si>
  <si>
    <t xml:space="preserve">RB135</t>
  </si>
  <si>
    <t xml:space="preserve">Greg Dortch</t>
  </si>
  <si>
    <t xml:space="preserve">WR161</t>
  </si>
  <si>
    <t xml:space="preserve">Marquez Valdes-Scantling</t>
  </si>
  <si>
    <t xml:space="preserve">WR162</t>
  </si>
  <si>
    <t xml:space="preserve">Taylen Green</t>
  </si>
  <si>
    <t xml:space="preserve">Lil'Jordan Humphrey</t>
  </si>
  <si>
    <t xml:space="preserve">WR163</t>
  </si>
  <si>
    <t xml:space="preserve">Kevin Austin Jr.</t>
  </si>
  <si>
    <t xml:space="preserve">WR164</t>
  </si>
  <si>
    <t xml:space="preserve">Zavier Scott</t>
  </si>
  <si>
    <t xml:space="preserve">RB136</t>
  </si>
  <si>
    <t xml:space="preserve">WR165</t>
  </si>
  <si>
    <t xml:space="preserve">WR166</t>
  </si>
  <si>
    <t xml:space="preserve">Michael Trigg</t>
  </si>
  <si>
    <t xml:space="preserve">Jake Bobo</t>
  </si>
  <si>
    <t xml:space="preserve">WR167</t>
  </si>
  <si>
    <t xml:space="preserve">WR168</t>
  </si>
  <si>
    <t xml:space="preserve">Trey Sermon</t>
  </si>
  <si>
    <t xml:space="preserve">RB137</t>
  </si>
  <si>
    <t xml:space="preserve">Terrell Jennings</t>
  </si>
  <si>
    <t xml:space="preserve">RB138</t>
  </si>
  <si>
    <t xml:space="preserve">WR169</t>
  </si>
  <si>
    <t xml:space="preserve">Jordan Watkins</t>
  </si>
  <si>
    <t xml:space="preserve">WR170</t>
  </si>
  <si>
    <t xml:space="preserve">Miles Sanders</t>
  </si>
  <si>
    <t xml:space="preserve">RB139</t>
  </si>
  <si>
    <t xml:space="preserve">RB140</t>
  </si>
  <si>
    <t xml:space="preserve">Zamir White</t>
  </si>
  <si>
    <t xml:space="preserve">RB141</t>
  </si>
  <si>
    <t xml:space="preserve">DeAndre Hopkins</t>
  </si>
  <si>
    <t xml:space="preserve">WR171</t>
  </si>
  <si>
    <t xml:space="preserve">Xavier Restrepo</t>
  </si>
  <si>
    <t xml:space="preserve">WR172</t>
  </si>
  <si>
    <t xml:space="preserve">RB142</t>
  </si>
  <si>
    <t xml:space="preserve">WR173</t>
  </si>
  <si>
    <t xml:space="preserve">Jaydn Ott</t>
  </si>
  <si>
    <t xml:space="preserve">RB143</t>
  </si>
  <si>
    <t xml:space="preserve">Dominic Zvada</t>
  </si>
  <si>
    <t xml:space="preserve">K31</t>
  </si>
  <si>
    <t xml:space="preserve">WR174</t>
  </si>
  <si>
    <t xml:space="preserve">Kalel Mullings</t>
  </si>
  <si>
    <t xml:space="preserve">RB144</t>
  </si>
  <si>
    <t xml:space="preserve">Myles Montgomery</t>
  </si>
  <si>
    <t xml:space="preserve">RB145</t>
  </si>
  <si>
    <t xml:space="preserve">QB49</t>
  </si>
  <si>
    <t xml:space="preserve">Drew Stevens</t>
  </si>
  <si>
    <t xml:space="preserve">K32</t>
  </si>
  <si>
    <t xml:space="preserve">WR175</t>
  </si>
  <si>
    <t xml:space="preserve">Noah Whittington</t>
  </si>
  <si>
    <t xml:space="preserve">RB146</t>
  </si>
  <si>
    <t xml:space="preserve">TE101</t>
  </si>
  <si>
    <t xml:space="preserve">TE102</t>
  </si>
  <si>
    <t xml:space="preserve">TE103</t>
  </si>
  <si>
    <t xml:space="preserve">Jared Wayne</t>
  </si>
  <si>
    <t xml:space="preserve">WR176</t>
  </si>
  <si>
    <t xml:space="preserve">TE104</t>
  </si>
  <si>
    <t xml:space="preserve">WR177</t>
  </si>
  <si>
    <t xml:space="preserve">Frank Gore Jr.</t>
  </si>
  <si>
    <t xml:space="preserve">RB147</t>
  </si>
  <si>
    <t xml:space="preserve">WR178</t>
  </si>
  <si>
    <t xml:space="preserve">Moliki Matavao</t>
  </si>
  <si>
    <t xml:space="preserve">TE105</t>
  </si>
  <si>
    <t xml:space="preserve">TE106</t>
  </si>
  <si>
    <t xml:space="preserve">WR179</t>
  </si>
  <si>
    <t xml:space="preserve">TE107</t>
  </si>
  <si>
    <t xml:space="preserve">Mitch Tinsley</t>
  </si>
  <si>
    <t xml:space="preserve">WR180</t>
  </si>
  <si>
    <t xml:space="preserve">TE108</t>
  </si>
  <si>
    <t xml:space="preserve">Casey Washington</t>
  </si>
  <si>
    <t xml:space="preserve">WR181</t>
  </si>
  <si>
    <t xml:space="preserve">WR182</t>
  </si>
  <si>
    <t xml:space="preserve">WR183</t>
  </si>
  <si>
    <t xml:space="preserve">TE109</t>
  </si>
  <si>
    <t xml:space="preserve">QB50</t>
  </si>
  <si>
    <t xml:space="preserve">Lew Nichols III</t>
  </si>
  <si>
    <t xml:space="preserve">RB148</t>
  </si>
  <si>
    <t xml:space="preserve">QB51</t>
  </si>
  <si>
    <t xml:space="preserve">WR184</t>
  </si>
  <si>
    <t xml:space="preserve">Scotty Miller</t>
  </si>
  <si>
    <t xml:space="preserve">WR185</t>
  </si>
  <si>
    <t xml:space="preserve">Travis Homer</t>
  </si>
  <si>
    <t xml:space="preserve">RB149</t>
  </si>
  <si>
    <t xml:space="preserve">JuJu Smith-Schuster</t>
  </si>
  <si>
    <t xml:space="preserve">WR186</t>
  </si>
  <si>
    <t xml:space="preserve">Jalen Reagor</t>
  </si>
  <si>
    <t xml:space="preserve">WR187</t>
  </si>
  <si>
    <t xml:space="preserve">David Moore</t>
  </si>
  <si>
    <t xml:space="preserve">WR188</t>
  </si>
  <si>
    <t xml:space="preserve">Kendrick Law</t>
  </si>
  <si>
    <t xml:space="preserve">WR189</t>
  </si>
  <si>
    <t xml:space="preserve">QB52</t>
  </si>
  <si>
    <t xml:space="preserve">QB53</t>
  </si>
  <si>
    <t xml:space="preserve">QB54</t>
  </si>
  <si>
    <t xml:space="preserve">WR190</t>
  </si>
  <si>
    <t xml:space="preserve">TE110</t>
  </si>
  <si>
    <t xml:space="preserve">Jake Briningstool</t>
  </si>
  <si>
    <t xml:space="preserve">TE111</t>
  </si>
  <si>
    <t xml:space="preserve">Brevin Jordan</t>
  </si>
  <si>
    <t xml:space="preserve">TE112</t>
  </si>
  <si>
    <t xml:space="preserve">WR191</t>
  </si>
  <si>
    <t xml:space="preserve">QB55</t>
  </si>
  <si>
    <t xml:space="preserve">WR192</t>
  </si>
  <si>
    <t xml:space="preserve">Mecole Hardman Jr.</t>
  </si>
  <si>
    <t xml:space="preserve">WR193</t>
  </si>
  <si>
    <t xml:space="preserve">TE113</t>
  </si>
  <si>
    <t xml:space="preserve">Nathan Carter</t>
  </si>
  <si>
    <t xml:space="preserve">RB150</t>
  </si>
  <si>
    <t xml:space="preserve">WR194</t>
  </si>
  <si>
    <t xml:space="preserve">WR195</t>
  </si>
  <si>
    <t xml:space="preserve">Teagan Quitoriano</t>
  </si>
  <si>
    <t xml:space="preserve">TE114</t>
  </si>
  <si>
    <t xml:space="preserve">WR196</t>
  </si>
  <si>
    <t xml:space="preserve">Brayden Willis</t>
  </si>
  <si>
    <t xml:space="preserve">TE115</t>
  </si>
  <si>
    <t xml:space="preserve">Ben Sauls</t>
  </si>
  <si>
    <t xml:space="preserve">K33</t>
  </si>
  <si>
    <t xml:space="preserve">RB151</t>
  </si>
  <si>
    <t xml:space="preserve">TE116</t>
  </si>
  <si>
    <t xml:space="preserve">TE117</t>
  </si>
  <si>
    <t xml:space="preserve">WR197</t>
  </si>
  <si>
    <t xml:space="preserve">Jake Moody</t>
  </si>
  <si>
    <t xml:space="preserve">K34</t>
  </si>
  <si>
    <t xml:space="preserve">Will Dissly</t>
  </si>
  <si>
    <t xml:space="preserve">TE118</t>
  </si>
  <si>
    <t xml:space="preserve">Velus Jones Jr.</t>
  </si>
  <si>
    <t xml:space="preserve">WR198</t>
  </si>
  <si>
    <t xml:space="preserve">Cam Akers</t>
  </si>
  <si>
    <t xml:space="preserve">RB152</t>
  </si>
  <si>
    <t xml:space="preserve">Brandin Cooks</t>
  </si>
  <si>
    <t xml:space="preserve">WR199</t>
  </si>
  <si>
    <t xml:space="preserve">RB153</t>
  </si>
  <si>
    <t xml:space="preserve">Donovan Edwards</t>
  </si>
  <si>
    <t xml:space="preserve">RB154</t>
  </si>
  <si>
    <t xml:space="preserve">Jermar Jefferson</t>
  </si>
  <si>
    <t xml:space="preserve">RB155</t>
  </si>
  <si>
    <t xml:space="preserve">Dominic Lovett</t>
  </si>
  <si>
    <t xml:space="preserve">WR200</t>
  </si>
  <si>
    <t xml:space="preserve">QB56</t>
  </si>
  <si>
    <t xml:space="preserve">Khalil Dinkins</t>
  </si>
  <si>
    <t xml:space="preserve">TE119</t>
  </si>
  <si>
    <t xml:space="preserve">WR201</t>
  </si>
  <si>
    <t xml:space="preserve">Craig Reynolds</t>
  </si>
  <si>
    <t xml:space="preserve">RB156</t>
  </si>
  <si>
    <t xml:space="preserve">Tom Kennedy</t>
  </si>
  <si>
    <t xml:space="preserve">WR202</t>
  </si>
  <si>
    <t xml:space="preserve">Jamari Thrash</t>
  </si>
  <si>
    <t xml:space="preserve">WR203</t>
  </si>
  <si>
    <t xml:space="preserve">Lan Larison</t>
  </si>
  <si>
    <t xml:space="preserve">RB157</t>
  </si>
  <si>
    <t xml:space="preserve">WR204</t>
  </si>
  <si>
    <t xml:space="preserve">Jake Browning</t>
  </si>
  <si>
    <t xml:space="preserve">QB57</t>
  </si>
  <si>
    <t xml:space="preserve">TE120</t>
  </si>
  <si>
    <t xml:space="preserve">TE121</t>
  </si>
  <si>
    <t xml:space="preserve">WR205</t>
  </si>
  <si>
    <t xml:space="preserve">Bryce Oliver</t>
  </si>
  <si>
    <t xml:space="preserve">WR206</t>
  </si>
  <si>
    <t xml:space="preserve">Carson Steele</t>
  </si>
  <si>
    <t xml:space="preserve">RB158</t>
  </si>
  <si>
    <t xml:space="preserve">Stone Smartt</t>
  </si>
  <si>
    <t xml:space="preserve">TE122</t>
  </si>
  <si>
    <t xml:space="preserve">J. Michael Sturdivant</t>
  </si>
  <si>
    <t xml:space="preserve">WR207</t>
  </si>
  <si>
    <t xml:space="preserve">Gavin Bartholomew</t>
  </si>
  <si>
    <t xml:space="preserve">TE123</t>
  </si>
  <si>
    <t xml:space="preserve">TE124</t>
  </si>
  <si>
    <t xml:space="preserve">Montorie Foster Jr.</t>
  </si>
  <si>
    <t xml:space="preserve">WR208</t>
  </si>
  <si>
    <t xml:space="preserve">Keleki Latu</t>
  </si>
  <si>
    <t xml:space="preserve">TE125</t>
  </si>
  <si>
    <t xml:space="preserve">Israel Abanikanda</t>
  </si>
  <si>
    <t xml:space="preserve">RB159</t>
  </si>
  <si>
    <t xml:space="preserve">Nick Kallerup</t>
  </si>
  <si>
    <t xml:space="preserve">TE126</t>
  </si>
  <si>
    <t xml:space="preserve">TE127</t>
  </si>
  <si>
    <t xml:space="preserve">Ben Yurosek</t>
  </si>
  <si>
    <t xml:space="preserve">TE128</t>
  </si>
  <si>
    <t xml:space="preserve">David Sills V</t>
  </si>
  <si>
    <t xml:space="preserve">WR209</t>
  </si>
  <si>
    <t xml:space="preserve">Van Jefferson</t>
  </si>
  <si>
    <t xml:space="preserve">WR210</t>
  </si>
  <si>
    <t xml:space="preserve">WR211</t>
  </si>
  <si>
    <t xml:space="preserve">Dante Miller</t>
  </si>
  <si>
    <t xml:space="preserve">RB160</t>
  </si>
  <si>
    <t xml:space="preserve">WR212</t>
  </si>
  <si>
    <t xml:space="preserve">Jeshaun Jones</t>
  </si>
  <si>
    <t xml:space="preserve">WR213</t>
  </si>
  <si>
    <t xml:space="preserve">Ray-Ray McCloud III</t>
  </si>
  <si>
    <t xml:space="preserve">WR214</t>
  </si>
  <si>
    <t xml:space="preserve">Jack Stoll</t>
  </si>
  <si>
    <t xml:space="preserve">TE129</t>
  </si>
  <si>
    <t xml:space="preserve">RB161</t>
  </si>
  <si>
    <t xml:space="preserve">QB58</t>
  </si>
  <si>
    <t xml:space="preserve">Emmanuel Henderson Jr.</t>
  </si>
  <si>
    <t xml:space="preserve">WR215</t>
  </si>
  <si>
    <t xml:space="preserve">Colson Yankoff</t>
  </si>
  <si>
    <t xml:space="preserve">TE130</t>
  </si>
  <si>
    <t xml:space="preserve">WR216</t>
  </si>
  <si>
    <t xml:space="preserve">TE131</t>
  </si>
  <si>
    <t xml:space="preserve">Jalin Hyatt</t>
  </si>
  <si>
    <t xml:space="preserve">WR217</t>
  </si>
  <si>
    <t xml:space="preserve">WR218</t>
  </si>
  <si>
    <t xml:space="preserve">Kaleb Jackson</t>
  </si>
  <si>
    <t xml:space="preserve">RB162</t>
  </si>
  <si>
    <t xml:space="preserve">Hayden Large</t>
  </si>
  <si>
    <t xml:space="preserve">TE132</t>
  </si>
  <si>
    <t xml:space="preserve">RB163</t>
  </si>
  <si>
    <t xml:space="preserve">QB59</t>
  </si>
  <si>
    <t xml:space="preserve">CJ Donaldson</t>
  </si>
  <si>
    <t xml:space="preserve">RB164</t>
  </si>
  <si>
    <t xml:space="preserve">Devin Culp</t>
  </si>
  <si>
    <t xml:space="preserve">TE133</t>
  </si>
  <si>
    <t xml:space="preserve">QB60</t>
  </si>
  <si>
    <t xml:space="preserve">QB61</t>
  </si>
  <si>
    <t xml:space="preserve">TE134</t>
  </si>
  <si>
    <t xml:space="preserve">WR219</t>
  </si>
  <si>
    <t xml:space="preserve">Eric Gray</t>
  </si>
  <si>
    <t xml:space="preserve">RB165</t>
  </si>
  <si>
    <t xml:space="preserve">Curtis Samuel</t>
  </si>
  <si>
    <t xml:space="preserve">WR220</t>
  </si>
  <si>
    <t xml:space="preserve">Noah Brown</t>
  </si>
  <si>
    <t xml:space="preserve">WR221</t>
  </si>
  <si>
    <t xml:space="preserve">QB62</t>
  </si>
  <si>
    <t xml:space="preserve">QB63</t>
  </si>
  <si>
    <t xml:space="preserve">TE135</t>
  </si>
  <si>
    <t xml:space="preserve">QB64</t>
  </si>
  <si>
    <t xml:space="preserve">Anthony Gould</t>
  </si>
  <si>
    <t xml:space="preserve">WR222</t>
  </si>
  <si>
    <t xml:space="preserve">QB65</t>
  </si>
  <si>
    <t xml:space="preserve">Diontae Johnson</t>
  </si>
  <si>
    <t xml:space="preserve">WR223</t>
  </si>
  <si>
    <t xml:space="preserve">Cash Jones</t>
  </si>
  <si>
    <t xml:space="preserve">RB166</t>
  </si>
  <si>
    <t xml:space="preserve">Nick Vannett</t>
  </si>
  <si>
    <t xml:space="preserve">TE136</t>
  </si>
  <si>
    <t xml:space="preserve">Jack Westover</t>
  </si>
  <si>
    <t xml:space="preserve">TE137</t>
  </si>
  <si>
    <t xml:space="preserve">Dillon Gabriel</t>
  </si>
  <si>
    <t xml:space="preserve">QB66</t>
  </si>
  <si>
    <t xml:space="preserve">QB67</t>
  </si>
  <si>
    <t xml:space="preserve">Sincere McCormick</t>
  </si>
  <si>
    <t xml:space="preserve">RB167</t>
  </si>
  <si>
    <t xml:space="preserve">Raheem Blackshear</t>
  </si>
  <si>
    <t xml:space="preserve">RB168</t>
  </si>
  <si>
    <t xml:space="preserve">Dean Connors</t>
  </si>
  <si>
    <t xml:space="preserve">RB169</t>
  </si>
  <si>
    <t xml:space="preserve">TE138</t>
  </si>
  <si>
    <t xml:space="preserve">Miles Kitselman</t>
  </si>
  <si>
    <t xml:space="preserve">TE139</t>
  </si>
  <si>
    <t xml:space="preserve">Mark Redman</t>
  </si>
  <si>
    <t xml:space="preserve">TE140</t>
  </si>
  <si>
    <t xml:space="preserve">Tanner Arkin</t>
  </si>
  <si>
    <t xml:space="preserve">TE141</t>
  </si>
  <si>
    <t xml:space="preserve">CJ Williams</t>
  </si>
  <si>
    <t xml:space="preserve">WR224</t>
  </si>
  <si>
    <t xml:space="preserve">Pierre Strong Jr.</t>
  </si>
  <si>
    <t xml:space="preserve">RB170</t>
  </si>
  <si>
    <t xml:space="preserve">Ryan Miller</t>
  </si>
  <si>
    <t xml:space="preserve">WR225</t>
  </si>
  <si>
    <t xml:space="preserve">Albert Okwuegbunam Jr.</t>
  </si>
  <si>
    <t xml:space="preserve">TE142</t>
  </si>
  <si>
    <t xml:space="preserve">Carson Wentz</t>
  </si>
  <si>
    <t xml:space="preserve">QB68</t>
  </si>
  <si>
    <t xml:space="preserve">Alexander Mattison</t>
  </si>
  <si>
    <t xml:space="preserve">RB171</t>
  </si>
  <si>
    <t xml:space="preserve">QB69</t>
  </si>
  <si>
    <t xml:space="preserve">Will Levis</t>
  </si>
  <si>
    <t xml:space="preserve">QB70</t>
  </si>
  <si>
    <t xml:space="preserve">Zach Wilson</t>
  </si>
  <si>
    <t xml:space="preserve">QB71</t>
  </si>
  <si>
    <t xml:space="preserve">Garrett Nussmeier</t>
  </si>
  <si>
    <t xml:space="preserve">QB72</t>
  </si>
  <si>
    <t xml:space="preserve">Case Keenum</t>
  </si>
  <si>
    <t xml:space="preserve">QB73</t>
  </si>
  <si>
    <t xml:space="preserve">Cooper Rush</t>
  </si>
  <si>
    <t xml:space="preserve">QB74</t>
  </si>
  <si>
    <t xml:space="preserve">Hayden Rucci</t>
  </si>
  <si>
    <t xml:space="preserve">TE143</t>
  </si>
  <si>
    <t xml:space="preserve">Jermaine Burton</t>
  </si>
  <si>
    <t xml:space="preserve">WR226</t>
  </si>
  <si>
    <t xml:space="preserve">Hendon Hooker</t>
  </si>
  <si>
    <t xml:space="preserve">QB75</t>
  </si>
  <si>
    <t xml:space="preserve">QB76</t>
  </si>
  <si>
    <t xml:space="preserve">KhaDarel Hodge</t>
  </si>
  <si>
    <t xml:space="preserve">WR227</t>
  </si>
  <si>
    <t xml:space="preserve">Jeff Caldwell</t>
  </si>
  <si>
    <t xml:space="preserve">WR228</t>
  </si>
  <si>
    <t xml:space="preserve">David Martin-Robinson</t>
  </si>
  <si>
    <t xml:space="preserve">TE144</t>
  </si>
  <si>
    <t xml:space="preserve">Cameron Latu</t>
  </si>
  <si>
    <t xml:space="preserve">TE145</t>
  </si>
  <si>
    <t xml:space="preserve">Ulysses Bentley IV</t>
  </si>
  <si>
    <t xml:space="preserve">RB172</t>
  </si>
  <si>
    <t xml:space="preserve">K.J. Osborn</t>
  </si>
  <si>
    <t xml:space="preserve">WR229</t>
  </si>
  <si>
    <t xml:space="preserve">Jabari Small</t>
  </si>
  <si>
    <t xml:space="preserve">RB173</t>
  </si>
  <si>
    <t xml:space="preserve">Ahmani Marshall</t>
  </si>
  <si>
    <t xml:space="preserve">RB174</t>
  </si>
  <si>
    <t xml:space="preserve">Trent Sherfield Sr.</t>
  </si>
  <si>
    <t xml:space="preserve">WR230</t>
  </si>
  <si>
    <t xml:space="preserve">E.J. Jenkins</t>
  </si>
  <si>
    <t xml:space="preserve">TE146</t>
  </si>
  <si>
    <t xml:space="preserve">Carlos Washington Jr.</t>
  </si>
  <si>
    <t xml:space="preserve">RB175</t>
  </si>
  <si>
    <t xml:space="preserve">Andre Szmyt</t>
  </si>
  <si>
    <t xml:space="preserve">K35</t>
  </si>
  <si>
    <t xml:space="preserve">Simi Fehoko</t>
  </si>
  <si>
    <t xml:space="preserve">WR231</t>
  </si>
  <si>
    <t xml:space="preserve">Kendall Milton</t>
  </si>
  <si>
    <t xml:space="preserve">RB176</t>
  </si>
  <si>
    <t xml:space="preserve">QB77</t>
  </si>
  <si>
    <t xml:space="preserve">Miles Davis</t>
  </si>
  <si>
    <t xml:space="preserve">RB177</t>
  </si>
  <si>
    <t xml:space="preserve">Zay Jones</t>
  </si>
  <si>
    <t xml:space="preserve">WR232</t>
  </si>
  <si>
    <t xml:space="preserve">Ricky White III</t>
  </si>
  <si>
    <t xml:space="preserve">WR233</t>
  </si>
  <si>
    <t xml:space="preserve">WR234</t>
  </si>
  <si>
    <t xml:space="preserve">Xavier Weaver</t>
  </si>
  <si>
    <t xml:space="preserve">WR235</t>
  </si>
  <si>
    <t xml:space="preserve">QB78</t>
  </si>
  <si>
    <t xml:space="preserve">Brandon Johnson</t>
  </si>
  <si>
    <t xml:space="preserve">WR236</t>
  </si>
  <si>
    <t xml:space="preserve">Josiah Deguara</t>
  </si>
  <si>
    <t xml:space="preserve">TE147</t>
  </si>
  <si>
    <t xml:space="preserve">Pharaoh Brown</t>
  </si>
  <si>
    <t xml:space="preserve">TE148</t>
  </si>
  <si>
    <t xml:space="preserve">Tyler Johnson</t>
  </si>
  <si>
    <t xml:space="preserve">WR237</t>
  </si>
  <si>
    <t xml:space="preserve">Beaux Collins</t>
  </si>
  <si>
    <t xml:space="preserve">WR238</t>
  </si>
  <si>
    <t xml:space="preserve">Deven Thompkins</t>
  </si>
  <si>
    <t xml:space="preserve">WR239</t>
  </si>
  <si>
    <t xml:space="preserve">Jason Sanders</t>
  </si>
  <si>
    <t xml:space="preserve">K36</t>
  </si>
  <si>
    <t xml:space="preserve">QB79</t>
  </si>
  <si>
    <t xml:space="preserve">Sterling Shepard</t>
  </si>
  <si>
    <t xml:space="preserve">WR240</t>
  </si>
  <si>
    <t xml:space="preserve">TE149</t>
  </si>
  <si>
    <t xml:space="preserve">Caleb Lohner</t>
  </si>
  <si>
    <t xml:space="preserve">TE150</t>
  </si>
  <si>
    <t xml:space="preserve">Jaren Kanak</t>
  </si>
  <si>
    <t xml:space="preserve">TE151</t>
  </si>
  <si>
    <t xml:space="preserve">Avery Williams</t>
  </si>
  <si>
    <t xml:space="preserve">RB178</t>
  </si>
  <si>
    <t xml:space="preserve">QB80</t>
  </si>
  <si>
    <t xml:space="preserve">QB81</t>
  </si>
  <si>
    <t xml:space="preserve">Ja'Quinden Jackson</t>
  </si>
  <si>
    <t xml:space="preserve">RB179</t>
  </si>
  <si>
    <t xml:space="preserve">Tim Jones</t>
  </si>
  <si>
    <t xml:space="preserve">WR241</t>
  </si>
  <si>
    <t xml:space="preserve">Kenny McIntosh</t>
  </si>
  <si>
    <t xml:space="preserve">RB180</t>
  </si>
  <si>
    <t xml:space="preserve">Trayveon Williams</t>
  </si>
  <si>
    <t xml:space="preserve">RB181</t>
  </si>
  <si>
    <t xml:space="preserve">Jacardia Wright</t>
  </si>
  <si>
    <t xml:space="preserve">RB182</t>
  </si>
  <si>
    <t xml:space="preserve">Jaret Patterson</t>
  </si>
  <si>
    <t xml:space="preserve">RB183</t>
  </si>
  <si>
    <t xml:space="preserve">Jashaun Corbin</t>
  </si>
  <si>
    <t xml:space="preserve">RB184</t>
  </si>
  <si>
    <t xml:space="preserve">Haynes King</t>
  </si>
  <si>
    <t xml:space="preserve">QB82</t>
  </si>
  <si>
    <t xml:space="preserve">Coleman Bennett</t>
  </si>
  <si>
    <t xml:space="preserve">RB185</t>
  </si>
  <si>
    <t xml:space="preserve">Drake Dabney</t>
  </si>
  <si>
    <t xml:space="preserve">TE152</t>
  </si>
  <si>
    <t xml:space="preserve">Jack Strand</t>
  </si>
  <si>
    <t xml:space="preserve">QB83</t>
  </si>
  <si>
    <t xml:space="preserve">Austin Trammell</t>
  </si>
  <si>
    <t xml:space="preserve">WR242</t>
  </si>
  <si>
    <t xml:space="preserve">Michael Woods II</t>
  </si>
  <si>
    <t xml:space="preserve">WR243</t>
  </si>
  <si>
    <t xml:space="preserve">Montrell Johnson Jr.</t>
  </si>
  <si>
    <t xml:space="preserve">RB186</t>
  </si>
  <si>
    <t xml:space="preserve">Jordan Akins</t>
  </si>
  <si>
    <t xml:space="preserve">TE153</t>
  </si>
  <si>
    <t xml:space="preserve">Matt Gay</t>
  </si>
  <si>
    <t xml:space="preserve">K37</t>
  </si>
  <si>
    <t xml:space="preserve">QB84</t>
  </si>
  <si>
    <t xml:space="preserve">Harrison Bryant</t>
  </si>
  <si>
    <t xml:space="preserve">TE154</t>
  </si>
  <si>
    <t xml:space="preserve">Charlie Jones</t>
  </si>
  <si>
    <t xml:space="preserve">WR244</t>
  </si>
  <si>
    <t xml:space="preserve">Ronnie Bell</t>
  </si>
  <si>
    <t xml:space="preserve">WR245</t>
  </si>
  <si>
    <t xml:space="preserve">Zack Moss</t>
  </si>
  <si>
    <t xml:space="preserve">RB187</t>
  </si>
  <si>
    <t xml:space="preserve">WR246</t>
  </si>
  <si>
    <t xml:space="preserve">Jaheim Bell</t>
  </si>
  <si>
    <t xml:space="preserve">TE155</t>
  </si>
  <si>
    <t xml:space="preserve">Roman Hemby</t>
  </si>
  <si>
    <t xml:space="preserve">RB188</t>
  </si>
  <si>
    <t xml:space="preserve">Sam Ehlinger</t>
  </si>
  <si>
    <t xml:space="preserve">QB85</t>
  </si>
  <si>
    <t xml:space="preserve">Wendell Smallwood</t>
  </si>
  <si>
    <t xml:space="preserve">RB189</t>
  </si>
  <si>
    <t xml:space="preserve">James Mitchell</t>
  </si>
  <si>
    <t xml:space="preserve">TE156</t>
  </si>
  <si>
    <t xml:space="preserve">Dylan Drummond</t>
  </si>
  <si>
    <t xml:space="preserve">WR247</t>
  </si>
  <si>
    <t xml:space="preserve">Jonathan Williams</t>
  </si>
  <si>
    <t xml:space="preserve">RB190</t>
  </si>
  <si>
    <t xml:space="preserve">Michael Briscoe</t>
  </si>
  <si>
    <t xml:space="preserve">WR248</t>
  </si>
  <si>
    <t xml:space="preserve">Raheem Mostert</t>
  </si>
  <si>
    <t xml:space="preserve">RB191</t>
  </si>
  <si>
    <t xml:space="preserve">Michael Bandy</t>
  </si>
  <si>
    <t xml:space="preserve">WR249</t>
  </si>
  <si>
    <t xml:space="preserve">Nick Bawden</t>
  </si>
  <si>
    <t xml:space="preserve">RB192</t>
  </si>
  <si>
    <t xml:space="preserve">Joel Wilson</t>
  </si>
  <si>
    <t xml:space="preserve">TE157</t>
  </si>
  <si>
    <t xml:space="preserve">RB193</t>
  </si>
  <si>
    <t xml:space="preserve">Carter Runyon</t>
  </si>
  <si>
    <t xml:space="preserve">TE158</t>
  </si>
  <si>
    <t xml:space="preserve">Joe Fagnano</t>
  </si>
  <si>
    <t xml:space="preserve">QB86</t>
  </si>
  <si>
    <t xml:space="preserve">Juice Wells Jr.</t>
  </si>
  <si>
    <t xml:space="preserve">WR250</t>
  </si>
  <si>
    <t xml:space="preserve">Tahj Washington</t>
  </si>
  <si>
    <t xml:space="preserve">WR251</t>
  </si>
  <si>
    <t xml:space="preserve">QB87</t>
  </si>
  <si>
    <t xml:space="preserve">Athan Kaliakmanis</t>
  </si>
  <si>
    <t xml:space="preserve">QB88</t>
  </si>
  <si>
    <t xml:space="preserve">Riley Patterson</t>
  </si>
  <si>
    <t xml:space="preserve">K38</t>
  </si>
  <si>
    <t xml:space="preserve">D'Onta Foreman</t>
  </si>
  <si>
    <t xml:space="preserve">RB194</t>
  </si>
  <si>
    <t xml:space="preserve">QB89</t>
  </si>
  <si>
    <t xml:space="preserve">Isaiah Hodgins</t>
  </si>
  <si>
    <t xml:space="preserve">WR252</t>
  </si>
  <si>
    <t xml:space="preserve">Dare Ogunbowale</t>
  </si>
  <si>
    <t xml:space="preserve">RB195</t>
  </si>
  <si>
    <t xml:space="preserve">Gus Edwards</t>
  </si>
  <si>
    <t xml:space="preserve">RB196</t>
  </si>
  <si>
    <t xml:space="preserve">Noah Togiai</t>
  </si>
  <si>
    <t xml:space="preserve">TE159</t>
  </si>
  <si>
    <t xml:space="preserve">Tyrion Davis-Price</t>
  </si>
  <si>
    <t xml:space="preserve">RB197</t>
  </si>
  <si>
    <t xml:space="preserve">Hassan Haskins</t>
  </si>
  <si>
    <t xml:space="preserve">RB198</t>
  </si>
  <si>
    <t xml:space="preserve">Michael Wortham</t>
  </si>
  <si>
    <t xml:space="preserve">WR253</t>
  </si>
  <si>
    <t xml:space="preserve">Gary Brightwell</t>
  </si>
  <si>
    <t xml:space="preserve">RB199</t>
  </si>
  <si>
    <t xml:space="preserve">Zach Gentry</t>
  </si>
  <si>
    <t xml:space="preserve">TE160</t>
  </si>
  <si>
    <t xml:space="preserve">Johnny Wilson</t>
  </si>
  <si>
    <t xml:space="preserve">WR254</t>
  </si>
  <si>
    <t xml:space="preserve">Peyton Hendershot</t>
  </si>
  <si>
    <t xml:space="preserve">TE161</t>
  </si>
  <si>
    <t xml:space="preserve">Tanner Conner</t>
  </si>
  <si>
    <t xml:space="preserve">TE162</t>
  </si>
  <si>
    <t xml:space="preserve">Joshua Simon</t>
  </si>
  <si>
    <t xml:space="preserve">TE163</t>
  </si>
  <si>
    <t xml:space="preserve">Max Brosmer</t>
  </si>
  <si>
    <t xml:space="preserve">QB90</t>
  </si>
  <si>
    <t xml:space="preserve">Joshua Cephus</t>
  </si>
  <si>
    <t xml:space="preserve">WR255</t>
  </si>
  <si>
    <t xml:space="preserve">Deontay Burnett</t>
  </si>
  <si>
    <t xml:space="preserve">WR256</t>
  </si>
  <si>
    <t xml:space="preserve">Ty Pezza</t>
  </si>
  <si>
    <t xml:space="preserve">TE164</t>
  </si>
  <si>
    <t xml:space="preserve">Bailey Zappe</t>
  </si>
  <si>
    <t xml:space="preserve">QB91</t>
  </si>
  <si>
    <t xml:space="preserve">Bub Means</t>
  </si>
  <si>
    <t xml:space="preserve">WR257</t>
  </si>
  <si>
    <t xml:space="preserve">D'Ernest Johnson</t>
  </si>
  <si>
    <t xml:space="preserve">RB200</t>
  </si>
  <si>
    <t xml:space="preserve">Desmond Ridder</t>
  </si>
  <si>
    <t xml:space="preserve">QB92</t>
  </si>
  <si>
    <t xml:space="preserve">QB93</t>
  </si>
  <si>
    <t xml:space="preserve">Darrynton Evans</t>
  </si>
  <si>
    <t xml:space="preserve">RB201</t>
  </si>
  <si>
    <t xml:space="preserve">Bryson Nesbit</t>
  </si>
  <si>
    <t xml:space="preserve">TE165</t>
  </si>
  <si>
    <t xml:space="preserve">John Michael Gyllenborg</t>
  </si>
  <si>
    <t xml:space="preserve">TE166</t>
  </si>
  <si>
    <t xml:space="preserve">Chase Edmonds</t>
  </si>
  <si>
    <t xml:space="preserve">RB202</t>
  </si>
  <si>
    <t xml:space="preserve">Dillon Johnson</t>
  </si>
  <si>
    <t xml:space="preserve">RB203</t>
  </si>
  <si>
    <t xml:space="preserve">Justin Watson</t>
  </si>
  <si>
    <t xml:space="preserve">WR258</t>
  </si>
  <si>
    <t xml:space="preserve">Camden Brown</t>
  </si>
  <si>
    <t xml:space="preserve">WR259</t>
  </si>
  <si>
    <t xml:space="preserve">Jonathan Ward</t>
  </si>
  <si>
    <t xml:space="preserve">RB204</t>
  </si>
  <si>
    <t xml:space="preserve">Coleman Owen</t>
  </si>
  <si>
    <t xml:space="preserve">WR260</t>
  </si>
  <si>
    <t xml:space="preserve">Jason Brownlee</t>
  </si>
  <si>
    <t xml:space="preserve">WR261</t>
  </si>
  <si>
    <t xml:space="preserve">Clyde Edwards-Helaire</t>
  </si>
  <si>
    <t xml:space="preserve">RB205</t>
  </si>
  <si>
    <t xml:space="preserve">Jeff Wilson Jr.</t>
  </si>
  <si>
    <t xml:space="preserve">RB206</t>
  </si>
  <si>
    <t xml:space="preserve">Anthony Smith</t>
  </si>
  <si>
    <t xml:space="preserve">WR262</t>
  </si>
  <si>
    <t xml:space="preserve">Elijah Mitchell</t>
  </si>
  <si>
    <t xml:space="preserve">RB207</t>
  </si>
  <si>
    <t xml:space="preserve">Shane Zylstra</t>
  </si>
  <si>
    <t xml:space="preserve">TE167</t>
  </si>
  <si>
    <t xml:space="preserve">Robert Tonyan</t>
  </si>
  <si>
    <t xml:space="preserve">TE168</t>
  </si>
  <si>
    <t xml:space="preserve">WR263</t>
  </si>
  <si>
    <t xml:space="preserve">Alex Bachman</t>
  </si>
  <si>
    <t xml:space="preserve">WR264</t>
  </si>
  <si>
    <t xml:space="preserve">Lake McRee</t>
  </si>
  <si>
    <t xml:space="preserve">TE169</t>
  </si>
  <si>
    <t xml:space="preserve">DeAndre Carter</t>
  </si>
  <si>
    <t xml:space="preserve">WR265</t>
  </si>
  <si>
    <t xml:space="preserve">Lewis Bond</t>
  </si>
  <si>
    <t xml:space="preserve">WR266</t>
  </si>
  <si>
    <t xml:space="preserve">Princeton Fant</t>
  </si>
  <si>
    <t xml:space="preserve">TE170</t>
  </si>
  <si>
    <t xml:space="preserve">JaMycal Hasty</t>
  </si>
  <si>
    <t xml:space="preserve">RB208</t>
  </si>
  <si>
    <t xml:space="preserve">Collin Hill</t>
  </si>
  <si>
    <t xml:space="preserve">QB94</t>
  </si>
  <si>
    <t xml:space="preserve">Tre Watson</t>
  </si>
  <si>
    <t xml:space="preserve">TE171</t>
  </si>
  <si>
    <t xml:space="preserve">Logan Thomas</t>
  </si>
  <si>
    <t xml:space="preserve">TE172</t>
  </si>
  <si>
    <t xml:space="preserve">Thomas Gordon</t>
  </si>
  <si>
    <t xml:space="preserve">TE173</t>
  </si>
  <si>
    <t xml:space="preserve">Chip Trayanum</t>
  </si>
  <si>
    <t xml:space="preserve">RB209</t>
  </si>
  <si>
    <t xml:space="preserve">Tejhaun Palmer</t>
  </si>
  <si>
    <t xml:space="preserve">WR267</t>
  </si>
  <si>
    <t xml:space="preserve">QB95</t>
  </si>
  <si>
    <t xml:space="preserve">Carson Towt</t>
  </si>
  <si>
    <t xml:space="preserve">TE174</t>
  </si>
  <si>
    <t xml:space="preserve">Trey Palmer</t>
  </si>
  <si>
    <t xml:space="preserve">WR268</t>
  </si>
  <si>
    <t xml:space="preserve">Myles Gaskin</t>
  </si>
  <si>
    <t xml:space="preserve">RB210</t>
  </si>
  <si>
    <t xml:space="preserve">Chris Myarick</t>
  </si>
  <si>
    <t xml:space="preserve">TE175</t>
  </si>
  <si>
    <t xml:space="preserve">Jameson Geers</t>
  </si>
  <si>
    <t xml:space="preserve">TE176</t>
  </si>
  <si>
    <t xml:space="preserve">Gage Larvadain</t>
  </si>
  <si>
    <t xml:space="preserve">WR269</t>
  </si>
  <si>
    <t xml:space="preserve">Zach Horton</t>
  </si>
  <si>
    <t xml:space="preserve">TE177</t>
  </si>
  <si>
    <t xml:space="preserve">Malik Taylor</t>
  </si>
  <si>
    <t xml:space="preserve">WR270</t>
  </si>
  <si>
    <t xml:space="preserve">QB96</t>
  </si>
  <si>
    <t xml:space="preserve">Patrick Herbert</t>
  </si>
  <si>
    <t xml:space="preserve">TE178</t>
  </si>
  <si>
    <t xml:space="preserve">Brandon Allen</t>
  </si>
  <si>
    <t xml:space="preserve">QB97</t>
  </si>
  <si>
    <t xml:space="preserve">Ross Dwelley</t>
  </si>
  <si>
    <t xml:space="preserve">TE179</t>
  </si>
  <si>
    <t xml:space="preserve">Quentin Moore</t>
  </si>
  <si>
    <t xml:space="preserve">TE180</t>
  </si>
  <si>
    <t xml:space="preserve">DJ Rogers</t>
  </si>
  <si>
    <t xml:space="preserve">TE181</t>
  </si>
  <si>
    <t xml:space="preserve">Cedrick Wilson Jr.</t>
  </si>
  <si>
    <t xml:space="preserve">WR271</t>
  </si>
  <si>
    <t xml:space="preserve">Evan Svoboda</t>
  </si>
  <si>
    <t xml:space="preserve">TE182</t>
  </si>
  <si>
    <t xml:space="preserve">Anthony McFarland Jr.</t>
  </si>
  <si>
    <t xml:space="preserve">RB211</t>
  </si>
  <si>
    <t xml:space="preserve">Bisi Johnson</t>
  </si>
  <si>
    <t xml:space="preserve">WR272</t>
  </si>
  <si>
    <t xml:space="preserve">Jordan Waters</t>
  </si>
  <si>
    <t xml:space="preserve">RB212</t>
  </si>
  <si>
    <t xml:space="preserve">Messiah Swinson</t>
  </si>
  <si>
    <t xml:space="preserve">TE183</t>
  </si>
  <si>
    <t xml:space="preserve">Treyton Welch</t>
  </si>
  <si>
    <t xml:space="preserve">TE184</t>
  </si>
  <si>
    <t xml:space="preserve">Graham Mertz</t>
  </si>
  <si>
    <t xml:space="preserve">QB98</t>
  </si>
  <si>
    <t xml:space="preserve">Jimmy Holiday</t>
  </si>
  <si>
    <t xml:space="preserve">WR273</t>
  </si>
  <si>
    <t xml:space="preserve">Lucas Scott</t>
  </si>
  <si>
    <t xml:space="preserve">RB213</t>
  </si>
  <si>
    <t xml:space="preserve">Jordan Mims</t>
  </si>
  <si>
    <t xml:space="preserve">RB214</t>
  </si>
  <si>
    <t xml:space="preserve">Cam Grandy</t>
  </si>
  <si>
    <t xml:space="preserve">TE185</t>
  </si>
  <si>
    <t xml:space="preserve">Kurtis Rourke</t>
  </si>
  <si>
    <t xml:space="preserve">QB99</t>
  </si>
  <si>
    <t xml:space="preserve">Trenton Irwin</t>
  </si>
  <si>
    <t xml:space="preserve">WR274</t>
  </si>
  <si>
    <t xml:space="preserve">Jimmy Garoppolo</t>
  </si>
  <si>
    <t xml:space="preserve">QB100</t>
  </si>
  <si>
    <t xml:space="preserve">Behren Morton</t>
  </si>
  <si>
    <t xml:space="preserve">QB101</t>
  </si>
  <si>
    <t xml:space="preserve">Cody White</t>
  </si>
  <si>
    <t xml:space="preserve">WR275</t>
  </si>
  <si>
    <t xml:space="preserve">Britain Covey</t>
  </si>
  <si>
    <t xml:space="preserve">WR276</t>
  </si>
  <si>
    <t xml:space="preserve">Deuce Vaughn</t>
  </si>
  <si>
    <t xml:space="preserve">RB215</t>
  </si>
  <si>
    <t xml:space="preserve">Kyle Trask</t>
  </si>
  <si>
    <t xml:space="preserve">QB102</t>
  </si>
  <si>
    <t xml:space="preserve">RJ Maryland</t>
  </si>
  <si>
    <t xml:space="preserve">TE186</t>
  </si>
  <si>
    <t xml:space="preserve">Sean McKeon</t>
  </si>
  <si>
    <t xml:space="preserve">TE187</t>
  </si>
  <si>
    <t xml:space="preserve">Nikola Kalinic</t>
  </si>
  <si>
    <t xml:space="preserve">TE188</t>
  </si>
  <si>
    <t xml:space="preserve">Chris Moore</t>
  </si>
  <si>
    <t xml:space="preserve">WR277</t>
  </si>
  <si>
    <t xml:space="preserve">Anthony Firkser</t>
  </si>
  <si>
    <t xml:space="preserve">TE189</t>
  </si>
  <si>
    <t xml:space="preserve">Kentrel Bullock</t>
  </si>
  <si>
    <t xml:space="preserve">RB216</t>
  </si>
  <si>
    <t xml:space="preserve">Jase McClellan</t>
  </si>
  <si>
    <t xml:space="preserve">RB217</t>
  </si>
  <si>
    <t xml:space="preserve">Dorian Thompson-Robinson</t>
  </si>
  <si>
    <t xml:space="preserve">QB103</t>
  </si>
  <si>
    <t xml:space="preserve">Gabe Davis</t>
  </si>
  <si>
    <t xml:space="preserve">WR278</t>
  </si>
  <si>
    <t xml:space="preserve">Cody Schrader</t>
  </si>
  <si>
    <t xml:space="preserve">RB218</t>
  </si>
  <si>
    <t xml:space="preserve">Brandon Smith</t>
  </si>
  <si>
    <t xml:space="preserve">WR279</t>
  </si>
  <si>
    <t xml:space="preserve">Andrew Armstrong</t>
  </si>
  <si>
    <t xml:space="preserve">WR280</t>
  </si>
  <si>
    <t xml:space="preserve">Samori Toure</t>
  </si>
  <si>
    <t xml:space="preserve">WR281</t>
  </si>
  <si>
    <t xml:space="preserve">Matt Barkley</t>
  </si>
  <si>
    <t xml:space="preserve">QB104</t>
  </si>
  <si>
    <t xml:space="preserve">Devin Leary</t>
  </si>
  <si>
    <t xml:space="preserve">QB105</t>
  </si>
  <si>
    <t xml:space="preserve">Sam Hartman</t>
  </si>
  <si>
    <t xml:space="preserve">QB106</t>
  </si>
  <si>
    <t xml:space="preserve">Josh Reynolds</t>
  </si>
  <si>
    <t xml:space="preserve">WR282</t>
  </si>
  <si>
    <t xml:space="preserve">Tucker Fisk</t>
  </si>
  <si>
    <t xml:space="preserve">TE190</t>
  </si>
  <si>
    <t xml:space="preserve">Allen Lazard</t>
  </si>
  <si>
    <t xml:space="preserve">WR283</t>
  </si>
  <si>
    <t xml:space="preserve">Matt Corral</t>
  </si>
  <si>
    <t xml:space="preserve">QB107</t>
  </si>
  <si>
    <t xml:space="preserve">Geoff Swaim</t>
  </si>
  <si>
    <t xml:space="preserve">TE191</t>
  </si>
  <si>
    <t xml:space="preserve">Brandon Powell</t>
  </si>
  <si>
    <t xml:space="preserve">WR284</t>
  </si>
  <si>
    <t xml:space="preserve">Dontae Fleming</t>
  </si>
  <si>
    <t xml:space="preserve">WR285</t>
  </si>
  <si>
    <t xml:space="preserve">Blake Watson</t>
  </si>
  <si>
    <t xml:space="preserve">RB219</t>
  </si>
  <si>
    <t xml:space="preserve">Dillon Bell</t>
  </si>
  <si>
    <t xml:space="preserve">WR286</t>
  </si>
  <si>
    <t xml:space="preserve">Jesper Horsted</t>
  </si>
  <si>
    <t xml:space="preserve">TE192</t>
  </si>
  <si>
    <t xml:space="preserve">Dominic Richardson</t>
  </si>
  <si>
    <t xml:space="preserve">RB220</t>
  </si>
  <si>
    <t xml:space="preserve">Davon Booth</t>
  </si>
  <si>
    <t xml:space="preserve">RB221</t>
  </si>
  <si>
    <t xml:space="preserve">Byron Pringle</t>
  </si>
  <si>
    <t xml:space="preserve">WR287</t>
  </si>
  <si>
    <t xml:space="preserve">Chris Evans</t>
  </si>
  <si>
    <t xml:space="preserve">RB222</t>
  </si>
  <si>
    <t xml:space="preserve">Michael Jacobson</t>
  </si>
  <si>
    <t xml:space="preserve">TE193</t>
  </si>
  <si>
    <t xml:space="preserve">Quez Watkins</t>
  </si>
  <si>
    <t xml:space="preserve">WR288</t>
  </si>
  <si>
    <t xml:space="preserve">Kaden Prather</t>
  </si>
  <si>
    <t xml:space="preserve">WR289</t>
  </si>
  <si>
    <t xml:space="preserve">EJ Smith</t>
  </si>
  <si>
    <t xml:space="preserve">RB223</t>
  </si>
  <si>
    <t xml:space="preserve">Kenny Yeboah</t>
  </si>
  <si>
    <t xml:space="preserve">TE194</t>
  </si>
  <si>
    <t xml:space="preserve">RB224</t>
  </si>
  <si>
    <t xml:space="preserve">AJ Henning</t>
  </si>
  <si>
    <t xml:space="preserve">WR290</t>
  </si>
  <si>
    <t xml:space="preserve">Kevin Harris</t>
  </si>
  <si>
    <t xml:space="preserve">RB225</t>
  </si>
  <si>
    <t xml:space="preserve">Nick Nash</t>
  </si>
  <si>
    <t xml:space="preserve">WR291</t>
  </si>
  <si>
    <t xml:space="preserve">Desmond Reid</t>
  </si>
  <si>
    <t xml:space="preserve">RB226</t>
  </si>
  <si>
    <t xml:space="preserve">Shedrick Jackson</t>
  </si>
  <si>
    <t xml:space="preserve">WR292</t>
  </si>
  <si>
    <t xml:space="preserve">Ainias Smith</t>
  </si>
  <si>
    <t xml:space="preserve">WR293</t>
  </si>
  <si>
    <t xml:space="preserve">Brycen Hopkins</t>
  </si>
  <si>
    <t xml:space="preserve">TE195</t>
  </si>
  <si>
    <t xml:space="preserve">Luke Lachey</t>
  </si>
  <si>
    <t xml:space="preserve">TE196</t>
  </si>
  <si>
    <t xml:space="preserve">Curtis Hodges</t>
  </si>
  <si>
    <t xml:space="preserve">TE197</t>
  </si>
  <si>
    <t xml:space="preserve">Laviska Shenault Jr.</t>
  </si>
  <si>
    <t xml:space="preserve">WR294</t>
  </si>
  <si>
    <t xml:space="preserve">Dontrell Hilliard</t>
  </si>
  <si>
    <t xml:space="preserve">RB227</t>
  </si>
  <si>
    <t xml:space="preserve">Gerald Everett</t>
  </si>
  <si>
    <t xml:space="preserve">TE198</t>
  </si>
  <si>
    <t xml:space="preserve">Gregory Desrosiers</t>
  </si>
  <si>
    <t xml:space="preserve">RB228</t>
  </si>
  <si>
    <t xml:space="preserve">Nick Boyle</t>
  </si>
  <si>
    <t xml:space="preserve">TE199</t>
  </si>
  <si>
    <t xml:space="preserve">Dalevon Campbell</t>
  </si>
  <si>
    <t xml:space="preserve">WR295</t>
  </si>
  <si>
    <t xml:space="preserve">James Proche II</t>
  </si>
  <si>
    <t xml:space="preserve">WR296</t>
  </si>
  <si>
    <t xml:space="preserve">Equanimeous St. Brown</t>
  </si>
  <si>
    <t xml:space="preserve">WR297</t>
  </si>
  <si>
    <t xml:space="preserve">Javon Baker</t>
  </si>
  <si>
    <t xml:space="preserve">WR298</t>
  </si>
  <si>
    <t xml:space="preserve">Taysom Hill</t>
  </si>
  <si>
    <t xml:space="preserve">TE200</t>
  </si>
  <si>
    <t xml:space="preserve">Rakim Jarrett</t>
  </si>
  <si>
    <t xml:space="preserve">WR299</t>
  </si>
  <si>
    <t xml:space="preserve">Xavier Gipson</t>
  </si>
  <si>
    <t xml:space="preserve">WR300</t>
  </si>
  <si>
    <t xml:space="preserve">Mitchell Wilcox</t>
  </si>
  <si>
    <t xml:space="preserve">TE201</t>
  </si>
  <si>
    <t xml:space="preserve">Trishton Jackson</t>
  </si>
  <si>
    <t xml:space="preserve">WR301</t>
  </si>
  <si>
    <t xml:space="preserve">Tyren Montgomery</t>
  </si>
  <si>
    <t xml:space="preserve">WR302</t>
  </si>
  <si>
    <t xml:space="preserve">Braylon James</t>
  </si>
  <si>
    <t xml:space="preserve">WR303</t>
  </si>
  <si>
    <t xml:space="preserve">Terion Stewart</t>
  </si>
  <si>
    <t xml:space="preserve">RB229</t>
  </si>
  <si>
    <t xml:space="preserve">Ty James</t>
  </si>
  <si>
    <t xml:space="preserve">WR304</t>
  </si>
  <si>
    <t xml:space="preserve">Julian Hicks</t>
  </si>
  <si>
    <t xml:space="preserve">WR305</t>
  </si>
  <si>
    <t xml:space="preserve">Russell Gage Jr.</t>
  </si>
  <si>
    <t xml:space="preserve">WR306</t>
  </si>
  <si>
    <t xml:space="preserve">Marcus Yarns</t>
  </si>
  <si>
    <t xml:space="preserve">RB230</t>
  </si>
  <si>
    <t xml:space="preserve">Jamal Haynes</t>
  </si>
  <si>
    <t xml:space="preserve">RB231</t>
  </si>
  <si>
    <t xml:space="preserve">Patrick Taylor Jr.</t>
  </si>
  <si>
    <t xml:space="preserve">RB232</t>
  </si>
  <si>
    <t xml:space="preserve">Danny Gray</t>
  </si>
  <si>
    <t xml:space="preserve">WR307</t>
  </si>
  <si>
    <t xml:space="preserve">Tyler Davis</t>
  </si>
  <si>
    <t xml:space="preserve">TE202</t>
  </si>
  <si>
    <t xml:space="preserve">Royce Freeman</t>
  </si>
  <si>
    <t xml:space="preserve">RB233</t>
  </si>
  <si>
    <t xml:space="preserve">Nelson Agholor</t>
  </si>
  <si>
    <t xml:space="preserve">WR308</t>
  </si>
  <si>
    <t xml:space="preserve">Dee Eskridge</t>
  </si>
  <si>
    <t xml:space="preserve">WR309</t>
  </si>
  <si>
    <t xml:space="preserve">Hunter Renfrow</t>
  </si>
  <si>
    <t xml:space="preserve">WR310</t>
  </si>
  <si>
    <t xml:space="preserve">Marquez Callaway</t>
  </si>
  <si>
    <t xml:space="preserve">WR311</t>
  </si>
  <si>
    <t xml:space="preserve">Quali Conley</t>
  </si>
  <si>
    <t xml:space="preserve">RB234</t>
  </si>
  <si>
    <t xml:space="preserve">Anthony Schwartz</t>
  </si>
  <si>
    <t xml:space="preserve">WR312</t>
  </si>
  <si>
    <t xml:space="preserve">Zaire Mitchell-Paden</t>
  </si>
  <si>
    <t xml:space="preserve">TE203</t>
  </si>
  <si>
    <t xml:space="preserve">Cody Thompson</t>
  </si>
  <si>
    <t xml:space="preserve">WR313</t>
  </si>
  <si>
    <t xml:space="preserve">Daurice Fountain</t>
  </si>
  <si>
    <t xml:space="preserve">WR314</t>
  </si>
  <si>
    <t xml:space="preserve">Isaiah McKenzie</t>
  </si>
  <si>
    <t xml:space="preserve">WR315</t>
  </si>
  <si>
    <t xml:space="preserve">Tru Edwards</t>
  </si>
  <si>
    <t xml:space="preserve">WR316</t>
  </si>
  <si>
    <t xml:space="preserve">Jalen Guyton</t>
  </si>
  <si>
    <t xml:space="preserve">WR317</t>
  </si>
  <si>
    <t xml:space="preserve">Vinny Anthony II</t>
  </si>
  <si>
    <t xml:space="preserve">WR318</t>
  </si>
  <si>
    <t xml:space="preserve">Kendric Pryor</t>
  </si>
  <si>
    <t xml:space="preserve">WR319</t>
  </si>
  <si>
    <t xml:space="preserve">Stephen Carlson</t>
  </si>
  <si>
    <t xml:space="preserve">TE204</t>
  </si>
  <si>
    <t xml:space="preserve">Justin Shorter</t>
  </si>
  <si>
    <t xml:space="preserve">WR320</t>
  </si>
  <si>
    <t xml:space="preserve">Dan Villari</t>
  </si>
  <si>
    <t xml:space="preserve">TE205</t>
  </si>
  <si>
    <t xml:space="preserve">Roc Taylor</t>
  </si>
  <si>
    <t xml:space="preserve">WR321</t>
  </si>
  <si>
    <t xml:space="preserve">Zach Pascal</t>
  </si>
  <si>
    <t xml:space="preserve">WR322</t>
  </si>
  <si>
    <t xml:space="preserve">Evan Hull</t>
  </si>
  <si>
    <t xml:space="preserve">RB235</t>
  </si>
  <si>
    <t xml:space="preserve">Amar Johnson</t>
  </si>
  <si>
    <t xml:space="preserve">RB236</t>
  </si>
  <si>
    <t xml:space="preserve">Ryan Griffin</t>
  </si>
  <si>
    <t xml:space="preserve">TE206</t>
  </si>
  <si>
    <t xml:space="preserve">Terrace Marshall Jr.</t>
  </si>
  <si>
    <t xml:space="preserve">WR323</t>
  </si>
  <si>
    <t xml:space="preserve">Dalen Cambre</t>
  </si>
  <si>
    <t xml:space="preserve">WR324</t>
  </si>
  <si>
    <t xml:space="preserve">Ross Travis</t>
  </si>
  <si>
    <t xml:space="preserve">TE207</t>
  </si>
  <si>
    <t xml:space="preserve">Graig Cooper</t>
  </si>
  <si>
    <t xml:space="preserve">RB237</t>
  </si>
  <si>
    <t xml:space="preserve">Omarius Hines</t>
  </si>
  <si>
    <t xml:space="preserve">WR325</t>
  </si>
  <si>
    <t xml:space="preserve">Dale Moss</t>
  </si>
  <si>
    <t xml:space="preserve">WR326</t>
  </si>
  <si>
    <t xml:space="preserve">John Hurst</t>
  </si>
  <si>
    <t xml:space="preserve">WR327</t>
  </si>
  <si>
    <t xml:space="preserve">Position</t>
  </si>
  <si>
    <t xml:space="preserve">Projected Games Adjustment</t>
  </si>
  <si>
    <t xml:space="preserve">Brendan Sorsby</t>
  </si>
  <si>
    <t xml:space="preserve">Diego Pavia</t>
  </si>
  <si>
    <t xml:space="preserve">Eric Rivers Jr.</t>
  </si>
  <si>
    <t xml:space="preserve">Aaron Anderson</t>
  </si>
  <si>
    <t xml:space="preserve">Eric McAlister</t>
  </si>
  <si>
    <t xml:space="preserve">Dane Key</t>
  </si>
  <si>
    <t xml:space="preserve">TJ Harden</t>
  </si>
  <si>
    <t xml:space="preserve">Noah Thomas</t>
  </si>
  <si>
    <t xml:space="preserve">Luke Altmyer</t>
  </si>
  <si>
    <t xml:space="preserve">Rahsul Faison</t>
  </si>
  <si>
    <t xml:space="preserve">Dae'Quan Wright</t>
  </si>
  <si>
    <t xml:space="preserve">Trebor Pena</t>
  </si>
  <si>
    <t xml:space="preserve">Miller Moss</t>
  </si>
  <si>
    <t xml:space="preserve">Joey Aguilar</t>
  </si>
  <si>
    <t xml:space="preserve">Sawyer Robertson</t>
  </si>
  <si>
    <t xml:space="preserve">Jack Velling</t>
  </si>
  <si>
    <t xml:space="preserve">Chase Roberts</t>
  </si>
  <si>
    <t xml:space="preserve">Harrison Wallace III</t>
  </si>
  <si>
    <t xml:space="preserve">Rueben Owens II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</si>
</sst>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\$#,##0_);[RED]&quot;($&quot;#,##0\)"/>
    <numFmt numFmtId="167" formatCode="0"/>
    <numFmt numFmtId="168" formatCode="General"/>
    <numFmt numFmtId="169" formatCode="0.0"/>
    <numFmt numFmtId="170" formatCode="0.00"/>
    <numFmt numFmtId="171" formatCode="\$#,##0"/>
    <numFmt numFmtId="172" formatCode="0%"/>
    <numFmt numFmtId="173" formatCode="0.000"/>
    <numFmt numFmtId="174" formatCode="0.00%"/>
  </numFmts>
  <fonts count="3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2"/>
      <charset val="1"/>
    </font>
    <font>
      <b val="true"/>
      <sz val="14"/>
      <color theme="0"/>
      <name val="Aptos Narrow"/>
      <family val="2"/>
      <charset val="1"/>
    </font>
    <font>
      <b val="true"/>
      <sz val="18"/>
      <color theme="0"/>
      <name val="Aptos Narrow"/>
      <family val="2"/>
      <charset val="1"/>
    </font>
    <font>
      <b val="true"/>
      <sz val="16"/>
      <color theme="0"/>
      <name val="Aptos Narrow"/>
      <family val="2"/>
      <charset val="1"/>
    </font>
    <font>
      <b val="true"/>
      <u val="single"/>
      <sz val="16"/>
      <name val="Aptos Narrow"/>
      <family val="2"/>
      <charset val="1"/>
    </font>
    <font>
      <b val="true"/>
      <sz val="16"/>
      <name val="Aptos Narrow"/>
      <family val="2"/>
      <charset val="1"/>
    </font>
    <font>
      <b val="true"/>
      <i val="true"/>
      <sz val="16"/>
      <name val="Aptos Narrow"/>
      <family val="2"/>
      <charset val="1"/>
    </font>
    <font>
      <b val="true"/>
      <sz val="16"/>
      <color rgb="FFFF0000"/>
      <name val="Aptos Narrow"/>
      <family val="2"/>
      <charset val="1"/>
    </font>
    <font>
      <sz val="14"/>
      <name val="Aptos Narrow"/>
      <family val="2"/>
      <charset val="1"/>
    </font>
    <font>
      <b val="true"/>
      <u val="single"/>
      <sz val="11"/>
      <name val="Aptos Narrow"/>
      <family val="2"/>
      <charset val="1"/>
    </font>
    <font>
      <b val="true"/>
      <sz val="9.5"/>
      <name val="Aptos Narrow"/>
      <family val="2"/>
      <charset val="1"/>
    </font>
    <font>
      <b val="true"/>
      <u val="single"/>
      <sz val="10"/>
      <name val="Aptos Narrow"/>
      <family val="2"/>
      <charset val="1"/>
    </font>
    <font>
      <b val="true"/>
      <sz val="10"/>
      <name val="Aptos Narrow"/>
      <family val="2"/>
      <charset val="1"/>
    </font>
    <font>
      <b val="true"/>
      <sz val="12"/>
      <color theme="0"/>
      <name val="Aptos Narrow"/>
      <family val="2"/>
      <charset val="1"/>
    </font>
    <font>
      <b val="true"/>
      <sz val="10"/>
      <color theme="0"/>
      <name val="Aptos Narrow"/>
      <family val="2"/>
      <charset val="1"/>
    </font>
    <font>
      <b val="true"/>
      <sz val="18"/>
      <color rgb="FFFFFFFF"/>
      <name val="Aptos Narrow"/>
      <family val="2"/>
      <charset val="1"/>
    </font>
    <font>
      <b val="true"/>
      <sz val="12"/>
      <color rgb="FFFFFFFF"/>
      <name val="Cambria"/>
      <family val="1"/>
      <charset val="1"/>
    </font>
    <font>
      <i val="true"/>
      <sz val="9"/>
      <color rgb="FF404040"/>
      <name val="Aptos Narrow"/>
      <family val="2"/>
      <charset val="1"/>
    </font>
    <font>
      <b val="true"/>
      <sz val="11"/>
      <color rgb="FFFFFFFF"/>
      <name val="Cambria"/>
      <family val="1"/>
      <charset val="1"/>
    </font>
    <font>
      <b val="true"/>
      <sz val="11"/>
      <name val="Cambria"/>
      <family val="1"/>
      <charset val="1"/>
    </font>
    <font>
      <sz val="1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FFFFFF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6"/>
      <color rgb="FFF2F2F2"/>
      <name val="Aptos Narrow"/>
      <family val="2"/>
    </font>
    <font>
      <sz val="9"/>
      <color rgb="FFD9D9D9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rgb="FFD9D9D9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BFBFBF"/>
        <bgColor rgb="FFA6A6A6"/>
      </patternFill>
    </fill>
    <fill>
      <patternFill patternType="solid">
        <fgColor rgb="FFEDEDED"/>
        <bgColor rgb="FFF2F2F2"/>
      </patternFill>
    </fill>
    <fill>
      <patternFill patternType="solid">
        <fgColor rgb="FF1F3864"/>
        <bgColor rgb="FF163E64"/>
      </patternFill>
    </fill>
    <fill>
      <patternFill patternType="solid">
        <fgColor theme="3" tint="0.0999"/>
        <bgColor rgb="FF1F3864"/>
      </patternFill>
    </fill>
    <fill>
      <patternFill patternType="solid">
        <fgColor theme="0" tint="-0.5"/>
        <bgColor rgb="FFA6A6A6"/>
      </patternFill>
    </fill>
  </fills>
  <borders count="23">
    <border diagonalUp="false" diagonalDown="false">
      <left/>
      <right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>
        <color rgb="FFA6A6A6"/>
      </right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/>
      <right style="thin">
        <color theme="1"/>
      </right>
      <top style="thin">
        <color theme="1"/>
      </top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4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true"/>
      <protection locked="true" hidden="false"/>
    </xf>
    <xf numFmtId="167" fontId="25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7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7" fontId="24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71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3B1F1"/>
          <bgColor rgb="FF000000"/>
        </patternFill>
      </fill>
    </dxf>
    <dxf>
      <fill>
        <patternFill patternType="solid">
          <fgColor rgb="FF19B8F2"/>
          <bgColor rgb="FF000000"/>
        </patternFill>
      </fill>
    </dxf>
    <dxf>
      <fill>
        <patternFill patternType="solid">
          <fgColor rgb="FF2DBEF3"/>
          <bgColor rgb="FF000000"/>
        </patternFill>
      </fill>
    </dxf>
    <dxf>
      <fill>
        <patternFill patternType="solid">
          <fgColor rgb="FF41C4F4"/>
          <bgColor rgb="FF000000"/>
        </patternFill>
      </fill>
    </dxf>
    <dxf>
      <fill>
        <patternFill patternType="solid">
          <fgColor rgb="FF53CAF5"/>
          <bgColor rgb="FF000000"/>
        </patternFill>
      </fill>
    </dxf>
    <dxf>
      <fill>
        <patternFill patternType="solid">
          <fgColor rgb="FF65D0F6"/>
          <bgColor rgb="FF000000"/>
        </patternFill>
      </fill>
    </dxf>
    <dxf>
      <fill>
        <patternFill patternType="solid">
          <fgColor rgb="FF77D5F7"/>
          <bgColor rgb="FF000000"/>
        </patternFill>
      </fill>
    </dxf>
    <dxf>
      <fill>
        <patternFill patternType="solid">
          <fgColor rgb="FF88DBF8"/>
          <bgColor rgb="FF000000"/>
        </patternFill>
      </fill>
    </dxf>
    <dxf>
      <fill>
        <patternFill patternType="solid">
          <fgColor rgb="FF98DFF9"/>
          <bgColor rgb="FF000000"/>
        </patternFill>
      </fill>
    </dxf>
    <dxf>
      <fill>
        <patternFill patternType="solid">
          <fgColor rgb="FFA6E4FA"/>
          <bgColor rgb="FF000000"/>
        </patternFill>
      </fill>
    </dxf>
    <dxf>
      <fill>
        <patternFill patternType="solid">
          <fgColor rgb="FFB4E8FB"/>
          <bgColor rgb="FF000000"/>
        </patternFill>
      </fill>
    </dxf>
    <dxf>
      <fill>
        <patternFill patternType="solid">
          <fgColor rgb="FFC0ECFC"/>
          <bgColor rgb="FF000000"/>
        </patternFill>
      </fill>
    </dxf>
    <dxf>
      <fill>
        <patternFill patternType="solid">
          <fgColor rgb="FFCBEFFC"/>
          <bgColor rgb="FF000000"/>
        </patternFill>
      </fill>
    </dxf>
    <dxf>
      <fill>
        <patternFill patternType="solid">
          <fgColor rgb="FFD6F3FD"/>
          <bgColor rgb="FF000000"/>
        </patternFill>
      </fill>
    </dxf>
    <dxf>
      <fill>
        <patternFill patternType="solid">
          <fgColor rgb="FFDFF5FE"/>
          <bgColor rgb="FF000000"/>
        </patternFill>
      </fill>
    </dxf>
    <dxf>
      <fill>
        <patternFill patternType="solid">
          <fgColor rgb="FFE8F8FE"/>
          <bgColor rgb="FF000000"/>
        </patternFill>
      </fill>
    </dxf>
    <dxf>
      <fill>
        <patternFill patternType="solid">
          <fgColor rgb="FFEDFAFE"/>
          <bgColor rgb="FF000000"/>
        </patternFill>
      </fill>
    </dxf>
    <dxf>
      <fill>
        <patternFill patternType="solid">
          <fgColor rgb="FFF2FBFF"/>
          <bgColor rgb="FF000000"/>
        </patternFill>
      </fill>
    </dxf>
    <dxf>
      <fill>
        <patternFill patternType="solid">
          <fgColor rgb="FFF6FDFF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BFEFF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BB9F2"/>
          <bgColor rgb="FF000000"/>
        </patternFill>
      </fill>
    </dxf>
    <dxf>
      <fill>
        <patternFill patternType="solid">
          <fgColor rgb="FF33C0F3"/>
          <bgColor rgb="FF000000"/>
        </patternFill>
      </fill>
    </dxf>
    <dxf>
      <fill>
        <patternFill patternType="solid">
          <fgColor rgb="FF4AC7F5"/>
          <bgColor rgb="FF000000"/>
        </patternFill>
      </fill>
    </dxf>
    <dxf>
      <fill>
        <patternFill patternType="solid">
          <fgColor rgb="FF5FCEF6"/>
          <bgColor rgb="FF000000"/>
        </patternFill>
      </fill>
    </dxf>
    <dxf>
      <fill>
        <patternFill patternType="solid">
          <fgColor rgb="FF70D3F7"/>
          <bgColor rgb="FF000000"/>
        </patternFill>
      </fill>
    </dxf>
    <dxf>
      <fill>
        <patternFill patternType="solid">
          <fgColor rgb="FF81D8F8"/>
          <bgColor rgb="FF000000"/>
        </patternFill>
      </fill>
    </dxf>
    <dxf>
      <fill>
        <patternFill patternType="solid">
          <fgColor rgb="FF8FDDF9"/>
          <bgColor rgb="FF000000"/>
        </patternFill>
      </fill>
    </dxf>
    <dxf>
      <fill>
        <patternFill patternType="solid">
          <fgColor rgb="FF9CE1FA"/>
          <bgColor rgb="FF000000"/>
        </patternFill>
      </fill>
    </dxf>
    <dxf>
      <fill>
        <patternFill patternType="solid">
          <fgColor rgb="FFA9E5FA"/>
          <bgColor rgb="FF000000"/>
        </patternFill>
      </fill>
    </dxf>
    <dxf>
      <fill>
        <patternFill patternType="solid">
          <fgColor rgb="FFB5E9FB"/>
          <bgColor rgb="FF000000"/>
        </patternFill>
      </fill>
    </dxf>
    <dxf>
      <fill>
        <patternFill patternType="solid">
          <fgColor rgb="FFCAEFFC"/>
          <bgColor rgb="FF000000"/>
        </patternFill>
      </fill>
    </dxf>
    <dxf>
      <fill>
        <patternFill patternType="solid">
          <fgColor rgb="FFD4F2FD"/>
          <bgColor rgb="FF000000"/>
        </patternFill>
      </fill>
    </dxf>
    <dxf>
      <fill>
        <patternFill patternType="solid">
          <fgColor rgb="FFDCF5FD"/>
          <bgColor rgb="FF000000"/>
        </patternFill>
      </fill>
    </dxf>
    <dxf>
      <fill>
        <patternFill patternType="solid">
          <fgColor rgb="FFE4F7FE"/>
          <bgColor rgb="FF000000"/>
        </patternFill>
      </fill>
    </dxf>
    <dxf>
      <fill>
        <patternFill patternType="solid">
          <fgColor rgb="FFEBF9FE"/>
          <bgColor rgb="FF000000"/>
        </patternFill>
      </fill>
    </dxf>
    <dxf>
      <fill>
        <patternFill patternType="solid">
          <fgColor rgb="FFF1FBFF"/>
          <bgColor rgb="FF000000"/>
        </patternFill>
      </fill>
    </dxf>
    <dxf>
      <fill>
        <patternFill patternType="solid">
          <fgColor rgb="FFFCFF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8C7F5"/>
          <bgColor rgb="FF000000"/>
        </patternFill>
      </fill>
    </dxf>
    <dxf>
      <fill>
        <patternFill patternType="solid">
          <fgColor rgb="FF75D5F7"/>
          <bgColor rgb="FF000000"/>
        </patternFill>
      </fill>
    </dxf>
    <dxf>
      <fill>
        <patternFill patternType="solid">
          <fgColor rgb="FFA1E2FA"/>
          <bgColor rgb="FF000000"/>
        </patternFill>
      </fill>
    </dxf>
    <dxf>
      <fill>
        <patternFill patternType="solid">
          <fgColor rgb="FFCDF0FD"/>
          <bgColor rgb="FF000000"/>
        </patternFill>
      </fill>
    </dxf>
    <dxf>
      <fill>
        <patternFill patternType="solid">
          <fgColor rgb="FF11B6F1"/>
          <bgColor rgb="FF000000"/>
        </patternFill>
      </fill>
    </dxf>
    <dxf>
      <fill>
        <patternFill patternType="solid">
          <fgColor rgb="FF8BDBF9"/>
          <bgColor rgb="FF000000"/>
        </patternFill>
      </fill>
    </dxf>
    <dxf>
      <fill>
        <patternFill patternType="solid">
          <fgColor rgb="FFB8E9FB"/>
          <bgColor rgb="FF000000"/>
        </patternFill>
      </fill>
    </dxf>
    <dxf>
      <fill>
        <patternFill patternType="solid">
          <fgColor rgb="FFD0F1FD"/>
          <bgColor rgb="FF000000"/>
        </patternFill>
      </fill>
    </dxf>
    <dxf>
      <fill>
        <patternFill patternType="solid">
          <fgColor rgb="FFE2F6FE"/>
          <bgColor rgb="FF000000"/>
        </patternFill>
      </fill>
    </dxf>
    <dxf>
      <fill>
        <patternFill patternType="solid">
          <fgColor rgb="FFF4FCFF"/>
          <bgColor rgb="FF000000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000000"/>
      </font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D9D9D9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4CD7E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CFDD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86B6B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F86D6B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8766D"/>
          <bgColor rgb="FF000000"/>
        </patternFill>
      </fill>
    </dxf>
    <dxf>
      <fill>
        <patternFill patternType="solid">
          <fgColor rgb="FFF87B6E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7DC67D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ACD480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86E6C"/>
          <bgColor rgb="FF000000"/>
        </patternFill>
      </fill>
    </dxf>
    <dxf>
      <fill>
        <patternFill patternType="solid">
          <fgColor rgb="FFF8726C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E75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B7D6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F8716C"/>
          <bgColor rgb="FF000000"/>
        </patternFill>
      </fill>
    </dxf>
    <dxf>
      <fill>
        <patternFill patternType="solid">
          <fgColor rgb="FFF8736C"/>
          <bgColor rgb="FF000000"/>
        </patternFill>
      </fill>
    </dxf>
    <dxf>
      <fill>
        <patternFill patternType="solid">
          <fgColor rgb="FFF8796E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7FC67D"/>
          <bgColor rgb="FF000000"/>
        </patternFill>
      </fill>
    </dxf>
    <dxf>
      <fill>
        <patternFill patternType="solid">
          <fgColor rgb="FF80C77D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8DCB7E"/>
          <bgColor rgb="FF000000"/>
        </patternFill>
      </fill>
    </dxf>
    <dxf>
      <fill>
        <patternFill patternType="solid">
          <fgColor rgb="FF94CC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8756D"/>
          <bgColor rgb="FF000000"/>
        </patternFill>
      </fill>
    </dxf>
    <dxf>
      <fill>
        <patternFill patternType="solid">
          <fgColor rgb="FFF8786D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97D6E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5A8AC6"/>
          <bgColor rgb="FF000000"/>
        </patternFill>
      </fill>
    </dxf>
    <dxf>
      <fill>
        <patternFill patternType="solid">
          <fgColor rgb="FF90B0D9"/>
          <bgColor rgb="FF000000"/>
        </patternFill>
      </fill>
    </dxf>
    <dxf>
      <fill>
        <patternFill patternType="solid">
          <fgColor rgb="FF93B2DA"/>
          <bgColor rgb="FF000000"/>
        </patternFill>
      </fill>
    </dxf>
    <dxf>
      <fill>
        <patternFill patternType="solid">
          <fgColor rgb="FF95B4DB"/>
          <bgColor rgb="FF000000"/>
        </patternFill>
      </fill>
    </dxf>
    <dxf>
      <fill>
        <patternFill patternType="solid">
          <fgColor rgb="FF96B4DB"/>
          <bgColor rgb="FF000000"/>
        </patternFill>
      </fill>
    </dxf>
    <dxf>
      <fill>
        <patternFill patternType="solid">
          <fgColor rgb="FF9BB8DD"/>
          <bgColor rgb="FF000000"/>
        </patternFill>
      </fill>
    </dxf>
    <dxf>
      <fill>
        <patternFill patternType="solid">
          <fgColor rgb="FFA4BEE0"/>
          <bgColor rgb="FF000000"/>
        </patternFill>
      </fill>
    </dxf>
    <dxf>
      <fill>
        <patternFill patternType="solid">
          <fgColor rgb="FFA6C0E1"/>
          <bgColor rgb="FF000000"/>
        </patternFill>
      </fill>
    </dxf>
    <dxf>
      <fill>
        <patternFill patternType="solid">
          <fgColor rgb="FFA7C0E1"/>
          <bgColor rgb="FF000000"/>
        </patternFill>
      </fill>
    </dxf>
    <dxf>
      <fill>
        <patternFill patternType="solid">
          <fgColor rgb="FFA8C1E2"/>
          <bgColor rgb="FF000000"/>
        </patternFill>
      </fill>
    </dxf>
    <dxf>
      <fill>
        <patternFill patternType="solid">
          <fgColor rgb="FFA9C2E2"/>
          <bgColor rgb="FF000000"/>
        </patternFill>
      </fill>
    </dxf>
    <dxf>
      <fill>
        <patternFill patternType="solid">
          <fgColor rgb="FFAEC5E4"/>
          <bgColor rgb="FF000000"/>
        </patternFill>
      </fill>
    </dxf>
    <dxf>
      <fill>
        <patternFill patternType="solid">
          <fgColor rgb="FFB2C8E5"/>
          <bgColor rgb="FF000000"/>
        </patternFill>
      </fill>
    </dxf>
    <dxf>
      <fill>
        <patternFill patternType="solid">
          <fgColor rgb="FFBFD1EA"/>
          <bgColor rgb="FF000000"/>
        </patternFill>
      </fill>
    </dxf>
    <dxf>
      <fill>
        <patternFill patternType="solid">
          <fgColor rgb="FFC0D2EA"/>
          <bgColor rgb="FF000000"/>
        </patternFill>
      </fill>
    </dxf>
    <dxf>
      <fill>
        <patternFill patternType="solid">
          <fgColor rgb="FFC2D3EB"/>
          <bgColor rgb="FF000000"/>
        </patternFill>
      </fill>
    </dxf>
    <dxf>
      <fill>
        <patternFill patternType="solid">
          <fgColor rgb="FFD2DFF1"/>
          <bgColor rgb="FF000000"/>
        </patternFill>
      </fill>
    </dxf>
    <dxf>
      <fill>
        <patternFill patternType="solid">
          <fgColor rgb="FFD4E0F1"/>
          <bgColor rgb="FF000000"/>
        </patternFill>
      </fill>
    </dxf>
    <dxf>
      <fill>
        <patternFill patternType="solid">
          <fgColor rgb="FFD6E2F2"/>
          <bgColor rgb="FF000000"/>
        </patternFill>
      </fill>
    </dxf>
    <dxf>
      <fill>
        <patternFill patternType="solid">
          <fgColor rgb="FFE4EBF7"/>
          <bgColor rgb="FF000000"/>
        </patternFill>
      </fill>
    </dxf>
    <dxf>
      <fill>
        <patternFill patternType="solid">
          <fgColor rgb="FFEDF1FA"/>
          <bgColor rgb="FF000000"/>
        </patternFill>
      </fill>
    </dxf>
    <dxf>
      <fill>
        <patternFill patternType="solid">
          <fgColor rgb="FFF4F7FD"/>
          <bgColor rgb="FF000000"/>
        </patternFill>
      </fill>
    </dxf>
    <dxf>
      <fill>
        <patternFill patternType="solid">
          <fgColor rgb="FFF86B6D"/>
          <bgColor rgb="FF000000"/>
        </patternFill>
      </fill>
    </dxf>
    <dxf>
      <fill>
        <patternFill patternType="solid">
          <fgColor rgb="FFF86C6E"/>
          <bgColor rgb="FF000000"/>
        </patternFill>
      </fill>
    </dxf>
    <dxf>
      <fill>
        <patternFill patternType="solid">
          <fgColor rgb="FFF86D6F"/>
          <bgColor rgb="FF000000"/>
        </patternFill>
      </fill>
    </dxf>
    <dxf>
      <fill>
        <patternFill patternType="solid">
          <fgColor rgb="FFF86E70"/>
          <bgColor rgb="FF000000"/>
        </patternFill>
      </fill>
    </dxf>
    <dxf>
      <fill>
        <patternFill patternType="solid">
          <fgColor rgb="FFF86F71"/>
          <bgColor rgb="FF000000"/>
        </patternFill>
      </fill>
    </dxf>
    <dxf>
      <fill>
        <patternFill patternType="solid">
          <fgColor rgb="FFF87072"/>
          <bgColor rgb="FF000000"/>
        </patternFill>
      </fill>
    </dxf>
    <dxf>
      <fill>
        <patternFill patternType="solid">
          <fgColor rgb="FFF87274"/>
          <bgColor rgb="FF000000"/>
        </patternFill>
      </fill>
    </dxf>
    <dxf>
      <fill>
        <patternFill patternType="solid">
          <fgColor rgb="FFF8797B"/>
          <bgColor rgb="FF000000"/>
        </patternFill>
      </fill>
    </dxf>
    <dxf>
      <fill>
        <patternFill patternType="solid">
          <fgColor rgb="FFF98E90"/>
          <bgColor rgb="FF000000"/>
        </patternFill>
      </fill>
    </dxf>
    <dxf>
      <fill>
        <patternFill patternType="solid">
          <fgColor rgb="FFF9A1A4"/>
          <bgColor rgb="FF000000"/>
        </patternFill>
      </fill>
    </dxf>
    <dxf>
      <fill>
        <patternFill patternType="solid">
          <fgColor rgb="FFF9A5A7"/>
          <bgColor rgb="FF000000"/>
        </patternFill>
      </fill>
    </dxf>
    <dxf>
      <fill>
        <patternFill patternType="solid">
          <fgColor rgb="FFF9A8AB"/>
          <bgColor rgb="FF000000"/>
        </patternFill>
      </fill>
    </dxf>
    <dxf>
      <fill>
        <patternFill patternType="solid">
          <fgColor rgb="FFFAB8BA"/>
          <bgColor rgb="FF000000"/>
        </patternFill>
      </fill>
    </dxf>
    <dxf>
      <fill>
        <patternFill patternType="solid">
          <fgColor rgb="FFFAD6D9"/>
          <bgColor rgb="FF000000"/>
        </patternFill>
      </fill>
    </dxf>
    <dxf>
      <fill>
        <patternFill patternType="solid">
          <fgColor rgb="FFFBE9EC"/>
          <bgColor rgb="FF000000"/>
        </patternFill>
      </fill>
    </dxf>
    <dxf>
      <fill>
        <patternFill patternType="solid">
          <fgColor rgb="FFFBECEF"/>
          <bgColor rgb="FF000000"/>
        </patternFill>
      </fill>
    </dxf>
    <dxf>
      <fill>
        <patternFill patternType="solid">
          <fgColor rgb="FFFBF2F5"/>
          <bgColor rgb="FF000000"/>
        </patternFill>
      </fill>
    </dxf>
    <dxf>
      <fill>
        <patternFill patternType="solid">
          <fgColor rgb="FFFBF7FA"/>
          <bgColor rgb="FF000000"/>
        </patternFill>
      </fill>
    </dxf>
    <dxf>
      <fill>
        <patternFill patternType="solid">
          <fgColor rgb="FFF97B7D"/>
          <bgColor rgb="FF000000"/>
        </patternFill>
      </fill>
    </dxf>
    <dxf>
      <fill>
        <patternFill patternType="solid">
          <fgColor rgb="FFF98C8E"/>
          <bgColor rgb="FF000000"/>
        </patternFill>
      </fill>
    </dxf>
    <dxf>
      <fill>
        <patternFill patternType="solid">
          <fgColor rgb="FFFA9B9E"/>
          <bgColor rgb="FF000000"/>
        </patternFill>
      </fill>
    </dxf>
    <dxf>
      <fill>
        <patternFill patternType="solid">
          <fgColor rgb="FFFAAAAC"/>
          <bgColor rgb="FF000000"/>
        </patternFill>
      </fill>
    </dxf>
    <dxf>
      <fill>
        <patternFill patternType="solid">
          <fgColor rgb="FFFBB7BA"/>
          <bgColor rgb="FF000000"/>
        </patternFill>
      </fill>
    </dxf>
    <dxf>
      <fill>
        <patternFill patternType="solid">
          <fgColor rgb="FFFBC4C6"/>
          <bgColor rgb="FF000000"/>
        </patternFill>
      </fill>
    </dxf>
    <dxf>
      <fill>
        <patternFill patternType="solid">
          <fgColor rgb="FFFBCFD1"/>
          <bgColor rgb="FF000000"/>
        </patternFill>
      </fill>
    </dxf>
    <dxf>
      <fill>
        <patternFill patternType="solid">
          <fgColor rgb="FFFCD9DB"/>
          <bgColor rgb="FF000000"/>
        </patternFill>
      </fill>
    </dxf>
    <dxf>
      <fill>
        <patternFill patternType="solid">
          <fgColor rgb="FFFCE1E4"/>
          <bgColor rgb="FF000000"/>
        </patternFill>
      </fill>
    </dxf>
    <dxf>
      <fill>
        <patternFill patternType="solid">
          <fgColor rgb="FFFCE5E8"/>
          <bgColor rgb="FF000000"/>
        </patternFill>
      </fill>
    </dxf>
    <dxf>
      <fill>
        <patternFill patternType="solid">
          <fgColor rgb="FFFCE9EC"/>
          <bgColor rgb="FF000000"/>
        </patternFill>
      </fill>
    </dxf>
    <dxf>
      <fill>
        <patternFill patternType="solid">
          <fgColor rgb="FFFCECEF"/>
          <bgColor rgb="FF000000"/>
        </patternFill>
      </fill>
    </dxf>
    <dxf>
      <fill>
        <patternFill patternType="solid">
          <fgColor rgb="FFFCEFF2"/>
          <bgColor rgb="FF000000"/>
        </patternFill>
      </fill>
    </dxf>
    <dxf>
      <fill>
        <patternFill patternType="solid">
          <fgColor rgb="FFFCF2F5"/>
          <bgColor rgb="FF000000"/>
        </patternFill>
      </fill>
    </dxf>
    <dxf>
      <fill>
        <patternFill patternType="solid">
          <fgColor rgb="FFFCF4F7"/>
          <bgColor rgb="FF000000"/>
        </patternFill>
      </fill>
    </dxf>
    <dxf>
      <fill>
        <patternFill patternType="solid">
          <fgColor rgb="FFFCF6F9"/>
          <bgColor rgb="FF000000"/>
        </patternFill>
      </fill>
    </dxf>
    <dxf>
      <fill>
        <patternFill patternType="solid">
          <fgColor rgb="FFFCF8FB"/>
          <bgColor rgb="FF000000"/>
        </patternFill>
      </fill>
    </dxf>
    <dxf>
      <fill>
        <patternFill patternType="solid">
          <fgColor rgb="FFFCFAFD"/>
          <bgColor rgb="FF000000"/>
        </patternFill>
      </fill>
    </dxf>
    <dxf>
      <fill>
        <patternFill patternType="solid">
          <fgColor rgb="FFFCFBFE"/>
          <bgColor rgb="FF000000"/>
        </patternFill>
      </fill>
    </dxf>
    <dxf>
      <fill>
        <patternFill patternType="solid">
          <fgColor rgb="FFFCFCFF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0E3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F97F6F"/>
          <bgColor rgb="FF000000"/>
        </patternFill>
      </fill>
    </dxf>
    <dxf>
      <fill>
        <patternFill patternType="solid">
          <fgColor rgb="FFF98670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C71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72C37C"/>
          <bgColor rgb="FF000000"/>
        </patternFill>
      </fill>
    </dxf>
    <dxf>
      <fill>
        <patternFill patternType="solid">
          <fgColor rgb="FF7FC77D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F98870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272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776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7AC57D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4C87D"/>
          <bgColor rgb="FF000000"/>
        </patternFill>
      </fill>
    </dxf>
    <dxf>
      <fill>
        <patternFill patternType="solid">
          <fgColor rgb="FF8AC97E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BCF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9E1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98470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C8DB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F8736D"/>
          <bgColor rgb="FF000000"/>
        </patternFill>
      </fill>
    </dxf>
    <dxf>
      <fill>
        <patternFill patternType="solid">
          <fgColor rgb="FFF8786E"/>
          <bgColor rgb="FF000000"/>
        </patternFill>
      </fill>
    </dxf>
    <dxf>
      <fill>
        <patternFill patternType="solid">
          <fgColor rgb="FFF97E6F"/>
          <bgColor rgb="FF000000"/>
        </patternFill>
      </fill>
    </dxf>
    <dxf>
      <fill>
        <patternFill patternType="solid">
          <fgColor rgb="FFF9816F"/>
          <bgColor rgb="FF000000"/>
        </patternFill>
      </fill>
    </dxf>
    <dxf>
      <fill>
        <patternFill patternType="solid">
          <fgColor rgb="FFF9826F"/>
          <bgColor rgb="FF000000"/>
        </patternFill>
      </fill>
    </dxf>
    <dxf>
      <fill>
        <patternFill patternType="solid">
          <fgColor rgb="FFF98871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A9172"/>
          <bgColor rgb="FF000000"/>
        </patternFill>
      </fill>
    </dxf>
    <dxf>
      <fill>
        <patternFill patternType="solid">
          <fgColor rgb="FFFA9C74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6A96CC"/>
          <bgColor rgb="FF000000"/>
        </patternFill>
      </fill>
    </dxf>
    <dxf>
      <fill>
        <patternFill patternType="solid">
          <fgColor rgb="FF7AA1D2"/>
          <bgColor rgb="FF000000"/>
        </patternFill>
      </fill>
    </dxf>
    <dxf>
      <fill>
        <patternFill patternType="solid">
          <fgColor rgb="FF91B1DA"/>
          <bgColor rgb="FF000000"/>
        </patternFill>
      </fill>
    </dxf>
    <dxf>
      <fill>
        <patternFill patternType="solid">
          <fgColor rgb="FF95B3DB"/>
          <bgColor rgb="FF000000"/>
        </patternFill>
      </fill>
    </dxf>
    <dxf>
      <fill>
        <patternFill patternType="solid">
          <fgColor rgb="FF97B5DC"/>
          <bgColor rgb="FF000000"/>
        </patternFill>
      </fill>
    </dxf>
    <dxf>
      <fill>
        <patternFill patternType="solid">
          <fgColor rgb="FF9DB9DE"/>
          <bgColor rgb="FF000000"/>
        </patternFill>
      </fill>
    </dxf>
    <dxf>
      <fill>
        <patternFill patternType="solid">
          <fgColor rgb="FFA2BDE0"/>
          <bgColor rgb="FF000000"/>
        </patternFill>
      </fill>
    </dxf>
    <dxf>
      <fill>
        <patternFill patternType="solid">
          <fgColor rgb="FFA5BFE1"/>
          <bgColor rgb="FF000000"/>
        </patternFill>
      </fill>
    </dxf>
    <dxf>
      <fill>
        <patternFill patternType="solid">
          <fgColor rgb="FFA7C1E2"/>
          <bgColor rgb="FF000000"/>
        </patternFill>
      </fill>
    </dxf>
    <dxf>
      <fill>
        <patternFill patternType="solid">
          <fgColor rgb="FFADC4E3"/>
          <bgColor rgb="FF000000"/>
        </patternFill>
      </fill>
    </dxf>
    <dxf>
      <fill>
        <patternFill patternType="solid">
          <fgColor rgb="FFB1C8E5"/>
          <bgColor rgb="FF000000"/>
        </patternFill>
      </fill>
    </dxf>
    <dxf>
      <fill>
        <patternFill patternType="solid">
          <fgColor rgb="FFB5CAE6"/>
          <bgColor rgb="FF000000"/>
        </patternFill>
      </fill>
    </dxf>
    <dxf>
      <fill>
        <patternFill patternType="solid">
          <fgColor rgb="FFB8CCE7"/>
          <bgColor rgb="FF000000"/>
        </patternFill>
      </fill>
    </dxf>
    <dxf>
      <fill>
        <patternFill patternType="solid">
          <fgColor rgb="FFBACEE8"/>
          <bgColor rgb="FF000000"/>
        </patternFill>
      </fill>
    </dxf>
    <dxf>
      <fill>
        <patternFill patternType="solid">
          <fgColor rgb="FFBDD0E9"/>
          <bgColor rgb="FF000000"/>
        </patternFill>
      </fill>
    </dxf>
    <dxf>
      <fill>
        <patternFill patternType="solid">
          <fgColor rgb="FFBED0E9"/>
          <bgColor rgb="FF000000"/>
        </patternFill>
      </fill>
    </dxf>
    <dxf>
      <fill>
        <patternFill patternType="solid">
          <fgColor rgb="FFC7D7ED"/>
          <bgColor rgb="FF000000"/>
        </patternFill>
      </fill>
    </dxf>
    <dxf>
      <fill>
        <patternFill patternType="solid">
          <fgColor rgb="FFC8D8ED"/>
          <bgColor rgb="FF000000"/>
        </patternFill>
      </fill>
    </dxf>
    <dxf>
      <fill>
        <patternFill patternType="solid">
          <fgColor rgb="FFC9D9EE"/>
          <bgColor rgb="FF000000"/>
        </patternFill>
      </fill>
    </dxf>
    <dxf>
      <fill>
        <patternFill patternType="solid">
          <fgColor rgb="FFCAD9EE"/>
          <bgColor rgb="FF000000"/>
        </patternFill>
      </fill>
    </dxf>
    <dxf>
      <fill>
        <patternFill patternType="solid">
          <fgColor rgb="FFCDDBEF"/>
          <bgColor rgb="FF000000"/>
        </patternFill>
      </fill>
    </dxf>
    <dxf>
      <fill>
        <patternFill patternType="solid">
          <fgColor rgb="FFD0DDF0"/>
          <bgColor rgb="FF000000"/>
        </patternFill>
      </fill>
    </dxf>
    <dxf>
      <fill>
        <patternFill patternType="solid">
          <fgColor rgb="FFD5E0F1"/>
          <bgColor rgb="FF000000"/>
        </patternFill>
      </fill>
    </dxf>
    <dxf>
      <fill>
        <patternFill patternType="solid">
          <fgColor rgb="FFD8E3F3"/>
          <bgColor rgb="FF000000"/>
        </patternFill>
      </fill>
    </dxf>
    <dxf>
      <fill>
        <patternFill patternType="solid">
          <fgColor rgb="FFDDE6F4"/>
          <bgColor rgb="FF000000"/>
        </patternFill>
      </fill>
    </dxf>
    <dxf>
      <fill>
        <patternFill patternType="solid">
          <fgColor rgb="FFDDE7F5"/>
          <bgColor rgb="FF000000"/>
        </patternFill>
      </fill>
    </dxf>
    <dxf>
      <fill>
        <patternFill patternType="solid">
          <fgColor rgb="FFDEE7F5"/>
          <bgColor rgb="FF000000"/>
        </patternFill>
      </fill>
    </dxf>
    <dxf>
      <fill>
        <patternFill patternType="solid">
          <fgColor rgb="FFDFE7F5"/>
          <bgColor rgb="FF000000"/>
        </patternFill>
      </fill>
    </dxf>
    <dxf>
      <fill>
        <patternFill patternType="solid">
          <fgColor rgb="FFDFE8F5"/>
          <bgColor rgb="FF000000"/>
        </patternFill>
      </fill>
    </dxf>
    <dxf>
      <fill>
        <patternFill patternType="solid">
          <fgColor rgb="FFE0E8F5"/>
          <bgColor rgb="FF000000"/>
        </patternFill>
      </fill>
    </dxf>
    <dxf>
      <fill>
        <patternFill patternType="solid">
          <fgColor rgb="FFE0E9F6"/>
          <bgColor rgb="FF000000"/>
        </patternFill>
      </fill>
    </dxf>
    <dxf>
      <fill>
        <patternFill patternType="solid">
          <fgColor rgb="FFEBF0F9"/>
          <bgColor rgb="FF000000"/>
        </patternFill>
      </fill>
    </dxf>
    <dxf>
      <fill>
        <patternFill patternType="solid">
          <fgColor rgb="FFEFF3FB"/>
          <bgColor rgb="FF000000"/>
        </patternFill>
      </fill>
    </dxf>
    <dxf>
      <fill>
        <patternFill patternType="solid">
          <fgColor rgb="FFF0F4FB"/>
          <bgColor rgb="FF000000"/>
        </patternFill>
      </fill>
    </dxf>
    <dxf>
      <fill>
        <patternFill patternType="solid">
          <fgColor rgb="FFF3F6FC"/>
          <bgColor rgb="FF000000"/>
        </patternFill>
      </fill>
    </dxf>
    <dxf>
      <fill>
        <patternFill patternType="solid">
          <fgColor rgb="FFF5F7FD"/>
          <bgColor rgb="FF000000"/>
        </patternFill>
      </fill>
    </dxf>
    <dxf>
      <fill>
        <patternFill patternType="solid">
          <fgColor rgb="FFF7F9FE"/>
          <bgColor rgb="FF000000"/>
        </patternFill>
      </fill>
    </dxf>
    <dxf>
      <fill>
        <patternFill patternType="solid">
          <fgColor rgb="FFF87173"/>
          <bgColor rgb="FF000000"/>
        </patternFill>
      </fill>
    </dxf>
    <dxf>
      <fill>
        <patternFill patternType="solid">
          <fgColor rgb="FFF8787A"/>
          <bgColor rgb="FF000000"/>
        </patternFill>
      </fill>
    </dxf>
    <dxf>
      <fill>
        <patternFill patternType="solid">
          <fgColor rgb="FFF87E80"/>
          <bgColor rgb="FF000000"/>
        </patternFill>
      </fill>
    </dxf>
    <dxf>
      <fill>
        <patternFill patternType="solid">
          <fgColor rgb="FFF87F81"/>
          <bgColor rgb="FF000000"/>
        </patternFill>
      </fill>
    </dxf>
    <dxf>
      <fill>
        <patternFill patternType="solid">
          <fgColor rgb="FFF88789"/>
          <bgColor rgb="FF000000"/>
        </patternFill>
      </fill>
    </dxf>
    <dxf>
      <fill>
        <patternFill patternType="solid">
          <fgColor rgb="FFF8888A"/>
          <bgColor rgb="FF000000"/>
        </patternFill>
      </fill>
    </dxf>
    <dxf>
      <fill>
        <patternFill patternType="solid">
          <fgColor rgb="FFF88B8E"/>
          <bgColor rgb="FF000000"/>
        </patternFill>
      </fill>
    </dxf>
    <dxf>
      <fill>
        <patternFill patternType="solid">
          <fgColor rgb="FFF88D8F"/>
          <bgColor rgb="FF000000"/>
        </patternFill>
      </fill>
    </dxf>
    <dxf>
      <fill>
        <patternFill patternType="solid">
          <fgColor rgb="FFF8F9FE"/>
          <bgColor rgb="FF000000"/>
        </patternFill>
      </fill>
    </dxf>
    <dxf>
      <fill>
        <patternFill patternType="solid">
          <fgColor rgb="FFF99597"/>
          <bgColor rgb="FF000000"/>
        </patternFill>
      </fill>
    </dxf>
    <dxf>
      <fill>
        <patternFill patternType="solid">
          <fgColor rgb="FFF99C9E"/>
          <bgColor rgb="FF000000"/>
        </patternFill>
      </fill>
    </dxf>
    <dxf>
      <fill>
        <patternFill patternType="solid">
          <fgColor rgb="FFF9AAAC"/>
          <bgColor rgb="FF000000"/>
        </patternFill>
      </fill>
    </dxf>
    <dxf>
      <fill>
        <patternFill patternType="solid">
          <fgColor rgb="FFF9ADAF"/>
          <bgColor rgb="FF000000"/>
        </patternFill>
      </fill>
    </dxf>
    <dxf>
      <fill>
        <patternFill patternType="solid">
          <fgColor rgb="FFF9B1B3"/>
          <bgColor rgb="FF000000"/>
        </patternFill>
      </fill>
    </dxf>
    <dxf>
      <fill>
        <patternFill patternType="solid">
          <fgColor rgb="FFFAB4B7"/>
          <bgColor rgb="FF000000"/>
        </patternFill>
      </fill>
    </dxf>
    <dxf>
      <fill>
        <patternFill patternType="solid">
          <fgColor rgb="FFFAB5B7"/>
          <bgColor rgb="FF000000"/>
        </patternFill>
      </fill>
    </dxf>
    <dxf>
      <fill>
        <patternFill patternType="solid">
          <fgColor rgb="FFFAB8BB"/>
          <bgColor rgb="FF000000"/>
        </patternFill>
      </fill>
    </dxf>
    <dxf>
      <fill>
        <patternFill patternType="solid">
          <fgColor rgb="FFFABDC0"/>
          <bgColor rgb="FF000000"/>
        </patternFill>
      </fill>
    </dxf>
    <dxf>
      <fill>
        <patternFill patternType="solid">
          <fgColor rgb="FFFAC2C4"/>
          <bgColor rgb="FF000000"/>
        </patternFill>
      </fill>
    </dxf>
    <dxf>
      <fill>
        <patternFill patternType="solid">
          <fgColor rgb="FFFAC8CB"/>
          <bgColor rgb="FF000000"/>
        </patternFill>
      </fill>
    </dxf>
    <dxf>
      <fill>
        <patternFill patternType="solid">
          <fgColor rgb="FFFAC9CB"/>
          <bgColor rgb="FF000000"/>
        </patternFill>
      </fill>
    </dxf>
    <dxf>
      <fill>
        <patternFill patternType="solid">
          <fgColor rgb="FFFACDD0"/>
          <bgColor rgb="FF000000"/>
        </patternFill>
      </fill>
    </dxf>
    <dxf>
      <fill>
        <patternFill patternType="solid">
          <fgColor rgb="FFFACED1"/>
          <bgColor rgb="FF000000"/>
        </patternFill>
      </fill>
    </dxf>
    <dxf>
      <fill>
        <patternFill patternType="solid">
          <fgColor rgb="FFFAD1D4"/>
          <bgColor rgb="FF000000"/>
        </patternFill>
      </fill>
    </dxf>
    <dxf>
      <fill>
        <patternFill patternType="solid">
          <fgColor rgb="FFFAD3D5"/>
          <bgColor rgb="FF000000"/>
        </patternFill>
      </fill>
    </dxf>
    <dxf>
      <fill>
        <patternFill patternType="solid">
          <fgColor rgb="FFFAD3D6"/>
          <bgColor rgb="FF000000"/>
        </patternFill>
      </fill>
    </dxf>
    <dxf>
      <fill>
        <patternFill patternType="solid">
          <fgColor rgb="FFFAFBFF"/>
          <bgColor rgb="FF000000"/>
        </patternFill>
      </fill>
    </dxf>
    <dxf>
      <fill>
        <patternFill patternType="solid">
          <fgColor rgb="FFFBD7DA"/>
          <bgColor rgb="FF000000"/>
        </patternFill>
      </fill>
    </dxf>
    <dxf>
      <fill>
        <patternFill patternType="solid">
          <fgColor rgb="FFFBDADD"/>
          <bgColor rgb="FF000000"/>
        </patternFill>
      </fill>
    </dxf>
    <dxf>
      <fill>
        <patternFill patternType="solid">
          <fgColor rgb="FFFBDCDE"/>
          <bgColor rgb="FF000000"/>
        </patternFill>
      </fill>
    </dxf>
    <dxf>
      <fill>
        <patternFill patternType="solid">
          <fgColor rgb="FFFBDFE2"/>
          <bgColor rgb="FF000000"/>
        </patternFill>
      </fill>
    </dxf>
    <dxf>
      <fill>
        <patternFill patternType="solid">
          <fgColor rgb="FFFBE1E4"/>
          <bgColor rgb="FF000000"/>
        </patternFill>
      </fill>
    </dxf>
    <dxf>
      <fill>
        <patternFill patternType="solid">
          <fgColor rgb="FFFBE2E4"/>
          <bgColor rgb="FF000000"/>
        </patternFill>
      </fill>
    </dxf>
    <dxf>
      <fill>
        <patternFill patternType="solid">
          <fgColor rgb="FFFBE8EB"/>
          <bgColor rgb="FF000000"/>
        </patternFill>
      </fill>
    </dxf>
    <dxf>
      <fill>
        <patternFill patternType="solid">
          <fgColor rgb="FFFBEBED"/>
          <bgColor rgb="FF000000"/>
        </patternFill>
      </fill>
    </dxf>
    <dxf>
      <fill>
        <patternFill patternType="solid">
          <fgColor rgb="FFFBECEE"/>
          <bgColor rgb="FF000000"/>
        </patternFill>
      </fill>
    </dxf>
    <dxf>
      <fill>
        <patternFill patternType="solid">
          <fgColor rgb="FFFBEFF2"/>
          <bgColor rgb="FF000000"/>
        </patternFill>
      </fill>
    </dxf>
    <dxf>
      <fill>
        <patternFill patternType="solid">
          <fgColor rgb="FFFBF3F6"/>
          <bgColor rgb="FF000000"/>
        </patternFill>
      </fill>
    </dxf>
    <dxf>
      <fill>
        <patternFill patternType="solid">
          <fgColor rgb="FFFBF5F8"/>
          <bgColor rgb="FF000000"/>
        </patternFill>
      </fill>
    </dxf>
    <dxf>
      <fill>
        <patternFill patternType="solid">
          <fgColor rgb="FFFBF6F9"/>
          <bgColor rgb="FF000000"/>
        </patternFill>
      </fill>
    </dxf>
    <dxf>
      <fill>
        <patternFill patternType="solid">
          <fgColor rgb="FF70C27C"/>
          <bgColor rgb="FF000000"/>
        </patternFill>
      </fill>
    </dxf>
    <dxf>
      <fill>
        <patternFill patternType="solid">
          <fgColor rgb="FF7CC67D"/>
          <bgColor rgb="FF000000"/>
        </patternFill>
      </fill>
    </dxf>
    <dxf>
      <fill>
        <patternFill patternType="solid">
          <fgColor rgb="FFFA8E72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ED880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82C77D"/>
          <bgColor rgb="FF000000"/>
        </patternFill>
      </fill>
    </dxf>
    <dxf>
      <fill>
        <patternFill patternType="solid">
          <fgColor rgb="FFA4D17F"/>
          <bgColor rgb="FF000000"/>
        </patternFill>
      </fill>
    </dxf>
    <dxf>
      <fill>
        <patternFill patternType="solid">
          <fgColor rgb="FFA5D27F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D880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68C07C"/>
          <bgColor rgb="FF000000"/>
        </patternFill>
      </fill>
    </dxf>
    <dxf>
      <fill>
        <patternFill patternType="solid">
          <fgColor rgb="FF6AC07C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65BF7C"/>
          <bgColor rgb="FF000000"/>
        </patternFill>
      </fill>
    </dxf>
    <dxf>
      <fill>
        <patternFill patternType="solid">
          <fgColor rgb="FF6DC17C"/>
          <bgColor rgb="FF000000"/>
        </patternFill>
      </fill>
    </dxf>
    <dxf>
      <fill>
        <patternFill patternType="solid">
          <fgColor rgb="FF78C47D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5C8CC7"/>
          <bgColor rgb="FF000000"/>
        </patternFill>
      </fill>
    </dxf>
    <dxf>
      <fill>
        <patternFill patternType="solid">
          <fgColor rgb="FF6491CA"/>
          <bgColor rgb="FF000000"/>
        </patternFill>
      </fill>
    </dxf>
    <dxf>
      <fill>
        <patternFill patternType="solid">
          <fgColor rgb="FF6F99CE"/>
          <bgColor rgb="FF000000"/>
        </patternFill>
      </fill>
    </dxf>
    <dxf>
      <fill>
        <patternFill patternType="solid">
          <fgColor rgb="FF98B6DC"/>
          <bgColor rgb="FF000000"/>
        </patternFill>
      </fill>
    </dxf>
    <dxf>
      <fill>
        <patternFill patternType="solid">
          <fgColor rgb="FF9FBBDF"/>
          <bgColor rgb="FF000000"/>
        </patternFill>
      </fill>
    </dxf>
    <dxf>
      <fill>
        <patternFill patternType="solid">
          <fgColor rgb="FFA6BFE1"/>
          <bgColor rgb="FF000000"/>
        </patternFill>
      </fill>
    </dxf>
    <dxf>
      <fill>
        <patternFill patternType="solid">
          <fgColor rgb="FFAFC6E4"/>
          <bgColor rgb="FF000000"/>
        </patternFill>
      </fill>
    </dxf>
    <dxf>
      <fill>
        <patternFill patternType="solid">
          <fgColor rgb="FFB7CCE7"/>
          <bgColor rgb="FF000000"/>
        </patternFill>
      </fill>
    </dxf>
    <dxf>
      <fill>
        <patternFill patternType="solid">
          <fgColor rgb="FFB9CDE8"/>
          <bgColor rgb="FF000000"/>
        </patternFill>
      </fill>
    </dxf>
    <dxf>
      <fill>
        <patternFill patternType="solid">
          <fgColor rgb="FFC1D2EA"/>
          <bgColor rgb="FF000000"/>
        </patternFill>
      </fill>
    </dxf>
    <dxf>
      <fill>
        <patternFill patternType="solid">
          <fgColor rgb="FFC3D4EB"/>
          <bgColor rgb="FF000000"/>
        </patternFill>
      </fill>
    </dxf>
    <dxf>
      <fill>
        <patternFill patternType="solid">
          <fgColor rgb="FFC6D6EC"/>
          <bgColor rgb="FF000000"/>
        </patternFill>
      </fill>
    </dxf>
    <dxf>
      <fill>
        <patternFill patternType="solid">
          <fgColor rgb="FFCBDAEE"/>
          <bgColor rgb="FF000000"/>
        </patternFill>
      </fill>
    </dxf>
    <dxf>
      <fill>
        <patternFill patternType="solid">
          <fgColor rgb="FFCCDAEE"/>
          <bgColor rgb="FF000000"/>
        </patternFill>
      </fill>
    </dxf>
    <dxf>
      <fill>
        <patternFill patternType="solid">
          <fgColor rgb="FFD3DFF1"/>
          <bgColor rgb="FF000000"/>
        </patternFill>
      </fill>
    </dxf>
    <dxf>
      <fill>
        <patternFill patternType="solid">
          <fgColor rgb="FFD7E2F2"/>
          <bgColor rgb="FF000000"/>
        </patternFill>
      </fill>
    </dxf>
    <dxf>
      <fill>
        <patternFill patternType="solid">
          <fgColor rgb="FFD9E4F3"/>
          <bgColor rgb="FF000000"/>
        </patternFill>
      </fill>
    </dxf>
    <dxf>
      <fill>
        <patternFill patternType="solid">
          <fgColor rgb="FFDAE4F3"/>
          <bgColor rgb="FF000000"/>
        </patternFill>
      </fill>
    </dxf>
    <dxf>
      <fill>
        <patternFill patternType="solid">
          <fgColor rgb="FFE3EAF6"/>
          <bgColor rgb="FF000000"/>
        </patternFill>
      </fill>
    </dxf>
    <dxf>
      <fill>
        <patternFill patternType="solid">
          <fgColor rgb="FFE4ECF7"/>
          <bgColor rgb="FF000000"/>
        </patternFill>
      </fill>
    </dxf>
    <dxf>
      <fill>
        <patternFill patternType="solid">
          <fgColor rgb="FFE5ECF7"/>
          <bgColor rgb="FF000000"/>
        </patternFill>
      </fill>
    </dxf>
    <dxf>
      <fill>
        <patternFill patternType="solid">
          <fgColor rgb="FFE7EDF8"/>
          <bgColor rgb="FF000000"/>
        </patternFill>
      </fill>
    </dxf>
    <dxf>
      <fill>
        <patternFill patternType="solid">
          <fgColor rgb="FFE8EEF8"/>
          <bgColor rgb="FF000000"/>
        </patternFill>
      </fill>
    </dxf>
    <dxf>
      <fill>
        <patternFill patternType="solid">
          <fgColor rgb="FFEAEFF9"/>
          <bgColor rgb="FF000000"/>
        </patternFill>
      </fill>
    </dxf>
    <dxf>
      <fill>
        <patternFill patternType="solid">
          <fgColor rgb="FFF1F5FC"/>
          <bgColor rgb="FF000000"/>
        </patternFill>
      </fill>
    </dxf>
    <dxf>
      <fill>
        <patternFill patternType="solid">
          <fgColor rgb="FFF2F5FC"/>
          <bgColor rgb="FF000000"/>
        </patternFill>
      </fill>
    </dxf>
    <dxf>
      <fill>
        <patternFill patternType="solid">
          <fgColor rgb="FFF4F6FC"/>
          <bgColor rgb="FF000000"/>
        </patternFill>
      </fill>
    </dxf>
    <dxf>
      <fill>
        <patternFill patternType="solid">
          <fgColor rgb="FFF6F8FD"/>
          <bgColor rgb="FF000000"/>
        </patternFill>
      </fill>
    </dxf>
    <dxf>
      <fill>
        <patternFill patternType="solid">
          <fgColor rgb="FFF87A7C"/>
          <bgColor rgb="FF000000"/>
        </patternFill>
      </fill>
    </dxf>
    <dxf>
      <fill>
        <patternFill patternType="solid">
          <fgColor rgb="FFF88082"/>
          <bgColor rgb="FF000000"/>
        </patternFill>
      </fill>
    </dxf>
    <dxf>
      <fill>
        <patternFill patternType="solid">
          <fgColor rgb="FFF88689"/>
          <bgColor rgb="FF000000"/>
        </patternFill>
      </fill>
    </dxf>
    <dxf>
      <fill>
        <patternFill patternType="solid">
          <fgColor rgb="FFF88A8C"/>
          <bgColor rgb="FF000000"/>
        </patternFill>
      </fill>
    </dxf>
    <dxf>
      <fill>
        <patternFill patternType="solid">
          <fgColor rgb="FFF88B8D"/>
          <bgColor rgb="FF000000"/>
        </patternFill>
      </fill>
    </dxf>
    <dxf>
      <fill>
        <patternFill patternType="solid">
          <fgColor rgb="FFF99294"/>
          <bgColor rgb="FF000000"/>
        </patternFill>
      </fill>
    </dxf>
    <dxf>
      <fill>
        <patternFill patternType="solid">
          <fgColor rgb="FFF9999B"/>
          <bgColor rgb="FF000000"/>
        </patternFill>
      </fill>
    </dxf>
    <dxf>
      <fill>
        <patternFill patternType="solid">
          <fgColor rgb="FFF9999C"/>
          <bgColor rgb="FF000000"/>
        </patternFill>
      </fill>
    </dxf>
    <dxf>
      <fill>
        <patternFill patternType="solid">
          <fgColor rgb="FFF99D9F"/>
          <bgColor rgb="FF000000"/>
        </patternFill>
      </fill>
    </dxf>
    <dxf>
      <fill>
        <patternFill patternType="solid">
          <fgColor rgb="FFF99EA0"/>
          <bgColor rgb="FF000000"/>
        </patternFill>
      </fill>
    </dxf>
    <dxf>
      <fill>
        <patternFill patternType="solid">
          <fgColor rgb="FFF99FA2"/>
          <bgColor rgb="FF000000"/>
        </patternFill>
      </fill>
    </dxf>
    <dxf>
      <fill>
        <patternFill patternType="solid">
          <fgColor rgb="FFF9ABAE"/>
          <bgColor rgb="FF000000"/>
        </patternFill>
      </fill>
    </dxf>
    <dxf>
      <fill>
        <patternFill patternType="solid">
          <fgColor rgb="FFF9B2B4"/>
          <bgColor rgb="FF000000"/>
        </patternFill>
      </fill>
    </dxf>
    <dxf>
      <fill>
        <patternFill patternType="solid">
          <fgColor rgb="FFF9FAFE"/>
          <bgColor rgb="FF000000"/>
        </patternFill>
      </fill>
    </dxf>
    <dxf>
      <fill>
        <patternFill patternType="solid">
          <fgColor rgb="FFFAB7BA"/>
          <bgColor rgb="FF000000"/>
        </patternFill>
      </fill>
    </dxf>
    <dxf>
      <fill>
        <patternFill patternType="solid">
          <fgColor rgb="FFFAB9BB"/>
          <bgColor rgb="FF000000"/>
        </patternFill>
      </fill>
    </dxf>
    <dxf>
      <fill>
        <patternFill patternType="solid">
          <fgColor rgb="FFFAB9BC"/>
          <bgColor rgb="FF000000"/>
        </patternFill>
      </fill>
    </dxf>
    <dxf>
      <fill>
        <patternFill patternType="solid">
          <fgColor rgb="FFFABCBE"/>
          <bgColor rgb="FF000000"/>
        </patternFill>
      </fill>
    </dxf>
    <dxf>
      <fill>
        <patternFill patternType="solid">
          <fgColor rgb="FFFAC1C3"/>
          <bgColor rgb="FF000000"/>
        </patternFill>
      </fill>
    </dxf>
    <dxf>
      <fill>
        <patternFill patternType="solid">
          <fgColor rgb="FFFAC3C5"/>
          <bgColor rgb="FF000000"/>
        </patternFill>
      </fill>
    </dxf>
    <dxf>
      <fill>
        <patternFill patternType="solid">
          <fgColor rgb="FFFAC4C7"/>
          <bgColor rgb="FF000000"/>
        </patternFill>
      </fill>
    </dxf>
    <dxf>
      <fill>
        <patternFill patternType="solid">
          <fgColor rgb="FFFAC5C7"/>
          <bgColor rgb="FF000000"/>
        </patternFill>
      </fill>
    </dxf>
    <dxf>
      <fill>
        <patternFill patternType="solid">
          <fgColor rgb="FFFAC6C8"/>
          <bgColor rgb="FF000000"/>
        </patternFill>
      </fill>
    </dxf>
    <dxf>
      <fill>
        <patternFill patternType="solid">
          <fgColor rgb="FFFAC7CA"/>
          <bgColor rgb="FF000000"/>
        </patternFill>
      </fill>
    </dxf>
    <dxf>
      <fill>
        <patternFill patternType="solid">
          <fgColor rgb="FFFACBCE"/>
          <bgColor rgb="FF000000"/>
        </patternFill>
      </fill>
    </dxf>
    <dxf>
      <fill>
        <patternFill patternType="solid">
          <fgColor rgb="FFFACCCF"/>
          <bgColor rgb="FF000000"/>
        </patternFill>
      </fill>
    </dxf>
    <dxf>
      <fill>
        <patternFill patternType="solid">
          <fgColor rgb="FFFAD2D5"/>
          <bgColor rgb="FF000000"/>
        </patternFill>
      </fill>
    </dxf>
    <dxf>
      <fill>
        <patternFill patternType="solid">
          <fgColor rgb="FFFAD4D6"/>
          <bgColor rgb="FF000000"/>
        </patternFill>
      </fill>
    </dxf>
    <dxf>
      <fill>
        <patternFill patternType="solid">
          <fgColor rgb="FFFAD5D8"/>
          <bgColor rgb="FF000000"/>
        </patternFill>
      </fill>
    </dxf>
    <dxf>
      <fill>
        <patternFill patternType="solid">
          <fgColor rgb="FFFBD9DC"/>
          <bgColor rgb="FF000000"/>
        </patternFill>
      </fill>
    </dxf>
    <dxf>
      <fill>
        <patternFill patternType="solid">
          <fgColor rgb="FFFBDDE0"/>
          <bgColor rgb="FF000000"/>
        </patternFill>
      </fill>
    </dxf>
    <dxf>
      <fill>
        <patternFill patternType="solid">
          <fgColor rgb="FFFBE5E8"/>
          <bgColor rgb="FF000000"/>
        </patternFill>
      </fill>
    </dxf>
    <dxf>
      <fill>
        <patternFill patternType="solid">
          <fgColor rgb="FFFBE6E9"/>
          <bgColor rgb="FF000000"/>
        </patternFill>
      </fill>
    </dxf>
    <dxf>
      <fill>
        <patternFill patternType="solid">
          <fgColor rgb="FFFBE7E9"/>
          <bgColor rgb="FF000000"/>
        </patternFill>
      </fill>
    </dxf>
    <dxf>
      <fill>
        <patternFill patternType="solid">
          <fgColor rgb="FFFBEEF1"/>
          <bgColor rgb="FF000000"/>
        </patternFill>
      </fill>
    </dxf>
    <dxf>
      <fill>
        <patternFill patternType="solid">
          <fgColor rgb="FFFBF0F3"/>
          <bgColor rgb="FF000000"/>
        </patternFill>
      </fill>
    </dxf>
    <dxf>
      <fill>
        <patternFill patternType="solid">
          <fgColor rgb="FFFBF4F7"/>
          <bgColor rgb="FF000000"/>
        </patternFill>
      </fill>
    </dxf>
    <dxf>
      <fill>
        <patternFill patternType="solid">
          <fgColor rgb="FFFBFBFE"/>
          <bgColor rgb="FF000000"/>
        </patternFill>
      </fill>
    </dxf>
    <dxf>
      <fill>
        <patternFill patternType="solid">
          <fgColor rgb="FFFBAC77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76C47D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8BCA7E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2D17F"/>
          <bgColor rgb="FF000000"/>
        </patternFill>
      </fill>
    </dxf>
    <dxf>
      <fill>
        <patternFill patternType="solid">
          <fgColor rgb="FFEBE583"/>
          <bgColor rgb="FF000000"/>
        </patternFill>
      </fill>
    </dxf>
    <dxf>
      <fill>
        <patternFill patternType="solid">
          <fgColor rgb="FFF97D6F"/>
          <bgColor rgb="FF000000"/>
        </patternFill>
      </fill>
    </dxf>
    <dxf>
      <fill>
        <patternFill patternType="solid">
          <fgColor rgb="FF6995CC"/>
          <bgColor rgb="FF000000"/>
        </patternFill>
      </fill>
    </dxf>
    <dxf>
      <fill>
        <patternFill patternType="solid">
          <fgColor rgb="FFB8CDE8"/>
          <bgColor rgb="FF000000"/>
        </patternFill>
      </fill>
    </dxf>
    <dxf>
      <fill>
        <patternFill patternType="solid">
          <fgColor rgb="FFC1D3EB"/>
          <bgColor rgb="FF000000"/>
        </patternFill>
      </fill>
    </dxf>
    <dxf>
      <fill>
        <patternFill patternType="solid">
          <fgColor rgb="FFC9D8ED"/>
          <bgColor rgb="FF000000"/>
        </patternFill>
      </fill>
    </dxf>
    <dxf>
      <fill>
        <patternFill patternType="solid">
          <fgColor rgb="FFD1DEF0"/>
          <bgColor rgb="FF000000"/>
        </patternFill>
      </fill>
    </dxf>
    <dxf>
      <fill>
        <patternFill patternType="solid">
          <fgColor rgb="FFD5E1F2"/>
          <bgColor rgb="FF000000"/>
        </patternFill>
      </fill>
    </dxf>
    <dxf>
      <fill>
        <patternFill patternType="solid">
          <fgColor rgb="FFF88183"/>
          <bgColor rgb="FF000000"/>
        </patternFill>
      </fill>
    </dxf>
    <dxf>
      <fill>
        <patternFill patternType="solid">
          <fgColor rgb="FFF88587"/>
          <bgColor rgb="FF000000"/>
        </patternFill>
      </fill>
    </dxf>
    <dxf>
      <fill>
        <patternFill patternType="solid">
          <fgColor rgb="FFF99395"/>
          <bgColor rgb="FF000000"/>
        </patternFill>
      </fill>
    </dxf>
    <dxf>
      <fill>
        <patternFill patternType="solid">
          <fgColor rgb="FFF9A2A4"/>
          <bgColor rgb="FF000000"/>
        </patternFill>
      </fill>
    </dxf>
    <dxf>
      <fill>
        <patternFill patternType="solid">
          <fgColor rgb="FFF9A3A5"/>
          <bgColor rgb="FF000000"/>
        </patternFill>
      </fill>
    </dxf>
    <dxf>
      <fill>
        <patternFill patternType="solid">
          <fgColor rgb="FFF9A6A8"/>
          <bgColor rgb="FF000000"/>
        </patternFill>
      </fill>
    </dxf>
    <dxf>
      <fill>
        <patternFill patternType="solid">
          <fgColor rgb="FFF9AFB1"/>
          <bgColor rgb="FF000000"/>
        </patternFill>
      </fill>
    </dxf>
    <dxf>
      <fill>
        <patternFill patternType="solid">
          <fgColor rgb="FFFAB3B5"/>
          <bgColor rgb="FF000000"/>
        </patternFill>
      </fill>
    </dxf>
    <dxf>
      <fill>
        <patternFill patternType="solid">
          <fgColor rgb="FFFABEC1"/>
          <bgColor rgb="FF000000"/>
        </patternFill>
      </fill>
    </dxf>
    <dxf>
      <fill>
        <patternFill patternType="solid">
          <fgColor rgb="FFFACFD2"/>
          <bgColor rgb="FF000000"/>
        </patternFill>
      </fill>
    </dxf>
    <dxf>
      <fill>
        <patternFill patternType="solid">
          <fgColor rgb="FFFAD7D9"/>
          <bgColor rgb="FF000000"/>
        </patternFill>
      </fill>
    </dxf>
    <dxf>
      <fill>
        <patternFill patternType="solid">
          <fgColor rgb="FFFBDFE1"/>
          <bgColor rgb="FF000000"/>
        </patternFill>
      </fill>
    </dxf>
    <dxf>
      <fill>
        <patternFill patternType="solid">
          <fgColor rgb="FFFBE3E6"/>
          <bgColor rgb="FF000000"/>
        </patternFill>
      </fill>
    </dxf>
    <dxf>
      <fill>
        <patternFill patternType="solid">
          <fgColor rgb="FFFBE7EA"/>
          <bgColor rgb="FF000000"/>
        </patternFill>
      </fill>
    </dxf>
    <dxf>
      <fill>
        <patternFill patternType="solid">
          <fgColor rgb="FFFBF8FB"/>
          <bgColor rgb="FF000000"/>
        </patternFill>
      </fill>
    </dxf>
    <dxf>
      <fill>
        <patternFill patternType="solid">
          <fgColor rgb="FFFBF9FC"/>
          <bgColor rgb="FF000000"/>
        </patternFill>
      </fill>
    </dxf>
    <dxf>
      <font>
        <b val="1"/>
        <color rgb="FFFF0000"/>
      </font>
    </dxf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A6A6A6"/>
      <rgbColor rgb="FF163E64"/>
      <rgbColor rgb="FF339966"/>
      <rgbColor rgb="FF003300"/>
      <rgbColor rgb="FF404040"/>
      <rgbColor rgb="FF993300"/>
      <rgbColor rgb="FF993366"/>
      <rgbColor rgb="FF1F3864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97" strike="noStrike">
                <a:solidFill>
                  <a:srgbClr val="f2f2f2"/>
                </a:solidFill>
                <a:latin typeface="Aptos Narrow"/>
              </a:defRPr>
            </a:pPr>
            <a:r>
              <a:rPr b="1" lang="en-US" sz="1600" spc="97" strike="noStrike">
                <a:solidFill>
                  <a:srgbClr val="f2f2f2"/>
                </a:solidFill>
                <a:latin typeface="Aptos Narrow"/>
              </a:rPr>
              <a:t>WR Games Played 2015-2025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56082"/>
            </a:solidFill>
            <a:ln cap="rnd" w="3492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ffc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cat>
            <c:strRef>
              <c:f>categories</c:f>
              <c:strCach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strCache>
            </c:strRef>
          </c:cat>
          <c:val>
            <c:numRef>
              <c:f>0</c:f>
              <c:numCache>
                <c:formatCode>0.0</c:formatCode>
                <c:ptCount val="80"/>
                <c:pt idx="0">
                  <c:v>13.8496339519067</c:v>
                </c:pt>
                <c:pt idx="1">
                  <c:v>13.8496339519067</c:v>
                </c:pt>
                <c:pt idx="2">
                  <c:v>13.8496339519067</c:v>
                </c:pt>
                <c:pt idx="3">
                  <c:v>13.8496339519067</c:v>
                </c:pt>
                <c:pt idx="4">
                  <c:v>13.8496339519067</c:v>
                </c:pt>
                <c:pt idx="5">
                  <c:v>13.8496339519067</c:v>
                </c:pt>
                <c:pt idx="6">
                  <c:v>13.6416134875226</c:v>
                </c:pt>
                <c:pt idx="7">
                  <c:v>13.8275421960959</c:v>
                </c:pt>
                <c:pt idx="8">
                  <c:v>13.6269802832613</c:v>
                </c:pt>
                <c:pt idx="9">
                  <c:v>13.4448708775155</c:v>
                </c:pt>
                <c:pt idx="10">
                  <c:v>13.3856343564608</c:v>
                </c:pt>
                <c:pt idx="11">
                  <c:v>13.3851935851109</c:v>
                </c:pt>
                <c:pt idx="12">
                  <c:v>13.3823285713368</c:v>
                </c:pt>
                <c:pt idx="13">
                  <c:v>13.3969036931847</c:v>
                </c:pt>
                <c:pt idx="14">
                  <c:v>13.4607307751936</c:v>
                </c:pt>
                <c:pt idx="15">
                  <c:v>13.5068894099473</c:v>
                </c:pt>
                <c:pt idx="16">
                  <c:v>13.4503816752577</c:v>
                </c:pt>
                <c:pt idx="17">
                  <c:v>13.5632329149271</c:v>
                </c:pt>
                <c:pt idx="18">
                  <c:v>13.4708211944162</c:v>
                </c:pt>
                <c:pt idx="19">
                  <c:v>13.3670379069966</c:v>
                </c:pt>
                <c:pt idx="20">
                  <c:v>13.5282893827935</c:v>
                </c:pt>
                <c:pt idx="21">
                  <c:v>13.529450645773</c:v>
                </c:pt>
                <c:pt idx="22">
                  <c:v>13.380776895281</c:v>
                </c:pt>
                <c:pt idx="23">
                  <c:v>13.310473864978</c:v>
                </c:pt>
                <c:pt idx="24">
                  <c:v>13.1895902031853</c:v>
                </c:pt>
                <c:pt idx="25">
                  <c:v>12.915198768174</c:v>
                </c:pt>
                <c:pt idx="26">
                  <c:v>12.4590480043373</c:v>
                </c:pt>
                <c:pt idx="27">
                  <c:v>12.27926150984</c:v>
                </c:pt>
                <c:pt idx="28">
                  <c:v>12.0351312461643</c:v>
                </c:pt>
                <c:pt idx="29">
                  <c:v>11.9038994476598</c:v>
                </c:pt>
                <c:pt idx="30">
                  <c:v>11.9447337648577</c:v>
                </c:pt>
                <c:pt idx="31">
                  <c:v>11.8303319545468</c:v>
                </c:pt>
                <c:pt idx="32">
                  <c:v>11.7065575471361</c:v>
                </c:pt>
                <c:pt idx="33">
                  <c:v>11.7411817108511</c:v>
                </c:pt>
                <c:pt idx="34">
                  <c:v>11.7632785534025</c:v>
                </c:pt>
                <c:pt idx="35">
                  <c:v>11.9114683181832</c:v>
                </c:pt>
                <c:pt idx="36">
                  <c:v>11.909876544484</c:v>
                </c:pt>
                <c:pt idx="37">
                  <c:v>12.2303330576678</c:v>
                </c:pt>
                <c:pt idx="38">
                  <c:v>12.2543274287696</c:v>
                </c:pt>
                <c:pt idx="39">
                  <c:v>12.4373873991023</c:v>
                </c:pt>
                <c:pt idx="40">
                  <c:v>12.3448864152377</c:v>
                </c:pt>
                <c:pt idx="41">
                  <c:v>12.3481292330259</c:v>
                </c:pt>
                <c:pt idx="42">
                  <c:v>12.2106853133093</c:v>
                </c:pt>
                <c:pt idx="43">
                  <c:v>12.1331896776318</c:v>
                </c:pt>
                <c:pt idx="44">
                  <c:v>11.8992396882273</c:v>
                </c:pt>
                <c:pt idx="45">
                  <c:v>11.8021448134051</c:v>
                </c:pt>
                <c:pt idx="46">
                  <c:v>11.6343840135989</c:v>
                </c:pt>
                <c:pt idx="47">
                  <c:v>11.7759537845075</c:v>
                </c:pt>
                <c:pt idx="48">
                  <c:v>11.6120204451196</c:v>
                </c:pt>
                <c:pt idx="49">
                  <c:v>11.5458262719833</c:v>
                </c:pt>
                <c:pt idx="50">
                  <c:v>11.4657723864749</c:v>
                </c:pt>
                <c:pt idx="51">
                  <c:v>11.5063843502687</c:v>
                </c:pt>
                <c:pt idx="52">
                  <c:v>11.4977342125276</c:v>
                </c:pt>
                <c:pt idx="53">
                  <c:v>11.4896763612879</c:v>
                </c:pt>
                <c:pt idx="54">
                  <c:v>11.5560661331323</c:v>
                </c:pt>
                <c:pt idx="55">
                  <c:v>11.5641801403372</c:v>
                </c:pt>
                <c:pt idx="56">
                  <c:v>11.4577259884285</c:v>
                </c:pt>
                <c:pt idx="57">
                  <c:v>11.3946484598964</c:v>
                </c:pt>
                <c:pt idx="58">
                  <c:v>11.3993098315826</c:v>
                </c:pt>
                <c:pt idx="59">
                  <c:v>11.4047898061534</c:v>
                </c:pt>
                <c:pt idx="60">
                  <c:v>11.2418001695274</c:v>
                </c:pt>
                <c:pt idx="61">
                  <c:v>11.1439949719702</c:v>
                </c:pt>
                <c:pt idx="62">
                  <c:v>11.1727356252563</c:v>
                </c:pt>
                <c:pt idx="63">
                  <c:v>11.2315786004629</c:v>
                </c:pt>
                <c:pt idx="64">
                  <c:v>11.2008485729147</c:v>
                </c:pt>
                <c:pt idx="65">
                  <c:v>11.0303251569367</c:v>
                </c:pt>
                <c:pt idx="66">
                  <c:v>11.0514779435441</c:v>
                </c:pt>
                <c:pt idx="67">
                  <c:v>11.2079740736766</c:v>
                </c:pt>
                <c:pt idx="68">
                  <c:v>10.9900992212563</c:v>
                </c:pt>
                <c:pt idx="69">
                  <c:v>10.9638503690983</c:v>
                </c:pt>
                <c:pt idx="70">
                  <c:v>11.0646728799208</c:v>
                </c:pt>
                <c:pt idx="71">
                  <c:v>11.2609925107033</c:v>
                </c:pt>
                <c:pt idx="72">
                  <c:v>11.1981266621349</c:v>
                </c:pt>
                <c:pt idx="73">
                  <c:v>10.8983558131492</c:v>
                </c:pt>
                <c:pt idx="74">
                  <c:v>10.8074467222401</c:v>
                </c:pt>
                <c:pt idx="75">
                  <c:v>10.8422520005247</c:v>
                </c:pt>
                <c:pt idx="76">
                  <c:v>10.9296402699433</c:v>
                </c:pt>
                <c:pt idx="77">
                  <c:v>11.0373604552014</c:v>
                </c:pt>
                <c:pt idx="78">
                  <c:v>10.8010918086243</c:v>
                </c:pt>
                <c:pt idx="79">
                  <c:v>11.2302636757182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980722"/>
        <c:axId val="20669323"/>
      </c:lineChart>
      <c:catAx>
        <c:axId val="71980722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f2f2f2">
                <a:alpha val="10000"/>
              </a:srgbClr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20669323"/>
        <c:crosses val="autoZero"/>
        <c:auto val="1"/>
        <c:lblAlgn val="ctr"/>
        <c:lblOffset val="100"/>
        <c:noMultiLvlLbl val="0"/>
      </c:catAx>
      <c:valAx>
        <c:axId val="20669323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719807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97" strike="noStrike">
                <a:solidFill>
                  <a:srgbClr val="f2f2f2"/>
                </a:solidFill>
                <a:latin typeface="Aptos Narrow"/>
              </a:defRPr>
            </a:pPr>
            <a:r>
              <a:rPr b="1" lang="en-US" sz="1600" spc="97" strike="noStrike">
                <a:solidFill>
                  <a:srgbClr val="f2f2f2"/>
                </a:solidFill>
                <a:latin typeface="Aptos Narrow"/>
              </a:rPr>
              <a:t>RB Games Played 2015-2025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56082"/>
            </a:solidFill>
            <a:ln cap="rnd" w="3492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ffc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cat>
            <c:strRef>
              <c:f>categories</c:f>
              <c:strCache>
                <c:ptCount val="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</c:strCache>
            </c:strRef>
          </c:cat>
          <c:val>
            <c:numRef>
              <c:f>0</c:f>
              <c:numCache>
                <c:formatCode>0.0</c:formatCode>
                <c:ptCount val="69"/>
                <c:pt idx="0">
                  <c:v>13.6181818181818</c:v>
                </c:pt>
                <c:pt idx="1">
                  <c:v>13.6181818181818</c:v>
                </c:pt>
                <c:pt idx="2">
                  <c:v>13.6181818181818</c:v>
                </c:pt>
                <c:pt idx="3">
                  <c:v>13.6181818181818</c:v>
                </c:pt>
                <c:pt idx="4">
                  <c:v>13.6181818181818</c:v>
                </c:pt>
                <c:pt idx="5">
                  <c:v>13.6181818181818</c:v>
                </c:pt>
                <c:pt idx="6">
                  <c:v>13.8165289256198</c:v>
                </c:pt>
                <c:pt idx="7">
                  <c:v>13.9586776859504</c:v>
                </c:pt>
                <c:pt idx="8">
                  <c:v>13.6694214876033</c:v>
                </c:pt>
                <c:pt idx="9">
                  <c:v>13.5619834710744</c:v>
                </c:pt>
                <c:pt idx="10">
                  <c:v>13.4876033057851</c:v>
                </c:pt>
                <c:pt idx="11">
                  <c:v>13.5123966942149</c:v>
                </c:pt>
                <c:pt idx="12">
                  <c:v>13.396694214876</c:v>
                </c:pt>
                <c:pt idx="13">
                  <c:v>13.2892561983471</c:v>
                </c:pt>
                <c:pt idx="14">
                  <c:v>13.0826446280992</c:v>
                </c:pt>
                <c:pt idx="15">
                  <c:v>13.1157024793388</c:v>
                </c:pt>
                <c:pt idx="16">
                  <c:v>12.9917355371901</c:v>
                </c:pt>
                <c:pt idx="17">
                  <c:v>12.9256198347107</c:v>
                </c:pt>
                <c:pt idx="18">
                  <c:v>12.8099173553719</c:v>
                </c:pt>
                <c:pt idx="19">
                  <c:v>12.9338842975207</c:v>
                </c:pt>
                <c:pt idx="20">
                  <c:v>12.9586776859504</c:v>
                </c:pt>
                <c:pt idx="21">
                  <c:v>12.8842975206612</c:v>
                </c:pt>
                <c:pt idx="22">
                  <c:v>12.7851239669422</c:v>
                </c:pt>
                <c:pt idx="23">
                  <c:v>12.7603305785124</c:v>
                </c:pt>
                <c:pt idx="24">
                  <c:v>12.7685950413223</c:v>
                </c:pt>
                <c:pt idx="25">
                  <c:v>12.9090909090909</c:v>
                </c:pt>
                <c:pt idx="26">
                  <c:v>12.7603305785124</c:v>
                </c:pt>
                <c:pt idx="27">
                  <c:v>12.8099173553719</c:v>
                </c:pt>
                <c:pt idx="28">
                  <c:v>12.6528925619835</c:v>
                </c:pt>
                <c:pt idx="29">
                  <c:v>12.6859504132231</c:v>
                </c:pt>
                <c:pt idx="30">
                  <c:v>12.6528925619835</c:v>
                </c:pt>
                <c:pt idx="31">
                  <c:v>12.7768595041322</c:v>
                </c:pt>
                <c:pt idx="32">
                  <c:v>12.6446280991736</c:v>
                </c:pt>
                <c:pt idx="33">
                  <c:v>12.7355371900827</c:v>
                </c:pt>
                <c:pt idx="34">
                  <c:v>12.6528925619835</c:v>
                </c:pt>
                <c:pt idx="35">
                  <c:v>12.7851239669422</c:v>
                </c:pt>
                <c:pt idx="36">
                  <c:v>12.7685950413223</c:v>
                </c:pt>
                <c:pt idx="37">
                  <c:v>12.9504132231405</c:v>
                </c:pt>
                <c:pt idx="38">
                  <c:v>12.7685950413223</c:v>
                </c:pt>
                <c:pt idx="39">
                  <c:v>12.8925619834711</c:v>
                </c:pt>
                <c:pt idx="40">
                  <c:v>12.8677685950413</c:v>
                </c:pt>
                <c:pt idx="41">
                  <c:v>12.9752066115703</c:v>
                </c:pt>
                <c:pt idx="42">
                  <c:v>12.7933884297521</c:v>
                </c:pt>
                <c:pt idx="43">
                  <c:v>12.8760330578512</c:v>
                </c:pt>
                <c:pt idx="44">
                  <c:v>12.6280991735537</c:v>
                </c:pt>
                <c:pt idx="45">
                  <c:v>12.6280991735537</c:v>
                </c:pt>
                <c:pt idx="46">
                  <c:v>12.603305785124</c:v>
                </c:pt>
                <c:pt idx="47">
                  <c:v>12.5123966942149</c:v>
                </c:pt>
                <c:pt idx="48">
                  <c:v>12.1900826446281</c:v>
                </c:pt>
                <c:pt idx="49">
                  <c:v>12.2809917355372</c:v>
                </c:pt>
                <c:pt idx="50">
                  <c:v>12.2561983471074</c:v>
                </c:pt>
                <c:pt idx="51">
                  <c:v>12.1900826446281</c:v>
                </c:pt>
                <c:pt idx="52">
                  <c:v>11.9669421487603</c:v>
                </c:pt>
                <c:pt idx="53">
                  <c:v>12</c:v>
                </c:pt>
                <c:pt idx="54">
                  <c:v>12.0495867768595</c:v>
                </c:pt>
                <c:pt idx="55">
                  <c:v>12.1818181818182</c:v>
                </c:pt>
                <c:pt idx="56">
                  <c:v>12.0165289256198</c:v>
                </c:pt>
                <c:pt idx="57">
                  <c:v>11.801652892562</c:v>
                </c:pt>
                <c:pt idx="58">
                  <c:v>11.2809917355372</c:v>
                </c:pt>
                <c:pt idx="59">
                  <c:v>11.3471074380165</c:v>
                </c:pt>
                <c:pt idx="60">
                  <c:v>11.1818181818182</c:v>
                </c:pt>
                <c:pt idx="61">
                  <c:v>11.1818181818182</c:v>
                </c:pt>
                <c:pt idx="62">
                  <c:v>10.9090909090909</c:v>
                </c:pt>
                <c:pt idx="63">
                  <c:v>10.9504132231405</c:v>
                </c:pt>
                <c:pt idx="64">
                  <c:v>10.8818181818182</c:v>
                </c:pt>
                <c:pt idx="65">
                  <c:v>10.7474747474748</c:v>
                </c:pt>
                <c:pt idx="66">
                  <c:v>10.3636363636364</c:v>
                </c:pt>
                <c:pt idx="67">
                  <c:v>10.4805194805195</c:v>
                </c:pt>
                <c:pt idx="68">
                  <c:v>10.3939393939394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900101"/>
        <c:axId val="53794363"/>
      </c:lineChart>
      <c:catAx>
        <c:axId val="31900101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f2f2f2">
                <a:alpha val="10000"/>
              </a:srgbClr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53794363"/>
        <c:crosses val="autoZero"/>
        <c:auto val="1"/>
        <c:lblAlgn val="ctr"/>
        <c:lblOffset val="100"/>
        <c:noMultiLvlLbl val="0"/>
      </c:catAx>
      <c:valAx>
        <c:axId val="53794363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319001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97" strike="noStrike">
                <a:solidFill>
                  <a:srgbClr val="f2f2f2"/>
                </a:solidFill>
                <a:latin typeface="Aptos Narrow"/>
              </a:defRPr>
            </a:pPr>
            <a:r>
              <a:rPr b="1" lang="en-US" sz="1600" spc="97" strike="noStrike">
                <a:solidFill>
                  <a:srgbClr val="f2f2f2"/>
                </a:solidFill>
                <a:latin typeface="Aptos Narrow"/>
              </a:rPr>
              <a:t>QB Games Played 2015-2025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56082"/>
            </a:solidFill>
            <a:ln cap="rnd" w="3492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ffc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cat>
            <c:strRef>
              <c:f>categories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strCache>
            </c:strRef>
          </c:cat>
          <c:val>
            <c:numRef>
              <c:f>0</c:f>
              <c:numCache>
                <c:formatCode>0.0</c:formatCode>
                <c:ptCount val="32"/>
                <c:pt idx="0">
                  <c:v>14.0661157024793</c:v>
                </c:pt>
                <c:pt idx="1">
                  <c:v>14.0661157024793</c:v>
                </c:pt>
                <c:pt idx="2">
                  <c:v>14.0661157024793</c:v>
                </c:pt>
                <c:pt idx="3">
                  <c:v>14.0661157024793</c:v>
                </c:pt>
                <c:pt idx="4">
                  <c:v>14.0661157024793</c:v>
                </c:pt>
                <c:pt idx="5">
                  <c:v>14.0661157024793</c:v>
                </c:pt>
                <c:pt idx="6">
                  <c:v>13.900826446281</c:v>
                </c:pt>
                <c:pt idx="7">
                  <c:v>13.6942148760331</c:v>
                </c:pt>
                <c:pt idx="8">
                  <c:v>13.7933884297521</c:v>
                </c:pt>
                <c:pt idx="9">
                  <c:v>13.8181818181818</c:v>
                </c:pt>
                <c:pt idx="10">
                  <c:v>13.8347107438017</c:v>
                </c:pt>
                <c:pt idx="11">
                  <c:v>13.9338842975207</c:v>
                </c:pt>
                <c:pt idx="12">
                  <c:v>13.9173553719008</c:v>
                </c:pt>
                <c:pt idx="13">
                  <c:v>13.8842975206612</c:v>
                </c:pt>
                <c:pt idx="14">
                  <c:v>13.8760330578512</c:v>
                </c:pt>
                <c:pt idx="15">
                  <c:v>13.7190082644628</c:v>
                </c:pt>
                <c:pt idx="16">
                  <c:v>13.8264462809917</c:v>
                </c:pt>
                <c:pt idx="17">
                  <c:v>13.9421487603306</c:v>
                </c:pt>
                <c:pt idx="18">
                  <c:v>13.8099173553719</c:v>
                </c:pt>
                <c:pt idx="19">
                  <c:v>13.4793388429752</c:v>
                </c:pt>
                <c:pt idx="20">
                  <c:v>13.3140495867769</c:v>
                </c:pt>
                <c:pt idx="21">
                  <c:v>12.9586776859504</c:v>
                </c:pt>
                <c:pt idx="22">
                  <c:v>12.7520661157025</c:v>
                </c:pt>
                <c:pt idx="23">
                  <c:v>12.4793388429752</c:v>
                </c:pt>
                <c:pt idx="24">
                  <c:v>12.0082644628099</c:v>
                </c:pt>
                <c:pt idx="25">
                  <c:v>11.7272727272727</c:v>
                </c:pt>
                <c:pt idx="26">
                  <c:v>11.8760330578512</c:v>
                </c:pt>
                <c:pt idx="27">
                  <c:v>11.6545454545455</c:v>
                </c:pt>
                <c:pt idx="28">
                  <c:v>11.4242424242424</c:v>
                </c:pt>
                <c:pt idx="29">
                  <c:v>11.375</c:v>
                </c:pt>
                <c:pt idx="30">
                  <c:v>11.4545454545455</c:v>
                </c:pt>
                <c:pt idx="31">
                  <c:v>11.0909090909091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281673"/>
        <c:axId val="5329866"/>
      </c:lineChart>
      <c:catAx>
        <c:axId val="84281673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f2f2f2">
                <a:alpha val="10000"/>
              </a:srgbClr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5329866"/>
        <c:crosses val="autoZero"/>
        <c:auto val="1"/>
        <c:lblAlgn val="ctr"/>
        <c:lblOffset val="100"/>
        <c:noMultiLvlLbl val="0"/>
      </c:catAx>
      <c:valAx>
        <c:axId val="5329866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842816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97" strike="noStrike">
                <a:solidFill>
                  <a:srgbClr val="f2f2f2"/>
                </a:solidFill>
                <a:latin typeface="Aptos Narrow"/>
              </a:defRPr>
            </a:pPr>
            <a:r>
              <a:rPr b="1" lang="en-US" sz="1600" spc="97" strike="noStrike">
                <a:solidFill>
                  <a:srgbClr val="f2f2f2"/>
                </a:solidFill>
                <a:latin typeface="Aptos Narrow"/>
              </a:rPr>
              <a:t>TE Games Played 2015-2025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56082"/>
            </a:solidFill>
            <a:ln cap="rnd" w="3492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ffc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cat>
            <c:strRef>
              <c:f>categories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0</c:f>
              <c:numCache>
                <c:formatCode>0</c:formatCode>
                <c:ptCount val="28"/>
                <c:pt idx="0">
                  <c:v>14.0661157024793</c:v>
                </c:pt>
                <c:pt idx="1">
                  <c:v>14.0661157024793</c:v>
                </c:pt>
                <c:pt idx="2">
                  <c:v>14.0661157024793</c:v>
                </c:pt>
                <c:pt idx="3">
                  <c:v>14.0661157024793</c:v>
                </c:pt>
                <c:pt idx="4">
                  <c:v>14.0661157024793</c:v>
                </c:pt>
                <c:pt idx="5">
                  <c:v>14.0661157024793</c:v>
                </c:pt>
                <c:pt idx="6">
                  <c:v>13.900826446281</c:v>
                </c:pt>
                <c:pt idx="7">
                  <c:v>13.6942148760331</c:v>
                </c:pt>
                <c:pt idx="8">
                  <c:v>13.7933884297521</c:v>
                </c:pt>
                <c:pt idx="9">
                  <c:v>13.8181818181818</c:v>
                </c:pt>
                <c:pt idx="10">
                  <c:v>13.8347107438017</c:v>
                </c:pt>
                <c:pt idx="11">
                  <c:v>13.9338842975207</c:v>
                </c:pt>
                <c:pt idx="12">
                  <c:v>13.9173553719008</c:v>
                </c:pt>
                <c:pt idx="13">
                  <c:v>13.8842975206612</c:v>
                </c:pt>
                <c:pt idx="14">
                  <c:v>13.8760330578512</c:v>
                </c:pt>
                <c:pt idx="15">
                  <c:v>13.7190082644628</c:v>
                </c:pt>
                <c:pt idx="16">
                  <c:v>13.8264462809917</c:v>
                </c:pt>
                <c:pt idx="17">
                  <c:v>13.9421487603306</c:v>
                </c:pt>
                <c:pt idx="18">
                  <c:v>13.8099173553719</c:v>
                </c:pt>
                <c:pt idx="19">
                  <c:v>13.4793388429752</c:v>
                </c:pt>
                <c:pt idx="20">
                  <c:v>13.3140495867769</c:v>
                </c:pt>
                <c:pt idx="21">
                  <c:v>12.9586776859504</c:v>
                </c:pt>
                <c:pt idx="22">
                  <c:v>12.7520661157025</c:v>
                </c:pt>
                <c:pt idx="23">
                  <c:v>12.4793388429752</c:v>
                </c:pt>
                <c:pt idx="24">
                  <c:v>12.0082644628099</c:v>
                </c:pt>
                <c:pt idx="25">
                  <c:v>11.7272727272727</c:v>
                </c:pt>
                <c:pt idx="26">
                  <c:v>11.8760330578512</c:v>
                </c:pt>
                <c:pt idx="27">
                  <c:v>11.6545454545455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483019"/>
        <c:axId val="96670233"/>
      </c:lineChart>
      <c:catAx>
        <c:axId val="81483019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f2f2f2">
                <a:alpha val="10000"/>
              </a:srgbClr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96670233"/>
        <c:crosses val="autoZero"/>
        <c:auto val="1"/>
        <c:lblAlgn val="ctr"/>
        <c:lblOffset val="100"/>
        <c:noMultiLvlLbl val="0"/>
      </c:catAx>
      <c:valAx>
        <c:axId val="96670233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Aptos Narrow"/>
              </a:defRPr>
            </a:pPr>
          </a:p>
        </c:txPr>
        <c:crossAx val="814830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277920</xdr:colOff>
      <xdr:row>0</xdr:row>
      <xdr:rowOff>134640</xdr:rowOff>
    </xdr:from>
    <xdr:to>
      <xdr:col>12</xdr:col>
      <xdr:colOff>1173960</xdr:colOff>
      <xdr:row>21</xdr:row>
      <xdr:rowOff>26640</xdr:rowOff>
    </xdr:to>
    <xdr:graphicFrame>
      <xdr:nvGraphicFramePr>
        <xdr:cNvPr id="0" name="Chart 1"/>
        <xdr:cNvGraphicFramePr/>
      </xdr:nvGraphicFramePr>
      <xdr:xfrm>
        <a:off x="5098320" y="134640"/>
        <a:ext cx="9210600" cy="369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1192320</xdr:colOff>
      <xdr:row>0</xdr:row>
      <xdr:rowOff>134640</xdr:rowOff>
    </xdr:from>
    <xdr:to>
      <xdr:col>22</xdr:col>
      <xdr:colOff>232560</xdr:colOff>
      <xdr:row>21</xdr:row>
      <xdr:rowOff>26640</xdr:rowOff>
    </xdr:to>
    <xdr:graphicFrame>
      <xdr:nvGraphicFramePr>
        <xdr:cNvPr id="1" name="Chart 2"/>
        <xdr:cNvGraphicFramePr/>
      </xdr:nvGraphicFramePr>
      <xdr:xfrm>
        <a:off x="14327280" y="134640"/>
        <a:ext cx="9807480" cy="369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277920</xdr:colOff>
      <xdr:row>21</xdr:row>
      <xdr:rowOff>36000</xdr:rowOff>
    </xdr:from>
    <xdr:to>
      <xdr:col>12</xdr:col>
      <xdr:colOff>1173960</xdr:colOff>
      <xdr:row>41</xdr:row>
      <xdr:rowOff>107280</xdr:rowOff>
    </xdr:to>
    <xdr:graphicFrame>
      <xdr:nvGraphicFramePr>
        <xdr:cNvPr id="2" name="Chart 3"/>
        <xdr:cNvGraphicFramePr/>
      </xdr:nvGraphicFramePr>
      <xdr:xfrm>
        <a:off x="5098320" y="3836520"/>
        <a:ext cx="9210600" cy="369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1192320</xdr:colOff>
      <xdr:row>21</xdr:row>
      <xdr:rowOff>36000</xdr:rowOff>
    </xdr:from>
    <xdr:to>
      <xdr:col>22</xdr:col>
      <xdr:colOff>232560</xdr:colOff>
      <xdr:row>41</xdr:row>
      <xdr:rowOff>107280</xdr:rowOff>
    </xdr:to>
    <xdr:graphicFrame>
      <xdr:nvGraphicFramePr>
        <xdr:cNvPr id="3" name="Chart 4"/>
        <xdr:cNvGraphicFramePr/>
      </xdr:nvGraphicFramePr>
      <xdr:xfrm>
        <a:off x="14327280" y="3836520"/>
        <a:ext cx="9807480" cy="369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0" displayName="Table10" ref="L4:S84" headerRowCount="1" totalsRowCount="0" totalsRowShown="0">
  <autoFilter ref="L4:S84"/>
  <tableColumns count="8">
    <tableColumn id="1" name="TIER"/>
    <tableColumn id="2" name="NAME"/>
    <tableColumn id="3" name="TM/BYE"/>
    <tableColumn id="4" name="PTS"/>
    <tableColumn id="5" name="VALUE"/>
    <tableColumn id="6" name="PS"/>
    <tableColumn id="7" name="ECR"/>
    <tableColumn id="8" name="DRAFT"/>
  </tableColumns>
</table>
</file>

<file path=xl/tables/table2.xml><?xml version="1.0" encoding="utf-8"?>
<table xmlns="http://schemas.openxmlformats.org/spreadsheetml/2006/main" id="2" name="Table11" displayName="Table11" ref="V4:AC84" headerRowCount="1" totalsRowCount="0" totalsRowShown="0">
  <autoFilter ref="V4:AC84"/>
  <tableColumns count="8">
    <tableColumn id="1" name="TIER"/>
    <tableColumn id="2" name="NAME"/>
    <tableColumn id="3" name="TM/BYE"/>
    <tableColumn id="4" name="PTS"/>
    <tableColumn id="5" name="VALUE"/>
    <tableColumn id="6" name="PS"/>
    <tableColumn id="7" name="ECR"/>
    <tableColumn id="8" name="DRAFT"/>
  </tableColumns>
</table>
</file>

<file path=xl/tables/table3.xml><?xml version="1.0" encoding="utf-8"?>
<table xmlns="http://schemas.openxmlformats.org/spreadsheetml/2006/main" id="3" name="Table12" displayName="Table12" ref="B47:I84" headerRowCount="1" totalsRowCount="0" totalsRowShown="0">
  <autoFilter ref="B47:I84"/>
  <tableColumns count="8">
    <tableColumn id="1" name="TIER"/>
    <tableColumn id="2" name="NAME"/>
    <tableColumn id="3" name="TM/BYE"/>
    <tableColumn id="4" name="PTS"/>
    <tableColumn id="5" name="VALUE"/>
    <tableColumn id="6" name="PS"/>
    <tableColumn id="7" name="ECR"/>
    <tableColumn id="8" name="DRAFT"/>
  </tableColumns>
</table>
</file>

<file path=xl/tables/table4.xml><?xml version="1.0" encoding="utf-8"?>
<table xmlns="http://schemas.openxmlformats.org/spreadsheetml/2006/main" id="4" name="Table2" displayName="Table2" ref="B2:M52" headerRowCount="1" totalsRowCount="0" totalsRowShown="0">
  <autoFilter ref="B2:M52"/>
  <tableColumns count="12">
    <tableColumn id="1" name="PLAYER"/>
    <tableColumn id="2" name="Team"/>
    <tableColumn id="3" name="Bye"/>
    <tableColumn id="4" name="Team/Bye"/>
    <tableColumn id="5" name="LOW"/>
    <tableColumn id="6" name="AVG"/>
    <tableColumn id="7" name="HIGH"/>
    <tableColumn id="8" name="Zscore Projection"/>
    <tableColumn id="9" name="VBD"/>
    <tableColumn id="10" name="Auc"/>
    <tableColumn id="11" name="Tier"/>
    <tableColumn id="12" name="Missed Games"/>
  </tableColumns>
</table>
</file>

<file path=xl/tables/table5.xml><?xml version="1.0" encoding="utf-8"?>
<table xmlns="http://schemas.openxmlformats.org/spreadsheetml/2006/main" id="5" name="Table4" displayName="Table4" ref="P2:AA102" headerRowCount="1" totalsRowCount="0" totalsRowShown="0">
  <autoFilter ref="P2:AA102"/>
  <tableColumns count="12">
    <tableColumn id="1" name="PLAYER"/>
    <tableColumn id="2" name="Team"/>
    <tableColumn id="3" name="Bye"/>
    <tableColumn id="4" name="Team/Bye"/>
    <tableColumn id="5" name="LOW"/>
    <tableColumn id="6" name="AVG"/>
    <tableColumn id="7" name="HIGH"/>
    <tableColumn id="8" name="Zscore Projection"/>
    <tableColumn id="9" name="VBD"/>
    <tableColumn id="10" name="Auction"/>
    <tableColumn id="11" name="Tier"/>
    <tableColumn id="12" name="Missed Games"/>
  </tableColumns>
</table>
</file>

<file path=xl/tables/table6.xml><?xml version="1.0" encoding="utf-8"?>
<table xmlns="http://schemas.openxmlformats.org/spreadsheetml/2006/main" id="6" name="Table6" displayName="Table6" ref="AD2:AO102" headerRowCount="1" totalsRowCount="0" totalsRowShown="0">
  <autoFilter ref="AD2:AO102"/>
  <tableColumns count="12">
    <tableColumn id="1" name="PLAYER"/>
    <tableColumn id="2" name="Team"/>
    <tableColumn id="3" name="Bye"/>
    <tableColumn id="4" name="Team/Bye"/>
    <tableColumn id="5" name="LOW"/>
    <tableColumn id="6" name="AVG"/>
    <tableColumn id="7" name="HIGH"/>
    <tableColumn id="8" name="Zscore Projection"/>
    <tableColumn id="9" name="VBD"/>
    <tableColumn id="10" name="Auction"/>
    <tableColumn id="11" name="Tier"/>
    <tableColumn id="12" name="Missed Games"/>
  </tableColumns>
</table>
</file>

<file path=xl/tables/table7.xml><?xml version="1.0" encoding="utf-8"?>
<table xmlns="http://schemas.openxmlformats.org/spreadsheetml/2006/main" id="7" name="Table7" displayName="Table7" ref="AR2:BD52" headerRowCount="1" totalsRowCount="0" totalsRowShown="0">
  <autoFilter ref="AR2:BD52"/>
  <tableColumns count="13">
    <tableColumn id="1" name="PLAYER"/>
    <tableColumn id="2" name="Team"/>
    <tableColumn id="3" name="Bye"/>
    <tableColumn id="4" name="Team/Bye"/>
    <tableColumn id="5" name="LOW"/>
    <tableColumn id="6" name="AVG"/>
    <tableColumn id="7" name="HIGH"/>
    <tableColumn id="8" name="Zscore Projection"/>
    <tableColumn id="9" name="VBD"/>
    <tableColumn id="10" name="Auction"/>
    <tableColumn id="11" name="Tier"/>
    <tableColumn id="12" name="Missed Games"/>
    <tableColumn id="13" name="V/R"/>
  </tableColumns>
</table>
</file>

<file path=xl/tables/table8.xml><?xml version="1.0" encoding="utf-8"?>
<table xmlns="http://schemas.openxmlformats.org/spreadsheetml/2006/main" id="8" name="Table9" displayName="Table9" ref="B4:I44" headerRowCount="1" totalsRowCount="0" totalsRowShown="0">
  <autoFilter ref="B4:I44"/>
  <tableColumns count="8">
    <tableColumn id="1" name="TIER"/>
    <tableColumn id="2" name="NAME"/>
    <tableColumn id="3" name="TM/BYE"/>
    <tableColumn id="4" name="PTS"/>
    <tableColumn id="5" name="VALUE"/>
    <tableColumn id="6" name="PS"/>
    <tableColumn id="7" name="ECR"/>
    <tableColumn id="8" name="DRAF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Relationship Id="rId3" Type="http://schemas.openxmlformats.org/officeDocument/2006/relationships/table" Target="../tables/table6.xml"/><Relationship Id="rId4" Type="http://schemas.openxmlformats.org/officeDocument/2006/relationships/table" Target="../tables/table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55"/>
  <sheetViews>
    <sheetView showFormulas="false" showGridLines="true" showRowColHeaders="true" showZeros="true" rightToLeft="false" tabSelected="false" showOutlineSymbols="true" defaultGridColor="true" view="normal" topLeftCell="A23" colorId="64" zoomScale="70" zoomScaleNormal="70" zoomScalePageLayoutView="100" workbookViewId="0">
      <selection pane="topLeft" activeCell="A28" activeCellId="0" sqref="A28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14"/>
    <col collapsed="false" customWidth="true" hidden="false" outlineLevel="0" max="3" min="3" style="1" width="20.66"/>
    <col collapsed="false" customWidth="true" hidden="false" outlineLevel="0" max="4" min="4" style="1" width="13.89"/>
    <col collapsed="false" customWidth="true" hidden="false" outlineLevel="0" max="5" min="5" style="1" width="14.33"/>
    <col collapsed="false" customWidth="true" hidden="false" outlineLevel="0" max="6" min="6" style="1" width="13.33"/>
    <col collapsed="false" customWidth="true" hidden="false" outlineLevel="0" max="7" min="7" style="1" width="15.89"/>
    <col collapsed="false" customWidth="true" hidden="false" outlineLevel="0" max="8" min="8" style="1" width="7.22"/>
    <col collapsed="false" customWidth="true" hidden="false" outlineLevel="0" max="10" min="9" style="1" width="14.78"/>
    <col collapsed="false" customWidth="true" hidden="false" outlineLevel="0" max="15" min="11" style="2" width="14.78"/>
    <col collapsed="false" customWidth="true" hidden="false" outlineLevel="0" max="16" min="16" style="2" width="16.78"/>
    <col collapsed="false" customWidth="false" hidden="false" outlineLevel="0" max="33" min="17" style="2" width="8.88"/>
    <col collapsed="false" customWidth="false" hidden="false" outlineLevel="0" max="16384" min="34" style="1" width="8.88"/>
  </cols>
  <sheetData>
    <row r="1" s="2" customFormat="true" ht="24" hidden="false" customHeight="true" outlineLevel="0" collapsed="false">
      <c r="A1" s="3" t="s">
        <v>0</v>
      </c>
      <c r="B1" s="3" t="n">
        <v>46269</v>
      </c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</row>
    <row r="2" s="9" customFormat="true" ht="29.2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7"/>
      <c r="I2" s="4" t="s">
        <v>3</v>
      </c>
      <c r="J2" s="4"/>
      <c r="K2" s="4"/>
      <c r="L2" s="4"/>
      <c r="M2" s="4"/>
      <c r="N2" s="4"/>
      <c r="O2" s="4"/>
      <c r="P2" s="4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="9" customFormat="true" ht="21" hidden="false" customHeight="true" outlineLevel="0" collapsed="false">
      <c r="A3" s="10" t="s">
        <v>4</v>
      </c>
      <c r="B3" s="11" t="s">
        <v>5</v>
      </c>
      <c r="C3" s="12" t="s">
        <v>6</v>
      </c>
      <c r="D3" s="12"/>
      <c r="E3" s="12"/>
      <c r="F3" s="12"/>
      <c r="G3" s="12"/>
      <c r="H3" s="7"/>
      <c r="I3" s="13" t="s">
        <v>7</v>
      </c>
      <c r="J3" s="13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O3" s="15" t="s">
        <v>13</v>
      </c>
      <c r="P3" s="15" t="s">
        <v>14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="9" customFormat="true" ht="21" hidden="false" customHeight="true" outlineLevel="0" collapsed="false">
      <c r="A4" s="16" t="s">
        <v>15</v>
      </c>
      <c r="B4" s="16"/>
      <c r="C4" s="16"/>
      <c r="D4" s="16"/>
      <c r="E4" s="16"/>
      <c r="F4" s="16"/>
      <c r="G4" s="16"/>
      <c r="H4" s="7"/>
      <c r="I4" s="17" t="n">
        <v>10</v>
      </c>
      <c r="J4" s="18" t="n">
        <v>1</v>
      </c>
      <c r="K4" s="18" t="n">
        <v>2</v>
      </c>
      <c r="L4" s="18" t="n">
        <v>2</v>
      </c>
      <c r="M4" s="18" t="n">
        <v>1</v>
      </c>
      <c r="N4" s="18" t="n">
        <v>1</v>
      </c>
      <c r="O4" s="18" t="n">
        <v>6</v>
      </c>
      <c r="P4" s="19" t="n">
        <v>0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="9" customFormat="true" ht="21" hidden="false" customHeight="true" outlineLevel="0" collapsed="false">
      <c r="A5" s="20" t="s">
        <v>16</v>
      </c>
      <c r="B5" s="17" t="n">
        <v>0</v>
      </c>
      <c r="C5" s="21" t="s">
        <v>17</v>
      </c>
      <c r="D5" s="21"/>
      <c r="E5" s="21"/>
      <c r="F5" s="21"/>
      <c r="G5" s="21"/>
      <c r="H5" s="7"/>
      <c r="I5" s="6" t="s">
        <v>18</v>
      </c>
      <c r="J5" s="6"/>
      <c r="K5" s="6"/>
      <c r="L5" s="6"/>
      <c r="M5" s="6"/>
      <c r="N5" s="6"/>
      <c r="O5" s="6"/>
      <c r="P5" s="6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="9" customFormat="true" ht="21" hidden="false" customHeight="true" outlineLevel="0" collapsed="false">
      <c r="A6" s="20" t="s">
        <v>19</v>
      </c>
      <c r="B6" s="17" t="n">
        <v>0</v>
      </c>
      <c r="C6" s="21" t="s">
        <v>20</v>
      </c>
      <c r="D6" s="21"/>
      <c r="E6" s="21"/>
      <c r="F6" s="21"/>
      <c r="G6" s="21"/>
      <c r="H6" s="7"/>
      <c r="I6" s="22" t="s">
        <v>21</v>
      </c>
      <c r="J6" s="22"/>
      <c r="K6" s="17" t="s">
        <v>22</v>
      </c>
      <c r="L6" s="23" t="s">
        <v>23</v>
      </c>
      <c r="M6" s="23"/>
      <c r="N6" s="23"/>
      <c r="O6" s="23"/>
      <c r="P6" s="23"/>
      <c r="R6" s="8"/>
      <c r="V6" s="8"/>
      <c r="W6" s="8"/>
      <c r="X6" s="8"/>
      <c r="Y6" s="8"/>
      <c r="Z6" s="8"/>
      <c r="AA6" s="8"/>
      <c r="AB6" s="8"/>
      <c r="AC6" s="8"/>
    </row>
    <row r="7" s="8" customFormat="true" ht="29.25" hidden="false" customHeight="true" outlineLevel="0" collapsed="false">
      <c r="A7" s="20" t="s">
        <v>24</v>
      </c>
      <c r="B7" s="17" t="n">
        <v>25</v>
      </c>
      <c r="C7" s="21" t="s">
        <v>25</v>
      </c>
      <c r="D7" s="21"/>
      <c r="E7" s="21"/>
      <c r="F7" s="21"/>
      <c r="G7" s="21"/>
      <c r="H7" s="7"/>
      <c r="I7" s="24" t="s">
        <v>26</v>
      </c>
      <c r="J7" s="24"/>
      <c r="K7" s="25" t="n">
        <v>200</v>
      </c>
      <c r="L7" s="22" t="s">
        <v>27</v>
      </c>
      <c r="M7" s="22"/>
      <c r="N7" s="22"/>
      <c r="O7" s="22"/>
      <c r="P7" s="25" t="n">
        <v>0</v>
      </c>
    </row>
    <row r="8" s="9" customFormat="true" ht="21" hidden="false" customHeight="true" outlineLevel="0" collapsed="false">
      <c r="A8" s="20" t="s">
        <v>28</v>
      </c>
      <c r="B8" s="17" t="n">
        <v>4</v>
      </c>
      <c r="C8" s="21" t="s">
        <v>29</v>
      </c>
      <c r="D8" s="21"/>
      <c r="E8" s="21"/>
      <c r="F8" s="21"/>
      <c r="G8" s="21"/>
      <c r="H8" s="7"/>
      <c r="I8" s="26" t="s">
        <v>30</v>
      </c>
      <c r="J8" s="26"/>
      <c r="K8" s="26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="9" customFormat="true" ht="21" hidden="false" customHeight="true" outlineLevel="0" collapsed="false">
      <c r="A9" s="20" t="s">
        <v>31</v>
      </c>
      <c r="B9" s="17" t="n">
        <v>-1</v>
      </c>
      <c r="C9" s="21" t="s">
        <v>32</v>
      </c>
      <c r="D9" s="21"/>
      <c r="E9" s="21"/>
      <c r="F9" s="21"/>
      <c r="G9" s="21"/>
      <c r="H9" s="7"/>
      <c r="I9" s="26"/>
      <c r="J9" s="26"/>
      <c r="K9" s="26"/>
      <c r="L9" s="27"/>
      <c r="M9" s="27"/>
      <c r="N9" s="27"/>
      <c r="O9" s="27"/>
      <c r="P9" s="27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="9" customFormat="true" ht="21" hidden="false" customHeight="true" outlineLevel="0" collapsed="false">
      <c r="A10" s="20" t="s">
        <v>33</v>
      </c>
      <c r="B10" s="17" t="n">
        <v>0</v>
      </c>
      <c r="C10" s="21" t="s">
        <v>34</v>
      </c>
      <c r="D10" s="21"/>
      <c r="E10" s="21"/>
      <c r="F10" s="21"/>
      <c r="G10" s="21"/>
      <c r="H10" s="7"/>
      <c r="I10" s="26"/>
      <c r="J10" s="26"/>
      <c r="K10" s="26"/>
      <c r="L10" s="28"/>
      <c r="M10" s="8"/>
      <c r="N10" s="28"/>
      <c r="O10" s="29"/>
      <c r="P10" s="30"/>
      <c r="Q10" s="8"/>
      <c r="R10" s="8"/>
      <c r="S10" s="8"/>
      <c r="T10" s="8"/>
      <c r="U10" s="8"/>
      <c r="V10" s="8"/>
      <c r="W10" s="8"/>
      <c r="X10" s="8"/>
      <c r="Y10" s="8"/>
    </row>
    <row r="11" s="9" customFormat="true" ht="21" hidden="false" customHeight="true" outlineLevel="0" collapsed="false">
      <c r="A11" s="16" t="s">
        <v>35</v>
      </c>
      <c r="B11" s="16"/>
      <c r="C11" s="16"/>
      <c r="D11" s="16"/>
      <c r="E11" s="16"/>
      <c r="F11" s="16"/>
      <c r="G11" s="16"/>
      <c r="H11" s="7"/>
      <c r="I11" s="27"/>
      <c r="J11" s="31"/>
      <c r="K11" s="31"/>
      <c r="L11" s="31"/>
      <c r="M11" s="31"/>
      <c r="N11" s="31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="8" customFormat="true" ht="21" hidden="false" customHeight="true" outlineLevel="0" collapsed="false">
      <c r="A12" s="20" t="s">
        <v>36</v>
      </c>
      <c r="B12" s="17" t="n">
        <v>0</v>
      </c>
      <c r="C12" s="21" t="s">
        <v>37</v>
      </c>
      <c r="D12" s="21"/>
      <c r="E12" s="21"/>
      <c r="F12" s="21"/>
      <c r="G12" s="21"/>
      <c r="H12" s="7"/>
      <c r="I12" s="32"/>
      <c r="J12" s="32"/>
      <c r="K12" s="32"/>
      <c r="L12" s="32"/>
      <c r="M12" s="32"/>
      <c r="N12" s="32"/>
    </row>
    <row r="13" s="9" customFormat="true" ht="21" hidden="false" customHeight="true" outlineLevel="0" collapsed="false">
      <c r="A13" s="20" t="s">
        <v>38</v>
      </c>
      <c r="B13" s="17" t="n">
        <v>10</v>
      </c>
      <c r="C13" s="21" t="s">
        <v>39</v>
      </c>
      <c r="D13" s="21"/>
      <c r="E13" s="21"/>
      <c r="F13" s="21"/>
      <c r="G13" s="21"/>
      <c r="H13" s="7"/>
      <c r="I13" s="32"/>
      <c r="J13" s="32"/>
      <c r="K13" s="32"/>
      <c r="L13" s="32"/>
      <c r="M13" s="32"/>
      <c r="N13" s="3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="9" customFormat="true" ht="29.25" hidden="false" customHeight="true" outlineLevel="0" collapsed="false">
      <c r="A14" s="20" t="s">
        <v>40</v>
      </c>
      <c r="B14" s="17" t="n">
        <v>6</v>
      </c>
      <c r="C14" s="21" t="s">
        <v>41</v>
      </c>
      <c r="D14" s="21"/>
      <c r="E14" s="21"/>
      <c r="F14" s="21"/>
      <c r="G14" s="21"/>
      <c r="H14" s="7"/>
      <c r="I14" s="32"/>
      <c r="J14" s="32"/>
      <c r="K14" s="32"/>
      <c r="L14" s="32"/>
      <c r="M14" s="32"/>
      <c r="N14" s="3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="9" customFormat="true" ht="21" hidden="false" customHeight="true" outlineLevel="0" collapsed="false">
      <c r="A15" s="16" t="s">
        <v>42</v>
      </c>
      <c r="B15" s="16"/>
      <c r="C15" s="16"/>
      <c r="D15" s="16"/>
      <c r="E15" s="16"/>
      <c r="F15" s="16"/>
      <c r="G15" s="16"/>
      <c r="H15" s="7"/>
      <c r="I15" s="32"/>
      <c r="J15" s="32"/>
      <c r="K15" s="32"/>
      <c r="L15" s="32"/>
      <c r="M15" s="32"/>
      <c r="N15" s="3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="8" customFormat="true" ht="21" hidden="false" customHeight="true" outlineLevel="0" collapsed="false">
      <c r="A16" s="20" t="s">
        <v>43</v>
      </c>
      <c r="B16" s="17" t="n">
        <v>0.5</v>
      </c>
      <c r="C16" s="21" t="s">
        <v>44</v>
      </c>
      <c r="D16" s="21"/>
      <c r="E16" s="21"/>
      <c r="F16" s="21"/>
      <c r="G16" s="21"/>
      <c r="H16" s="7"/>
      <c r="I16" s="32"/>
      <c r="J16" s="32"/>
      <c r="K16" s="32"/>
      <c r="L16" s="32"/>
      <c r="M16" s="32"/>
      <c r="N16" s="32"/>
    </row>
    <row r="17" s="8" customFormat="true" ht="21" hidden="false" customHeight="true" outlineLevel="0" collapsed="false">
      <c r="A17" s="20" t="s">
        <v>45</v>
      </c>
      <c r="B17" s="17" t="n">
        <v>0.5</v>
      </c>
      <c r="C17" s="21" t="s">
        <v>46</v>
      </c>
      <c r="D17" s="21"/>
      <c r="E17" s="21"/>
      <c r="F17" s="21"/>
      <c r="G17" s="21"/>
      <c r="H17" s="7"/>
      <c r="I17" s="32"/>
      <c r="J17" s="32"/>
      <c r="K17" s="32"/>
      <c r="L17" s="32"/>
      <c r="M17" s="32"/>
      <c r="N17" s="32"/>
    </row>
    <row r="18" s="8" customFormat="true" ht="21" hidden="false" customHeight="true" outlineLevel="0" collapsed="false">
      <c r="A18" s="20" t="s">
        <v>47</v>
      </c>
      <c r="B18" s="17" t="n">
        <v>0.5</v>
      </c>
      <c r="C18" s="21" t="s">
        <v>48</v>
      </c>
      <c r="D18" s="21"/>
      <c r="E18" s="21"/>
      <c r="F18" s="21"/>
      <c r="G18" s="21"/>
      <c r="H18" s="7"/>
    </row>
    <row r="19" s="8" customFormat="true" ht="29.25" hidden="false" customHeight="true" outlineLevel="0" collapsed="false">
      <c r="A19" s="20" t="s">
        <v>49</v>
      </c>
      <c r="B19" s="17" t="n">
        <v>10</v>
      </c>
      <c r="C19" s="21" t="s">
        <v>50</v>
      </c>
      <c r="D19" s="21"/>
      <c r="E19" s="21"/>
      <c r="F19" s="21"/>
      <c r="G19" s="21"/>
      <c r="H19" s="7"/>
    </row>
    <row r="20" s="8" customFormat="true" ht="21" hidden="false" customHeight="true" outlineLevel="0" collapsed="false">
      <c r="A20" s="20" t="s">
        <v>51</v>
      </c>
      <c r="B20" s="17" t="n">
        <v>6</v>
      </c>
      <c r="C20" s="21" t="s">
        <v>52</v>
      </c>
      <c r="D20" s="21"/>
      <c r="E20" s="21"/>
      <c r="F20" s="21"/>
      <c r="G20" s="21"/>
      <c r="H20" s="7"/>
    </row>
    <row r="21" s="8" customFormat="true" ht="21" hidden="false" customHeight="true" outlineLevel="0" collapsed="false">
      <c r="A21" s="16" t="s">
        <v>53</v>
      </c>
      <c r="B21" s="16"/>
      <c r="C21" s="16"/>
      <c r="D21" s="16"/>
      <c r="E21" s="16"/>
      <c r="F21" s="16"/>
      <c r="G21" s="16"/>
      <c r="H21" s="7"/>
      <c r="I21" s="7"/>
      <c r="J21" s="7"/>
      <c r="K21" s="7"/>
      <c r="L21" s="7"/>
    </row>
    <row r="22" s="8" customFormat="true" ht="21" hidden="false" customHeight="true" outlineLevel="0" collapsed="false">
      <c r="A22" s="20" t="s">
        <v>54</v>
      </c>
      <c r="B22" s="17" t="n">
        <v>-2</v>
      </c>
      <c r="C22" s="21" t="s">
        <v>55</v>
      </c>
      <c r="D22" s="21"/>
      <c r="E22" s="21"/>
      <c r="F22" s="21"/>
      <c r="G22" s="21"/>
      <c r="H22" s="7"/>
      <c r="I22" s="33"/>
      <c r="J22" s="33"/>
      <c r="K22" s="33"/>
      <c r="L22" s="33"/>
      <c r="M22" s="2"/>
      <c r="N22" s="2"/>
      <c r="O22" s="2"/>
    </row>
    <row r="23" s="8" customFormat="true" ht="21" hidden="false" customHeight="true" outlineLevel="0" collapsed="false">
      <c r="A23" s="20" t="s">
        <v>56</v>
      </c>
      <c r="B23" s="17" t="n">
        <v>0</v>
      </c>
      <c r="C23" s="21" t="s">
        <v>57</v>
      </c>
      <c r="D23" s="21"/>
      <c r="E23" s="21"/>
      <c r="F23" s="21"/>
      <c r="G23" s="21"/>
      <c r="H23" s="7"/>
      <c r="I23" s="33"/>
      <c r="J23" s="33"/>
      <c r="K23" s="33"/>
      <c r="L23" s="33"/>
      <c r="M23" s="2"/>
      <c r="N23" s="2"/>
      <c r="O23" s="2"/>
    </row>
    <row r="24" s="8" customFormat="true" ht="21" hidden="false" customHeight="true" outlineLevel="0" collapsed="false">
      <c r="A24" s="20" t="s">
        <v>58</v>
      </c>
      <c r="B24" s="17" t="n">
        <v>0</v>
      </c>
      <c r="C24" s="21" t="s">
        <v>59</v>
      </c>
      <c r="D24" s="21"/>
      <c r="E24" s="21"/>
      <c r="F24" s="21"/>
      <c r="G24" s="21"/>
      <c r="H24" s="7"/>
      <c r="I24" s="33"/>
      <c r="J24" s="33"/>
      <c r="K24" s="33"/>
      <c r="L24" s="33"/>
      <c r="M24" s="2"/>
      <c r="N24" s="2"/>
      <c r="O24" s="2"/>
    </row>
    <row r="25" s="8" customFormat="true" ht="21" hidden="false" customHeight="true" outlineLevel="0" collapsed="false">
      <c r="A25" s="34" t="s">
        <v>60</v>
      </c>
      <c r="B25" s="17" t="n">
        <v>0</v>
      </c>
      <c r="C25" s="21" t="s">
        <v>61</v>
      </c>
      <c r="D25" s="21"/>
      <c r="E25" s="21"/>
      <c r="F25" s="21"/>
      <c r="G25" s="21"/>
      <c r="H25" s="7"/>
      <c r="I25" s="33"/>
      <c r="J25" s="33"/>
      <c r="K25" s="33"/>
      <c r="L25" s="33"/>
      <c r="M25" s="2"/>
      <c r="N25" s="2"/>
      <c r="O25" s="2"/>
    </row>
    <row r="26" s="2" customFormat="true" ht="14.25" hidden="false" customHeight="true" outlineLevel="0" collapsed="false">
      <c r="A26" s="35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</row>
    <row r="27" s="2" customFormat="true" ht="15" hidden="false" customHeight="true" outlineLevel="0" collapsed="false">
      <c r="A27" s="35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28" s="2" customFormat="true" ht="18" hidden="true" customHeight="true" outlineLevel="0" collapsed="false">
      <c r="A28" s="36" t="s">
        <v>62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</row>
    <row r="29" s="2" customFormat="true" ht="14.25" hidden="true" customHeight="true" outlineLevel="0" collapsed="false">
      <c r="A29" s="37" t="s">
        <v>63</v>
      </c>
      <c r="B29" s="37" t="s">
        <v>19</v>
      </c>
      <c r="C29" s="37" t="s">
        <v>24</v>
      </c>
      <c r="D29" s="37" t="s">
        <v>28</v>
      </c>
      <c r="E29" s="37" t="s">
        <v>31</v>
      </c>
      <c r="F29" s="37" t="s">
        <v>36</v>
      </c>
      <c r="G29" s="37" t="s">
        <v>38</v>
      </c>
      <c r="H29" s="37" t="s">
        <v>40</v>
      </c>
      <c r="I29" s="37" t="s">
        <v>54</v>
      </c>
      <c r="J29" s="37" t="s">
        <v>56</v>
      </c>
      <c r="K29" s="37" t="s">
        <v>58</v>
      </c>
      <c r="L29" s="38"/>
      <c r="M29" s="38"/>
      <c r="N29" s="38"/>
      <c r="O29" s="38"/>
      <c r="P29" s="38"/>
      <c r="Q29" s="38"/>
    </row>
    <row r="30" s="2" customFormat="true" ht="15" hidden="true" customHeight="true" outlineLevel="0" collapsed="false">
      <c r="A30" s="39" t="s">
        <v>64</v>
      </c>
      <c r="B30" s="40" t="n">
        <f aca="false">B6</f>
        <v>0</v>
      </c>
      <c r="C30" s="40" t="n">
        <f aca="false">B7</f>
        <v>25</v>
      </c>
      <c r="D30" s="40" t="n">
        <f aca="false">B8</f>
        <v>4</v>
      </c>
      <c r="E30" s="40" t="n">
        <f aca="false">B9</f>
        <v>-1</v>
      </c>
      <c r="F30" s="40" t="n">
        <f aca="false">B12</f>
        <v>0</v>
      </c>
      <c r="G30" s="40" t="n">
        <f aca="false">B13</f>
        <v>10</v>
      </c>
      <c r="H30" s="40" t="n">
        <f aca="false">B14</f>
        <v>6</v>
      </c>
      <c r="I30" s="40" t="n">
        <f aca="false">B22</f>
        <v>-2</v>
      </c>
      <c r="J30" s="40" t="n">
        <f aca="false">B23</f>
        <v>0</v>
      </c>
      <c r="K30" s="40" t="n">
        <f aca="false">B24</f>
        <v>0</v>
      </c>
      <c r="L30" s="38"/>
      <c r="M30" s="38"/>
      <c r="N30" s="38"/>
      <c r="O30" s="38"/>
      <c r="P30" s="38"/>
      <c r="Q30" s="38"/>
    </row>
    <row r="31" s="2" customFormat="true" ht="14.25" hidden="true" customHeight="true" outlineLevel="0" collapsed="false">
      <c r="A31" s="37" t="s">
        <v>65</v>
      </c>
      <c r="B31" s="37" t="s">
        <v>36</v>
      </c>
      <c r="C31" s="37" t="s">
        <v>38</v>
      </c>
      <c r="D31" s="37" t="s">
        <v>40</v>
      </c>
      <c r="E31" s="37" t="s">
        <v>66</v>
      </c>
      <c r="F31" s="37" t="s">
        <v>49</v>
      </c>
      <c r="G31" s="37" t="s">
        <v>51</v>
      </c>
      <c r="H31" s="37" t="s">
        <v>54</v>
      </c>
      <c r="I31" s="37" t="s">
        <v>58</v>
      </c>
      <c r="J31" s="37" t="s">
        <v>60</v>
      </c>
      <c r="K31" s="40"/>
      <c r="L31" s="38"/>
      <c r="M31" s="38"/>
      <c r="N31" s="38"/>
      <c r="O31" s="38"/>
      <c r="P31" s="38"/>
      <c r="Q31" s="38"/>
    </row>
    <row r="32" s="2" customFormat="true" ht="15" hidden="true" customHeight="true" outlineLevel="0" collapsed="false">
      <c r="A32" s="39" t="s">
        <v>64</v>
      </c>
      <c r="B32" s="40" t="n">
        <f aca="false">B12</f>
        <v>0</v>
      </c>
      <c r="C32" s="40" t="n">
        <f aca="false">B13</f>
        <v>10</v>
      </c>
      <c r="D32" s="40" t="n">
        <f aca="false">B14</f>
        <v>6</v>
      </c>
      <c r="E32" s="40" t="n">
        <f aca="false">B16</f>
        <v>0.5</v>
      </c>
      <c r="F32" s="40" t="n">
        <f aca="false">B19</f>
        <v>10</v>
      </c>
      <c r="G32" s="40" t="n">
        <f aca="false">B20</f>
        <v>6</v>
      </c>
      <c r="H32" s="40" t="n">
        <f aca="false">B22</f>
        <v>-2</v>
      </c>
      <c r="I32" s="40" t="n">
        <f aca="false">B24</f>
        <v>0</v>
      </c>
      <c r="J32" s="40" t="n">
        <f aca="false">B25</f>
        <v>0</v>
      </c>
      <c r="K32" s="40"/>
      <c r="L32" s="38"/>
      <c r="M32" s="38"/>
      <c r="N32" s="38"/>
      <c r="O32" s="38"/>
      <c r="P32" s="38"/>
      <c r="Q32" s="38"/>
    </row>
    <row r="33" s="2" customFormat="true" ht="14.25" hidden="true" customHeight="true" outlineLevel="0" collapsed="false">
      <c r="A33" s="37" t="s">
        <v>67</v>
      </c>
      <c r="B33" s="37" t="s">
        <v>66</v>
      </c>
      <c r="C33" s="37" t="s">
        <v>49</v>
      </c>
      <c r="D33" s="37" t="s">
        <v>51</v>
      </c>
      <c r="E33" s="37" t="s">
        <v>36</v>
      </c>
      <c r="F33" s="37" t="s">
        <v>38</v>
      </c>
      <c r="G33" s="37" t="s">
        <v>40</v>
      </c>
      <c r="H33" s="37" t="s">
        <v>54</v>
      </c>
      <c r="I33" s="37" t="s">
        <v>58</v>
      </c>
      <c r="J33" s="37" t="s">
        <v>60</v>
      </c>
      <c r="K33" s="40"/>
      <c r="L33" s="38"/>
      <c r="M33" s="38"/>
      <c r="N33" s="38"/>
      <c r="O33" s="38"/>
      <c r="P33" s="38"/>
      <c r="Q33" s="38"/>
    </row>
    <row r="34" s="2" customFormat="true" ht="15" hidden="true" customHeight="true" outlineLevel="0" collapsed="false">
      <c r="A34" s="39" t="s">
        <v>64</v>
      </c>
      <c r="B34" s="40" t="n">
        <f aca="false">B17</f>
        <v>0.5</v>
      </c>
      <c r="C34" s="40" t="n">
        <f aca="false">B19</f>
        <v>10</v>
      </c>
      <c r="D34" s="40" t="n">
        <f aca="false">B20</f>
        <v>6</v>
      </c>
      <c r="E34" s="40" t="n">
        <f aca="false">B12</f>
        <v>0</v>
      </c>
      <c r="F34" s="40" t="n">
        <f aca="false">B13</f>
        <v>10</v>
      </c>
      <c r="G34" s="40" t="n">
        <f aca="false">B14</f>
        <v>6</v>
      </c>
      <c r="H34" s="40" t="n">
        <f aca="false">B22</f>
        <v>-2</v>
      </c>
      <c r="I34" s="40" t="n">
        <f aca="false">B24</f>
        <v>0</v>
      </c>
      <c r="J34" s="40" t="n">
        <f aca="false">B25</f>
        <v>0</v>
      </c>
      <c r="K34" s="40"/>
      <c r="L34" s="38"/>
      <c r="M34" s="38"/>
      <c r="N34" s="38"/>
      <c r="O34" s="38"/>
      <c r="P34" s="38"/>
      <c r="Q34" s="38"/>
    </row>
    <row r="35" s="2" customFormat="true" ht="14.25" hidden="true" customHeight="true" outlineLevel="0" collapsed="false">
      <c r="A35" s="37" t="s">
        <v>68</v>
      </c>
      <c r="B35" s="37" t="s">
        <v>66</v>
      </c>
      <c r="C35" s="37" t="s">
        <v>49</v>
      </c>
      <c r="D35" s="37" t="s">
        <v>51</v>
      </c>
      <c r="E35" s="37" t="s">
        <v>54</v>
      </c>
      <c r="F35" s="37" t="s">
        <v>60</v>
      </c>
      <c r="G35" s="40"/>
      <c r="H35" s="40"/>
      <c r="I35" s="40"/>
      <c r="J35" s="40"/>
      <c r="K35" s="40"/>
      <c r="L35" s="38"/>
      <c r="M35" s="38"/>
      <c r="N35" s="38"/>
      <c r="O35" s="38"/>
      <c r="P35" s="38"/>
      <c r="Q35" s="38"/>
    </row>
    <row r="36" s="2" customFormat="true" ht="15" hidden="true" customHeight="true" outlineLevel="0" collapsed="false">
      <c r="A36" s="39" t="s">
        <v>64</v>
      </c>
      <c r="B36" s="40" t="n">
        <f aca="false">B18</f>
        <v>0.5</v>
      </c>
      <c r="C36" s="40" t="n">
        <f aca="false">B19</f>
        <v>10</v>
      </c>
      <c r="D36" s="40" t="n">
        <f aca="false">B20</f>
        <v>6</v>
      </c>
      <c r="E36" s="40" t="n">
        <f aca="false">B22</f>
        <v>-2</v>
      </c>
      <c r="F36" s="40" t="n">
        <f aca="false">B25</f>
        <v>0</v>
      </c>
      <c r="G36" s="40"/>
      <c r="H36" s="40"/>
      <c r="I36" s="40"/>
      <c r="J36" s="40"/>
      <c r="K36" s="40"/>
      <c r="L36" s="38"/>
      <c r="M36" s="38"/>
      <c r="N36" s="38"/>
      <c r="O36" s="38"/>
      <c r="P36" s="38"/>
      <c r="Q36" s="38"/>
    </row>
    <row r="37" s="2" customFormat="true" ht="15" hidden="true" customHeight="true" outlineLevel="0" collapsed="false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38"/>
      <c r="M37" s="38"/>
      <c r="N37" s="38"/>
      <c r="O37" s="38"/>
      <c r="P37" s="38"/>
      <c r="Q37" s="38"/>
    </row>
    <row r="38" s="2" customFormat="true" ht="15" hidden="true" customHeight="true" outlineLevel="0" collapsed="false">
      <c r="A38" s="41" t="s">
        <v>69</v>
      </c>
      <c r="B38" s="41"/>
      <c r="C38" s="41"/>
      <c r="D38" s="41"/>
      <c r="E38" s="41"/>
      <c r="F38" s="41"/>
      <c r="G38" s="37"/>
      <c r="H38" s="38"/>
      <c r="I38" s="38"/>
      <c r="J38" s="38"/>
      <c r="K38" s="38"/>
      <c r="L38" s="38"/>
      <c r="M38" s="38"/>
      <c r="N38" s="38"/>
      <c r="O38" s="38"/>
      <c r="P38" s="38"/>
      <c r="Q38" s="38"/>
    </row>
    <row r="39" s="2" customFormat="true" ht="15" hidden="true" customHeight="true" outlineLevel="0" collapsed="false">
      <c r="A39" s="37" t="s">
        <v>7</v>
      </c>
      <c r="B39" s="37" t="s">
        <v>8</v>
      </c>
      <c r="C39" s="37" t="s">
        <v>9</v>
      </c>
      <c r="D39" s="37" t="s">
        <v>10</v>
      </c>
      <c r="E39" s="37" t="s">
        <v>11</v>
      </c>
      <c r="F39" s="37" t="s">
        <v>12</v>
      </c>
      <c r="G39" s="42"/>
      <c r="H39" s="38"/>
      <c r="I39" s="38"/>
      <c r="J39" s="38"/>
      <c r="K39" s="38"/>
      <c r="L39" s="38"/>
      <c r="M39" s="38"/>
      <c r="N39" s="38"/>
      <c r="O39" s="38"/>
      <c r="P39" s="38"/>
      <c r="Q39" s="38"/>
    </row>
    <row r="40" customFormat="false" ht="15" hidden="true" customHeight="true" outlineLevel="0" collapsed="false">
      <c r="A40" s="40" t="n">
        <f aca="false">I4</f>
        <v>10</v>
      </c>
      <c r="B40" s="40" t="n">
        <f aca="false">J4+P4</f>
        <v>1</v>
      </c>
      <c r="C40" s="40" t="n">
        <f aca="false">K4</f>
        <v>2</v>
      </c>
      <c r="D40" s="40" t="n">
        <f aca="false">L4</f>
        <v>2</v>
      </c>
      <c r="E40" s="40" t="n">
        <f aca="false">M4</f>
        <v>1</v>
      </c>
      <c r="F40" s="43" t="n">
        <f aca="false">N4+I38</f>
        <v>1</v>
      </c>
      <c r="G40" s="40"/>
      <c r="H40" s="38"/>
      <c r="I40" s="38"/>
      <c r="J40" s="38"/>
      <c r="K40" s="38"/>
      <c r="L40" s="38"/>
      <c r="M40" s="38"/>
      <c r="N40" s="38"/>
      <c r="O40" s="38"/>
      <c r="P40" s="38"/>
      <c r="Q40" s="38"/>
    </row>
    <row r="41" customFormat="false" ht="15" hidden="true" customHeight="true" outlineLevel="0" collapsed="false">
      <c r="A41" s="40" t="s">
        <v>70</v>
      </c>
      <c r="B41" s="40" t="n">
        <f aca="false">(J4+P4)*I4</f>
        <v>10</v>
      </c>
      <c r="C41" s="43" t="n">
        <f aca="false">ROUND(K4*I4*1.267,0)</f>
        <v>25</v>
      </c>
      <c r="D41" s="43" t="n">
        <f aca="false">ROUND(L4*I4*1.23,0)</f>
        <v>25</v>
      </c>
      <c r="E41" s="40" t="n">
        <f aca="false">ROUND(M4*I4*1.2,0)</f>
        <v>12</v>
      </c>
      <c r="F41" s="43" t="n">
        <f aca="false">ROUND(N4*I4*1.4,0)</f>
        <v>14</v>
      </c>
      <c r="G41" s="40"/>
      <c r="H41" s="38"/>
      <c r="I41" s="38"/>
      <c r="J41" s="38"/>
      <c r="K41" s="38"/>
      <c r="L41" s="38"/>
      <c r="M41" s="38"/>
      <c r="N41" s="38"/>
      <c r="O41" s="38"/>
      <c r="P41" s="38"/>
      <c r="Q41" s="38"/>
    </row>
    <row r="42" customFormat="false" ht="15" hidden="true" customHeight="true" outlineLevel="0" collapsed="false">
      <c r="A42" s="40" t="s">
        <v>71</v>
      </c>
      <c r="B42" s="40" t="n">
        <v>0</v>
      </c>
      <c r="C42" s="43" t="n">
        <f aca="false">FLEX!E1</f>
        <v>6</v>
      </c>
      <c r="D42" s="43" t="n">
        <f aca="false">FLEX!G1</f>
        <v>8</v>
      </c>
      <c r="E42" s="43" t="n">
        <f aca="false">FLEX!I1</f>
        <v>0</v>
      </c>
      <c r="F42" s="44"/>
      <c r="G42" s="40"/>
      <c r="H42" s="38"/>
      <c r="I42" s="38"/>
      <c r="J42" s="38"/>
      <c r="K42" s="38"/>
      <c r="L42" s="38"/>
      <c r="M42" s="38"/>
      <c r="N42" s="38"/>
      <c r="O42" s="38"/>
      <c r="P42" s="38"/>
      <c r="Q42" s="38"/>
    </row>
    <row r="43" customFormat="false" ht="15" hidden="true" customHeight="true" outlineLevel="0" collapsed="false">
      <c r="A43" s="45" t="s">
        <v>72</v>
      </c>
      <c r="B43" s="45" t="n">
        <f aca="false">ROUND(B41*1.17,)</f>
        <v>12</v>
      </c>
      <c r="C43" s="46" t="n">
        <f aca="false">C41+C42</f>
        <v>31</v>
      </c>
      <c r="D43" s="46" t="n">
        <f aca="false">D41+D42</f>
        <v>33</v>
      </c>
      <c r="E43" s="46" t="n">
        <f aca="false">E41+E42</f>
        <v>12</v>
      </c>
      <c r="F43" s="45"/>
      <c r="G43" s="47"/>
      <c r="H43" s="38"/>
      <c r="I43" s="38"/>
      <c r="J43" s="38"/>
      <c r="K43" s="38"/>
      <c r="L43" s="38"/>
      <c r="M43" s="38"/>
      <c r="N43" s="38"/>
      <c r="O43" s="38"/>
      <c r="P43" s="38"/>
      <c r="Q43" s="38"/>
    </row>
    <row r="44" customFormat="false" ht="15" hidden="true" customHeight="true" outlineLevel="0" collapsed="false">
      <c r="A44" s="37" t="s">
        <v>73</v>
      </c>
      <c r="B44" s="48" t="n">
        <f aca="false">K7*I4+P7</f>
        <v>2000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</row>
    <row r="45" customFormat="false" ht="15" hidden="true" customHeight="true" outlineLevel="0" collapsed="false">
      <c r="A45" s="37" t="s">
        <v>74</v>
      </c>
      <c r="B45" s="49" t="n">
        <f aca="false">SUM(J4:P4)*I4</f>
        <v>130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</row>
    <row r="46" customFormat="false" ht="15" hidden="true" customHeight="true" outlineLevel="0" collapsed="false">
      <c r="A46" s="37" t="s">
        <v>75</v>
      </c>
      <c r="B46" s="48" t="n">
        <f aca="false">B44-B45</f>
        <v>1870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</row>
    <row r="47" customFormat="false" ht="15" hidden="true" customHeight="true" outlineLevel="0" collapsed="false">
      <c r="A47" s="37" t="s">
        <v>76</v>
      </c>
      <c r="B47" s="50" t="n">
        <f aca="false">SUM(Aggregate!J1+Aggregate!X1+Aggregate!AL1+Aggregate!AZ1)</f>
        <v>3621.46067743467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</row>
    <row r="48" customFormat="false" ht="15" hidden="true" customHeight="true" outlineLevel="0" collapsed="false">
      <c r="A48" s="37" t="s">
        <v>77</v>
      </c>
      <c r="B48" s="51" t="e">
        <f aca="false">B46/B47</f>
        <v>#VALUE!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</row>
  </sheetData>
  <mergeCells count="34">
    <mergeCell ref="C1:P1"/>
    <mergeCell ref="A2:G2"/>
    <mergeCell ref="I2:P2"/>
    <mergeCell ref="C3:G3"/>
    <mergeCell ref="A4:G4"/>
    <mergeCell ref="C5:G5"/>
    <mergeCell ref="I5:P5"/>
    <mergeCell ref="C6:G6"/>
    <mergeCell ref="I6:J6"/>
    <mergeCell ref="L6:P6"/>
    <mergeCell ref="C7:G7"/>
    <mergeCell ref="I7:J7"/>
    <mergeCell ref="L7:O7"/>
    <mergeCell ref="C8:G8"/>
    <mergeCell ref="I8:K10"/>
    <mergeCell ref="C9:G9"/>
    <mergeCell ref="C10:G10"/>
    <mergeCell ref="A11:G11"/>
    <mergeCell ref="C12:G12"/>
    <mergeCell ref="C13:G13"/>
    <mergeCell ref="C14:G14"/>
    <mergeCell ref="A15:G15"/>
    <mergeCell ref="C16:G16"/>
    <mergeCell ref="C17:G17"/>
    <mergeCell ref="C18:G18"/>
    <mergeCell ref="C19:G19"/>
    <mergeCell ref="C20:G20"/>
    <mergeCell ref="A21:G21"/>
    <mergeCell ref="C22:G22"/>
    <mergeCell ref="C23:G23"/>
    <mergeCell ref="C24:G24"/>
    <mergeCell ref="C25:G25"/>
    <mergeCell ref="A28:Q28"/>
    <mergeCell ref="A38:F38"/>
  </mergeCells>
  <dataValidations count="8">
    <dataValidation allowBlank="true" errorStyle="stop" operator="between" showDropDown="false" showErrorMessage="true" showInputMessage="true" sqref="K6" type="list">
      <formula1>"Snake,Auction"</formula1>
      <formula2>0</formula2>
    </dataValidation>
    <dataValidation allowBlank="true" errorStyle="stop" operator="between" showDropDown="false" showErrorMessage="true" showInputMessage="true" sqref="I4" type="list">
      <formula1>"6,8,10,12,14,16,18"</formula1>
      <formula2>0</formula2>
    </dataValidation>
    <dataValidation allowBlank="true" errorStyle="stop" operator="between" showDropDown="false" showErrorMessage="true" showInputMessage="true" sqref="P4" type="list">
      <formula1>"0,1"</formula1>
      <formula2>0</formula2>
    </dataValidation>
    <dataValidation allowBlank="true" errorStyle="stop" operator="between" showDropDown="false" showErrorMessage="true" showInputMessage="true" sqref="J4 M4" type="list">
      <formula1>"0,1,2"</formula1>
      <formula2>0</formula2>
    </dataValidation>
    <dataValidation allowBlank="true" errorStyle="stop" operator="between" showDropDown="false" showErrorMessage="true" showInputMessage="true" sqref="K4" type="list">
      <formula1>"1,2,3,4"</formula1>
      <formula2>0</formula2>
    </dataValidation>
    <dataValidation allowBlank="true" errorStyle="stop" operator="between" showDropDown="false" showErrorMessage="true" showInputMessage="true" sqref="L4" type="list">
      <formula1>"1,2,3,4,5"</formula1>
      <formula2>0</formula2>
    </dataValidation>
    <dataValidation allowBlank="true" errorStyle="stop" operator="between" showDropDown="false" showErrorMessage="true" showInputMessage="true" sqref="N4" type="list">
      <formula1>"0,1,2,3,4"</formula1>
      <formula2>0</formula2>
    </dataValidation>
    <dataValidation allowBlank="true" errorStyle="stop" operator="between" showDropDown="false" showErrorMessage="true" showInputMessage="true" sqref="O4" type="list">
      <formula1>"4,5,6,7,8,9,10,11,12,13,14,15,16,17,18,19,20"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H293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X26" activeCellId="0" sqref="X26"/>
    </sheetView>
  </sheetViews>
  <sheetFormatPr defaultColWidth="8.55859375" defaultRowHeight="14.25" zeroHeight="false" outlineLevelRow="0" outlineLevelCol="0"/>
  <cols>
    <col collapsed="false" customWidth="false" hidden="false" outlineLevel="0" max="1" min="1" style="52" width="8.56"/>
    <col collapsed="false" customWidth="true" hidden="false" outlineLevel="0" max="2" min="2" style="53" width="9"/>
    <col collapsed="false" customWidth="true" hidden="false" outlineLevel="0" max="3" min="3" style="53" width="16.78"/>
    <col collapsed="false" customWidth="true" hidden="false" outlineLevel="0" max="4" min="4" style="53" width="11.56"/>
    <col collapsed="false" customWidth="false" hidden="false" outlineLevel="0" max="5" min="5" style="53" width="8.56"/>
    <col collapsed="false" customWidth="true" hidden="false" outlineLevel="0" max="6" min="6" style="53" width="10.78"/>
    <col collapsed="false" customWidth="true" hidden="false" outlineLevel="0" max="7" min="7" style="53" width="7.67"/>
    <col collapsed="false" customWidth="true" hidden="false" outlineLevel="0" max="8" min="8" style="53" width="8.78"/>
    <col collapsed="false" customWidth="true" hidden="false" outlineLevel="0" max="9" min="9" style="53" width="10.78"/>
    <col collapsed="false" customWidth="true" hidden="true" outlineLevel="0" max="10" min="10" style="53" width="13"/>
    <col collapsed="false" customWidth="true" hidden="false" outlineLevel="0" max="11" min="11" style="53" width="2.78"/>
    <col collapsed="false" customWidth="true" hidden="false" outlineLevel="0" max="12" min="12" style="53" width="9"/>
    <col collapsed="false" customWidth="true" hidden="false" outlineLevel="0" max="13" min="13" style="53" width="19.78"/>
    <col collapsed="false" customWidth="true" hidden="false" outlineLevel="0" max="14" min="14" style="53" width="11.56"/>
    <col collapsed="false" customWidth="false" hidden="false" outlineLevel="0" max="15" min="15" style="53" width="8.56"/>
    <col collapsed="false" customWidth="true" hidden="false" outlineLevel="0" max="16" min="16" style="53" width="10.78"/>
    <col collapsed="false" customWidth="true" hidden="false" outlineLevel="0" max="17" min="17" style="53" width="7.67"/>
    <col collapsed="false" customWidth="true" hidden="false" outlineLevel="0" max="18" min="18" style="53" width="8.78"/>
    <col collapsed="false" customWidth="true" hidden="false" outlineLevel="0" max="19" min="19" style="53" width="10.78"/>
    <col collapsed="false" customWidth="true" hidden="true" outlineLevel="0" max="20" min="20" style="53" width="4.33"/>
    <col collapsed="false" customWidth="true" hidden="false" outlineLevel="0" max="21" min="21" style="53" width="2.78"/>
    <col collapsed="false" customWidth="true" hidden="false" outlineLevel="0" max="22" min="22" style="53" width="9"/>
    <col collapsed="false" customWidth="true" hidden="false" outlineLevel="0" max="23" min="23" style="53" width="17.22"/>
    <col collapsed="false" customWidth="true" hidden="false" outlineLevel="0" max="24" min="24" style="53" width="11.56"/>
    <col collapsed="false" customWidth="false" hidden="false" outlineLevel="0" max="25" min="25" style="53" width="8.56"/>
    <col collapsed="false" customWidth="true" hidden="false" outlineLevel="0" max="26" min="26" style="53" width="10.78"/>
    <col collapsed="false" customWidth="true" hidden="false" outlineLevel="0" max="27" min="27" style="53" width="7.67"/>
    <col collapsed="false" customWidth="true" hidden="false" outlineLevel="0" max="28" min="28" style="53" width="8.78"/>
    <col collapsed="false" customWidth="true" hidden="false" outlineLevel="0" max="29" min="29" style="53" width="10.78"/>
    <col collapsed="false" customWidth="true" hidden="true" outlineLevel="0" max="30" min="30" style="53" width="13"/>
    <col collapsed="false" customWidth="false" hidden="false" outlineLevel="0" max="31" min="31" style="52" width="8.56"/>
    <col collapsed="false" customWidth="true" hidden="false" outlineLevel="0" max="32" min="32" style="53" width="18.89"/>
    <col collapsed="false" customWidth="true" hidden="false" outlineLevel="0" max="33" min="33" style="53" width="28.33"/>
    <col collapsed="false" customWidth="false" hidden="false" outlineLevel="0" max="40" min="34" style="52" width="8.56"/>
    <col collapsed="false" customWidth="false" hidden="false" outlineLevel="0" max="16384" min="41" style="53" width="8.56"/>
  </cols>
  <sheetData>
    <row r="1" customFormat="false" ht="25.5" hidden="false" customHeight="true" outlineLevel="0" collapsed="false">
      <c r="B1" s="54" t="str">
        <f aca="false">"DRAFTSHEET  -  "&amp;Scoring!I4&amp;" Team  -  "&amp;Scoring!B17&amp;" PPR  -  "&amp;Scoring!J4&amp;"QB("&amp;Aggregate!B1&amp;") / "&amp;Scoring!K4&amp;"RB("&amp;Aggregate!P1&amp;") / "&amp;Scoring!L4&amp;"WR("&amp;Aggregate!AD1&amp;") / "&amp;Scoring!M4&amp;"TE("&amp;Aggregate!AR1&amp;") / "&amp;Scoring!N4&amp;"[RB/WR/TE]"</f>
        <v>DRAFTSHEET  -  10 Team  -  0.5 PPR  -  1QB(12) / 2RB(31) / 2WR(33) / 1TE(12) / 1[RB/WR/TE]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F1" s="55" t="s">
        <v>78</v>
      </c>
      <c r="AG1" s="55"/>
    </row>
    <row r="2" customFormat="false" ht="15.75" hidden="false" customHeight="true" outlineLevel="0" collapsed="false">
      <c r="B2" s="56" t="str">
        <f aca="true">"Passing: "&amp;Scoring!B8&amp;" PPTD, "&amp;ROUND(1/Scoring!B7,2)&amp;" PPY, "&amp;Scoring!B9&amp;" Int  |  Rushing: "&amp;Scoring!B14&amp;" PPTD, "&amp;ROUND(1/Scoring!B13,2)&amp;" PPY  |  Receiving: "&amp;Scoring!B20&amp;" PPTD, "&amp;ROUND(1/Scoring!B19,2)&amp;" PPY, "&amp;Scoring!B17&amp;" PPR  |  Draft: use 'x' if drafted by someone else, 'o' if drafted by you  |  Updated: "&amp;TEXT(TODAY(),"yyyy-mm-dd")</f>
        <v>Passing: 4 PPTD, 0.04 PPY, -1 Int  |  Rushing: 6 PPTD, 0.1 PPY  |  Receiving: 6 PPTD, 0.1 PPY, 0.5 PPR  |  Draft: use 'x' if drafted by someone else, 'o' if drafted by you  |  Updated: 2026-09-05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F2" s="57" t="s">
        <v>79</v>
      </c>
      <c r="AG2" s="58"/>
      <c r="AH2" s="52" t="str">
        <f aca="false">IF($AG$2="","",IFERROR(MATCH("*"&amp;$AG$2&amp;"*",C5:C44,0)+4,""))</f>
        <v/>
      </c>
    </row>
    <row r="3" customFormat="false" ht="23.25" hidden="false" customHeight="true" outlineLevel="0" collapsed="false">
      <c r="B3" s="54" t="s">
        <v>80</v>
      </c>
      <c r="C3" s="54"/>
      <c r="D3" s="54"/>
      <c r="E3" s="54"/>
      <c r="F3" s="54"/>
      <c r="G3" s="54"/>
      <c r="H3" s="54"/>
      <c r="I3" s="54"/>
      <c r="L3" s="54" t="s">
        <v>81</v>
      </c>
      <c r="M3" s="54"/>
      <c r="N3" s="54"/>
      <c r="O3" s="54"/>
      <c r="P3" s="54"/>
      <c r="Q3" s="54"/>
      <c r="R3" s="54"/>
      <c r="S3" s="54"/>
      <c r="V3" s="54" t="s">
        <v>82</v>
      </c>
      <c r="W3" s="54"/>
      <c r="X3" s="54"/>
      <c r="Y3" s="54"/>
      <c r="Z3" s="54"/>
      <c r="AA3" s="54"/>
      <c r="AB3" s="54"/>
      <c r="AC3" s="54"/>
      <c r="AF3" s="57" t="s">
        <v>83</v>
      </c>
      <c r="AG3" s="59" t="str">
        <f aca="false">IF($AG$2="","",IF(AH2&lt;&gt;"","QB",IF(AH3&lt;&gt;"","RB",IF(AH4&lt;&gt;"","WR",IF(AH5&lt;&gt;"","TE","Not Found")))))</f>
        <v/>
      </c>
      <c r="AH3" s="52" t="str">
        <f aca="false">IF($AG$2="","",IFERROR(MATCH("*"&amp;$AG$2&amp;"*",M5:M84,0)+4,""))</f>
        <v/>
      </c>
    </row>
    <row r="4" customFormat="false" ht="15" hidden="false" customHeight="true" outlineLevel="0" collapsed="false">
      <c r="B4" s="60" t="s">
        <v>84</v>
      </c>
      <c r="C4" s="60" t="s">
        <v>85</v>
      </c>
      <c r="D4" s="60" t="s">
        <v>86</v>
      </c>
      <c r="E4" s="60" t="s">
        <v>87</v>
      </c>
      <c r="F4" s="60" t="s">
        <v>88</v>
      </c>
      <c r="G4" s="60" t="s">
        <v>89</v>
      </c>
      <c r="H4" s="60" t="s">
        <v>90</v>
      </c>
      <c r="I4" s="60" t="s">
        <v>91</v>
      </c>
      <c r="J4" s="60"/>
      <c r="K4" s="61"/>
      <c r="L4" s="60" t="s">
        <v>84</v>
      </c>
      <c r="M4" s="60" t="s">
        <v>85</v>
      </c>
      <c r="N4" s="60" t="s">
        <v>86</v>
      </c>
      <c r="O4" s="60" t="s">
        <v>87</v>
      </c>
      <c r="P4" s="60" t="s">
        <v>88</v>
      </c>
      <c r="Q4" s="60" t="s">
        <v>89</v>
      </c>
      <c r="R4" s="60" t="s">
        <v>90</v>
      </c>
      <c r="S4" s="60" t="s">
        <v>91</v>
      </c>
      <c r="T4" s="60"/>
      <c r="U4" s="61"/>
      <c r="V4" s="60" t="s">
        <v>84</v>
      </c>
      <c r="W4" s="60" t="s">
        <v>85</v>
      </c>
      <c r="X4" s="60" t="s">
        <v>86</v>
      </c>
      <c r="Y4" s="60" t="s">
        <v>87</v>
      </c>
      <c r="Z4" s="60" t="s">
        <v>88</v>
      </c>
      <c r="AA4" s="60" t="s">
        <v>89</v>
      </c>
      <c r="AB4" s="60" t="s">
        <v>90</v>
      </c>
      <c r="AC4" s="60" t="s">
        <v>91</v>
      </c>
      <c r="AD4" s="60"/>
      <c r="AF4" s="57" t="s">
        <v>92</v>
      </c>
      <c r="AG4" s="59" t="str">
        <f aca="false">IF($AG$2="","",IF(AH2&lt;&gt;"",INDEX(B:B,AH2),IF(AH3&lt;&gt;"",INDEX(L:L,AH3),IF(AH4&lt;&gt;"",INDEX(V:V,AH4),IF(AH5&lt;&gt;"",INDEX(B:B,AH5),"")))))</f>
        <v/>
      </c>
      <c r="AH4" s="52" t="str">
        <f aca="false">IF($AG$2="","",IFERROR(MATCH("*"&amp;$AG$2&amp;"*",W5:W84,0)+4,""))</f>
        <v/>
      </c>
    </row>
    <row r="5" customFormat="false" ht="14.25" hidden="false" customHeight="true" outlineLevel="0" collapsed="false">
      <c r="B5" s="62" t="n">
        <f aca="false">IFERROR(VLOOKUP(Table9[[#This Row],[NAME]],Aggregate!$B:$M,11,FALSE()),"")</f>
        <v>1</v>
      </c>
      <c r="C5" s="63" t="str">
        <f aca="false">Aggregate!B3</f>
        <v>Josh Allen</v>
      </c>
      <c r="D5" s="63" t="str">
        <f aca="false">VLOOKUP(Table9[[#This Row],[NAME]],Aggregate!B:M,4,FALSE())</f>
        <v>BUF/7</v>
      </c>
      <c r="E5" s="62" t="n">
        <f aca="false">IFERROR(VLOOKUP(Table9[[#This Row],[NAME]],Aggregate!$B:$M,8,FALSE()),"")</f>
        <v>324.977942196078</v>
      </c>
      <c r="F5" s="62" t="n">
        <f aca="false">IF(Scoring!$K$6="Auction",IFERROR(VLOOKUP(Table9[[#This Row],[NAME]],Aggregate!$B:$M,10,FALSE()),""),IFERROR(VLOOKUP(Table9[[#This Row],[NAME]],Aggregate!$B:$M,9,FALSE()),""))</f>
        <v>56.5985764078432</v>
      </c>
      <c r="G5" s="64" t="n">
        <f aca="false">SUMIFS(J6:$J$44,I6:$I$44,"&lt;&gt;x",I6:$I$44,"&lt;&gt;o",J6:$J$44,"&gt;0")/Aggregate!$J$1</f>
        <v>0.59269413466728</v>
      </c>
      <c r="H5" s="62" t="str">
        <f aca="false">VLOOKUP(Table9[[#This Row],[NAME]],ECR!C:E,3,FALSE())</f>
        <v>QB1</v>
      </c>
      <c r="I5" s="65"/>
      <c r="J5" s="66" t="n">
        <f aca="false">VLOOKUP(C5,Aggregate!B:J,9,FALSE())</f>
        <v>56.5985764078432</v>
      </c>
      <c r="K5" s="67"/>
      <c r="L5" s="62" t="n">
        <f aca="false">IFERROR(VLOOKUP(Table10[[#This Row],[NAME]],Aggregate!$P:$AA,11,FALSE()),"")</f>
        <v>1</v>
      </c>
      <c r="M5" s="63" t="str">
        <f aca="false">Aggregate!P3</f>
        <v>Jahmyr Gibbs</v>
      </c>
      <c r="N5" s="63" t="str">
        <f aca="false">VLOOKUP(Table10[[#This Row],[NAME]],Aggregate!P:AA,4,FALSE())</f>
        <v>DET/6</v>
      </c>
      <c r="O5" s="62" t="n">
        <f aca="false">IFERROR(VLOOKUP(Table10[[#This Row],[NAME]],Aggregate!$P:$AA,8,FALSE()),"")</f>
        <v>291.353185941176</v>
      </c>
      <c r="P5" s="62" t="n">
        <f aca="false">IF(Scoring!$K$6="Auction",IFERROR(VLOOKUP(Table10[[#This Row],[NAME]],Aggregate!$P:$AA,10,FALSE()),""),IFERROR(VLOOKUP(Table10[[#This Row],[NAME]],Aggregate!$P:$AA,9,FALSE()),""))</f>
        <v>163.80744754902</v>
      </c>
      <c r="Q5" s="64" t="n">
        <f aca="false">SUMIFS(T6:$T$84,S6:$S$84,"&lt;&gt;x",S6:$S$84,"&lt;&gt;o",T6:$T$84,"&gt;0")/Aggregate!$X$1</f>
        <v>0.911518379173918</v>
      </c>
      <c r="R5" s="62" t="str">
        <f aca="false">VLOOKUP(Table10[[#This Row],[NAME]],ECR!C:E,3,FALSE())</f>
        <v>RB1</v>
      </c>
      <c r="S5" s="65"/>
      <c r="T5" s="66" t="n">
        <f aca="false">VLOOKUP(M5,Aggregate!P:X,9,FALSE())</f>
        <v>163.80744754902</v>
      </c>
      <c r="U5" s="68"/>
      <c r="V5" s="62" t="n">
        <f aca="false">IFERROR(VLOOKUP(Table11[[#This Row],[NAME]],Aggregate!$AD:$AO,11,FALSE()),"")</f>
        <v>1</v>
      </c>
      <c r="W5" s="63" t="str">
        <f aca="false">Aggregate!AD4</f>
        <v>Puka Nacua</v>
      </c>
      <c r="X5" s="63" t="str">
        <f aca="false">VLOOKUP(Table11[[#This Row],[NAME]],Aggregate!AD:AO,4,FALSE())</f>
        <v>LAR/11</v>
      </c>
      <c r="Y5" s="62" t="n">
        <f aca="false">IFERROR(VLOOKUP(Table11[[#This Row],[NAME]],Aggregate!$AD:$AO,8,FALSE()),"")</f>
        <v>248.433242960784</v>
      </c>
      <c r="Z5" s="62" t="n">
        <f aca="false">IF(Scoring!$K$6="Auction",IFERROR(VLOOKUP(Table11[[#This Row],[NAME]],Aggregate!$AD:$AO,10,FALSE()),""),IFERROR(VLOOKUP(Table11[[#This Row],[NAME]],Aggregate!$AD:$AO,9,FALSE()),""))</f>
        <v>122.755364215686</v>
      </c>
      <c r="AA5" s="64" t="n">
        <f aca="false">SUMIFS(AD6:$AD$84,AC6:$AC$84,"&lt;&gt;x",AC6:$AC$84,"&lt;&gt;o",AD6:$AD$84,"&gt;0")/Aggregate!$AL$1</f>
        <v>0.911942162845656</v>
      </c>
      <c r="AB5" s="62" t="str">
        <f aca="false">VLOOKUP(Table11[[#This Row],[NAME]],ECR!C:E,3,FALSE())</f>
        <v>WR2</v>
      </c>
      <c r="AC5" s="65"/>
      <c r="AD5" s="66" t="n">
        <f aca="false">VLOOKUP(W5,Aggregate!AD:AL,9,FALSE())</f>
        <v>122.755364215686</v>
      </c>
      <c r="AF5" s="57" t="s">
        <v>93</v>
      </c>
      <c r="AG5" s="59" t="str">
        <f aca="false">IF($AG$2="","",IF(AH2&lt;&gt;"",INDEX(C:C,AH2),IF(AH3&lt;&gt;"",INDEX(M:M,AH3),IF(AH4&lt;&gt;"",INDEX(W:W,AH4),IF(AH5&lt;&gt;"",INDEX(C:C,AH5),"")))))</f>
        <v/>
      </c>
      <c r="AH5" s="52" t="str">
        <f aca="false">IF($AG$2="","",IFERROR(MATCH("*"&amp;$AG$2&amp;"*",C48:C84,0)+47,""))</f>
        <v/>
      </c>
    </row>
    <row r="6" customFormat="false" ht="14.25" hidden="false" customHeight="true" outlineLevel="0" collapsed="false">
      <c r="B6" s="62" t="n">
        <f aca="false">IFERROR(VLOOKUP(Table9[[#This Row],[NAME]],Aggregate!$B:$M,11,FALSE()),"")</f>
        <v>2</v>
      </c>
      <c r="C6" s="63" t="str">
        <f aca="false">Aggregate!B4</f>
        <v>Lamar Jackson</v>
      </c>
      <c r="D6" s="63" t="str">
        <f aca="false">VLOOKUP(Table9[[#This Row],[NAME]],Aggregate!B:M,4,FALSE())</f>
        <v>BAL/13</v>
      </c>
      <c r="E6" s="62" t="n">
        <f aca="false">IFERROR(VLOOKUP(Table9[[#This Row],[NAME]],Aggregate!$B:$M,8,FALSE()),"")</f>
        <v>286.786313035294</v>
      </c>
      <c r="F6" s="62" t="n">
        <f aca="false">IF(Scoring!$K$6="Auction",IFERROR(VLOOKUP(Table9[[#This Row],[NAME]],Aggregate!$B:$M,10,FALSE()),""),IFERROR(VLOOKUP(Table9[[#This Row],[NAME]],Aggregate!$B:$M,9,FALSE()),""))</f>
        <v>18.4069472470588</v>
      </c>
      <c r="G6" s="64" t="n">
        <f aca="false">SUMIFS(J7:$J$44,I7:$I$44,"&lt;&gt;x",I7:$I$44,"&lt;&gt;o",J7:$J$44,"&gt;0")/Aggregate!$J$1</f>
        <v>0.460230421753856</v>
      </c>
      <c r="H6" s="62" t="str">
        <f aca="false">VLOOKUP(Table9[[#This Row],[NAME]],ECR!C:E,3,FALSE())</f>
        <v>QB2</v>
      </c>
      <c r="I6" s="65"/>
      <c r="J6" s="66" t="n">
        <f aca="false">VLOOKUP(C6,Aggregate!B:J,9,FALSE())</f>
        <v>18.4069472470588</v>
      </c>
      <c r="K6" s="67"/>
      <c r="L6" s="62" t="n">
        <f aca="false">IFERROR(VLOOKUP(Table10[[#This Row],[NAME]],Aggregate!$P:$AA,11,FALSE()),"")</f>
        <v>1</v>
      </c>
      <c r="M6" s="63" t="str">
        <f aca="false">Aggregate!P4</f>
        <v>Bijan Robinson</v>
      </c>
      <c r="N6" s="63" t="str">
        <f aca="false">VLOOKUP(Table10[[#This Row],[NAME]],Aggregate!P:AA,4,FALSE())</f>
        <v>ATL/11</v>
      </c>
      <c r="O6" s="62" t="n">
        <f aca="false">IFERROR(VLOOKUP(Table10[[#This Row],[NAME]],Aggregate!$P:$AA,8,FALSE()),"")</f>
        <v>270.341083333333</v>
      </c>
      <c r="P6" s="62" t="n">
        <f aca="false">IF(Scoring!$K$6="Auction",IFERROR(VLOOKUP(Table10[[#This Row],[NAME]],Aggregate!$P:$AA,10,FALSE()),""),IFERROR(VLOOKUP(Table10[[#This Row],[NAME]],Aggregate!$P:$AA,9,FALSE()),""))</f>
        <v>142.795344941176</v>
      </c>
      <c r="Q6" s="64" t="n">
        <f aca="false">SUMIFS(T7:$T$84,S7:$S$84,"&lt;&gt;x",S7:$S$84,"&lt;&gt;o",T7:$T$84,"&gt;0")/Aggregate!$X$1</f>
        <v>0.834386577440461</v>
      </c>
      <c r="R6" s="62" t="str">
        <f aca="false">VLOOKUP(Table10[[#This Row],[NAME]],ECR!C:E,3,FALSE())</f>
        <v>RB2</v>
      </c>
      <c r="S6" s="65"/>
      <c r="T6" s="66" t="n">
        <f aca="false">VLOOKUP(M6,Aggregate!P:X,9,FALSE())</f>
        <v>142.795344941176</v>
      </c>
      <c r="U6" s="68"/>
      <c r="V6" s="62" t="n">
        <f aca="false">IFERROR(VLOOKUP(Table11[[#This Row],[NAME]],Aggregate!$AD:$AO,11,FALSE()),"")</f>
        <v>1</v>
      </c>
      <c r="W6" s="63" t="str">
        <f aca="false">Aggregate!AD3</f>
        <v>Ja'Marr Chase</v>
      </c>
      <c r="X6" s="63" t="str">
        <f aca="false">VLOOKUP(Table11[[#This Row],[NAME]],Aggregate!AD:AO,4,FALSE())</f>
        <v>CIN/6</v>
      </c>
      <c r="Y6" s="62" t="n">
        <f aca="false">IFERROR(VLOOKUP(Table11[[#This Row],[NAME]],Aggregate!$AD:$AO,8,FALSE()),"")</f>
        <v>246.791945617647</v>
      </c>
      <c r="Z6" s="62" t="n">
        <f aca="false">IF(Scoring!$K$6="Auction",IFERROR(VLOOKUP(Table11[[#This Row],[NAME]],Aggregate!$AD:$AO,10,FALSE()),""),IFERROR(VLOOKUP(Table11[[#This Row],[NAME]],Aggregate!$AD:$AO,9,FALSE()),""))</f>
        <v>121.114066872549</v>
      </c>
      <c r="AA6" s="64" t="n">
        <f aca="false">SUMIFS(AD7:$AD$84,AC7:$AC$84,"&lt;&gt;x",AC7:$AC$84,"&lt;&gt;o",AD7:$AD$84,"&gt;0")/Aggregate!$AL$1</f>
        <v>0.825061700668668</v>
      </c>
      <c r="AB6" s="62" t="str">
        <f aca="false">VLOOKUP(Table11[[#This Row],[NAME]],ECR!C:E,3,FALSE())</f>
        <v>WR1</v>
      </c>
      <c r="AC6" s="65"/>
      <c r="AD6" s="66" t="n">
        <f aca="false">VLOOKUP(W6,Aggregate!AD:AL,9,FALSE())</f>
        <v>121.114066872549</v>
      </c>
      <c r="AF6" s="57" t="s">
        <v>94</v>
      </c>
      <c r="AG6" s="59" t="str">
        <f aca="false">IF($AG$2="","",IF(AH2&lt;&gt;"",INDEX(D:D,AH2),IF(AH3&lt;&gt;"",INDEX(N:N,AH3),IF(AH4&lt;&gt;"",INDEX(X:X,AH4),IF(AH5&lt;&gt;"",INDEX(D:D,AH5),"")))))</f>
        <v/>
      </c>
    </row>
    <row r="7" customFormat="false" ht="14.25" hidden="false" customHeight="true" outlineLevel="0" collapsed="false">
      <c r="B7" s="62" t="n">
        <f aca="false">IFERROR(VLOOKUP(Table9[[#This Row],[NAME]],Aggregate!$B:$M,11,FALSE()),"")</f>
        <v>2</v>
      </c>
      <c r="C7" s="63" t="str">
        <f aca="false">Aggregate!B7</f>
        <v>Jalen Hurts</v>
      </c>
      <c r="D7" s="63" t="str">
        <f aca="false">VLOOKUP(Table9[[#This Row],[NAME]],Aggregate!B:M,4,FALSE())</f>
        <v>PHI/10</v>
      </c>
      <c r="E7" s="62" t="n">
        <f aca="false">IFERROR(VLOOKUP(Table9[[#This Row],[NAME]],Aggregate!$B:$M,8,FALSE()),"")</f>
        <v>284.312648313726</v>
      </c>
      <c r="F7" s="62" t="n">
        <f aca="false">IF(Scoring!$K$6="Auction",IFERROR(VLOOKUP(Table9[[#This Row],[NAME]],Aggregate!$B:$M,10,FALSE()),""),IFERROR(VLOOKUP(Table9[[#This Row],[NAME]],Aggregate!$B:$M,9,FALSE()),""))</f>
        <v>15.9332825254903</v>
      </c>
      <c r="G7" s="64" t="n">
        <f aca="false">SUMIFS(J8:$J$44,I8:$I$44,"&lt;&gt;x",I8:$I$44,"&lt;&gt;o",J8:$J$44,"&gt;0")/Aggregate!$J$1</f>
        <v>0.34556818396414</v>
      </c>
      <c r="H7" s="62" t="str">
        <f aca="false">VLOOKUP(Table9[[#This Row],[NAME]],ECR!C:E,3,FALSE())</f>
        <v>QB5</v>
      </c>
      <c r="I7" s="65"/>
      <c r="J7" s="66" t="n">
        <f aca="false">VLOOKUP(C7,Aggregate!B:J,9,FALSE())</f>
        <v>15.9332825254903</v>
      </c>
      <c r="K7" s="67"/>
      <c r="L7" s="62" t="n">
        <f aca="false">IFERROR(VLOOKUP(Table10[[#This Row],[NAME]],Aggregate!$P:$AA,11,FALSE()),"")</f>
        <v>2</v>
      </c>
      <c r="M7" s="63" t="str">
        <f aca="false">Aggregate!P5</f>
        <v>Jonathan Taylor</v>
      </c>
      <c r="N7" s="63" t="str">
        <f aca="false">VLOOKUP(Table10[[#This Row],[NAME]],Aggregate!P:AA,4,FALSE())</f>
        <v>IND/13</v>
      </c>
      <c r="O7" s="62" t="n">
        <f aca="false">IFERROR(VLOOKUP(Table10[[#This Row],[NAME]],Aggregate!$P:$AA,8,FALSE()),"")</f>
        <v>249.192153764706</v>
      </c>
      <c r="P7" s="62" t="n">
        <f aca="false">IF(Scoring!$K$6="Auction",IFERROR(VLOOKUP(Table10[[#This Row],[NAME]],Aggregate!$P:$AA,10,FALSE()),""),IFERROR(VLOOKUP(Table10[[#This Row],[NAME]],Aggregate!$P:$AA,9,FALSE()),""))</f>
        <v>121.646415372549</v>
      </c>
      <c r="Q7" s="64" t="n">
        <f aca="false">SUMIFS(T8:$T$84,S8:$S$84,"&lt;&gt;x",S8:$S$84,"&lt;&gt;o",T8:$T$84,"&gt;0")/Aggregate!$X$1</f>
        <v>0.768678502741202</v>
      </c>
      <c r="R7" s="62" t="str">
        <f aca="false">VLOOKUP(Table10[[#This Row],[NAME]],ECR!C:E,3,FALSE())</f>
        <v>RB3</v>
      </c>
      <c r="S7" s="65"/>
      <c r="T7" s="66" t="n">
        <f aca="false">VLOOKUP(M7,Aggregate!P:X,9,FALSE())</f>
        <v>121.646415372549</v>
      </c>
      <c r="U7" s="68"/>
      <c r="V7" s="62" t="n">
        <f aca="false">IFERROR(VLOOKUP(Table11[[#This Row],[NAME]],Aggregate!$AD:$AO,11,FALSE()),"")</f>
        <v>1</v>
      </c>
      <c r="W7" s="63" t="str">
        <f aca="false">Aggregate!AD5</f>
        <v>Jaxon Smith-Njigba</v>
      </c>
      <c r="X7" s="63" t="str">
        <f aca="false">VLOOKUP(Table11[[#This Row],[NAME]],Aggregate!AD:AO,4,FALSE())</f>
        <v>SEA/11</v>
      </c>
      <c r="Y7" s="62" t="n">
        <f aca="false">IFERROR(VLOOKUP(Table11[[#This Row],[NAME]],Aggregate!$AD:$AO,8,FALSE()),"")</f>
        <v>240.065342598039</v>
      </c>
      <c r="Z7" s="62" t="n">
        <f aca="false">IF(Scoring!$K$6="Auction",IFERROR(VLOOKUP(Table11[[#This Row],[NAME]],Aggregate!$AD:$AO,10,FALSE()),""),IFERROR(VLOOKUP(Table11[[#This Row],[NAME]],Aggregate!$AD:$AO,9,FALSE()),""))</f>
        <v>114.387463852941</v>
      </c>
      <c r="AA7" s="64" t="n">
        <f aca="false">SUMIFS(AD8:$AD$84,AC8:$AC$84,"&lt;&gt;x",AC8:$AC$84,"&lt;&gt;o",AD8:$AD$84,"&gt;0")/Aggregate!$AL$1</f>
        <v>0.743006527529655</v>
      </c>
      <c r="AB7" s="62" t="str">
        <f aca="false">VLOOKUP(Table11[[#This Row],[NAME]],ECR!C:E,3,FALSE())</f>
        <v>WR3</v>
      </c>
      <c r="AC7" s="65"/>
      <c r="AD7" s="66" t="n">
        <f aca="false">VLOOKUP(W7,Aggregate!AD:AL,9,FALSE())</f>
        <v>114.387463852941</v>
      </c>
      <c r="AF7" s="57" t="s">
        <v>95</v>
      </c>
      <c r="AG7" s="69" t="str">
        <f aca="false">IF($AG$2="","",IF(AH2&lt;&gt;"",INDEX(E:E,AH2),IF(AH3&lt;&gt;"",INDEX(O:O,AH3),IF(AH4&lt;&gt;"",INDEX(Y:Y,AH4),IF(AH5&lt;&gt;"",INDEX(E:E,AH5),"")))))</f>
        <v/>
      </c>
    </row>
    <row r="8" customFormat="false" ht="14.25" hidden="false" customHeight="true" outlineLevel="0" collapsed="false">
      <c r="B8" s="62" t="n">
        <f aca="false">IFERROR(VLOOKUP(Table9[[#This Row],[NAME]],Aggregate!$B:$M,11,FALSE()),"")</f>
        <v>3</v>
      </c>
      <c r="C8" s="63" t="str">
        <f aca="false">Aggregate!B5</f>
        <v>Drake Maye</v>
      </c>
      <c r="D8" s="63" t="str">
        <f aca="false">VLOOKUP(Table9[[#This Row],[NAME]],Aggregate!B:M,4,FALSE())</f>
        <v>NE/11</v>
      </c>
      <c r="E8" s="62" t="n">
        <f aca="false">IFERROR(VLOOKUP(Table9[[#This Row],[NAME]],Aggregate!$B:$M,8,FALSE()),"")</f>
        <v>282.823206839216</v>
      </c>
      <c r="F8" s="62" t="n">
        <f aca="false">IF(Scoring!$K$6="Auction",IFERROR(VLOOKUP(Table9[[#This Row],[NAME]],Aggregate!$B:$M,10,FALSE()),""),IFERROR(VLOOKUP(Table9[[#This Row],[NAME]],Aggregate!$B:$M,9,FALSE()),""))</f>
        <v>14.4438410509805</v>
      </c>
      <c r="G8" s="64" t="n">
        <f aca="false">SUMIFS(J9:$J$44,I9:$I$44,"&lt;&gt;x",I9:$I$44,"&lt;&gt;o",J9:$J$44,"&gt;0")/Aggregate!$J$1</f>
        <v>0.241624559382398</v>
      </c>
      <c r="H8" s="62" t="str">
        <f aca="false">VLOOKUP(Table9[[#This Row],[NAME]],ECR!C:E,3,FALSE())</f>
        <v>QB3</v>
      </c>
      <c r="I8" s="65"/>
      <c r="J8" s="66" t="n">
        <f aca="false">VLOOKUP(C8,Aggregate!B:J,9,FALSE())</f>
        <v>14.4438410509805</v>
      </c>
      <c r="K8" s="67"/>
      <c r="L8" s="62" t="n">
        <f aca="false">IFERROR(VLOOKUP(Table10[[#This Row],[NAME]],Aggregate!$P:$AA,11,FALSE()),"")</f>
        <v>2</v>
      </c>
      <c r="M8" s="63" t="str">
        <f aca="false">Aggregate!P6</f>
        <v>Christian McCaffrey</v>
      </c>
      <c r="N8" s="63" t="str">
        <f aca="false">VLOOKUP(Table10[[#This Row],[NAME]],Aggregate!P:AA,4,FALSE())</f>
        <v>SF/8</v>
      </c>
      <c r="O8" s="62" t="n">
        <f aca="false">IFERROR(VLOOKUP(Table10[[#This Row],[NAME]],Aggregate!$P:$AA,8,FALSE()),"")</f>
        <v>248.897413490196</v>
      </c>
      <c r="P8" s="62" t="n">
        <f aca="false">IF(Scoring!$K$6="Auction",IFERROR(VLOOKUP(Table10[[#This Row],[NAME]],Aggregate!$P:$AA,10,FALSE()),""),IFERROR(VLOOKUP(Table10[[#This Row],[NAME]],Aggregate!$P:$AA,9,FALSE()),""))</f>
        <v>121.351675098039</v>
      </c>
      <c r="Q8" s="64" t="n">
        <f aca="false">SUMIFS(T9:$T$84,S9:$S$84,"&lt;&gt;x",S9:$S$84,"&lt;&gt;o",T9:$T$84,"&gt;0")/Aggregate!$X$1</f>
        <v>0.703129633850968</v>
      </c>
      <c r="R8" s="62" t="str">
        <f aca="false">VLOOKUP(Table10[[#This Row],[NAME]],ECR!C:E,3,FALSE())</f>
        <v>RB4</v>
      </c>
      <c r="S8" s="65"/>
      <c r="T8" s="66" t="n">
        <f aca="false">VLOOKUP(M8,Aggregate!P:X,9,FALSE())</f>
        <v>121.351675098039</v>
      </c>
      <c r="U8" s="68"/>
      <c r="V8" s="62" t="n">
        <f aca="false">IFERROR(VLOOKUP(Table11[[#This Row],[NAME]],Aggregate!$AD:$AO,11,FALSE()),"")</f>
        <v>2</v>
      </c>
      <c r="W8" s="63" t="str">
        <f aca="false">Aggregate!AD6</f>
        <v>Amon-Ra St. Brown</v>
      </c>
      <c r="X8" s="63" t="str">
        <f aca="false">VLOOKUP(Table11[[#This Row],[NAME]],Aggregate!AD:AO,4,FALSE())</f>
        <v>DET/6</v>
      </c>
      <c r="Y8" s="62" t="n">
        <f aca="false">IFERROR(VLOOKUP(Table11[[#This Row],[NAME]],Aggregate!$AD:$AO,8,FALSE()),"")</f>
        <v>230.244611333333</v>
      </c>
      <c r="Z8" s="62" t="n">
        <f aca="false">IF(Scoring!$K$6="Auction",IFERROR(VLOOKUP(Table11[[#This Row],[NAME]],Aggregate!$AD:$AO,10,FALSE()),""),IFERROR(VLOOKUP(Table11[[#This Row],[NAME]],Aggregate!$AD:$AO,9,FALSE()),""))</f>
        <v>104.566732588235</v>
      </c>
      <c r="AA8" s="64" t="n">
        <f aca="false">SUMIFS(AD9:$AD$84,AC9:$AC$84,"&lt;&gt;x",AC9:$AC$84,"&lt;&gt;o",AD9:$AD$84,"&gt;0")/Aggregate!$AL$1</f>
        <v>0.667996198092336</v>
      </c>
      <c r="AB8" s="62" t="str">
        <f aca="false">VLOOKUP(Table11[[#This Row],[NAME]],ECR!C:E,3,FALSE())</f>
        <v>WR4</v>
      </c>
      <c r="AC8" s="65"/>
      <c r="AD8" s="66" t="n">
        <f aca="false">VLOOKUP(W8,Aggregate!AD:AL,9,FALSE())</f>
        <v>104.566732588235</v>
      </c>
      <c r="AF8" s="57" t="s">
        <v>96</v>
      </c>
      <c r="AG8" s="69" t="str">
        <f aca="false">IF($AG$2="","",IF(AH2&lt;&gt;"",INDEX(F:F,AH2),IF(AH3&lt;&gt;"",INDEX(P:P,AH3),IF(AH4&lt;&gt;"",INDEX(Z:Z,AH4),IF(AH5&lt;&gt;"",INDEX(F:F,AH5),"")))))</f>
        <v/>
      </c>
    </row>
    <row r="9" customFormat="false" ht="14.25" hidden="false" customHeight="true" outlineLevel="0" collapsed="false">
      <c r="B9" s="62" t="n">
        <f aca="false">IFERROR(VLOOKUP(Table9[[#This Row],[NAME]],Aggregate!$B:$M,11,FALSE()),"")</f>
        <v>3</v>
      </c>
      <c r="C9" s="63" t="str">
        <f aca="false">Aggregate!B8</f>
        <v>Jayden Daniels</v>
      </c>
      <c r="D9" s="63" t="str">
        <f aca="false">VLOOKUP(Table9[[#This Row],[NAME]],Aggregate!B:M,4,FALSE())</f>
        <v>WAS/7</v>
      </c>
      <c r="E9" s="62" t="n">
        <f aca="false">IFERROR(VLOOKUP(Table9[[#This Row],[NAME]],Aggregate!$B:$M,8,FALSE()),"")</f>
        <v>282.160197992157</v>
      </c>
      <c r="F9" s="62" t="n">
        <f aca="false">IF(Scoring!$K$6="Auction",IFERROR(VLOOKUP(Table9[[#This Row],[NAME]],Aggregate!$B:$M,10,FALSE()),""),IFERROR(VLOOKUP(Table9[[#This Row],[NAME]],Aggregate!$B:$M,9,FALSE()),""))</f>
        <v>13.7808322039215</v>
      </c>
      <c r="G9" s="64" t="n">
        <f aca="false">SUMIFS(J10:$J$44,I10:$I$44,"&lt;&gt;x",I10:$I$44,"&lt;&gt;o",J10:$J$44,"&gt;0")/Aggregate!$J$1</f>
        <v>0.142452210145617</v>
      </c>
      <c r="H9" s="62" t="str">
        <f aca="false">VLOOKUP(Table9[[#This Row],[NAME]],ECR!C:E,3,FALSE())</f>
        <v>QB6</v>
      </c>
      <c r="I9" s="65"/>
      <c r="J9" s="66" t="n">
        <f aca="false">VLOOKUP(C9,Aggregate!B:J,9,FALSE())</f>
        <v>13.7808322039215</v>
      </c>
      <c r="K9" s="67"/>
      <c r="L9" s="62" t="n">
        <f aca="false">IFERROR(VLOOKUP(Table10[[#This Row],[NAME]],Aggregate!$P:$AA,11,FALSE()),"")</f>
        <v>3</v>
      </c>
      <c r="M9" s="63" t="str">
        <f aca="false">Aggregate!P7</f>
        <v>James Cook III</v>
      </c>
      <c r="N9" s="63" t="str">
        <f aca="false">VLOOKUP(Table10[[#This Row],[NAME]],Aggregate!P:AA,4,FALSE())</f>
        <v>BUF/7</v>
      </c>
      <c r="O9" s="62" t="n">
        <f aca="false">IFERROR(VLOOKUP(Table10[[#This Row],[NAME]],Aggregate!$P:$AA,8,FALSE()),"")</f>
        <v>218.435602372549</v>
      </c>
      <c r="P9" s="62" t="n">
        <f aca="false">IF(Scoring!$K$6="Auction",IFERROR(VLOOKUP(Table10[[#This Row],[NAME]],Aggregate!$P:$AA,10,FALSE()),""),IFERROR(VLOOKUP(Table10[[#This Row],[NAME]],Aggregate!$P:$AA,9,FALSE()),""))</f>
        <v>90.8898639803922</v>
      </c>
      <c r="Q9" s="64" t="n">
        <f aca="false">SUMIFS(T10:$T$84,S10:$S$84,"&lt;&gt;x",S10:$S$84,"&lt;&gt;o",T10:$T$84,"&gt;0")/Aggregate!$X$1</f>
        <v>0.654034903409969</v>
      </c>
      <c r="R9" s="62" t="str">
        <f aca="false">VLOOKUP(Table10[[#This Row],[NAME]],ECR!C:E,3,FALSE())</f>
        <v>RB5</v>
      </c>
      <c r="S9" s="65"/>
      <c r="T9" s="66" t="n">
        <f aca="false">VLOOKUP(M9,Aggregate!P:X,9,FALSE())</f>
        <v>90.8898639803922</v>
      </c>
      <c r="U9" s="68"/>
      <c r="V9" s="62" t="n">
        <f aca="false">IFERROR(VLOOKUP(Table11[[#This Row],[NAME]],Aggregate!$AD:$AO,11,FALSE()),"")</f>
        <v>3</v>
      </c>
      <c r="W9" s="63" t="str">
        <f aca="false">Aggregate!AD8</f>
        <v>Justin Jefferson</v>
      </c>
      <c r="X9" s="63" t="str">
        <f aca="false">VLOOKUP(Table11[[#This Row],[NAME]],Aggregate!AD:AO,4,FALSE())</f>
        <v>MIN/6</v>
      </c>
      <c r="Y9" s="62" t="n">
        <f aca="false">IFERROR(VLOOKUP(Table11[[#This Row],[NAME]],Aggregate!$AD:$AO,8,FALSE()),"")</f>
        <v>195.85264354902</v>
      </c>
      <c r="Z9" s="62" t="n">
        <f aca="false">IF(Scoring!$K$6="Auction",IFERROR(VLOOKUP(Table11[[#This Row],[NAME]],Aggregate!$AD:$AO,10,FALSE()),""),IFERROR(VLOOKUP(Table11[[#This Row],[NAME]],Aggregate!$AD:$AO,9,FALSE()),""))</f>
        <v>70.1747648039216</v>
      </c>
      <c r="AA9" s="64" t="n">
        <f aca="false">SUMIFS(AD10:$AD$84,AC10:$AC$84,"&lt;&gt;x",AC10:$AC$84,"&lt;&gt;o",AD10:$AD$84,"&gt;0")/Aggregate!$AL$1</f>
        <v>0.617656744082077</v>
      </c>
      <c r="AB9" s="62" t="str">
        <f aca="false">VLOOKUP(Table11[[#This Row],[NAME]],ECR!C:E,3,FALSE())</f>
        <v>WR6</v>
      </c>
      <c r="AC9" s="65"/>
      <c r="AD9" s="66" t="n">
        <f aca="false">VLOOKUP(W9,Aggregate!AD:AL,9,FALSE())</f>
        <v>70.1747648039216</v>
      </c>
      <c r="AF9" s="57" t="s">
        <v>97</v>
      </c>
      <c r="AG9" s="70" t="str">
        <f aca="false">IF($AG$2="","",IF(AH2&lt;&gt;"",INDEX(G:G,AH2),IF(AH3&lt;&gt;"",INDEX(Q:Q,AH3),IF(AH4&lt;&gt;"",INDEX(AA:AA,AH4),IF(AH5&lt;&gt;"",INDEX(G:G,AH5),"")))))</f>
        <v/>
      </c>
    </row>
    <row r="10" customFormat="false" ht="14.25" hidden="false" customHeight="true" outlineLevel="0" collapsed="false">
      <c r="B10" s="62" t="n">
        <f aca="false">IFERROR(VLOOKUP(Table9[[#This Row],[NAME]],Aggregate!$B:$M,11,FALSE()),"")</f>
        <v>4</v>
      </c>
      <c r="C10" s="63" t="str">
        <f aca="false">Aggregate!B6</f>
        <v>Joe Burrow</v>
      </c>
      <c r="D10" s="63" t="str">
        <f aca="false">VLOOKUP(Table9[[#This Row],[NAME]],Aggregate!B:M,4,FALSE())</f>
        <v>CIN/6</v>
      </c>
      <c r="E10" s="62" t="n">
        <f aca="false">IFERROR(VLOOKUP(Table9[[#This Row],[NAME]],Aggregate!$B:$M,8,FALSE()),"")</f>
        <v>278.522579717647</v>
      </c>
      <c r="F10" s="62" t="n">
        <f aca="false">IF(Scoring!$K$6="Auction",IFERROR(VLOOKUP(Table9[[#This Row],[NAME]],Aggregate!$B:$M,10,FALSE()),""),IFERROR(VLOOKUP(Table9[[#This Row],[NAME]],Aggregate!$B:$M,9,FALSE()),""))</f>
        <v>10.1432139294118</v>
      </c>
      <c r="G10" s="64" t="n">
        <f aca="false">SUMIFS(J11:$J$44,I11:$I$44,"&lt;&gt;x",I11:$I$44,"&lt;&gt;o",J11:$J$44,"&gt;0")/Aggregate!$J$1</f>
        <v>0.0694576087089369</v>
      </c>
      <c r="H10" s="62" t="str">
        <f aca="false">VLOOKUP(Table9[[#This Row],[NAME]],ECR!C:E,3,FALSE())</f>
        <v>QB4</v>
      </c>
      <c r="I10" s="65"/>
      <c r="J10" s="66" t="n">
        <f aca="false">VLOOKUP(C10,Aggregate!B:J,9,FALSE())</f>
        <v>10.1432139294118</v>
      </c>
      <c r="K10" s="67"/>
      <c r="L10" s="62" t="n">
        <f aca="false">IFERROR(VLOOKUP(Table10[[#This Row],[NAME]],Aggregate!$P:$AA,11,FALSE()),"")</f>
        <v>3</v>
      </c>
      <c r="M10" s="63" t="str">
        <f aca="false">Aggregate!P10</f>
        <v>De'Von Achane</v>
      </c>
      <c r="N10" s="63" t="str">
        <f aca="false">VLOOKUP(Table10[[#This Row],[NAME]],Aggregate!P:AA,4,FALSE())</f>
        <v>MIA/6</v>
      </c>
      <c r="O10" s="62" t="n">
        <f aca="false">IFERROR(VLOOKUP(Table10[[#This Row],[NAME]],Aggregate!$P:$AA,8,FALSE()),"")</f>
        <v>218.142989686275</v>
      </c>
      <c r="P10" s="62" t="n">
        <f aca="false">IF(Scoring!$K$6="Auction",IFERROR(VLOOKUP(Table10[[#This Row],[NAME]],Aggregate!$P:$AA,10,FALSE()),""),IFERROR(VLOOKUP(Table10[[#This Row],[NAME]],Aggregate!$P:$AA,9,FALSE()),""))</f>
        <v>90.5972512941177</v>
      </c>
      <c r="Q10" s="64" t="n">
        <f aca="false">SUMIFS(T11:$T$84,S11:$S$84,"&lt;&gt;x",S11:$S$84,"&lt;&gt;o",T11:$T$84,"&gt;0")/Aggregate!$X$1</f>
        <v>0.605098229547857</v>
      </c>
      <c r="R10" s="62" t="str">
        <f aca="false">VLOOKUP(Table10[[#This Row],[NAME]],ECR!C:E,3,FALSE())</f>
        <v>RB8</v>
      </c>
      <c r="S10" s="65"/>
      <c r="T10" s="66" t="n">
        <f aca="false">VLOOKUP(M10,Aggregate!P:X,9,FALSE())</f>
        <v>90.5972512941177</v>
      </c>
      <c r="U10" s="68"/>
      <c r="V10" s="62" t="n">
        <f aca="false">IFERROR(VLOOKUP(Table11[[#This Row],[NAME]],Aggregate!$AD:$AO,11,FALSE()),"")</f>
        <v>3</v>
      </c>
      <c r="W10" s="63" t="str">
        <f aca="false">Aggregate!AD7</f>
        <v>CeeDee Lamb</v>
      </c>
      <c r="X10" s="63" t="str">
        <f aca="false">VLOOKUP(Table11[[#This Row],[NAME]],Aggregate!AD:AO,4,FALSE())</f>
        <v>DAL/14</v>
      </c>
      <c r="Y10" s="62" t="n">
        <f aca="false">IFERROR(VLOOKUP(Table11[[#This Row],[NAME]],Aggregate!$AD:$AO,8,FALSE()),"")</f>
        <v>195.044312794118</v>
      </c>
      <c r="Z10" s="62" t="n">
        <f aca="false">IF(Scoring!$K$6="Auction",IFERROR(VLOOKUP(Table11[[#This Row],[NAME]],Aggregate!$AD:$AO,10,FALSE()),""),IFERROR(VLOOKUP(Table11[[#This Row],[NAME]],Aggregate!$AD:$AO,9,FALSE()),""))</f>
        <v>69.3664340490196</v>
      </c>
      <c r="AA10" s="64" t="n">
        <f aca="false">SUMIFS(AD11:$AD$84,AC11:$AC$84,"&lt;&gt;x",AC11:$AC$84,"&lt;&gt;o",AD11:$AD$84,"&gt;0")/Aggregate!$AL$1</f>
        <v>0.567897141375562</v>
      </c>
      <c r="AB10" s="62" t="str">
        <f aca="false">VLOOKUP(Table11[[#This Row],[NAME]],ECR!C:E,3,FALSE())</f>
        <v>WR5</v>
      </c>
      <c r="AC10" s="65"/>
      <c r="AD10" s="66" t="n">
        <f aca="false">VLOOKUP(W10,Aggregate!AD:AL,9,FALSE())</f>
        <v>69.3664340490196</v>
      </c>
      <c r="AF10" s="57" t="s">
        <v>98</v>
      </c>
      <c r="AG10" s="59" t="str">
        <f aca="false">IF($AG$2="","",IF(AH2&lt;&gt;"",INDEX(H:H,AH2),IF(AH3&lt;&gt;"",INDEX(R:R,AH3),IF(AH4&lt;&gt;"",INDEX(AB:AB,AH4),IF(AH5&lt;&gt;"",INDEX(H:H,AH5),"")))))</f>
        <v/>
      </c>
    </row>
    <row r="11" customFormat="false" ht="14.25" hidden="false" customHeight="true" outlineLevel="0" collapsed="false">
      <c r="B11" s="62" t="n">
        <f aca="false">IFERROR(VLOOKUP(Table9[[#This Row],[NAME]],Aggregate!$B:$M,11,FALSE()),"")</f>
        <v>5</v>
      </c>
      <c r="C11" s="63" t="str">
        <f aca="false">Aggregate!B11</f>
        <v>Trevor Lawrence</v>
      </c>
      <c r="D11" s="63" t="str">
        <f aca="false">VLOOKUP(Table9[[#This Row],[NAME]],Aggregate!B:M,4,FALSE())</f>
        <v>JAC/7</v>
      </c>
      <c r="E11" s="62" t="n">
        <f aca="false">IFERROR(VLOOKUP(Table9[[#This Row],[NAME]],Aggregate!$B:$M,8,FALSE()),"")</f>
        <v>272.072676901961</v>
      </c>
      <c r="F11" s="62" t="n">
        <f aca="false">IF(Scoring!$K$6="Auction",IFERROR(VLOOKUP(Table9[[#This Row],[NAME]],Aggregate!$B:$M,10,FALSE()),""),IFERROR(VLOOKUP(Table9[[#This Row],[NAME]],Aggregate!$B:$M,9,FALSE()),""))</f>
        <v>3.69331111372549</v>
      </c>
      <c r="G11" s="64" t="n">
        <f aca="false">SUMIFS(J12:$J$44,I12:$I$44,"&lt;&gt;x",I12:$I$44,"&lt;&gt;o",J12:$J$44,"&gt;0")/Aggregate!$J$1</f>
        <v>0.0428790730885525</v>
      </c>
      <c r="H11" s="62" t="str">
        <f aca="false">VLOOKUP(Table9[[#This Row],[NAME]],ECR!C:E,3,FALSE())</f>
        <v>QB9</v>
      </c>
      <c r="I11" s="65"/>
      <c r="J11" s="66" t="n">
        <f aca="false">VLOOKUP(C11,Aggregate!B:J,9,FALSE())</f>
        <v>3.69331111372549</v>
      </c>
      <c r="K11" s="67"/>
      <c r="L11" s="62" t="n">
        <f aca="false">IFERROR(VLOOKUP(Table10[[#This Row],[NAME]],Aggregate!$P:$AA,11,FALSE()),"")</f>
        <v>3</v>
      </c>
      <c r="M11" s="63" t="str">
        <f aca="false">Aggregate!P13</f>
        <v>Derrick Henry</v>
      </c>
      <c r="N11" s="63" t="str">
        <f aca="false">VLOOKUP(Table10[[#This Row],[NAME]],Aggregate!P:AA,4,FALSE())</f>
        <v>BAL/13</v>
      </c>
      <c r="O11" s="62" t="n">
        <f aca="false">IFERROR(VLOOKUP(Table10[[#This Row],[NAME]],Aggregate!$P:$AA,8,FALSE()),"")</f>
        <v>215.593517980392</v>
      </c>
      <c r="P11" s="62" t="n">
        <f aca="false">IF(Scoring!$K$6="Auction",IFERROR(VLOOKUP(Table10[[#This Row],[NAME]],Aggregate!$P:$AA,10,FALSE()),""),IFERROR(VLOOKUP(Table10[[#This Row],[NAME]],Aggregate!$P:$AA,9,FALSE()),""))</f>
        <v>88.0477795882353</v>
      </c>
      <c r="Q11" s="64" t="n">
        <f aca="false">SUMIFS(T12:$T$84,S12:$S$84,"&lt;&gt;x",S12:$S$84,"&lt;&gt;o",T12:$T$84,"&gt;0")/Aggregate!$X$1</f>
        <v>0.557538668827803</v>
      </c>
      <c r="R11" s="62" t="str">
        <f aca="false">VLOOKUP(Table10[[#This Row],[NAME]],ECR!C:E,3,FALSE())</f>
        <v>RB11</v>
      </c>
      <c r="S11" s="65"/>
      <c r="T11" s="66" t="n">
        <f aca="false">VLOOKUP(M11,Aggregate!P:X,9,FALSE())</f>
        <v>88.0477795882353</v>
      </c>
      <c r="U11" s="68"/>
      <c r="V11" s="62" t="n">
        <f aca="false">IFERROR(VLOOKUP(Table11[[#This Row],[NAME]],Aggregate!$AD:$AO,11,FALSE()),"")</f>
        <v>3</v>
      </c>
      <c r="W11" s="63" t="str">
        <f aca="false">Aggregate!AD10</f>
        <v>Drake London</v>
      </c>
      <c r="X11" s="63" t="str">
        <f aca="false">VLOOKUP(Table11[[#This Row],[NAME]],Aggregate!AD:AO,4,FALSE())</f>
        <v>ATL/11</v>
      </c>
      <c r="Y11" s="62" t="n">
        <f aca="false">IFERROR(VLOOKUP(Table11[[#This Row],[NAME]],Aggregate!$AD:$AO,8,FALSE()),"")</f>
        <v>190.378019352941</v>
      </c>
      <c r="Z11" s="62" t="n">
        <f aca="false">IF(Scoring!$K$6="Auction",IFERROR(VLOOKUP(Table11[[#This Row],[NAME]],Aggregate!$AD:$AO,10,FALSE()),""),IFERROR(VLOOKUP(Table11[[#This Row],[NAME]],Aggregate!$AD:$AO,9,FALSE()),""))</f>
        <v>64.7001406078431</v>
      </c>
      <c r="AA11" s="64" t="n">
        <f aca="false">SUMIFS(AD12:$AD$84,AC12:$AC$84,"&lt;&gt;x",AC12:$AC$84,"&lt;&gt;o",AD12:$AD$84,"&gt;0")/Aggregate!$AL$1</f>
        <v>0.521484876771808</v>
      </c>
      <c r="AB11" s="62" t="str">
        <f aca="false">VLOOKUP(Table11[[#This Row],[NAME]],ECR!C:E,3,FALSE())</f>
        <v>WR8</v>
      </c>
      <c r="AC11" s="65"/>
      <c r="AD11" s="66" t="n">
        <f aca="false">VLOOKUP(W11,Aggregate!AD:AL,9,FALSE())</f>
        <v>64.7001406078431</v>
      </c>
      <c r="AF11" s="57" t="s">
        <v>99</v>
      </c>
      <c r="AG11" s="59" t="str">
        <f aca="false">IF($AG$2="","",IF(AH2&lt;&gt;"",IF(INDEX(I:I,AH2)="","Available",INDEX(I:I,AH2)),IF(AH3&lt;&gt;"",IF(INDEX(S:S,AH3)="","Available",INDEX(S:S,AH3)),IF(AH4&lt;&gt;"",IF(INDEX(AC:AC,AH4)="","Available",INDEX(AC:AC,AH4)),IF(AH5&lt;&gt;"",IF(INDEX(I:I,AH5)="","Available",INDEX(I:I,AH5)),"")))))</f>
        <v/>
      </c>
    </row>
    <row r="12" customFormat="false" ht="14.25" hidden="false" customHeight="true" outlineLevel="0" collapsed="false">
      <c r="B12" s="62" t="n">
        <f aca="false">IFERROR(VLOOKUP(Table9[[#This Row],[NAME]],Aggregate!$B:$M,11,FALSE()),"")</f>
        <v>5</v>
      </c>
      <c r="C12" s="63" t="str">
        <f aca="false">Aggregate!B12</f>
        <v>Dak Prescott</v>
      </c>
      <c r="D12" s="63" t="str">
        <f aca="false">VLOOKUP(Table9[[#This Row],[NAME]],Aggregate!B:M,4,FALSE())</f>
        <v>DAL/14</v>
      </c>
      <c r="E12" s="62" t="n">
        <f aca="false">IFERROR(VLOOKUP(Table9[[#This Row],[NAME]],Aggregate!$B:$M,8,FALSE()),"")</f>
        <v>270.400029176471</v>
      </c>
      <c r="F12" s="62" t="n">
        <f aca="false">IF(Scoring!$K$6="Auction",IFERROR(VLOOKUP(Table9[[#This Row],[NAME]],Aggregate!$B:$M,10,FALSE()),""),IFERROR(VLOOKUP(Table9[[#This Row],[NAME]],Aggregate!$B:$M,9,FALSE()),""))</f>
        <v>2.02066338823533</v>
      </c>
      <c r="G12" s="64" t="n">
        <f aca="false">SUMIFS(J13:$J$44,I13:$I$44,"&lt;&gt;x",I13:$I$44,"&lt;&gt;o",J13:$J$44,"&gt;0")/Aggregate!$J$1</f>
        <v>0.0283375757201259</v>
      </c>
      <c r="H12" s="62" t="str">
        <f aca="false">VLOOKUP(Table9[[#This Row],[NAME]],ECR!C:E,3,FALSE())</f>
        <v>QB10</v>
      </c>
      <c r="I12" s="65"/>
      <c r="J12" s="66" t="n">
        <f aca="false">VLOOKUP(C12,Aggregate!B:J,9,FALSE())</f>
        <v>2.02066338823533</v>
      </c>
      <c r="K12" s="67"/>
      <c r="L12" s="62" t="n">
        <f aca="false">IFERROR(VLOOKUP(Table10[[#This Row],[NAME]],Aggregate!$P:$AA,11,FALSE()),"")</f>
        <v>3</v>
      </c>
      <c r="M12" s="63" t="str">
        <f aca="false">Aggregate!P8</f>
        <v>Chase Brown</v>
      </c>
      <c r="N12" s="63" t="str">
        <f aca="false">VLOOKUP(Table10[[#This Row],[NAME]],Aggregate!P:AA,4,FALSE())</f>
        <v>CIN/6</v>
      </c>
      <c r="O12" s="62" t="n">
        <f aca="false">IFERROR(VLOOKUP(Table10[[#This Row],[NAME]],Aggregate!$P:$AA,8,FALSE()),"")</f>
        <v>213.431888705882</v>
      </c>
      <c r="P12" s="62" t="n">
        <f aca="false">IF(Scoring!$K$6="Auction",IFERROR(VLOOKUP(Table10[[#This Row],[NAME]],Aggregate!$P:$AA,10,FALSE()),""),IFERROR(VLOOKUP(Table10[[#This Row],[NAME]],Aggregate!$P:$AA,9,FALSE()),""))</f>
        <v>85.8861503137255</v>
      </c>
      <c r="Q12" s="64" t="n">
        <f aca="false">SUMIFS(T13:$T$84,S13:$S$84,"&lt;&gt;x",S13:$S$84,"&lt;&gt;o",T13:$T$84,"&gt;0")/Aggregate!$X$1</f>
        <v>0.511146725726457</v>
      </c>
      <c r="R12" s="62" t="str">
        <f aca="false">VLOOKUP(Table10[[#This Row],[NAME]],ECR!C:E,3,FALSE())</f>
        <v>RB6</v>
      </c>
      <c r="S12" s="65"/>
      <c r="T12" s="66" t="n">
        <f aca="false">VLOOKUP(M12,Aggregate!P:X,9,FALSE())</f>
        <v>85.8861503137255</v>
      </c>
      <c r="U12" s="68"/>
      <c r="V12" s="62" t="n">
        <f aca="false">IFERROR(VLOOKUP(Table11[[#This Row],[NAME]],Aggregate!$AD:$AO,11,FALSE()),"")</f>
        <v>3</v>
      </c>
      <c r="W12" s="63" t="str">
        <f aca="false">Aggregate!AD9</f>
        <v>A.J. Brown</v>
      </c>
      <c r="X12" s="63" t="str">
        <f aca="false">VLOOKUP(Table11[[#This Row],[NAME]],Aggregate!AD:AO,4,FALSE())</f>
        <v>NE/11</v>
      </c>
      <c r="Y12" s="62" t="n">
        <f aca="false">IFERROR(VLOOKUP(Table11[[#This Row],[NAME]],Aggregate!$AD:$AO,8,FALSE()),"")</f>
        <v>188.453866803922</v>
      </c>
      <c r="Z12" s="62" t="n">
        <f aca="false">IF(Scoring!$K$6="Auction",IFERROR(VLOOKUP(Table11[[#This Row],[NAME]],Aggregate!$AD:$AO,10,FALSE()),""),IFERROR(VLOOKUP(Table11[[#This Row],[NAME]],Aggregate!$AD:$AO,9,FALSE()),""))</f>
        <v>62.7759880588235</v>
      </c>
      <c r="AA12" s="64" t="n">
        <f aca="false">SUMIFS(AD13:$AD$84,AC13:$AC$84,"&lt;&gt;x",AC13:$AC$84,"&lt;&gt;o",AD13:$AD$84,"&gt;0")/Aggregate!$AL$1</f>
        <v>0.476452891660557</v>
      </c>
      <c r="AB12" s="62" t="str">
        <f aca="false">VLOOKUP(Table11[[#This Row],[NAME]],ECR!C:E,3,FALSE())</f>
        <v>WR7</v>
      </c>
      <c r="AC12" s="65"/>
      <c r="AD12" s="66" t="n">
        <f aca="false">VLOOKUP(W12,Aggregate!AD:AL,9,FALSE())</f>
        <v>62.7759880588235</v>
      </c>
      <c r="AF12" s="52"/>
      <c r="AG12" s="52"/>
    </row>
    <row r="13" customFormat="false" ht="14.25" hidden="false" customHeight="true" outlineLevel="0" collapsed="false">
      <c r="B13" s="62" t="n">
        <f aca="false">IFERROR(VLOOKUP(Table9[[#This Row],[NAME]],Aggregate!$B:$M,11,FALSE()),"")</f>
        <v>5</v>
      </c>
      <c r="C13" s="63" t="str">
        <f aca="false">Aggregate!B15</f>
        <v>Jaxson Dart</v>
      </c>
      <c r="D13" s="63" t="str">
        <f aca="false">VLOOKUP(Table9[[#This Row],[NAME]],Aggregate!B:M,4,FALSE())</f>
        <v>NYG/8</v>
      </c>
      <c r="E13" s="62" t="n">
        <f aca="false">IFERROR(VLOOKUP(Table9[[#This Row],[NAME]],Aggregate!$B:$M,8,FALSE()),"")</f>
        <v>269.876142713726</v>
      </c>
      <c r="F13" s="62" t="n">
        <f aca="false">IF(Scoring!$K$6="Auction",IFERROR(VLOOKUP(Table9[[#This Row],[NAME]],Aggregate!$B:$M,10,FALSE()),""),IFERROR(VLOOKUP(Table9[[#This Row],[NAME]],Aggregate!$B:$M,9,FALSE()),""))</f>
        <v>1.49677692549028</v>
      </c>
      <c r="G13" s="64" t="n">
        <f aca="false">SUMIFS(J14:$J$44,I14:$I$44,"&lt;&gt;x",I14:$I$44,"&lt;&gt;o",J14:$J$44,"&gt;0")/Aggregate!$J$1</f>
        <v>0.017566173689555</v>
      </c>
      <c r="H13" s="62" t="str">
        <f aca="false">VLOOKUP(Table9[[#This Row],[NAME]],ECR!C:E,3,FALSE())</f>
        <v>QB13</v>
      </c>
      <c r="I13" s="65"/>
      <c r="J13" s="66" t="n">
        <f aca="false">VLOOKUP(C13,Aggregate!B:J,9,FALSE())</f>
        <v>1.49677692549028</v>
      </c>
      <c r="K13" s="67"/>
      <c r="L13" s="62" t="n">
        <f aca="false">IFERROR(VLOOKUP(Table10[[#This Row],[NAME]],Aggregate!$P:$AA,11,FALSE()),"")</f>
        <v>3</v>
      </c>
      <c r="M13" s="63" t="str">
        <f aca="false">Aggregate!P9</f>
        <v>Saquon Barkley</v>
      </c>
      <c r="N13" s="63" t="str">
        <f aca="false">VLOOKUP(Table10[[#This Row],[NAME]],Aggregate!P:AA,4,FALSE())</f>
        <v>PHI/10</v>
      </c>
      <c r="O13" s="62" t="n">
        <f aca="false">IFERROR(VLOOKUP(Table10[[#This Row],[NAME]],Aggregate!$P:$AA,8,FALSE()),"")</f>
        <v>210.117377745098</v>
      </c>
      <c r="P13" s="62" t="n">
        <f aca="false">IF(Scoring!$K$6="Auction",IFERROR(VLOOKUP(Table10[[#This Row],[NAME]],Aggregate!$P:$AA,10,FALSE()),""),IFERROR(VLOOKUP(Table10[[#This Row],[NAME]],Aggregate!$P:$AA,9,FALSE()),""))</f>
        <v>82.5716393529412</v>
      </c>
      <c r="Q13" s="64" t="n">
        <f aca="false">SUMIFS(T14:$T$84,S14:$S$84,"&lt;&gt;x",S14:$S$84,"&lt;&gt;o",T14:$T$84,"&gt;0")/Aggregate!$X$1</f>
        <v>0.466545136521982</v>
      </c>
      <c r="R13" s="62" t="str">
        <f aca="false">VLOOKUP(Table10[[#This Row],[NAME]],ECR!C:E,3,FALSE())</f>
        <v>RB7</v>
      </c>
      <c r="S13" s="65"/>
      <c r="T13" s="66" t="n">
        <f aca="false">VLOOKUP(M13,Aggregate!P:X,9,FALSE())</f>
        <v>82.5716393529412</v>
      </c>
      <c r="U13" s="68"/>
      <c r="V13" s="62" t="n">
        <f aca="false">IFERROR(VLOOKUP(Table11[[#This Row],[NAME]],Aggregate!$AD:$AO,11,FALSE()),"")</f>
        <v>3</v>
      </c>
      <c r="W13" s="63" t="str">
        <f aca="false">Aggregate!AD13</f>
        <v>Chris Olave</v>
      </c>
      <c r="X13" s="63" t="str">
        <f aca="false">VLOOKUP(Table11[[#This Row],[NAME]],Aggregate!AD:AO,4,FALSE())</f>
        <v>NO/8</v>
      </c>
      <c r="Y13" s="62" t="n">
        <f aca="false">IFERROR(VLOOKUP(Table11[[#This Row],[NAME]],Aggregate!$AD:$AO,8,FALSE()),"")</f>
        <v>184.334935745098</v>
      </c>
      <c r="Z13" s="62" t="n">
        <f aca="false">IF(Scoring!$K$6="Auction",IFERROR(VLOOKUP(Table11[[#This Row],[NAME]],Aggregate!$AD:$AO,10,FALSE()),""),IFERROR(VLOOKUP(Table11[[#This Row],[NAME]],Aggregate!$AD:$AO,9,FALSE()),""))</f>
        <v>58.657057</v>
      </c>
      <c r="AA13" s="64" t="n">
        <f aca="false">SUMIFS(AD14:$AD$84,AC14:$AC$84,"&lt;&gt;x",AC14:$AC$84,"&lt;&gt;o",AD14:$AD$84,"&gt;0")/Aggregate!$AL$1</f>
        <v>0.434375597472552</v>
      </c>
      <c r="AB13" s="62" t="str">
        <f aca="false">VLOOKUP(Table11[[#This Row],[NAME]],ECR!C:E,3,FALSE())</f>
        <v>WR11</v>
      </c>
      <c r="AC13" s="65"/>
      <c r="AD13" s="66" t="n">
        <f aca="false">VLOOKUP(W13,Aggregate!AD:AL,9,FALSE())</f>
        <v>58.657057</v>
      </c>
      <c r="AF13" s="52"/>
      <c r="AG13" s="52"/>
    </row>
    <row r="14" customFormat="false" ht="14.25" hidden="false" customHeight="true" outlineLevel="0" collapsed="false">
      <c r="B14" s="62" t="n">
        <f aca="false">IFERROR(VLOOKUP(Table9[[#This Row],[NAME]],Aggregate!$B:$M,11,FALSE()),"")</f>
        <v>5</v>
      </c>
      <c r="C14" s="63" t="str">
        <f aca="false">Aggregate!B13</f>
        <v>Brock Purdy</v>
      </c>
      <c r="D14" s="63" t="str">
        <f aca="false">VLOOKUP(Table9[[#This Row],[NAME]],Aggregate!B:M,4,FALSE())</f>
        <v>SF/8</v>
      </c>
      <c r="E14" s="62" t="n">
        <f aca="false">IFERROR(VLOOKUP(Table9[[#This Row],[NAME]],Aggregate!$B:$M,8,FALSE()),"")</f>
        <v>269.873954737255</v>
      </c>
      <c r="F14" s="62" t="n">
        <f aca="false">IF(Scoring!$K$6="Auction",IFERROR(VLOOKUP(Table9[[#This Row],[NAME]],Aggregate!$B:$M,10,FALSE()),""),IFERROR(VLOOKUP(Table9[[#This Row],[NAME]],Aggregate!$B:$M,9,FALSE()),""))</f>
        <v>1.49458894901966</v>
      </c>
      <c r="G14" s="64" t="n">
        <f aca="false">SUMIFS(J15:$J$44,I15:$I$44,"&lt;&gt;x",I15:$I$44,"&lt;&gt;o",J15:$J$44,"&gt;0")/Aggregate!$J$1</f>
        <v>0.00681051720783447</v>
      </c>
      <c r="H14" s="62" t="str">
        <f aca="false">VLOOKUP(Table9[[#This Row],[NAME]],ECR!C:E,3,FALSE())</f>
        <v>QB11</v>
      </c>
      <c r="I14" s="65"/>
      <c r="J14" s="66" t="n">
        <f aca="false">VLOOKUP(C14,Aggregate!B:J,9,FALSE())</f>
        <v>1.49458894901966</v>
      </c>
      <c r="K14" s="67"/>
      <c r="L14" s="62" t="n">
        <f aca="false">IFERROR(VLOOKUP(Table10[[#This Row],[NAME]],Aggregate!$P:$AA,11,FALSE()),"")</f>
        <v>3</v>
      </c>
      <c r="M14" s="63" t="str">
        <f aca="false">Aggregate!P11</f>
        <v>Kenneth Walker III</v>
      </c>
      <c r="N14" s="63" t="str">
        <f aca="false">VLOOKUP(Table10[[#This Row],[NAME]],Aggregate!P:AA,4,FALSE())</f>
        <v>KC/5</v>
      </c>
      <c r="O14" s="62" t="n">
        <f aca="false">IFERROR(VLOOKUP(Table10[[#This Row],[NAME]],Aggregate!$P:$AA,8,FALSE()),"")</f>
        <v>201.897847764706</v>
      </c>
      <c r="P14" s="62" t="n">
        <f aca="false">IF(Scoring!$K$6="Auction",IFERROR(VLOOKUP(Table10[[#This Row],[NAME]],Aggregate!$P:$AA,10,FALSE()),""),IFERROR(VLOOKUP(Table10[[#This Row],[NAME]],Aggregate!$P:$AA,9,FALSE()),""))</f>
        <v>74.352109372549</v>
      </c>
      <c r="Q14" s="64" t="n">
        <f aca="false">SUMIFS(T15:$T$84,S15:$S$84,"&lt;&gt;x",S15:$S$84,"&lt;&gt;o",T15:$T$84,"&gt;0")/Aggregate!$X$1</f>
        <v>0.426383378021029</v>
      </c>
      <c r="R14" s="62" t="str">
        <f aca="false">VLOOKUP(Table10[[#This Row],[NAME]],ECR!C:E,3,FALSE())</f>
        <v>RB9</v>
      </c>
      <c r="S14" s="65"/>
      <c r="T14" s="66" t="n">
        <f aca="false">VLOOKUP(M14,Aggregate!P:X,9,FALSE())</f>
        <v>74.352109372549</v>
      </c>
      <c r="U14" s="68"/>
      <c r="V14" s="62" t="n">
        <f aca="false">IFERROR(VLOOKUP(Table11[[#This Row],[NAME]],Aggregate!$AD:$AO,11,FALSE()),"")</f>
        <v>3</v>
      </c>
      <c r="W14" s="63" t="str">
        <f aca="false">Aggregate!AD12</f>
        <v>George Pickens</v>
      </c>
      <c r="X14" s="63" t="str">
        <f aca="false">VLOOKUP(Table11[[#This Row],[NAME]],Aggregate!AD:AO,4,FALSE())</f>
        <v>DAL/14</v>
      </c>
      <c r="Y14" s="62" t="n">
        <f aca="false">IFERROR(VLOOKUP(Table11[[#This Row],[NAME]],Aggregate!$AD:$AO,8,FALSE()),"")</f>
        <v>183.667907019608</v>
      </c>
      <c r="Z14" s="62" t="n">
        <f aca="false">IF(Scoring!$K$6="Auction",IFERROR(VLOOKUP(Table11[[#This Row],[NAME]],Aggregate!$AD:$AO,10,FALSE()),""),IFERROR(VLOOKUP(Table11[[#This Row],[NAME]],Aggregate!$AD:$AO,9,FALSE()),""))</f>
        <v>57.9900282745098</v>
      </c>
      <c r="AA14" s="64" t="n">
        <f aca="false">SUMIFS(AD15:$AD$84,AC15:$AC$84,"&lt;&gt;x",AC15:$AC$84,"&lt;&gt;o",AD15:$AD$84,"&gt;0")/Aggregate!$AL$1</f>
        <v>0.392776792410149</v>
      </c>
      <c r="AB14" s="62" t="str">
        <f aca="false">VLOOKUP(Table11[[#This Row],[NAME]],ECR!C:E,3,FALSE())</f>
        <v>WR10</v>
      </c>
      <c r="AC14" s="65"/>
      <c r="AD14" s="66" t="n">
        <f aca="false">VLOOKUP(W14,Aggregate!AD:AL,9,FALSE())</f>
        <v>57.9900282745098</v>
      </c>
      <c r="AF14" s="52"/>
      <c r="AG14" s="52"/>
    </row>
    <row r="15" customFormat="false" ht="14.25" hidden="false" customHeight="true" outlineLevel="0" collapsed="false">
      <c r="B15" s="62" t="n">
        <f aca="false">IFERROR(VLOOKUP(Table9[[#This Row],[NAME]],Aggregate!$B:$M,11,FALSE()),"")</f>
        <v>5</v>
      </c>
      <c r="C15" s="63" t="str">
        <f aca="false">Aggregate!B9</f>
        <v>Caleb Williams</v>
      </c>
      <c r="D15" s="63" t="str">
        <f aca="false">VLOOKUP(Table9[[#This Row],[NAME]],Aggregate!B:M,4,FALSE())</f>
        <v>CHI/10</v>
      </c>
      <c r="E15" s="62" t="n">
        <f aca="false">IFERROR(VLOOKUP(Table9[[#This Row],[NAME]],Aggregate!$B:$M,8,FALSE()),"")</f>
        <v>269.325744447059</v>
      </c>
      <c r="F15" s="62" t="n">
        <f aca="false">IF(Scoring!$K$6="Auction",IFERROR(VLOOKUP(Table9[[#This Row],[NAME]],Aggregate!$B:$M,10,FALSE()),""),IFERROR(VLOOKUP(Table9[[#This Row],[NAME]],Aggregate!$B:$M,9,FALSE()),""))</f>
        <v>0.946378658823562</v>
      </c>
      <c r="G15" s="64" t="n">
        <f aca="false">SUMIFS(J16:$J$44,I16:$I$44,"&lt;&gt;x",I16:$I$44,"&lt;&gt;o",J16:$J$44,"&gt;0")/Aggregate!$J$1</f>
        <v>0</v>
      </c>
      <c r="H15" s="62" t="str">
        <f aca="false">VLOOKUP(Table9[[#This Row],[NAME]],ECR!C:E,3,FALSE())</f>
        <v>QB7</v>
      </c>
      <c r="I15" s="65"/>
      <c r="J15" s="66" t="n">
        <f aca="false">VLOOKUP(C15,Aggregate!B:J,9,FALSE())</f>
        <v>0.946378658823562</v>
      </c>
      <c r="K15" s="67"/>
      <c r="L15" s="62" t="n">
        <f aca="false">IFERROR(VLOOKUP(Table10[[#This Row],[NAME]],Aggregate!$P:$AA,11,FALSE()),"")</f>
        <v>4</v>
      </c>
      <c r="M15" s="63" t="str">
        <f aca="false">Aggregate!P14</f>
        <v>Ashton Jeanty</v>
      </c>
      <c r="N15" s="63" t="str">
        <f aca="false">VLOOKUP(Table10[[#This Row],[NAME]],Aggregate!P:AA,4,FALSE())</f>
        <v>LV/13</v>
      </c>
      <c r="O15" s="62" t="n">
        <f aca="false">IFERROR(VLOOKUP(Table10[[#This Row],[NAME]],Aggregate!$P:$AA,8,FALSE()),"")</f>
        <v>196.030235864627</v>
      </c>
      <c r="P15" s="62" t="n">
        <f aca="false">IF(Scoring!$K$6="Auction",IFERROR(VLOOKUP(Table10[[#This Row],[NAME]],Aggregate!$P:$AA,10,FALSE()),""),IFERROR(VLOOKUP(Table10[[#This Row],[NAME]],Aggregate!$P:$AA,9,FALSE()),""))</f>
        <v>68.4844974724706</v>
      </c>
      <c r="Q15" s="64" t="n">
        <f aca="false">SUMIFS(T16:$T$84,S16:$S$84,"&lt;&gt;x",S16:$S$84,"&lt;&gt;o",T16:$T$84,"&gt;0")/Aggregate!$X$1</f>
        <v>0.38939104691221</v>
      </c>
      <c r="R15" s="62" t="str">
        <f aca="false">VLOOKUP(Table10[[#This Row],[NAME]],ECR!C:E,3,FALSE())</f>
        <v>RB12</v>
      </c>
      <c r="S15" s="65"/>
      <c r="T15" s="66" t="n">
        <f aca="false">VLOOKUP(M15,Aggregate!P:X,9,FALSE())</f>
        <v>68.4844974724706</v>
      </c>
      <c r="U15" s="68"/>
      <c r="V15" s="62" t="n">
        <f aca="false">IFERROR(VLOOKUP(Table11[[#This Row],[NAME]],Aggregate!$AD:$AO,11,FALSE()),"")</f>
        <v>3</v>
      </c>
      <c r="W15" s="63" t="str">
        <f aca="false">Aggregate!AD11</f>
        <v>Nico Collins</v>
      </c>
      <c r="X15" s="63" t="str">
        <f aca="false">VLOOKUP(Table11[[#This Row],[NAME]],Aggregate!AD:AO,4,FALSE())</f>
        <v>HOU/8</v>
      </c>
      <c r="Y15" s="62" t="n">
        <f aca="false">IFERROR(VLOOKUP(Table11[[#This Row],[NAME]],Aggregate!$AD:$AO,8,FALSE()),"")</f>
        <v>182.92872572549</v>
      </c>
      <c r="Z15" s="62" t="n">
        <f aca="false">IF(Scoring!$K$6="Auction",IFERROR(VLOOKUP(Table11[[#This Row],[NAME]],Aggregate!$AD:$AO,10,FALSE()),""),IFERROR(VLOOKUP(Table11[[#This Row],[NAME]],Aggregate!$AD:$AO,9,FALSE()),""))</f>
        <v>57.2508469803922</v>
      </c>
      <c r="AA15" s="64" t="n">
        <f aca="false">SUMIFS(AD16:$AD$84,AC16:$AC$84,"&lt;&gt;x",AC16:$AC$84,"&lt;&gt;o",AD16:$AD$84,"&gt;0")/Aggregate!$AL$1</f>
        <v>0.351708234693277</v>
      </c>
      <c r="AB15" s="62" t="str">
        <f aca="false">VLOOKUP(Table11[[#This Row],[NAME]],ECR!C:E,3,FALSE())</f>
        <v>WR9</v>
      </c>
      <c r="AC15" s="65"/>
      <c r="AD15" s="66" t="n">
        <f aca="false">VLOOKUP(W15,Aggregate!AD:AL,9,FALSE())</f>
        <v>57.2508469803922</v>
      </c>
      <c r="AF15" s="52"/>
      <c r="AG15" s="52"/>
    </row>
    <row r="16" customFormat="false" ht="14.25" hidden="false" customHeight="true" outlineLevel="0" collapsed="false">
      <c r="B16" s="62" t="n">
        <f aca="false">IFERROR(VLOOKUP(Table9[[#This Row],[NAME]],Aggregate!$B:$M,11,FALSE()),"")</f>
        <v>6</v>
      </c>
      <c r="C16" s="63" t="str">
        <f aca="false">Aggregate!B10</f>
        <v>Justin Herbert</v>
      </c>
      <c r="D16" s="63" t="str">
        <f aca="false">VLOOKUP(Table9[[#This Row],[NAME]],Aggregate!B:M,4,FALSE())</f>
        <v>LAC/7</v>
      </c>
      <c r="E16" s="62" t="n">
        <f aca="false">IFERROR(VLOOKUP(Table9[[#This Row],[NAME]],Aggregate!$B:$M,8,FALSE()),"")</f>
        <v>268.379365788235</v>
      </c>
      <c r="F16" s="62" t="n">
        <f aca="false">IF(Scoring!$K$6="Auction",IFERROR(VLOOKUP(Table9[[#This Row],[NAME]],Aggregate!$B:$M,10,FALSE()),""),IFERROR(VLOOKUP(Table9[[#This Row],[NAME]],Aggregate!$B:$M,9,FALSE()),""))</f>
        <v>0</v>
      </c>
      <c r="G16" s="64" t="n">
        <f aca="false">SUMIFS(J17:$J$44,I17:$I$44,"&lt;&gt;x",I17:$I$44,"&lt;&gt;o",J17:$J$44,"&gt;0")/Aggregate!$J$1</f>
        <v>0</v>
      </c>
      <c r="H16" s="62" t="str">
        <f aca="false">VLOOKUP(Table9[[#This Row],[NAME]],ECR!C:E,3,FALSE())</f>
        <v>QB8</v>
      </c>
      <c r="I16" s="65"/>
      <c r="J16" s="66" t="n">
        <f aca="false">VLOOKUP(C16,Aggregate!B:J,9,FALSE())</f>
        <v>0</v>
      </c>
      <c r="K16" s="67"/>
      <c r="L16" s="62" t="n">
        <f aca="false">IFERROR(VLOOKUP(Table10[[#This Row],[NAME]],Aggregate!$P:$AA,11,FALSE()),"")</f>
        <v>4</v>
      </c>
      <c r="M16" s="63" t="str">
        <f aca="false">Aggregate!P12</f>
        <v>Omarion Hampton</v>
      </c>
      <c r="N16" s="63" t="str">
        <f aca="false">VLOOKUP(Table10[[#This Row],[NAME]],Aggregate!P:AA,4,FALSE())</f>
        <v>LAC/7</v>
      </c>
      <c r="O16" s="62" t="n">
        <f aca="false">IFERROR(VLOOKUP(Table10[[#This Row],[NAME]],Aggregate!$P:$AA,8,FALSE()),"")</f>
        <v>195.370818196078</v>
      </c>
      <c r="P16" s="62" t="n">
        <f aca="false">IF(Scoring!$K$6="Auction",IFERROR(VLOOKUP(Table10[[#This Row],[NAME]],Aggregate!$P:$AA,10,FALSE()),""),IFERROR(VLOOKUP(Table10[[#This Row],[NAME]],Aggregate!$P:$AA,9,FALSE()),""))</f>
        <v>67.8250798039216</v>
      </c>
      <c r="Q16" s="64" t="n">
        <f aca="false">SUMIFS(T17:$T$84,S17:$S$84,"&lt;&gt;x",S17:$S$84,"&lt;&gt;o",T17:$T$84,"&gt;0")/Aggregate!$X$1</f>
        <v>0.35275490439547</v>
      </c>
      <c r="R16" s="62" t="str">
        <f aca="false">VLOOKUP(Table10[[#This Row],[NAME]],ECR!C:E,3,FALSE())</f>
        <v>RB10</v>
      </c>
      <c r="S16" s="65"/>
      <c r="T16" s="66" t="n">
        <f aca="false">VLOOKUP(M16,Aggregate!P:X,9,FALSE())</f>
        <v>67.8250798039216</v>
      </c>
      <c r="U16" s="68"/>
      <c r="V16" s="62" t="n">
        <f aca="false">IFERROR(VLOOKUP(Table11[[#This Row],[NAME]],Aggregate!$AD:$AO,11,FALSE()),"")</f>
        <v>3</v>
      </c>
      <c r="W16" s="63" t="str">
        <f aca="false">Aggregate!AD16</f>
        <v>Rashee Rice</v>
      </c>
      <c r="X16" s="63" t="str">
        <f aca="false">VLOOKUP(Table11[[#This Row],[NAME]],Aggregate!AD:AO,4,FALSE())</f>
        <v>KC/5</v>
      </c>
      <c r="Y16" s="62" t="n">
        <f aca="false">IFERROR(VLOOKUP(Table11[[#This Row],[NAME]],Aggregate!$AD:$AO,8,FALSE()),"")</f>
        <v>180.804706098039</v>
      </c>
      <c r="Z16" s="62" t="n">
        <f aca="false">IF(Scoring!$K$6="Auction",IFERROR(VLOOKUP(Table11[[#This Row],[NAME]],Aggregate!$AD:$AO,10,FALSE()),""),IFERROR(VLOOKUP(Table11[[#This Row],[NAME]],Aggregate!$AD:$AO,9,FALSE()),""))</f>
        <v>55.1268273529412</v>
      </c>
      <c r="AA16" s="64" t="n">
        <f aca="false">SUMIFS(AD17:$AD$84,AC17:$AC$84,"&lt;&gt;x",AC17:$AC$84,"&lt;&gt;o",AD17:$AD$84,"&gt;0")/Aggregate!$AL$1</f>
        <v>0.312163329939855</v>
      </c>
      <c r="AB16" s="62" t="str">
        <f aca="false">VLOOKUP(Table11[[#This Row],[NAME]],ECR!C:E,3,FALSE())</f>
        <v>WR14</v>
      </c>
      <c r="AC16" s="65"/>
      <c r="AD16" s="66" t="n">
        <f aca="false">VLOOKUP(W16,Aggregate!AD:AL,9,FALSE())</f>
        <v>55.1268273529412</v>
      </c>
      <c r="AF16" s="52"/>
      <c r="AG16" s="52"/>
    </row>
    <row r="17" customFormat="false" ht="14.25" hidden="false" customHeight="true" outlineLevel="0" collapsed="false">
      <c r="B17" s="62" t="n">
        <f aca="false">IFERROR(VLOOKUP(Table9[[#This Row],[NAME]],Aggregate!$B:$M,11,FALSE()),"")</f>
        <v>7</v>
      </c>
      <c r="C17" s="63" t="str">
        <f aca="false">Aggregate!B16</f>
        <v>Patrick Mahomes II</v>
      </c>
      <c r="D17" s="63" t="str">
        <f aca="false">VLOOKUP(Table9[[#This Row],[NAME]],Aggregate!B:M,4,FALSE())</f>
        <v>KC/5</v>
      </c>
      <c r="E17" s="62" t="n">
        <f aca="false">IFERROR(VLOOKUP(Table9[[#This Row],[NAME]],Aggregate!$B:$M,8,FALSE()),"")</f>
        <v>264.657847654902</v>
      </c>
      <c r="F17" s="62" t="n">
        <f aca="false">IF(Scoring!$K$6="Auction",IFERROR(VLOOKUP(Table9[[#This Row],[NAME]],Aggregate!$B:$M,10,FALSE()),""),IFERROR(VLOOKUP(Table9[[#This Row],[NAME]],Aggregate!$B:$M,9,FALSE()),""))</f>
        <v>-3.72151813333335</v>
      </c>
      <c r="G17" s="64" t="n">
        <f aca="false">SUMIFS(J18:$J$44,I18:$I$44,"&lt;&gt;x",I18:$I$44,"&lt;&gt;o",J18:$J$44,"&gt;0")/Aggregate!$J$1</f>
        <v>0</v>
      </c>
      <c r="H17" s="62" t="str">
        <f aca="false">VLOOKUP(Table9[[#This Row],[NAME]],ECR!C:E,3,FALSE())</f>
        <v>QB14</v>
      </c>
      <c r="I17" s="65"/>
      <c r="J17" s="66" t="n">
        <f aca="false">VLOOKUP(C17,Aggregate!B:J,9,FALSE())</f>
        <v>-3.72151813333335</v>
      </c>
      <c r="K17" s="67"/>
      <c r="L17" s="62" t="n">
        <f aca="false">IFERROR(VLOOKUP(Table10[[#This Row],[NAME]],Aggregate!$P:$AA,11,FALSE()),"")</f>
        <v>4</v>
      </c>
      <c r="M17" s="63" t="str">
        <f aca="false">Aggregate!P18</f>
        <v>Jeremiyah Love</v>
      </c>
      <c r="N17" s="63" t="str">
        <f aca="false">VLOOKUP(Table10[[#This Row],[NAME]],Aggregate!P:AA,4,FALSE())</f>
        <v>ARI/14</v>
      </c>
      <c r="O17" s="62" t="n">
        <f aca="false">IFERROR(VLOOKUP(Table10[[#This Row],[NAME]],Aggregate!$P:$AA,8,FALSE()),"")</f>
        <v>191.588989533177</v>
      </c>
      <c r="P17" s="62" t="n">
        <f aca="false">IF(Scoring!$K$6="Auction",IFERROR(VLOOKUP(Table10[[#This Row],[NAME]],Aggregate!$P:$AA,10,FALSE()),""),IFERROR(VLOOKUP(Table10[[#This Row],[NAME]],Aggregate!$P:$AA,9,FALSE()),""))</f>
        <v>64.0432511410196</v>
      </c>
      <c r="Q17" s="64" t="n">
        <f aca="false">SUMIFS(T18:$T$84,S18:$S$84,"&lt;&gt;x",S18:$S$84,"&lt;&gt;o",T18:$T$84,"&gt;0")/Aggregate!$X$1</f>
        <v>0.31816154036522</v>
      </c>
      <c r="R17" s="62" t="str">
        <f aca="false">VLOOKUP(Table10[[#This Row],[NAME]],ECR!C:E,3,FALSE())</f>
        <v>RB16</v>
      </c>
      <c r="S17" s="65"/>
      <c r="T17" s="66" t="n">
        <f aca="false">VLOOKUP(M17,Aggregate!P:X,9,FALSE())</f>
        <v>64.0432511410196</v>
      </c>
      <c r="U17" s="68"/>
      <c r="V17" s="62" t="n">
        <f aca="false">IFERROR(VLOOKUP(Table11[[#This Row],[NAME]],Aggregate!$AD:$AO,11,FALSE()),"")</f>
        <v>4</v>
      </c>
      <c r="W17" s="63" t="str">
        <f aca="false">Aggregate!AD14</f>
        <v>Malik Nabers</v>
      </c>
      <c r="X17" s="63" t="str">
        <f aca="false">VLOOKUP(Table11[[#This Row],[NAME]],Aggregate!AD:AO,4,FALSE())</f>
        <v>NYG/8</v>
      </c>
      <c r="Y17" s="62" t="n">
        <f aca="false">IFERROR(VLOOKUP(Table11[[#This Row],[NAME]],Aggregate!$AD:$AO,8,FALSE()),"")</f>
        <v>174.920568019608</v>
      </c>
      <c r="Z17" s="62" t="n">
        <f aca="false">IF(Scoring!$K$6="Auction",IFERROR(VLOOKUP(Table11[[#This Row],[NAME]],Aggregate!$AD:$AO,10,FALSE()),""),IFERROR(VLOOKUP(Table11[[#This Row],[NAME]],Aggregate!$AD:$AO,9,FALSE()),""))</f>
        <v>49.2426892745098</v>
      </c>
      <c r="AA17" s="64" t="n">
        <f aca="false">SUMIFS(AD18:$AD$84,AC18:$AC$84,"&lt;&gt;x",AC18:$AC$84,"&lt;&gt;o",AD18:$AD$84,"&gt;0")/Aggregate!$AL$1</f>
        <v>0.276839376963283</v>
      </c>
      <c r="AB17" s="62" t="str">
        <f aca="false">VLOOKUP(Table11[[#This Row],[NAME]],ECR!C:E,3,FALSE())</f>
        <v>WR12</v>
      </c>
      <c r="AC17" s="65"/>
      <c r="AD17" s="66" t="n">
        <f aca="false">VLOOKUP(W17,Aggregate!AD:AL,9,FALSE())</f>
        <v>49.2426892745098</v>
      </c>
      <c r="AF17" s="52"/>
      <c r="AG17" s="52"/>
    </row>
    <row r="18" customFormat="false" ht="14.25" hidden="false" customHeight="true" outlineLevel="0" collapsed="false">
      <c r="B18" s="62" t="n">
        <f aca="false">IFERROR(VLOOKUP(Table9[[#This Row],[NAME]],Aggregate!$B:$M,11,FALSE()),"")</f>
        <v>7</v>
      </c>
      <c r="C18" s="63" t="str">
        <f aca="false">Aggregate!B14</f>
        <v>Bo Nix</v>
      </c>
      <c r="D18" s="63" t="str">
        <f aca="false">VLOOKUP(Table9[[#This Row],[NAME]],Aggregate!B:M,4,FALSE())</f>
        <v>DEN/10</v>
      </c>
      <c r="E18" s="62" t="n">
        <f aca="false">IFERROR(VLOOKUP(Table9[[#This Row],[NAME]],Aggregate!$B:$M,8,FALSE()),"")</f>
        <v>262.331284705882</v>
      </c>
      <c r="F18" s="62" t="n">
        <f aca="false">IF(Scoring!$K$6="Auction",IFERROR(VLOOKUP(Table9[[#This Row],[NAME]],Aggregate!$B:$M,10,FALSE()),""),IFERROR(VLOOKUP(Table9[[#This Row],[NAME]],Aggregate!$B:$M,9,FALSE()),""))</f>
        <v>-6.04808108235289</v>
      </c>
      <c r="G18" s="64" t="n">
        <f aca="false">SUMIFS(J19:$J$44,I19:$I$44,"&lt;&gt;x",I19:$I$44,"&lt;&gt;o",J19:$J$44,"&gt;0")/Aggregate!$J$1</f>
        <v>0</v>
      </c>
      <c r="H18" s="62" t="str">
        <f aca="false">VLOOKUP(Table9[[#This Row],[NAME]],ECR!C:E,3,FALSE())</f>
        <v>QB12</v>
      </c>
      <c r="I18" s="65"/>
      <c r="J18" s="66" t="n">
        <f aca="false">VLOOKUP(C18,Aggregate!B:J,9,FALSE())</f>
        <v>-6.04808108235289</v>
      </c>
      <c r="K18" s="67"/>
      <c r="L18" s="62" t="n">
        <f aca="false">IFERROR(VLOOKUP(Table10[[#This Row],[NAME]],Aggregate!$P:$AA,11,FALSE()),"")</f>
        <v>4</v>
      </c>
      <c r="M18" s="63" t="str">
        <f aca="false">Aggregate!P16</f>
        <v>Javonte Williams</v>
      </c>
      <c r="N18" s="63" t="str">
        <f aca="false">VLOOKUP(Table10[[#This Row],[NAME]],Aggregate!P:AA,4,FALSE())</f>
        <v>DAL/14</v>
      </c>
      <c r="O18" s="62" t="n">
        <f aca="false">IFERROR(VLOOKUP(Table10[[#This Row],[NAME]],Aggregate!$P:$AA,8,FALSE()),"")</f>
        <v>188.879348509804</v>
      </c>
      <c r="P18" s="62" t="n">
        <f aca="false">IF(Scoring!$K$6="Auction",IFERROR(VLOOKUP(Table10[[#This Row],[NAME]],Aggregate!$P:$AA,10,FALSE()),""),IFERROR(VLOOKUP(Table10[[#This Row],[NAME]],Aggregate!$P:$AA,9,FALSE()),""))</f>
        <v>61.333610117647</v>
      </c>
      <c r="Q18" s="64" t="n">
        <f aca="false">SUMIFS(T19:$T$84,S19:$S$84,"&lt;&gt;x",S19:$S$84,"&lt;&gt;o",T19:$T$84,"&gt;0")/Aggregate!$X$1</f>
        <v>0.285031805939071</v>
      </c>
      <c r="R18" s="62" t="str">
        <f aca="false">VLOOKUP(Table10[[#This Row],[NAME]],ECR!C:E,3,FALSE())</f>
        <v>RB14</v>
      </c>
      <c r="S18" s="65"/>
      <c r="T18" s="66" t="n">
        <f aca="false">VLOOKUP(M18,Aggregate!P:X,9,FALSE())</f>
        <v>61.333610117647</v>
      </c>
      <c r="U18" s="68"/>
      <c r="V18" s="62" t="n">
        <f aca="false">IFERROR(VLOOKUP(Table11[[#This Row],[NAME]],Aggregate!$AD:$AO,11,FALSE()),"")</f>
        <v>4</v>
      </c>
      <c r="W18" s="63" t="str">
        <f aca="false">Aggregate!AD17</f>
        <v>Zay Flowers</v>
      </c>
      <c r="X18" s="63" t="str">
        <f aca="false">VLOOKUP(Table11[[#This Row],[NAME]],Aggregate!AD:AO,4,FALSE())</f>
        <v>BAL/13</v>
      </c>
      <c r="Y18" s="62" t="n">
        <f aca="false">IFERROR(VLOOKUP(Table11[[#This Row],[NAME]],Aggregate!$AD:$AO,8,FALSE()),"")</f>
        <v>167.448215343137</v>
      </c>
      <c r="Z18" s="62" t="n">
        <f aca="false">IF(Scoring!$K$6="Auction",IFERROR(VLOOKUP(Table11[[#This Row],[NAME]],Aggregate!$AD:$AO,10,FALSE()),""),IFERROR(VLOOKUP(Table11[[#This Row],[NAME]],Aggregate!$AD:$AO,9,FALSE()),""))</f>
        <v>41.7703365980392</v>
      </c>
      <c r="AA18" s="64" t="n">
        <f aca="false">SUMIFS(AD19:$AD$84,AC19:$AC$84,"&lt;&gt;x",AC19:$AC$84,"&lt;&gt;o",AD19:$AD$84,"&gt;0")/Aggregate!$AL$1</f>
        <v>0.246875672146527</v>
      </c>
      <c r="AB18" s="62" t="str">
        <f aca="false">VLOOKUP(Table11[[#This Row],[NAME]],ECR!C:E,3,FALSE())</f>
        <v>WR15</v>
      </c>
      <c r="AC18" s="65"/>
      <c r="AD18" s="66" t="n">
        <f aca="false">VLOOKUP(W18,Aggregate!AD:AL,9,FALSE())</f>
        <v>41.7703365980392</v>
      </c>
      <c r="AF18" s="52"/>
      <c r="AG18" s="52"/>
    </row>
    <row r="19" customFormat="false" ht="14.25" hidden="false" customHeight="true" outlineLevel="0" collapsed="false">
      <c r="B19" s="62" t="n">
        <f aca="false">IFERROR(VLOOKUP(Table9[[#This Row],[NAME]],Aggregate!$B:$M,11,FALSE()),"")</f>
        <v>8</v>
      </c>
      <c r="C19" s="63" t="str">
        <f aca="false">Aggregate!B18</f>
        <v>Matthew Stafford</v>
      </c>
      <c r="D19" s="63" t="str">
        <f aca="false">VLOOKUP(Table9[[#This Row],[NAME]],Aggregate!B:M,4,FALSE())</f>
        <v>LAR/11</v>
      </c>
      <c r="E19" s="62" t="n">
        <f aca="false">IFERROR(VLOOKUP(Table9[[#This Row],[NAME]],Aggregate!$B:$M,8,FALSE()),"")</f>
        <v>252.561788078431</v>
      </c>
      <c r="F19" s="62" t="n">
        <f aca="false">IF(Scoring!$K$6="Auction",IFERROR(VLOOKUP(Table9[[#This Row],[NAME]],Aggregate!$B:$M,10,FALSE()),""),IFERROR(VLOOKUP(Table9[[#This Row],[NAME]],Aggregate!$B:$M,9,FALSE()),""))</f>
        <v>-15.8175777098039</v>
      </c>
      <c r="G19" s="64" t="n">
        <f aca="false">SUMIFS(J20:$J$44,I20:$I$44,"&lt;&gt;x",I20:$I$44,"&lt;&gt;o",J20:$J$44,"&gt;0")/Aggregate!$J$1</f>
        <v>0</v>
      </c>
      <c r="H19" s="62" t="str">
        <f aca="false">VLOOKUP(Table9[[#This Row],[NAME]],ECR!C:E,3,FALSE())</f>
        <v>QB16</v>
      </c>
      <c r="I19" s="65"/>
      <c r="J19" s="66" t="n">
        <f aca="false">VLOOKUP(C19,Aggregate!B:J,9,FALSE())</f>
        <v>-15.8175777098039</v>
      </c>
      <c r="K19" s="67"/>
      <c r="L19" s="62" t="n">
        <f aca="false">IFERROR(VLOOKUP(Table10[[#This Row],[NAME]],Aggregate!$P:$AA,11,FALSE()),"")</f>
        <v>4</v>
      </c>
      <c r="M19" s="63" t="str">
        <f aca="false">Aggregate!P15</f>
        <v>Kyren Williams</v>
      </c>
      <c r="N19" s="63" t="str">
        <f aca="false">VLOOKUP(Table10[[#This Row],[NAME]],Aggregate!P:AA,4,FALSE())</f>
        <v>LAR/11</v>
      </c>
      <c r="O19" s="62" t="n">
        <f aca="false">IFERROR(VLOOKUP(Table10[[#This Row],[NAME]],Aggregate!$P:$AA,8,FALSE()),"")</f>
        <v>188.284821470588</v>
      </c>
      <c r="P19" s="62" t="n">
        <f aca="false">IF(Scoring!$K$6="Auction",IFERROR(VLOOKUP(Table10[[#This Row],[NAME]],Aggregate!$P:$AA,10,FALSE()),""),IFERROR(VLOOKUP(Table10[[#This Row],[NAME]],Aggregate!$P:$AA,9,FALSE()),""))</f>
        <v>60.7390830784314</v>
      </c>
      <c r="Q19" s="64" t="n">
        <f aca="false">SUMIFS(T20:$T$84,S20:$S$84,"&lt;&gt;x",S20:$S$84,"&lt;&gt;o",T20:$T$84,"&gt;0")/Aggregate!$X$1</f>
        <v>0.252223209024322</v>
      </c>
      <c r="R19" s="62" t="str">
        <f aca="false">VLOOKUP(Table10[[#This Row],[NAME]],ECR!C:E,3,FALSE())</f>
        <v>RB13</v>
      </c>
      <c r="S19" s="65"/>
      <c r="T19" s="66" t="n">
        <f aca="false">VLOOKUP(M19,Aggregate!P:X,9,FALSE())</f>
        <v>60.7390830784314</v>
      </c>
      <c r="U19" s="68"/>
      <c r="V19" s="62" t="n">
        <f aca="false">IFERROR(VLOOKUP(Table11[[#This Row],[NAME]],Aggregate!$AD:$AO,11,FALSE()),"")</f>
        <v>4</v>
      </c>
      <c r="W19" s="63" t="str">
        <f aca="false">Aggregate!AD15</f>
        <v>DeVonta Smith</v>
      </c>
      <c r="X19" s="63" t="str">
        <f aca="false">VLOOKUP(Table11[[#This Row],[NAME]],Aggregate!AD:AO,4,FALSE())</f>
        <v>PHI/10</v>
      </c>
      <c r="Y19" s="62" t="n">
        <f aca="false">IFERROR(VLOOKUP(Table11[[#This Row],[NAME]],Aggregate!$AD:$AO,8,FALSE()),"")</f>
        <v>165.736532617647</v>
      </c>
      <c r="Z19" s="62" t="n">
        <f aca="false">IF(Scoring!$K$6="Auction",IFERROR(VLOOKUP(Table11[[#This Row],[NAME]],Aggregate!$AD:$AO,10,FALSE()),""),IFERROR(VLOOKUP(Table11[[#This Row],[NAME]],Aggregate!$AD:$AO,9,FALSE()),""))</f>
        <v>40.058653872549</v>
      </c>
      <c r="AA19" s="64" t="n">
        <f aca="false">SUMIFS(AD20:$AD$84,AC20:$AC$84,"&lt;&gt;x",AC20:$AC$84,"&lt;&gt;o",AD20:$AD$84,"&gt;0")/Aggregate!$AL$1</f>
        <v>0.218139832846394</v>
      </c>
      <c r="AB19" s="62" t="str">
        <f aca="false">VLOOKUP(Table11[[#This Row],[NAME]],ECR!C:E,3,FALSE())</f>
        <v>WR13</v>
      </c>
      <c r="AC19" s="65"/>
      <c r="AD19" s="66" t="n">
        <f aca="false">VLOOKUP(W19,Aggregate!AD:AL,9,FALSE())</f>
        <v>40.058653872549</v>
      </c>
      <c r="AF19" s="52"/>
      <c r="AG19" s="52"/>
    </row>
    <row r="20" customFormat="false" ht="14.25" hidden="false" customHeight="true" outlineLevel="0" collapsed="false">
      <c r="B20" s="62" t="n">
        <f aca="false">IFERROR(VLOOKUP(Table9[[#This Row],[NAME]],Aggregate!$B:$M,11,FALSE()),"")</f>
        <v>8</v>
      </c>
      <c r="C20" s="63" t="str">
        <f aca="false">Aggregate!B17</f>
        <v>Jared Goff</v>
      </c>
      <c r="D20" s="63" t="str">
        <f aca="false">VLOOKUP(Table9[[#This Row],[NAME]],Aggregate!B:M,4,FALSE())</f>
        <v>DET/6</v>
      </c>
      <c r="E20" s="62" t="n">
        <f aca="false">IFERROR(VLOOKUP(Table9[[#This Row],[NAME]],Aggregate!$B:$M,8,FALSE()),"")</f>
        <v>251.81997372549</v>
      </c>
      <c r="F20" s="62" t="n">
        <f aca="false">IF(Scoring!$K$6="Auction",IFERROR(VLOOKUP(Table9[[#This Row],[NAME]],Aggregate!$B:$M,10,FALSE()),""),IFERROR(VLOOKUP(Table9[[#This Row],[NAME]],Aggregate!$B:$M,9,FALSE()),""))</f>
        <v>-16.5593920627451</v>
      </c>
      <c r="G20" s="64" t="n">
        <f aca="false">SUMIFS(J21:$J$44,I21:$I$44,"&lt;&gt;x",I21:$I$44,"&lt;&gt;o",J21:$J$44,"&gt;0")/Aggregate!$J$1</f>
        <v>0</v>
      </c>
      <c r="H20" s="62" t="str">
        <f aca="false">VLOOKUP(Table9[[#This Row],[NAME]],ECR!C:E,3,FALSE())</f>
        <v>QB15</v>
      </c>
      <c r="I20" s="65"/>
      <c r="J20" s="66" t="n">
        <f aca="false">VLOOKUP(C20,Aggregate!B:J,9,FALSE())</f>
        <v>-16.5593920627451</v>
      </c>
      <c r="K20" s="67"/>
      <c r="L20" s="62" t="n">
        <f aca="false">IFERROR(VLOOKUP(Table10[[#This Row],[NAME]],Aggregate!$P:$AA,11,FALSE()),"")</f>
        <v>4</v>
      </c>
      <c r="M20" s="63" t="str">
        <f aca="false">Aggregate!P17</f>
        <v>Breece Hall</v>
      </c>
      <c r="N20" s="63" t="str">
        <f aca="false">VLOOKUP(Table10[[#This Row],[NAME]],Aggregate!P:AA,4,FALSE())</f>
        <v>NYJ/13</v>
      </c>
      <c r="O20" s="62" t="n">
        <f aca="false">IFERROR(VLOOKUP(Table10[[#This Row],[NAME]],Aggregate!$P:$AA,8,FALSE()),"")</f>
        <v>187.197719901961</v>
      </c>
      <c r="P20" s="62" t="n">
        <f aca="false">IF(Scoring!$K$6="Auction",IFERROR(VLOOKUP(Table10[[#This Row],[NAME]],Aggregate!$P:$AA,10,FALSE()),""),IFERROR(VLOOKUP(Table10[[#This Row],[NAME]],Aggregate!$P:$AA,9,FALSE()),""))</f>
        <v>59.6519815098039</v>
      </c>
      <c r="Q20" s="64" t="n">
        <f aca="false">SUMIFS(T21:$T$84,S21:$S$84,"&lt;&gt;x",S21:$S$84,"&lt;&gt;o",T21:$T$84,"&gt;0")/Aggregate!$X$1</f>
        <v>0.220001816844364</v>
      </c>
      <c r="R20" s="62" t="str">
        <f aca="false">VLOOKUP(Table10[[#This Row],[NAME]],ECR!C:E,3,FALSE())</f>
        <v>RB15</v>
      </c>
      <c r="S20" s="65"/>
      <c r="T20" s="66" t="n">
        <f aca="false">VLOOKUP(M20,Aggregate!P:X,9,FALSE())</f>
        <v>59.6519815098039</v>
      </c>
      <c r="U20" s="68"/>
      <c r="V20" s="62" t="n">
        <f aca="false">IFERROR(VLOOKUP(Table11[[#This Row],[NAME]],Aggregate!$AD:$AO,11,FALSE()),"")</f>
        <v>4</v>
      </c>
      <c r="W20" s="63" t="str">
        <f aca="false">Aggregate!AD21</f>
        <v>Garrett Wilson</v>
      </c>
      <c r="X20" s="63" t="str">
        <f aca="false">VLOOKUP(Table11[[#This Row],[NAME]],Aggregate!AD:AO,4,FALSE())</f>
        <v>NYJ/13</v>
      </c>
      <c r="Y20" s="62" t="n">
        <f aca="false">IFERROR(VLOOKUP(Table11[[#This Row],[NAME]],Aggregate!$AD:$AO,8,FALSE()),"")</f>
        <v>159.214397960784</v>
      </c>
      <c r="Z20" s="62" t="n">
        <f aca="false">IF(Scoring!$K$6="Auction",IFERROR(VLOOKUP(Table11[[#This Row],[NAME]],Aggregate!$AD:$AO,10,FALSE()),""),IFERROR(VLOOKUP(Table11[[#This Row],[NAME]],Aggregate!$AD:$AO,9,FALSE()),""))</f>
        <v>33.5365192156863</v>
      </c>
      <c r="AA20" s="64" t="n">
        <f aca="false">SUMIFS(AD21:$AD$84,AC21:$AC$84,"&lt;&gt;x",AC21:$AC$84,"&lt;&gt;o",AD21:$AD$84,"&gt;0")/Aggregate!$AL$1</f>
        <v>0.194082608409101</v>
      </c>
      <c r="AB20" s="62" t="str">
        <f aca="false">VLOOKUP(Table11[[#This Row],[NAME]],ECR!C:E,3,FALSE())</f>
        <v>WR19</v>
      </c>
      <c r="AC20" s="65"/>
      <c r="AD20" s="66" t="n">
        <f aca="false">VLOOKUP(W20,Aggregate!AD:AL,9,FALSE())</f>
        <v>33.5365192156863</v>
      </c>
      <c r="AF20" s="52"/>
      <c r="AG20" s="52"/>
    </row>
    <row r="21" customFormat="false" ht="14.25" hidden="false" customHeight="true" outlineLevel="0" collapsed="false">
      <c r="B21" s="62" t="n">
        <f aca="false">IFERROR(VLOOKUP(Table9[[#This Row],[NAME]],Aggregate!$B:$M,11,FALSE()),"")</f>
        <v>8</v>
      </c>
      <c r="C21" s="63" t="str">
        <f aca="false">Aggregate!B19</f>
        <v>Kyler Murray</v>
      </c>
      <c r="D21" s="63" t="str">
        <f aca="false">VLOOKUP(Table9[[#This Row],[NAME]],Aggregate!B:M,4,FALSE())</f>
        <v>MIN/6</v>
      </c>
      <c r="E21" s="62" t="n">
        <f aca="false">IFERROR(VLOOKUP(Table9[[#This Row],[NAME]],Aggregate!$B:$M,8,FALSE()),"")</f>
        <v>250.556913709804</v>
      </c>
      <c r="F21" s="62" t="n">
        <f aca="false">IF(Scoring!$K$6="Auction",IFERROR(VLOOKUP(Table9[[#This Row],[NAME]],Aggregate!$B:$M,10,FALSE()),""),IFERROR(VLOOKUP(Table9[[#This Row],[NAME]],Aggregate!$B:$M,9,FALSE()),""))</f>
        <v>-17.8224520784314</v>
      </c>
      <c r="G21" s="64" t="n">
        <f aca="false">SUMIFS(J22:$J$44,I22:$I$44,"&lt;&gt;x",I22:$I$44,"&lt;&gt;o",J22:$J$44,"&gt;0")/Aggregate!$J$1</f>
        <v>0</v>
      </c>
      <c r="H21" s="62" t="str">
        <f aca="false">VLOOKUP(Table9[[#This Row],[NAME]],ECR!C:E,3,FALSE())</f>
        <v>QB17</v>
      </c>
      <c r="I21" s="65"/>
      <c r="J21" s="66" t="n">
        <f aca="false">VLOOKUP(C21,Aggregate!B:J,9,FALSE())</f>
        <v>-17.8224520784314</v>
      </c>
      <c r="K21" s="67"/>
      <c r="L21" s="62" t="n">
        <f aca="false">IFERROR(VLOOKUP(Table10[[#This Row],[NAME]],Aggregate!$P:$AA,11,FALSE()),"")</f>
        <v>4</v>
      </c>
      <c r="M21" s="63" t="str">
        <f aca="false">Aggregate!P19</f>
        <v>Travis Etienne Jr.</v>
      </c>
      <c r="N21" s="63" t="str">
        <f aca="false">VLOOKUP(Table10[[#This Row],[NAME]],Aggregate!P:AA,4,FALSE())</f>
        <v>NO/8</v>
      </c>
      <c r="O21" s="62" t="n">
        <f aca="false">IFERROR(VLOOKUP(Table10[[#This Row],[NAME]],Aggregate!$P:$AA,8,FALSE()),"")</f>
        <v>181.298352745098</v>
      </c>
      <c r="P21" s="62" t="n">
        <f aca="false">IF(Scoring!$K$6="Auction",IFERROR(VLOOKUP(Table10[[#This Row],[NAME]],Aggregate!$P:$AA,10,FALSE()),""),IFERROR(VLOOKUP(Table10[[#This Row],[NAME]],Aggregate!$P:$AA,9,FALSE()),""))</f>
        <v>53.7526143529412</v>
      </c>
      <c r="Q21" s="64" t="n">
        <f aca="false">SUMIFS(T22:$T$84,S22:$S$84,"&lt;&gt;x",S22:$S$84,"&lt;&gt;o",T22:$T$84,"&gt;0")/Aggregate!$X$1</f>
        <v>0.190967004857783</v>
      </c>
      <c r="R21" s="62" t="str">
        <f aca="false">VLOOKUP(Table10[[#This Row],[NAME]],ECR!C:E,3,FALSE())</f>
        <v>RB17</v>
      </c>
      <c r="S21" s="65"/>
      <c r="T21" s="66" t="n">
        <f aca="false">VLOOKUP(M21,Aggregate!P:X,9,FALSE())</f>
        <v>53.7526143529412</v>
      </c>
      <c r="U21" s="68"/>
      <c r="V21" s="62" t="n">
        <f aca="false">IFERROR(VLOOKUP(Table11[[#This Row],[NAME]],Aggregate!$AD:$AO,11,FALSE()),"")</f>
        <v>4</v>
      </c>
      <c r="W21" s="63" t="str">
        <f aca="false">Aggregate!AD18</f>
        <v>Tee Higgins</v>
      </c>
      <c r="X21" s="63" t="str">
        <f aca="false">VLOOKUP(Table11[[#This Row],[NAME]],Aggregate!AD:AO,4,FALSE())</f>
        <v>CIN/6</v>
      </c>
      <c r="Y21" s="62" t="n">
        <f aca="false">IFERROR(VLOOKUP(Table11[[#This Row],[NAME]],Aggregate!$AD:$AO,8,FALSE()),"")</f>
        <v>158.124371137255</v>
      </c>
      <c r="Z21" s="62" t="n">
        <f aca="false">IF(Scoring!$K$6="Auction",IFERROR(VLOOKUP(Table11[[#This Row],[NAME]],Aggregate!$AD:$AO,10,FALSE()),""),IFERROR(VLOOKUP(Table11[[#This Row],[NAME]],Aggregate!$AD:$AO,9,FALSE()),""))</f>
        <v>32.4464923921569</v>
      </c>
      <c r="AA21" s="64" t="n">
        <f aca="false">SUMIFS(AD22:$AD$84,AC22:$AC$84,"&lt;&gt;x",AC22:$AC$84,"&lt;&gt;o",AD22:$AD$84,"&gt;0")/Aggregate!$AL$1</f>
        <v>0.170807308290419</v>
      </c>
      <c r="AB21" s="62" t="str">
        <f aca="false">VLOOKUP(Table11[[#This Row],[NAME]],ECR!C:E,3,FALSE())</f>
        <v>WR16</v>
      </c>
      <c r="AC21" s="65"/>
      <c r="AD21" s="66" t="n">
        <f aca="false">VLOOKUP(W21,Aggregate!AD:AL,9,FALSE())</f>
        <v>32.4464923921569</v>
      </c>
      <c r="AF21" s="52"/>
      <c r="AG21" s="52"/>
    </row>
    <row r="22" customFormat="false" ht="14.25" hidden="false" customHeight="true" outlineLevel="0" collapsed="false">
      <c r="B22" s="62" t="n">
        <f aca="false">IFERROR(VLOOKUP(Table9[[#This Row],[NAME]],Aggregate!$B:$M,11,FALSE()),"")</f>
        <v>9</v>
      </c>
      <c r="C22" s="63" t="str">
        <f aca="false">Aggregate!B21</f>
        <v>Baker Mayfield</v>
      </c>
      <c r="D22" s="63" t="str">
        <f aca="false">VLOOKUP(Table9[[#This Row],[NAME]],Aggregate!B:M,4,FALSE())</f>
        <v>TB/10</v>
      </c>
      <c r="E22" s="62" t="n">
        <f aca="false">IFERROR(VLOOKUP(Table9[[#This Row],[NAME]],Aggregate!$B:$M,8,FALSE()),"")</f>
        <v>238.992279090196</v>
      </c>
      <c r="F22" s="62" t="n">
        <f aca="false">IF(Scoring!$K$6="Auction",IFERROR(VLOOKUP(Table9[[#This Row],[NAME]],Aggregate!$B:$M,10,FALSE()),""),IFERROR(VLOOKUP(Table9[[#This Row],[NAME]],Aggregate!$B:$M,9,FALSE()),""))</f>
        <v>-29.3870866980392</v>
      </c>
      <c r="G22" s="64" t="n">
        <f aca="false">SUMIFS(J23:$J$44,I23:$I$44,"&lt;&gt;x",I23:$I$44,"&lt;&gt;o",J23:$J$44,"&gt;0")/Aggregate!$J$1</f>
        <v>0</v>
      </c>
      <c r="H22" s="62" t="str">
        <f aca="false">VLOOKUP(Table9[[#This Row],[NAME]],ECR!C:E,3,FALSE())</f>
        <v>QB19</v>
      </c>
      <c r="I22" s="65"/>
      <c r="J22" s="66" t="n">
        <f aca="false">VLOOKUP(C22,Aggregate!B:J,9,FALSE())</f>
        <v>-29.3870866980392</v>
      </c>
      <c r="K22" s="67"/>
      <c r="L22" s="62" t="n">
        <f aca="false">IFERROR(VLOOKUP(Table10[[#This Row],[NAME]],Aggregate!$P:$AA,11,FALSE()),"")</f>
        <v>4</v>
      </c>
      <c r="M22" s="63" t="str">
        <f aca="false">Aggregate!P22</f>
        <v>Cam Skattebo</v>
      </c>
      <c r="N22" s="63" t="str">
        <f aca="false">VLOOKUP(Table10[[#This Row],[NAME]],Aggregate!P:AA,4,FALSE())</f>
        <v>NYG/8</v>
      </c>
      <c r="O22" s="62" t="n">
        <f aca="false">IFERROR(VLOOKUP(Table10[[#This Row],[NAME]],Aggregate!$P:$AA,8,FALSE()),"")</f>
        <v>175.009659098039</v>
      </c>
      <c r="P22" s="62" t="n">
        <f aca="false">IF(Scoring!$K$6="Auction",IFERROR(VLOOKUP(Table10[[#This Row],[NAME]],Aggregate!$P:$AA,10,FALSE()),""),IFERROR(VLOOKUP(Table10[[#This Row],[NAME]],Aggregate!$P:$AA,9,FALSE()),""))</f>
        <v>47.4639207058823</v>
      </c>
      <c r="Q22" s="64" t="n">
        <f aca="false">SUMIFS(T23:$T$84,S23:$S$84,"&lt;&gt;x",S23:$S$84,"&lt;&gt;o",T23:$T$84,"&gt;0")/Aggregate!$X$1</f>
        <v>0.165329070211617</v>
      </c>
      <c r="R22" s="62" t="str">
        <f aca="false">VLOOKUP(Table10[[#This Row],[NAME]],ECR!C:E,3,FALSE())</f>
        <v>RB20</v>
      </c>
      <c r="S22" s="65"/>
      <c r="T22" s="66" t="n">
        <f aca="false">VLOOKUP(M22,Aggregate!P:X,9,FALSE())</f>
        <v>47.4639207058823</v>
      </c>
      <c r="U22" s="68"/>
      <c r="V22" s="62" t="n">
        <f aca="false">IFERROR(VLOOKUP(Table11[[#This Row],[NAME]],Aggregate!$AD:$AO,11,FALSE()),"")</f>
        <v>4</v>
      </c>
      <c r="W22" s="63" t="str">
        <f aca="false">Aggregate!AD22</f>
        <v>Tetairoa McMillan</v>
      </c>
      <c r="X22" s="63" t="str">
        <f aca="false">VLOOKUP(Table11[[#This Row],[NAME]],Aggregate!AD:AO,4,FALSE())</f>
        <v>CAR/5</v>
      </c>
      <c r="Y22" s="62" t="n">
        <f aca="false">IFERROR(VLOOKUP(Table11[[#This Row],[NAME]],Aggregate!$AD:$AO,8,FALSE()),"")</f>
        <v>157.052309411765</v>
      </c>
      <c r="Z22" s="62" t="n">
        <f aca="false">IF(Scoring!$K$6="Auction",IFERROR(VLOOKUP(Table11[[#This Row],[NAME]],Aggregate!$AD:$AO,10,FALSE()),""),IFERROR(VLOOKUP(Table11[[#This Row],[NAME]],Aggregate!$AD:$AO,9,FALSE()),""))</f>
        <v>31.3744306666667</v>
      </c>
      <c r="AA22" s="64" t="n">
        <f aca="false">SUMIFS(AD23:$AD$84,AC23:$AC$84,"&lt;&gt;x",AC23:$AC$84,"&lt;&gt;o",AD23:$AD$84,"&gt;0")/Aggregate!$AL$1</f>
        <v>0.148301045333134</v>
      </c>
      <c r="AB22" s="62" t="str">
        <f aca="false">VLOOKUP(Table11[[#This Row],[NAME]],ECR!C:E,3,FALSE())</f>
        <v>WR20</v>
      </c>
      <c r="AC22" s="65"/>
      <c r="AD22" s="66" t="n">
        <f aca="false">VLOOKUP(W22,Aggregate!AD:AL,9,FALSE())</f>
        <v>31.3744306666667</v>
      </c>
      <c r="AF22" s="52"/>
      <c r="AG22" s="52"/>
    </row>
    <row r="23" customFormat="false" ht="14.25" hidden="false" customHeight="true" outlineLevel="0" collapsed="false">
      <c r="B23" s="62" t="n">
        <f aca="false">IFERROR(VLOOKUP(Table9[[#This Row],[NAME]],Aggregate!$B:$M,11,FALSE()),"")</f>
        <v>9</v>
      </c>
      <c r="C23" s="63" t="str">
        <f aca="false">Aggregate!B22</f>
        <v>Tyler Shough</v>
      </c>
      <c r="D23" s="63" t="str">
        <f aca="false">VLOOKUP(Table9[[#This Row],[NAME]],Aggregate!B:M,4,FALSE())</f>
        <v>NO/8</v>
      </c>
      <c r="E23" s="62" t="n">
        <f aca="false">IFERROR(VLOOKUP(Table9[[#This Row],[NAME]],Aggregate!$B:$M,8,FALSE()),"")</f>
        <v>237.571091498039</v>
      </c>
      <c r="F23" s="62" t="n">
        <f aca="false">IF(Scoring!$K$6="Auction",IFERROR(VLOOKUP(Table9[[#This Row],[NAME]],Aggregate!$B:$M,10,FALSE()),""),IFERROR(VLOOKUP(Table9[[#This Row],[NAME]],Aggregate!$B:$M,9,FALSE()),""))</f>
        <v>-30.808274290196</v>
      </c>
      <c r="G23" s="64" t="n">
        <f aca="false">SUMIFS(J24:$J$44,I24:$I$44,"&lt;&gt;x",I24:$I$44,"&lt;&gt;o",J24:$J$44,"&gt;0")/Aggregate!$J$1</f>
        <v>0</v>
      </c>
      <c r="H23" s="62" t="str">
        <f aca="false">VLOOKUP(Table9[[#This Row],[NAME]],ECR!C:E,3,FALSE())</f>
        <v>QB20</v>
      </c>
      <c r="I23" s="65"/>
      <c r="J23" s="66" t="n">
        <f aca="false">VLOOKUP(C23,Aggregate!B:J,9,FALSE())</f>
        <v>-30.808274290196</v>
      </c>
      <c r="K23" s="67"/>
      <c r="L23" s="62" t="n">
        <f aca="false">IFERROR(VLOOKUP(Table10[[#This Row],[NAME]],Aggregate!$P:$AA,11,FALSE()),"")</f>
        <v>5</v>
      </c>
      <c r="M23" s="63" t="str">
        <f aca="false">Aggregate!P20</f>
        <v>D'Andre Swift</v>
      </c>
      <c r="N23" s="63" t="str">
        <f aca="false">VLOOKUP(Table10[[#This Row],[NAME]],Aggregate!P:AA,4,FALSE())</f>
        <v>CHI/10</v>
      </c>
      <c r="O23" s="62" t="n">
        <f aca="false">IFERROR(VLOOKUP(Table10[[#This Row],[NAME]],Aggregate!$P:$AA,8,FALSE()),"")</f>
        <v>174.378012941176</v>
      </c>
      <c r="P23" s="62" t="n">
        <f aca="false">IF(Scoring!$K$6="Auction",IFERROR(VLOOKUP(Table10[[#This Row],[NAME]],Aggregate!$P:$AA,10,FALSE()),""),IFERROR(VLOOKUP(Table10[[#This Row],[NAME]],Aggregate!$P:$AA,9,FALSE()),""))</f>
        <v>46.8322745490196</v>
      </c>
      <c r="Q23" s="64" t="n">
        <f aca="false">SUMIFS(T24:$T$84,S24:$S$84,"&lt;&gt;x",S24:$S$84,"&lt;&gt;o",T24:$T$84,"&gt;0")/Aggregate!$X$1</f>
        <v>0.140032323201202</v>
      </c>
      <c r="R23" s="62" t="str">
        <f aca="false">VLOOKUP(Table10[[#This Row],[NAME]],ECR!C:E,3,FALSE())</f>
        <v>RB18</v>
      </c>
      <c r="S23" s="65"/>
      <c r="T23" s="66" t="n">
        <f aca="false">VLOOKUP(M23,Aggregate!P:X,9,FALSE())</f>
        <v>46.8322745490196</v>
      </c>
      <c r="U23" s="68"/>
      <c r="V23" s="62" t="n">
        <f aca="false">IFERROR(VLOOKUP(Table11[[#This Row],[NAME]],Aggregate!$AD:$AO,11,FALSE()),"")</f>
        <v>5</v>
      </c>
      <c r="W23" s="63" t="str">
        <f aca="false">Aggregate!AD23</f>
        <v>Emeka Egbuka</v>
      </c>
      <c r="X23" s="63" t="str">
        <f aca="false">VLOOKUP(Table11[[#This Row],[NAME]],Aggregate!AD:AO,4,FALSE())</f>
        <v>TB/10</v>
      </c>
      <c r="Y23" s="62" t="n">
        <f aca="false">IFERROR(VLOOKUP(Table11[[#This Row],[NAME]],Aggregate!$AD:$AO,8,FALSE()),"")</f>
        <v>154.47706195098</v>
      </c>
      <c r="Z23" s="62" t="n">
        <f aca="false">IF(Scoring!$K$6="Auction",IFERROR(VLOOKUP(Table11[[#This Row],[NAME]],Aggregate!$AD:$AO,10,FALSE()),""),IFERROR(VLOOKUP(Table11[[#This Row],[NAME]],Aggregate!$AD:$AO,9,FALSE()),""))</f>
        <v>28.7991832058824</v>
      </c>
      <c r="AA23" s="64" t="n">
        <f aca="false">SUMIFS(AD24:$AD$84,AC24:$AC$84,"&lt;&gt;x",AC24:$AC$84,"&lt;&gt;o",AD24:$AD$84,"&gt;0")/Aggregate!$AL$1</f>
        <v>0.127642120966571</v>
      </c>
      <c r="AB23" s="62" t="str">
        <f aca="false">VLOOKUP(Table11[[#This Row],[NAME]],ECR!C:E,3,FALSE())</f>
        <v>WR21</v>
      </c>
      <c r="AC23" s="65"/>
      <c r="AD23" s="66" t="n">
        <f aca="false">VLOOKUP(W23,Aggregate!AD:AL,9,FALSE())</f>
        <v>28.7991832058824</v>
      </c>
      <c r="AF23" s="52"/>
      <c r="AG23" s="52"/>
    </row>
    <row r="24" customFormat="false" ht="14.25" hidden="false" customHeight="true" outlineLevel="0" collapsed="false">
      <c r="B24" s="62" t="n">
        <f aca="false">IFERROR(VLOOKUP(Table9[[#This Row],[NAME]],Aggregate!$B:$M,11,FALSE()),"")</f>
        <v>9</v>
      </c>
      <c r="C24" s="63" t="str">
        <f aca="false">Aggregate!B20</f>
        <v>Jordan Love</v>
      </c>
      <c r="D24" s="63" t="str">
        <f aca="false">VLOOKUP(Table9[[#This Row],[NAME]],Aggregate!B:M,4,FALSE())</f>
        <v>GB/11</v>
      </c>
      <c r="E24" s="62" t="n">
        <f aca="false">IFERROR(VLOOKUP(Table9[[#This Row],[NAME]],Aggregate!$B:$M,8,FALSE()),"")</f>
        <v>235.881590901961</v>
      </c>
      <c r="F24" s="62" t="n">
        <f aca="false">IF(Scoring!$K$6="Auction",IFERROR(VLOOKUP(Table9[[#This Row],[NAME]],Aggregate!$B:$M,10,FALSE()),""),IFERROR(VLOOKUP(Table9[[#This Row],[NAME]],Aggregate!$B:$M,9,FALSE()),""))</f>
        <v>-32.4977748862745</v>
      </c>
      <c r="G24" s="64" t="n">
        <f aca="false">SUMIFS(J25:$J$44,I25:$I$44,"&lt;&gt;x",I25:$I$44,"&lt;&gt;o",J25:$J$44,"&gt;0")/Aggregate!$J$1</f>
        <v>0</v>
      </c>
      <c r="H24" s="62" t="str">
        <f aca="false">VLOOKUP(Table9[[#This Row],[NAME]],ECR!C:E,3,FALSE())</f>
        <v>QB18</v>
      </c>
      <c r="I24" s="65"/>
      <c r="J24" s="66" t="n">
        <f aca="false">VLOOKUP(C24,Aggregate!B:J,9,FALSE())</f>
        <v>-32.4977748862745</v>
      </c>
      <c r="K24" s="67"/>
      <c r="L24" s="62" t="n">
        <f aca="false">IFERROR(VLOOKUP(Table10[[#This Row],[NAME]],Aggregate!$P:$AA,11,FALSE()),"")</f>
        <v>5</v>
      </c>
      <c r="M24" s="63" t="str">
        <f aca="false">Aggregate!P21</f>
        <v>Bucky Irving</v>
      </c>
      <c r="N24" s="63" t="str">
        <f aca="false">VLOOKUP(Table10[[#This Row],[NAME]],Aggregate!P:AA,4,FALSE())</f>
        <v>TB/10</v>
      </c>
      <c r="O24" s="62" t="n">
        <f aca="false">IFERROR(VLOOKUP(Table10[[#This Row],[NAME]],Aggregate!$P:$AA,8,FALSE()),"")</f>
        <v>169.996653823529</v>
      </c>
      <c r="P24" s="62" t="n">
        <f aca="false">IF(Scoring!$K$6="Auction",IFERROR(VLOOKUP(Table10[[#This Row],[NAME]],Aggregate!$P:$AA,10,FALSE()),""),IFERROR(VLOOKUP(Table10[[#This Row],[NAME]],Aggregate!$P:$AA,9,FALSE()),""))</f>
        <v>42.4509154313726</v>
      </c>
      <c r="Q24" s="64" t="n">
        <f aca="false">SUMIFS(T25:$T$84,S25:$S$84,"&lt;&gt;x",S25:$S$84,"&lt;&gt;o",T25:$T$84,"&gt;0")/Aggregate!$X$1</f>
        <v>0.117102194814978</v>
      </c>
      <c r="R24" s="62" t="str">
        <f aca="false">VLOOKUP(Table10[[#This Row],[NAME]],ECR!C:E,3,FALSE())</f>
        <v>RB19</v>
      </c>
      <c r="S24" s="65"/>
      <c r="T24" s="66" t="n">
        <f aca="false">VLOOKUP(M24,Aggregate!P:X,9,FALSE())</f>
        <v>42.4509154313726</v>
      </c>
      <c r="U24" s="68"/>
      <c r="V24" s="62" t="n">
        <f aca="false">IFERROR(VLOOKUP(Table11[[#This Row],[NAME]],Aggregate!$AD:$AO,11,FALSE()),"")</f>
        <v>5</v>
      </c>
      <c r="W24" s="63" t="str">
        <f aca="false">Aggregate!AD20</f>
        <v>Ladd McConkey</v>
      </c>
      <c r="X24" s="63" t="str">
        <f aca="false">VLOOKUP(Table11[[#This Row],[NAME]],Aggregate!AD:AO,4,FALSE())</f>
        <v>LAC/7</v>
      </c>
      <c r="Y24" s="62" t="n">
        <f aca="false">IFERROR(VLOOKUP(Table11[[#This Row],[NAME]],Aggregate!$AD:$AO,8,FALSE()),"")</f>
        <v>150.913982901961</v>
      </c>
      <c r="Z24" s="62" t="n">
        <f aca="false">IF(Scoring!$K$6="Auction",IFERROR(VLOOKUP(Table11[[#This Row],[NAME]],Aggregate!$AD:$AO,10,FALSE()),""),IFERROR(VLOOKUP(Table11[[#This Row],[NAME]],Aggregate!$AD:$AO,9,FALSE()),""))</f>
        <v>25.2361041568628</v>
      </c>
      <c r="AA24" s="64" t="n">
        <f aca="false">SUMIFS(AD25:$AD$84,AC25:$AC$84,"&lt;&gt;x",AC25:$AC$84,"&lt;&gt;o",AD25:$AD$84,"&gt;0")/Aggregate!$AL$1</f>
        <v>0.109539150359514</v>
      </c>
      <c r="AB24" s="62" t="str">
        <f aca="false">VLOOKUP(Table11[[#This Row],[NAME]],ECR!C:E,3,FALSE())</f>
        <v>WR18</v>
      </c>
      <c r="AC24" s="65"/>
      <c r="AD24" s="66" t="n">
        <f aca="false">VLOOKUP(W24,Aggregate!AD:AL,9,FALSE())</f>
        <v>25.2361041568628</v>
      </c>
      <c r="AF24" s="52"/>
      <c r="AG24" s="52"/>
    </row>
    <row r="25" customFormat="false" ht="14.25" hidden="false" customHeight="true" outlineLevel="0" collapsed="false">
      <c r="B25" s="62" t="n">
        <f aca="false">IFERROR(VLOOKUP(Table9[[#This Row],[NAME]],Aggregate!$B:$M,11,FALSE()),"")</f>
        <v>10</v>
      </c>
      <c r="C25" s="63" t="str">
        <f aca="false">Aggregate!B23</f>
        <v>Malik Willis</v>
      </c>
      <c r="D25" s="63" t="str">
        <f aca="false">VLOOKUP(Table9[[#This Row],[NAME]],Aggregate!B:M,4,FALSE())</f>
        <v>MIA/6</v>
      </c>
      <c r="E25" s="62" t="n">
        <f aca="false">IFERROR(VLOOKUP(Table9[[#This Row],[NAME]],Aggregate!$B:$M,8,FALSE()),"")</f>
        <v>226.159839568628</v>
      </c>
      <c r="F25" s="62" t="n">
        <f aca="false">IF(Scoring!$K$6="Auction",IFERROR(VLOOKUP(Table9[[#This Row],[NAME]],Aggregate!$B:$M,10,FALSE()),""),IFERROR(VLOOKUP(Table9[[#This Row],[NAME]],Aggregate!$B:$M,9,FALSE()),""))</f>
        <v>-42.2195262196078</v>
      </c>
      <c r="G25" s="64" t="n">
        <f aca="false">SUMIFS(J26:$J$44,I26:$I$44,"&lt;&gt;x",I26:$I$44,"&lt;&gt;o",J26:$J$44,"&gt;0")/Aggregate!$J$1</f>
        <v>0</v>
      </c>
      <c r="H25" s="62" t="str">
        <f aca="false">VLOOKUP(Table9[[#This Row],[NAME]],ECR!C:E,3,FALSE())</f>
        <v>QB21</v>
      </c>
      <c r="I25" s="65"/>
      <c r="J25" s="66" t="n">
        <f aca="false">VLOOKUP(C25,Aggregate!B:J,9,FALSE())</f>
        <v>-42.2195262196078</v>
      </c>
      <c r="K25" s="67"/>
      <c r="L25" s="62" t="n">
        <f aca="false">IFERROR(VLOOKUP(Table10[[#This Row],[NAME]],Aggregate!$P:$AA,11,FALSE()),"")</f>
        <v>5</v>
      </c>
      <c r="M25" s="63" t="str">
        <f aca="false">Aggregate!P24</f>
        <v>Quinshon Judkins</v>
      </c>
      <c r="N25" s="63" t="str">
        <f aca="false">VLOOKUP(Table10[[#This Row],[NAME]],Aggregate!P:AA,4,FALSE())</f>
        <v>CLE/11</v>
      </c>
      <c r="O25" s="62" t="n">
        <f aca="false">IFERROR(VLOOKUP(Table10[[#This Row],[NAME]],Aggregate!$P:$AA,8,FALSE()),"")</f>
        <v>166.431420196078</v>
      </c>
      <c r="P25" s="62" t="n">
        <f aca="false">IF(Scoring!$K$6="Auction",IFERROR(VLOOKUP(Table10[[#This Row],[NAME]],Aggregate!$P:$AA,10,FALSE()),""),IFERROR(VLOOKUP(Table10[[#This Row],[NAME]],Aggregate!$P:$AA,9,FALSE()),""))</f>
        <v>38.8856818039216</v>
      </c>
      <c r="Q25" s="64" t="n">
        <f aca="false">SUMIFS(T26:$T$84,S26:$S$84,"&lt;&gt;x",S26:$S$84,"&lt;&gt;o",T26:$T$84,"&gt;0")/Aggregate!$X$1</f>
        <v>0.096097849747525</v>
      </c>
      <c r="R25" s="62" t="str">
        <f aca="false">VLOOKUP(Table10[[#This Row],[NAME]],ECR!C:E,3,FALSE())</f>
        <v>RB22</v>
      </c>
      <c r="S25" s="65"/>
      <c r="T25" s="66" t="n">
        <f aca="false">VLOOKUP(M25,Aggregate!P:X,9,FALSE())</f>
        <v>38.8856818039216</v>
      </c>
      <c r="U25" s="68"/>
      <c r="V25" s="62" t="n">
        <f aca="false">IFERROR(VLOOKUP(Table11[[#This Row],[NAME]],Aggregate!$AD:$AO,11,FALSE()),"")</f>
        <v>5</v>
      </c>
      <c r="W25" s="63" t="str">
        <f aca="false">Aggregate!AD25</f>
        <v>Davante Adams</v>
      </c>
      <c r="X25" s="63" t="str">
        <f aca="false">VLOOKUP(Table11[[#This Row],[NAME]],Aggregate!AD:AO,4,FALSE())</f>
        <v>LAR/11</v>
      </c>
      <c r="Y25" s="62" t="n">
        <f aca="false">IFERROR(VLOOKUP(Table11[[#This Row],[NAME]],Aggregate!$AD:$AO,8,FALSE()),"")</f>
        <v>150.389570852941</v>
      </c>
      <c r="Z25" s="62" t="n">
        <f aca="false">IF(Scoring!$K$6="Auction",IFERROR(VLOOKUP(Table11[[#This Row],[NAME]],Aggregate!$AD:$AO,10,FALSE()),""),IFERROR(VLOOKUP(Table11[[#This Row],[NAME]],Aggregate!$AD:$AO,9,FALSE()),""))</f>
        <v>24.7116921078431</v>
      </c>
      <c r="AA25" s="64" t="n">
        <f aca="false">SUMIFS(AD26:$AD$84,AC26:$AC$84,"&lt;&gt;x",AC26:$AC$84,"&lt;&gt;o",AD26:$AD$84,"&gt;0")/Aggregate!$AL$1</f>
        <v>0.0918123636455967</v>
      </c>
      <c r="AB25" s="62" t="str">
        <f aca="false">VLOOKUP(Table11[[#This Row],[NAME]],ECR!C:E,3,FALSE())</f>
        <v>WR23</v>
      </c>
      <c r="AC25" s="65"/>
      <c r="AD25" s="66" t="n">
        <f aca="false">VLOOKUP(W25,Aggregate!AD:AL,9,FALSE())</f>
        <v>24.7116921078431</v>
      </c>
      <c r="AF25" s="52"/>
      <c r="AG25" s="52"/>
    </row>
    <row r="26" customFormat="false" ht="14.25" hidden="false" customHeight="true" outlineLevel="0" collapsed="false">
      <c r="B26" s="62" t="n">
        <f aca="false">IFERROR(VLOOKUP(Table9[[#This Row],[NAME]],Aggregate!$B:$M,11,FALSE()),"")</f>
        <v>11</v>
      </c>
      <c r="C26" s="63" t="str">
        <f aca="false">Aggregate!B26</f>
        <v>Daniel Jones</v>
      </c>
      <c r="D26" s="63" t="str">
        <f aca="false">VLOOKUP(Table9[[#This Row],[NAME]],Aggregate!B:M,4,FALSE())</f>
        <v>IND/13</v>
      </c>
      <c r="E26" s="62" t="n">
        <f aca="false">IFERROR(VLOOKUP(Table9[[#This Row],[NAME]],Aggregate!$B:$M,8,FALSE()),"")</f>
        <v>219.8708</v>
      </c>
      <c r="F26" s="62" t="n">
        <f aca="false">IF(Scoring!$K$6="Auction",IFERROR(VLOOKUP(Table9[[#This Row],[NAME]],Aggregate!$B:$M,10,FALSE()),""),IFERROR(VLOOKUP(Table9[[#This Row],[NAME]],Aggregate!$B:$M,9,FALSE()),""))</f>
        <v>-48.5085657882352</v>
      </c>
      <c r="G26" s="64" t="n">
        <f aca="false">SUMIFS(J27:$J$44,I27:$I$44,"&lt;&gt;x",I27:$I$44,"&lt;&gt;o",J27:$J$44,"&gt;0")/Aggregate!$J$1</f>
        <v>0</v>
      </c>
      <c r="H26" s="62" t="str">
        <f aca="false">VLOOKUP(Table9[[#This Row],[NAME]],ECR!C:E,3,FALSE())</f>
        <v>QB24</v>
      </c>
      <c r="I26" s="65"/>
      <c r="J26" s="66" t="n">
        <f aca="false">VLOOKUP(C26,Aggregate!B:J,9,FALSE())</f>
        <v>-48.5085657882352</v>
      </c>
      <c r="K26" s="67"/>
      <c r="L26" s="62" t="n">
        <f aca="false">IFERROR(VLOOKUP(Table10[[#This Row],[NAME]],Aggregate!$P:$AA,11,FALSE()),"")</f>
        <v>5</v>
      </c>
      <c r="M26" s="63" t="str">
        <f aca="false">Aggregate!P25</f>
        <v>Bhayshul Tuten</v>
      </c>
      <c r="N26" s="63" t="str">
        <f aca="false">VLOOKUP(Table10[[#This Row],[NAME]],Aggregate!P:AA,4,FALSE())</f>
        <v>JAC/7</v>
      </c>
      <c r="O26" s="62" t="n">
        <f aca="false">IFERROR(VLOOKUP(Table10[[#This Row],[NAME]],Aggregate!$P:$AA,8,FALSE()),"")</f>
        <v>163.07169412549</v>
      </c>
      <c r="P26" s="62" t="n">
        <f aca="false">IF(Scoring!$K$6="Auction",IFERROR(VLOOKUP(Table10[[#This Row],[NAME]],Aggregate!$P:$AA,10,FALSE()),""),IFERROR(VLOOKUP(Table10[[#This Row],[NAME]],Aggregate!$P:$AA,9,FALSE()),""))</f>
        <v>35.5259557333334</v>
      </c>
      <c r="Q26" s="64" t="n">
        <f aca="false">SUMIFS(T27:$T$84,S27:$S$84,"&lt;&gt;x",S27:$S$84,"&lt;&gt;o",T27:$T$84,"&gt;0")/Aggregate!$X$1</f>
        <v>0.0769082818022684</v>
      </c>
      <c r="R26" s="62" t="str">
        <f aca="false">VLOOKUP(Table10[[#This Row],[NAME]],ECR!C:E,3,FALSE())</f>
        <v>RB23</v>
      </c>
      <c r="S26" s="65"/>
      <c r="T26" s="66" t="n">
        <f aca="false">VLOOKUP(M26,Aggregate!P:X,9,FALSE())</f>
        <v>35.5259557333334</v>
      </c>
      <c r="U26" s="68"/>
      <c r="V26" s="62" t="n">
        <f aca="false">IFERROR(VLOOKUP(Table11[[#This Row],[NAME]],Aggregate!$AD:$AO,11,FALSE()),"")</f>
        <v>5</v>
      </c>
      <c r="W26" s="63" t="str">
        <f aca="false">Aggregate!AD19</f>
        <v>Jaylen Waddle</v>
      </c>
      <c r="X26" s="63" t="str">
        <f aca="false">VLOOKUP(Table11[[#This Row],[NAME]],Aggregate!AD:AO,4,FALSE())</f>
        <v>DEN/10</v>
      </c>
      <c r="Y26" s="62" t="n">
        <f aca="false">IFERROR(VLOOKUP(Table11[[#This Row],[NAME]],Aggregate!$AD:$AO,8,FALSE()),"")</f>
        <v>149.201945852941</v>
      </c>
      <c r="Z26" s="62" t="n">
        <f aca="false">IF(Scoring!$K$6="Auction",IFERROR(VLOOKUP(Table11[[#This Row],[NAME]],Aggregate!$AD:$AO,10,FALSE()),""),IFERROR(VLOOKUP(Table11[[#This Row],[NAME]],Aggregate!$AD:$AO,9,FALSE()),""))</f>
        <v>23.5240671078431</v>
      </c>
      <c r="AA26" s="64" t="n">
        <f aca="false">SUMIFS(AD27:$AD$84,AC27:$AC$84,"&lt;&gt;x",AC27:$AC$84,"&lt;&gt;o",AD27:$AD$84,"&gt;0")/Aggregate!$AL$1</f>
        <v>0.0749375127270606</v>
      </c>
      <c r="AB26" s="62" t="str">
        <f aca="false">VLOOKUP(Table11[[#This Row],[NAME]],ECR!C:E,3,FALSE())</f>
        <v>WR17</v>
      </c>
      <c r="AC26" s="65"/>
      <c r="AD26" s="66" t="n">
        <f aca="false">VLOOKUP(W26,Aggregate!AD:AL,9,FALSE())</f>
        <v>23.5240671078431</v>
      </c>
      <c r="AF26" s="52"/>
      <c r="AG26" s="52"/>
    </row>
    <row r="27" customFormat="false" ht="14.25" hidden="false" customHeight="true" outlineLevel="0" collapsed="false">
      <c r="B27" s="62" t="n">
        <f aca="false">IFERROR(VLOOKUP(Table9[[#This Row],[NAME]],Aggregate!$B:$M,11,FALSE()),"")</f>
        <v>11</v>
      </c>
      <c r="C27" s="63" t="str">
        <f aca="false">Aggregate!B24</f>
        <v>Sam Darnold</v>
      </c>
      <c r="D27" s="63" t="str">
        <f aca="false">VLOOKUP(Table9[[#This Row],[NAME]],Aggregate!B:M,4,FALSE())</f>
        <v>SEA/11</v>
      </c>
      <c r="E27" s="62" t="n">
        <f aca="false">IFERROR(VLOOKUP(Table9[[#This Row],[NAME]],Aggregate!$B:$M,8,FALSE()),"")</f>
        <v>219.870589427451</v>
      </c>
      <c r="F27" s="62" t="n">
        <f aca="false">IF(Scoring!$K$6="Auction",IFERROR(VLOOKUP(Table9[[#This Row],[NAME]],Aggregate!$B:$M,10,FALSE()),""),IFERROR(VLOOKUP(Table9[[#This Row],[NAME]],Aggregate!$B:$M,9,FALSE()),""))</f>
        <v>-48.5087763607843</v>
      </c>
      <c r="G27" s="64" t="n">
        <f aca="false">SUMIFS(J28:$J$44,I28:$I$44,"&lt;&gt;x",I28:$I$44,"&lt;&gt;o",J28:$J$44,"&gt;0")/Aggregate!$J$1</f>
        <v>0</v>
      </c>
      <c r="H27" s="62" t="str">
        <f aca="false">VLOOKUP(Table9[[#This Row],[NAME]],ECR!C:E,3,FALSE())</f>
        <v>QB22</v>
      </c>
      <c r="I27" s="65"/>
      <c r="J27" s="66" t="n">
        <f aca="false">VLOOKUP(C27,Aggregate!B:J,9,FALSE())</f>
        <v>-48.5087763607843</v>
      </c>
      <c r="K27" s="67"/>
      <c r="L27" s="62" t="n">
        <f aca="false">IFERROR(VLOOKUP(Table10[[#This Row],[NAME]],Aggregate!$P:$AA,11,FALSE()),"")</f>
        <v>5</v>
      </c>
      <c r="M27" s="63" t="str">
        <f aca="false">Aggregate!P26</f>
        <v>Jadarian Price</v>
      </c>
      <c r="N27" s="63" t="str">
        <f aca="false">VLOOKUP(Table10[[#This Row],[NAME]],Aggregate!P:AA,4,FALSE())</f>
        <v>SEA/11</v>
      </c>
      <c r="O27" s="62" t="n">
        <f aca="false">IFERROR(VLOOKUP(Table10[[#This Row],[NAME]],Aggregate!$P:$AA,8,FALSE()),"")</f>
        <v>159.018239270588</v>
      </c>
      <c r="P27" s="62" t="n">
        <f aca="false">IF(Scoring!$K$6="Auction",IFERROR(VLOOKUP(Table10[[#This Row],[NAME]],Aggregate!$P:$AA,10,FALSE()),""),IFERROR(VLOOKUP(Table10[[#This Row],[NAME]],Aggregate!$P:$AA,9,FALSE()),""))</f>
        <v>31.4725008784314</v>
      </c>
      <c r="Q27" s="64" t="n">
        <f aca="false">SUMIFS(T28:$T$84,S28:$S$84,"&lt;&gt;x",S28:$S$84,"&lt;&gt;o",T28:$T$84,"&gt;0")/Aggregate!$X$1</f>
        <v>0.0599082129357991</v>
      </c>
      <c r="R27" s="62" t="str">
        <f aca="false">VLOOKUP(Table10[[#This Row],[NAME]],ECR!C:E,3,FALSE())</f>
        <v>RB24</v>
      </c>
      <c r="S27" s="65"/>
      <c r="T27" s="66" t="n">
        <f aca="false">VLOOKUP(M27,Aggregate!P:X,9,FALSE())</f>
        <v>31.4725008784314</v>
      </c>
      <c r="U27" s="68"/>
      <c r="V27" s="62" t="n">
        <f aca="false">IFERROR(VLOOKUP(Table11[[#This Row],[NAME]],Aggregate!$AD:$AO,11,FALSE()),"")</f>
        <v>5</v>
      </c>
      <c r="W27" s="63" t="str">
        <f aca="false">Aggregate!AD27</f>
        <v>Jameson Williams</v>
      </c>
      <c r="X27" s="63" t="str">
        <f aca="false">VLOOKUP(Table11[[#This Row],[NAME]],Aggregate!AD:AO,4,FALSE())</f>
        <v>DET/6</v>
      </c>
      <c r="Y27" s="62" t="n">
        <f aca="false">IFERROR(VLOOKUP(Table11[[#This Row],[NAME]],Aggregate!$AD:$AO,8,FALSE()),"")</f>
        <v>145.979522813725</v>
      </c>
      <c r="Z27" s="62" t="n">
        <f aca="false">IF(Scoring!$K$6="Auction",IFERROR(VLOOKUP(Table11[[#This Row],[NAME]],Aggregate!$AD:$AO,10,FALSE()),""),IFERROR(VLOOKUP(Table11[[#This Row],[NAME]],Aggregate!$AD:$AO,9,FALSE()),""))</f>
        <v>20.3016440686275</v>
      </c>
      <c r="AA27" s="64" t="n">
        <f aca="false">SUMIFS(AD28:$AD$84,AC28:$AC$84,"&lt;&gt;x",AC28:$AC$84,"&lt;&gt;o",AD28:$AD$84,"&gt;0")/Aggregate!$AL$1</f>
        <v>0.0603742479867958</v>
      </c>
      <c r="AB27" s="62" t="str">
        <f aca="false">VLOOKUP(Table11[[#This Row],[NAME]],ECR!C:E,3,FALSE())</f>
        <v>WR25</v>
      </c>
      <c r="AC27" s="65"/>
      <c r="AD27" s="66" t="n">
        <f aca="false">VLOOKUP(W27,Aggregate!AD:AL,9,FALSE())</f>
        <v>20.3016440686275</v>
      </c>
      <c r="AF27" s="52"/>
      <c r="AG27" s="52"/>
    </row>
    <row r="28" customFormat="false" ht="14.25" hidden="false" customHeight="true" outlineLevel="0" collapsed="false">
      <c r="B28" s="62" t="n">
        <f aca="false">IFERROR(VLOOKUP(Table9[[#This Row],[NAME]],Aggregate!$B:$M,11,FALSE()),"")</f>
        <v>12</v>
      </c>
      <c r="C28" s="63" t="str">
        <f aca="false">Aggregate!B25</f>
        <v>C.J. Stroud</v>
      </c>
      <c r="D28" s="63" t="str">
        <f aca="false">VLOOKUP(Table9[[#This Row],[NAME]],Aggregate!B:M,4,FALSE())</f>
        <v>HOU/8</v>
      </c>
      <c r="E28" s="62" t="n">
        <f aca="false">IFERROR(VLOOKUP(Table9[[#This Row],[NAME]],Aggregate!$B:$M,8,FALSE()),"")</f>
        <v>214.51287372549</v>
      </c>
      <c r="F28" s="62" t="n">
        <f aca="false">IF(Scoring!$K$6="Auction",IFERROR(VLOOKUP(Table9[[#This Row],[NAME]],Aggregate!$B:$M,10,FALSE()),""),IFERROR(VLOOKUP(Table9[[#This Row],[NAME]],Aggregate!$B:$M,9,FALSE()),""))</f>
        <v>-53.8664920627451</v>
      </c>
      <c r="G28" s="64" t="n">
        <f aca="false">SUMIFS(J29:$J$44,I29:$I$44,"&lt;&gt;x",I29:$I$44,"&lt;&gt;o",J29:$J$44,"&gt;0")/Aggregate!$J$1</f>
        <v>0</v>
      </c>
      <c r="H28" s="62" t="str">
        <f aca="false">VLOOKUP(Table9[[#This Row],[NAME]],ECR!C:E,3,FALSE())</f>
        <v>QB23</v>
      </c>
      <c r="I28" s="65"/>
      <c r="J28" s="66" t="n">
        <f aca="false">VLOOKUP(C28,Aggregate!B:J,9,FALSE())</f>
        <v>-53.8664920627451</v>
      </c>
      <c r="K28" s="67"/>
      <c r="L28" s="62" t="n">
        <f aca="false">IFERROR(VLOOKUP(Table10[[#This Row],[NAME]],Aggregate!$P:$AA,11,FALSE()),"")</f>
        <v>5</v>
      </c>
      <c r="M28" s="63" t="str">
        <f aca="false">Aggregate!P23</f>
        <v>David Montgomery</v>
      </c>
      <c r="N28" s="63" t="str">
        <f aca="false">VLOOKUP(Table10[[#This Row],[NAME]],Aggregate!P:AA,4,FALSE())</f>
        <v>HOU/8</v>
      </c>
      <c r="O28" s="62" t="n">
        <f aca="false">IFERROR(VLOOKUP(Table10[[#This Row],[NAME]],Aggregate!$P:$AA,8,FALSE()),"")</f>
        <v>158.115613803922</v>
      </c>
      <c r="P28" s="62" t="n">
        <f aca="false">IF(Scoring!$K$6="Auction",IFERROR(VLOOKUP(Table10[[#This Row],[NAME]],Aggregate!$P:$AA,10,FALSE()),""),IFERROR(VLOOKUP(Table10[[#This Row],[NAME]],Aggregate!$P:$AA,9,FALSE()),""))</f>
        <v>30.5698754117647</v>
      </c>
      <c r="Q28" s="64" t="n">
        <f aca="false">SUMIFS(T29:$T$84,S29:$S$84,"&lt;&gt;x",S29:$S$84,"&lt;&gt;o",T29:$T$84,"&gt;0")/Aggregate!$X$1</f>
        <v>0.0433957028799002</v>
      </c>
      <c r="R28" s="62" t="str">
        <f aca="false">VLOOKUP(Table10[[#This Row],[NAME]],ECR!C:E,3,FALSE())</f>
        <v>RB21</v>
      </c>
      <c r="S28" s="65"/>
      <c r="T28" s="66" t="n">
        <f aca="false">VLOOKUP(M28,Aggregate!P:X,9,FALSE())</f>
        <v>30.5698754117647</v>
      </c>
      <c r="U28" s="68"/>
      <c r="V28" s="62" t="n">
        <f aca="false">IFERROR(VLOOKUP(Table11[[#This Row],[NAME]],Aggregate!$AD:$AO,11,FALSE()),"")</f>
        <v>5</v>
      </c>
      <c r="W28" s="63" t="str">
        <f aca="false">Aggregate!AD26</f>
        <v>Terry McLaurin</v>
      </c>
      <c r="X28" s="63" t="str">
        <f aca="false">VLOOKUP(Table11[[#This Row],[NAME]],Aggregate!AD:AO,4,FALSE())</f>
        <v>WAS/7</v>
      </c>
      <c r="Y28" s="62" t="n">
        <f aca="false">IFERROR(VLOOKUP(Table11[[#This Row],[NAME]],Aggregate!$AD:$AO,8,FALSE()),"")</f>
        <v>143.835841941176</v>
      </c>
      <c r="Z28" s="62" t="n">
        <f aca="false">IF(Scoring!$K$6="Auction",IFERROR(VLOOKUP(Table11[[#This Row],[NAME]],Aggregate!$AD:$AO,10,FALSE()),""),IFERROR(VLOOKUP(Table11[[#This Row],[NAME]],Aggregate!$AD:$AO,9,FALSE()),""))</f>
        <v>18.1579631960784</v>
      </c>
      <c r="AA28" s="64" t="n">
        <f aca="false">SUMIFS(AD29:$AD$84,AC29:$AC$84,"&lt;&gt;x",AC29:$AC$84,"&lt;&gt;o",AD29:$AD$84,"&gt;0")/Aggregate!$AL$1</f>
        <v>0.0473487400882943</v>
      </c>
      <c r="AB28" s="62" t="str">
        <f aca="false">VLOOKUP(Table11[[#This Row],[NAME]],ECR!C:E,3,FALSE())</f>
        <v>WR24</v>
      </c>
      <c r="AC28" s="65"/>
      <c r="AD28" s="66" t="n">
        <f aca="false">VLOOKUP(W28,Aggregate!AD:AL,9,FALSE())</f>
        <v>18.1579631960784</v>
      </c>
      <c r="AF28" s="52"/>
      <c r="AG28" s="52"/>
    </row>
    <row r="29" customFormat="false" ht="14.25" hidden="false" customHeight="true" outlineLevel="0" collapsed="false">
      <c r="B29" s="62" t="n">
        <f aca="false">IFERROR(VLOOKUP(Table9[[#This Row],[NAME]],Aggregate!$B:$M,11,FALSE()),"")</f>
        <v>13</v>
      </c>
      <c r="C29" s="63" t="str">
        <f aca="false">Aggregate!B28</f>
        <v>Bryce Young</v>
      </c>
      <c r="D29" s="63" t="str">
        <f aca="false">VLOOKUP(Table9[[#This Row],[NAME]],Aggregate!B:M,4,FALSE())</f>
        <v>CAR/5</v>
      </c>
      <c r="E29" s="62" t="n">
        <f aca="false">IFERROR(VLOOKUP(Table9[[#This Row],[NAME]],Aggregate!$B:$M,8,FALSE()),"")</f>
        <v>202.319905882353</v>
      </c>
      <c r="F29" s="62" t="n">
        <f aca="false">IF(Scoring!$K$6="Auction",IFERROR(VLOOKUP(Table9[[#This Row],[NAME]],Aggregate!$B:$M,10,FALSE()),""),IFERROR(VLOOKUP(Table9[[#This Row],[NAME]],Aggregate!$B:$M,9,FALSE()),""))</f>
        <v>-66.0594599058823</v>
      </c>
      <c r="G29" s="64" t="n">
        <f aca="false">SUMIFS(J30:$J$44,I30:$I$44,"&lt;&gt;x",I30:$I$44,"&lt;&gt;o",J30:$J$44,"&gt;0")/Aggregate!$J$1</f>
        <v>0</v>
      </c>
      <c r="H29" s="62" t="str">
        <f aca="false">VLOOKUP(Table9[[#This Row],[NAME]],ECR!C:E,3,FALSE())</f>
        <v>QB26</v>
      </c>
      <c r="I29" s="65"/>
      <c r="J29" s="66" t="n">
        <f aca="false">VLOOKUP(C29,Aggregate!B:J,9,FALSE())</f>
        <v>-66.0594599058823</v>
      </c>
      <c r="K29" s="67"/>
      <c r="L29" s="62" t="n">
        <f aca="false">IFERROR(VLOOKUP(Table10[[#This Row],[NAME]],Aggregate!$P:$AA,11,FALSE()),"")</f>
        <v>6</v>
      </c>
      <c r="M29" s="63" t="str">
        <f aca="false">Aggregate!P27</f>
        <v>TreVeyon Henderson</v>
      </c>
      <c r="N29" s="63" t="str">
        <f aca="false">VLOOKUP(Table10[[#This Row],[NAME]],Aggregate!P:AA,4,FALSE())</f>
        <v>NE/11</v>
      </c>
      <c r="O29" s="62" t="n">
        <f aca="false">IFERROR(VLOOKUP(Table10[[#This Row],[NAME]],Aggregate!$P:$AA,8,FALSE()),"")</f>
        <v>145.419560588235</v>
      </c>
      <c r="P29" s="62" t="n">
        <f aca="false">IF(Scoring!$K$6="Auction",IFERROR(VLOOKUP(Table10[[#This Row],[NAME]],Aggregate!$P:$AA,10,FALSE()),""),IFERROR(VLOOKUP(Table10[[#This Row],[NAME]],Aggregate!$P:$AA,9,FALSE()),""))</f>
        <v>17.8738221960784</v>
      </c>
      <c r="Q29" s="64" t="n">
        <f aca="false">SUMIFS(T30:$T$84,S30:$S$84,"&lt;&gt;x",S30:$S$84,"&lt;&gt;o",T30:$T$84,"&gt;0")/Aggregate!$X$1</f>
        <v>0.0337410456470968</v>
      </c>
      <c r="R29" s="62" t="str">
        <f aca="false">VLOOKUP(Table10[[#This Row],[NAME]],ECR!C:E,3,FALSE())</f>
        <v>RB25</v>
      </c>
      <c r="S29" s="65"/>
      <c r="T29" s="66" t="n">
        <f aca="false">VLOOKUP(M29,Aggregate!P:X,9,FALSE())</f>
        <v>17.8738221960784</v>
      </c>
      <c r="U29" s="68"/>
      <c r="V29" s="62" t="n">
        <f aca="false">IFERROR(VLOOKUP(Table11[[#This Row],[NAME]],Aggregate!$AD:$AO,11,FALSE()),"")</f>
        <v>5</v>
      </c>
      <c r="W29" s="63" t="str">
        <f aca="false">Aggregate!AD24</f>
        <v>Luther Burden III</v>
      </c>
      <c r="X29" s="63" t="str">
        <f aca="false">VLOOKUP(Table11[[#This Row],[NAME]],Aggregate!AD:AO,4,FALSE())</f>
        <v>CHI/10</v>
      </c>
      <c r="Y29" s="62" t="n">
        <f aca="false">IFERROR(VLOOKUP(Table11[[#This Row],[NAME]],Aggregate!$AD:$AO,8,FALSE()),"")</f>
        <v>143.411148078431</v>
      </c>
      <c r="Z29" s="62" t="n">
        <f aca="false">IF(Scoring!$K$6="Auction",IFERROR(VLOOKUP(Table11[[#This Row],[NAME]],Aggregate!$AD:$AO,10,FALSE()),""),IFERROR(VLOOKUP(Table11[[#This Row],[NAME]],Aggregate!$AD:$AO,9,FALSE()),""))</f>
        <v>17.7332693333333</v>
      </c>
      <c r="AA29" s="64" t="n">
        <f aca="false">SUMIFS(AD30:$AD$84,AC30:$AC$84,"&lt;&gt;x",AC30:$AC$84,"&lt;&gt;o",AD30:$AD$84,"&gt;0")/Aggregate!$AL$1</f>
        <v>0.0346278838296214</v>
      </c>
      <c r="AB29" s="62" t="str">
        <f aca="false">VLOOKUP(Table11[[#This Row],[NAME]],ECR!C:E,3,FALSE())</f>
        <v>WR22</v>
      </c>
      <c r="AC29" s="65"/>
      <c r="AD29" s="66" t="n">
        <f aca="false">VLOOKUP(W29,Aggregate!AD:AL,9,FALSE())</f>
        <v>17.7332693333333</v>
      </c>
      <c r="AF29" s="52"/>
      <c r="AG29" s="52"/>
    </row>
    <row r="30" customFormat="false" ht="14.25" hidden="false" customHeight="true" outlineLevel="0" collapsed="false">
      <c r="B30" s="62" t="n">
        <f aca="false">IFERROR(VLOOKUP(Table9[[#This Row],[NAME]],Aggregate!$B:$M,11,FALSE()),"")</f>
        <v>14</v>
      </c>
      <c r="C30" s="63" t="str">
        <f aca="false">Aggregate!B27</f>
        <v>Cam Ward</v>
      </c>
      <c r="D30" s="63" t="str">
        <f aca="false">VLOOKUP(Table9[[#This Row],[NAME]],Aggregate!B:M,4,FALSE())</f>
        <v>TEN/9</v>
      </c>
      <c r="E30" s="62" t="n">
        <f aca="false">IFERROR(VLOOKUP(Table9[[#This Row],[NAME]],Aggregate!$B:$M,8,FALSE()),"")</f>
        <v>194.526964705882</v>
      </c>
      <c r="F30" s="62" t="n">
        <f aca="false">IF(Scoring!$K$6="Auction",IFERROR(VLOOKUP(Table9[[#This Row],[NAME]],Aggregate!$B:$M,10,FALSE()),""),IFERROR(VLOOKUP(Table9[[#This Row],[NAME]],Aggregate!$B:$M,9,FALSE()),""))</f>
        <v>-73.8524010823529</v>
      </c>
      <c r="G30" s="64" t="n">
        <f aca="false">SUMIFS(J31:$J$44,I31:$I$44,"&lt;&gt;x",I31:$I$44,"&lt;&gt;o",J31:$J$44,"&gt;0")/Aggregate!$J$1</f>
        <v>0</v>
      </c>
      <c r="H30" s="62" t="str">
        <f aca="false">VLOOKUP(Table9[[#This Row],[NAME]],ECR!C:E,3,FALSE())</f>
        <v>QB25</v>
      </c>
      <c r="I30" s="65"/>
      <c r="J30" s="66" t="n">
        <f aca="false">VLOOKUP(C30,Aggregate!B:J,9,FALSE())</f>
        <v>-73.8524010823529</v>
      </c>
      <c r="K30" s="67"/>
      <c r="L30" s="62" t="n">
        <f aca="false">IFERROR(VLOOKUP(Table10[[#This Row],[NAME]],Aggregate!$P:$AA,11,FALSE()),"")</f>
        <v>6</v>
      </c>
      <c r="M30" s="63" t="str">
        <f aca="false">Aggregate!P29</f>
        <v>Jaylen Warren</v>
      </c>
      <c r="N30" s="63" t="str">
        <f aca="false">VLOOKUP(Table10[[#This Row],[NAME]],Aggregate!P:AA,4,FALSE())</f>
        <v>PIT/9</v>
      </c>
      <c r="O30" s="62" t="n">
        <f aca="false">IFERROR(VLOOKUP(Table10[[#This Row],[NAME]],Aggregate!$P:$AA,8,FALSE()),"")</f>
        <v>143.971505039216</v>
      </c>
      <c r="P30" s="62" t="n">
        <f aca="false">IF(Scoring!$K$6="Auction",IFERROR(VLOOKUP(Table10[[#This Row],[NAME]],Aggregate!$P:$AA,10,FALSE()),""),IFERROR(VLOOKUP(Table10[[#This Row],[NAME]],Aggregate!$P:$AA,9,FALSE()),""))</f>
        <v>16.4257666470588</v>
      </c>
      <c r="Q30" s="64" t="n">
        <f aca="false">SUMIFS(T31:$T$84,S31:$S$84,"&lt;&gt;x",S31:$S$84,"&lt;&gt;o",T31:$T$84,"&gt;0")/Aggregate!$X$1</f>
        <v>0.024868564706889</v>
      </c>
      <c r="R30" s="62" t="str">
        <f aca="false">VLOOKUP(Table10[[#This Row],[NAME]],ECR!C:E,3,FALSE())</f>
        <v>RB27</v>
      </c>
      <c r="S30" s="65"/>
      <c r="T30" s="66" t="n">
        <f aca="false">VLOOKUP(M30,Aggregate!P:X,9,FALSE())</f>
        <v>16.4257666470588</v>
      </c>
      <c r="U30" s="68"/>
      <c r="V30" s="62" t="n">
        <f aca="false">IFERROR(VLOOKUP(Table11[[#This Row],[NAME]],Aggregate!$AD:$AO,11,FALSE()),"")</f>
        <v>5</v>
      </c>
      <c r="W30" s="63" t="str">
        <f aca="false">Aggregate!AD28</f>
        <v>DJ Moore</v>
      </c>
      <c r="X30" s="63" t="str">
        <f aca="false">VLOOKUP(Table11[[#This Row],[NAME]],Aggregate!AD:AO,4,FALSE())</f>
        <v>BUF/7</v>
      </c>
      <c r="Y30" s="62" t="n">
        <f aca="false">IFERROR(VLOOKUP(Table11[[#This Row],[NAME]],Aggregate!$AD:$AO,8,FALSE()),"")</f>
        <v>139.489110352941</v>
      </c>
      <c r="Z30" s="62" t="n">
        <f aca="false">IF(Scoring!$K$6="Auction",IFERROR(VLOOKUP(Table11[[#This Row],[NAME]],Aggregate!$AD:$AO,10,FALSE()),""),IFERROR(VLOOKUP(Table11[[#This Row],[NAME]],Aggregate!$AD:$AO,9,FALSE()),""))</f>
        <v>13.8112316078432</v>
      </c>
      <c r="AA30" s="64" t="n">
        <f aca="false">SUMIFS(AD31:$AD$84,AC31:$AC$84,"&lt;&gt;x",AC31:$AC$84,"&lt;&gt;o",AD31:$AD$84,"&gt;0")/Aggregate!$AL$1</f>
        <v>0.0247204782217695</v>
      </c>
      <c r="AB30" s="62" t="str">
        <f aca="false">VLOOKUP(Table11[[#This Row],[NAME]],ECR!C:E,3,FALSE())</f>
        <v>WR26</v>
      </c>
      <c r="AC30" s="65"/>
      <c r="AD30" s="66" t="n">
        <f aca="false">VLOOKUP(W30,Aggregate!AD:AL,9,FALSE())</f>
        <v>13.8112316078432</v>
      </c>
      <c r="AF30" s="52"/>
      <c r="AG30" s="52"/>
    </row>
    <row r="31" customFormat="false" ht="14.25" hidden="false" customHeight="true" outlineLevel="0" collapsed="false">
      <c r="B31" s="62" t="n">
        <f aca="false">IFERROR(VLOOKUP(Table9[[#This Row],[NAME]],Aggregate!$B:$M,11,FALSE()),"")</f>
        <v>15</v>
      </c>
      <c r="C31" s="63" t="str">
        <f aca="false">Aggregate!B29</f>
        <v>Jacoby Brissett</v>
      </c>
      <c r="D31" s="63" t="str">
        <f aca="false">VLOOKUP(Table9[[#This Row],[NAME]],Aggregate!B:M,4,FALSE())</f>
        <v>ARI/14</v>
      </c>
      <c r="E31" s="62" t="n">
        <f aca="false">IFERROR(VLOOKUP(Table9[[#This Row],[NAME]],Aggregate!$B:$M,8,FALSE()),"")</f>
        <v>187.234070588235</v>
      </c>
      <c r="F31" s="62" t="n">
        <f aca="false">IF(Scoring!$K$6="Auction",IFERROR(VLOOKUP(Table9[[#This Row],[NAME]],Aggregate!$B:$M,10,FALSE()),""),IFERROR(VLOOKUP(Table9[[#This Row],[NAME]],Aggregate!$B:$M,9,FALSE()),""))</f>
        <v>-81.1452951999999</v>
      </c>
      <c r="G31" s="64" t="n">
        <f aca="false">SUMIFS(J32:$J$44,I32:$I$44,"&lt;&gt;x",I32:$I$44,"&lt;&gt;o",J32:$J$44,"&gt;0")/Aggregate!$J$1</f>
        <v>0</v>
      </c>
      <c r="H31" s="62" t="str">
        <f aca="false">VLOOKUP(Table9[[#This Row],[NAME]],ECR!C:E,3,FALSE())</f>
        <v>QB27</v>
      </c>
      <c r="I31" s="65"/>
      <c r="J31" s="66" t="n">
        <f aca="false">VLOOKUP(C31,Aggregate!B:J,9,FALSE())</f>
        <v>-81.1452951999999</v>
      </c>
      <c r="K31" s="67"/>
      <c r="L31" s="62" t="n">
        <f aca="false">IFERROR(VLOOKUP(Table10[[#This Row],[NAME]],Aggregate!$P:$AA,11,FALSE()),"")</f>
        <v>6</v>
      </c>
      <c r="M31" s="63" t="str">
        <f aca="false">Aggregate!P28</f>
        <v>Rhamondre Stevenson</v>
      </c>
      <c r="N31" s="63" t="str">
        <f aca="false">VLOOKUP(Table10[[#This Row],[NAME]],Aggregate!P:AA,4,FALSE())</f>
        <v>NE/11</v>
      </c>
      <c r="O31" s="62" t="n">
        <f aca="false">IFERROR(VLOOKUP(Table10[[#This Row],[NAME]],Aggregate!$P:$AA,8,FALSE()),"")</f>
        <v>142.519827372549</v>
      </c>
      <c r="P31" s="62" t="n">
        <f aca="false">IF(Scoring!$K$6="Auction",IFERROR(VLOOKUP(Table10[[#This Row],[NAME]],Aggregate!$P:$AA,10,FALSE()),""),IFERROR(VLOOKUP(Table10[[#This Row],[NAME]],Aggregate!$P:$AA,9,FALSE()),""))</f>
        <v>14.9740889803921</v>
      </c>
      <c r="Q31" s="64" t="n">
        <f aca="false">SUMIFS(T32:$T$84,S32:$S$84,"&lt;&gt;x",S32:$S$84,"&lt;&gt;o",T32:$T$84,"&gt;0")/Aggregate!$X$1</f>
        <v>0.0167802165688559</v>
      </c>
      <c r="R31" s="62" t="str">
        <f aca="false">VLOOKUP(Table10[[#This Row],[NAME]],ECR!C:E,3,FALSE())</f>
        <v>RB26</v>
      </c>
      <c r="S31" s="65"/>
      <c r="T31" s="66" t="n">
        <f aca="false">VLOOKUP(M31,Aggregate!P:X,9,FALSE())</f>
        <v>14.9740889803921</v>
      </c>
      <c r="U31" s="68"/>
      <c r="V31" s="62" t="n">
        <f aca="false">IFERROR(VLOOKUP(Table11[[#This Row],[NAME]],Aggregate!$AD:$AO,11,FALSE()),"")</f>
        <v>5</v>
      </c>
      <c r="W31" s="63" t="str">
        <f aca="false">Aggregate!AD30</f>
        <v>Rome Odunze</v>
      </c>
      <c r="X31" s="63" t="str">
        <f aca="false">VLOOKUP(Table11[[#This Row],[NAME]],Aggregate!AD:AO,4,FALSE())</f>
        <v>CHI/10</v>
      </c>
      <c r="Y31" s="62" t="n">
        <f aca="false">IFERROR(VLOOKUP(Table11[[#This Row],[NAME]],Aggregate!$AD:$AO,8,FALSE()),"")</f>
        <v>137.658009411765</v>
      </c>
      <c r="Z31" s="62" t="n">
        <f aca="false">IF(Scoring!$K$6="Auction",IFERROR(VLOOKUP(Table11[[#This Row],[NAME]],Aggregate!$AD:$AO,10,FALSE()),""),IFERROR(VLOOKUP(Table11[[#This Row],[NAME]],Aggregate!$AD:$AO,9,FALSE()),""))</f>
        <v>11.9801306666667</v>
      </c>
      <c r="AA31" s="64" t="n">
        <f aca="false">SUMIFS(AD32:$AD$84,AC32:$AC$84,"&lt;&gt;x",AC32:$AC$84,"&lt;&gt;o",AD32:$AD$84,"&gt;0")/Aggregate!$AL$1</f>
        <v>0.0161266020838639</v>
      </c>
      <c r="AB31" s="62" t="str">
        <f aca="false">VLOOKUP(Table11[[#This Row],[NAME]],ECR!C:E,3,FALSE())</f>
        <v>WR28</v>
      </c>
      <c r="AC31" s="65"/>
      <c r="AD31" s="66" t="n">
        <f aca="false">VLOOKUP(W31,Aggregate!AD:AL,9,FALSE())</f>
        <v>11.9801306666667</v>
      </c>
      <c r="AF31" s="52"/>
      <c r="AG31" s="52"/>
    </row>
    <row r="32" customFormat="false" ht="14.25" hidden="false" customHeight="true" outlineLevel="0" collapsed="false">
      <c r="B32" s="62" t="n">
        <f aca="false">IFERROR(VLOOKUP(Table9[[#This Row],[NAME]],Aggregate!$B:$M,11,FALSE()),"")</f>
        <v>15</v>
      </c>
      <c r="C32" s="63" t="str">
        <f aca="false">Aggregate!B31</f>
        <v>Geno Smith</v>
      </c>
      <c r="D32" s="63" t="str">
        <f aca="false">VLOOKUP(Table9[[#This Row],[NAME]],Aggregate!B:M,4,FALSE())</f>
        <v>NYJ/13</v>
      </c>
      <c r="E32" s="62" t="n">
        <f aca="false">IFERROR(VLOOKUP(Table9[[#This Row],[NAME]],Aggregate!$B:$M,8,FALSE()),"")</f>
        <v>186.637152941176</v>
      </c>
      <c r="F32" s="62" t="n">
        <f aca="false">IF(Scoring!$K$6="Auction",IFERROR(VLOOKUP(Table9[[#This Row],[NAME]],Aggregate!$B:$M,10,FALSE()),""),IFERROR(VLOOKUP(Table9[[#This Row],[NAME]],Aggregate!$B:$M,9,FALSE()),""))</f>
        <v>-81.7422128470588</v>
      </c>
      <c r="G32" s="64" t="n">
        <f aca="false">SUMIFS(J33:$J$44,I33:$I$44,"&lt;&gt;x",I33:$I$44,"&lt;&gt;o",J33:$J$44,"&gt;0")/Aggregate!$J$1</f>
        <v>0</v>
      </c>
      <c r="H32" s="62" t="str">
        <f aca="false">VLOOKUP(Table9[[#This Row],[NAME]],ECR!C:E,3,FALSE())</f>
        <v>QB29</v>
      </c>
      <c r="I32" s="65"/>
      <c r="J32" s="66" t="n">
        <f aca="false">VLOOKUP(C32,Aggregate!B:J,9,FALSE())</f>
        <v>-81.7422128470588</v>
      </c>
      <c r="K32" s="67"/>
      <c r="L32" s="62" t="n">
        <f aca="false">IFERROR(VLOOKUP(Table10[[#This Row],[NAME]],Aggregate!$P:$AA,11,FALSE()),"")</f>
        <v>6</v>
      </c>
      <c r="M32" s="63" t="str">
        <f aca="false">Aggregate!P30</f>
        <v>Tony Pollard</v>
      </c>
      <c r="N32" s="63" t="str">
        <f aca="false">VLOOKUP(Table10[[#This Row],[NAME]],Aggregate!P:AA,4,FALSE())</f>
        <v>TEN/9</v>
      </c>
      <c r="O32" s="62" t="n">
        <f aca="false">IFERROR(VLOOKUP(Table10[[#This Row],[NAME]],Aggregate!$P:$AA,8,FALSE()),"")</f>
        <v>141.905457529412</v>
      </c>
      <c r="P32" s="62" t="n">
        <f aca="false">IF(Scoring!$K$6="Auction",IFERROR(VLOOKUP(Table10[[#This Row],[NAME]],Aggregate!$P:$AA,10,FALSE()),""),IFERROR(VLOOKUP(Table10[[#This Row],[NAME]],Aggregate!$P:$AA,9,FALSE()),""))</f>
        <v>14.3597191372549</v>
      </c>
      <c r="Q32" s="64" t="n">
        <f aca="false">SUMIFS(T33:$T$84,S33:$S$84,"&lt;&gt;x",S33:$S$84,"&lt;&gt;o",T33:$T$84,"&gt;0")/Aggregate!$X$1</f>
        <v>0.00902372415729206</v>
      </c>
      <c r="R32" s="62" t="str">
        <f aca="false">VLOOKUP(Table10[[#This Row],[NAME]],ECR!C:E,3,FALSE())</f>
        <v>RB28</v>
      </c>
      <c r="S32" s="65"/>
      <c r="T32" s="66" t="n">
        <f aca="false">VLOOKUP(M32,Aggregate!P:X,9,FALSE())</f>
        <v>14.3597191372549</v>
      </c>
      <c r="U32" s="68"/>
      <c r="V32" s="62" t="n">
        <f aca="false">IFERROR(VLOOKUP(Table11[[#This Row],[NAME]],Aggregate!$AD:$AO,11,FALSE()),"")</f>
        <v>5</v>
      </c>
      <c r="W32" s="63" t="str">
        <f aca="false">Aggregate!AD29</f>
        <v>Christian Watson</v>
      </c>
      <c r="X32" s="63" t="str">
        <f aca="false">VLOOKUP(Table11[[#This Row],[NAME]],Aggregate!AD:AO,4,FALSE())</f>
        <v>GB/11</v>
      </c>
      <c r="Y32" s="62" t="n">
        <f aca="false">IFERROR(VLOOKUP(Table11[[#This Row],[NAME]],Aggregate!$AD:$AO,8,FALSE()),"")</f>
        <v>136.943305411765</v>
      </c>
      <c r="Z32" s="62" t="n">
        <f aca="false">IF(Scoring!$K$6="Auction",IFERROR(VLOOKUP(Table11[[#This Row],[NAME]],Aggregate!$AD:$AO,10,FALSE()),""),IFERROR(VLOOKUP(Table11[[#This Row],[NAME]],Aggregate!$AD:$AO,9,FALSE()),""))</f>
        <v>11.2654266666667</v>
      </c>
      <c r="AA32" s="64" t="n">
        <f aca="false">SUMIFS(AD33:$AD$84,AC33:$AC$84,"&lt;&gt;x",AC33:$AC$84,"&lt;&gt;o",AD33:$AD$84,"&gt;0")/Aggregate!$AL$1</f>
        <v>0.00804541464879143</v>
      </c>
      <c r="AB32" s="62" t="str">
        <f aca="false">VLOOKUP(Table11[[#This Row],[NAME]],ECR!C:E,3,FALSE())</f>
        <v>WR27</v>
      </c>
      <c r="AC32" s="65"/>
      <c r="AD32" s="66" t="n">
        <f aca="false">VLOOKUP(W32,Aggregate!AD:AL,9,FALSE())</f>
        <v>11.2654266666667</v>
      </c>
      <c r="AF32" s="52"/>
      <c r="AG32" s="52"/>
    </row>
    <row r="33" customFormat="false" ht="14.25" hidden="false" customHeight="true" outlineLevel="0" collapsed="false">
      <c r="B33" s="62" t="n">
        <f aca="false">IFERROR(VLOOKUP(Table9[[#This Row],[NAME]],Aggregate!$B:$M,11,FALSE()),"")</f>
        <v>15</v>
      </c>
      <c r="C33" s="63" t="str">
        <f aca="false">Aggregate!B30</f>
        <v>Aaron Rodgers</v>
      </c>
      <c r="D33" s="63" t="str">
        <f aca="false">VLOOKUP(Table9[[#This Row],[NAME]],Aggregate!B:M,4,FALSE())</f>
        <v>PIT/9</v>
      </c>
      <c r="E33" s="62" t="n">
        <f aca="false">IFERROR(VLOOKUP(Table9[[#This Row],[NAME]],Aggregate!$B:$M,8,FALSE()),"")</f>
        <v>182.122117647059</v>
      </c>
      <c r="F33" s="62" t="n">
        <f aca="false">IF(Scoring!$K$6="Auction",IFERROR(VLOOKUP(Table9[[#This Row],[NAME]],Aggregate!$B:$M,10,FALSE()),""),IFERROR(VLOOKUP(Table9[[#This Row],[NAME]],Aggregate!$B:$M,9,FALSE()),""))</f>
        <v>-86.2572481411764</v>
      </c>
      <c r="G33" s="64" t="n">
        <f aca="false">SUMIFS(J34:$J$44,I34:$I$44,"&lt;&gt;x",I34:$I$44,"&lt;&gt;o",J34:$J$44,"&gt;0")/Aggregate!$J$1</f>
        <v>0</v>
      </c>
      <c r="H33" s="62" t="str">
        <f aca="false">VLOOKUP(Table9[[#This Row],[NAME]],ECR!C:E,3,FALSE())</f>
        <v>QB28</v>
      </c>
      <c r="I33" s="65"/>
      <c r="J33" s="66" t="n">
        <f aca="false">VLOOKUP(C33,Aggregate!B:J,9,FALSE())</f>
        <v>-86.2572481411764</v>
      </c>
      <c r="K33" s="67"/>
      <c r="L33" s="62" t="n">
        <f aca="false">IFERROR(VLOOKUP(Table10[[#This Row],[NAME]],Aggregate!$P:$AA,11,FALSE()),"")</f>
        <v>6</v>
      </c>
      <c r="M33" s="63" t="str">
        <f aca="false">Aggregate!P31</f>
        <v>Rico Dowdle</v>
      </c>
      <c r="N33" s="63" t="str">
        <f aca="false">VLOOKUP(Table10[[#This Row],[NAME]],Aggregate!P:AA,4,FALSE())</f>
        <v>PIT/9</v>
      </c>
      <c r="O33" s="62" t="n">
        <f aca="false">IFERROR(VLOOKUP(Table10[[#This Row],[NAME]],Aggregate!$P:$AA,8,FALSE()),"")</f>
        <v>137.547967666667</v>
      </c>
      <c r="P33" s="62" t="n">
        <f aca="false">IF(Scoring!$K$6="Auction",IFERROR(VLOOKUP(Table10[[#This Row],[NAME]],Aggregate!$P:$AA,10,FALSE()),""),IFERROR(VLOOKUP(Table10[[#This Row],[NAME]],Aggregate!$P:$AA,9,FALSE()),""))</f>
        <v>10.0022292745098</v>
      </c>
      <c r="Q33" s="64" t="n">
        <f aca="false">SUMIFS(T34:$T$84,S34:$S$84,"&lt;&gt;x",S34:$S$84,"&lt;&gt;o",T34:$T$84,"&gt;0")/Aggregate!$X$1</f>
        <v>0.00362095724208285</v>
      </c>
      <c r="R33" s="62" t="str">
        <f aca="false">VLOOKUP(Table10[[#This Row],[NAME]],ECR!C:E,3,FALSE())</f>
        <v>RB29</v>
      </c>
      <c r="S33" s="65"/>
      <c r="T33" s="66" t="n">
        <f aca="false">VLOOKUP(M33,Aggregate!P:X,9,FALSE())</f>
        <v>10.0022292745098</v>
      </c>
      <c r="U33" s="68"/>
      <c r="V33" s="62" t="n">
        <f aca="false">IFERROR(VLOOKUP(Table11[[#This Row],[NAME]],Aggregate!$AD:$AO,11,FALSE()),"")</f>
        <v>6</v>
      </c>
      <c r="W33" s="63" t="str">
        <f aca="false">Aggregate!AD31</f>
        <v>Mike Evans</v>
      </c>
      <c r="X33" s="63" t="str">
        <f aca="false">VLOOKUP(Table11[[#This Row],[NAME]],Aggregate!AD:AO,4,FALSE())</f>
        <v>SF/8</v>
      </c>
      <c r="Y33" s="62" t="n">
        <f aca="false">IFERROR(VLOOKUP(Table11[[#This Row],[NAME]],Aggregate!$AD:$AO,8,FALSE()),"")</f>
        <v>129.441602235294</v>
      </c>
      <c r="Z33" s="62" t="n">
        <f aca="false">IF(Scoring!$K$6="Auction",IFERROR(VLOOKUP(Table11[[#This Row],[NAME]],Aggregate!$AD:$AO,10,FALSE()),""),IFERROR(VLOOKUP(Table11[[#This Row],[NAME]],Aggregate!$AD:$AO,9,FALSE()),""))</f>
        <v>3.76372349019606</v>
      </c>
      <c r="AA33" s="64" t="n">
        <f aca="false">SUMIFS(AD34:$AD$84,AC34:$AC$84,"&lt;&gt;x",AC34:$AC$84,"&lt;&gt;o",AD34:$AD$84,"&gt;0")/Aggregate!$AL$1</f>
        <v>0.00534552978175347</v>
      </c>
      <c r="AB33" s="62" t="str">
        <f aca="false">VLOOKUP(Table11[[#This Row],[NAME]],ECR!C:E,3,FALSE())</f>
        <v>WR29</v>
      </c>
      <c r="AC33" s="65"/>
      <c r="AD33" s="66" t="n">
        <f aca="false">VLOOKUP(W33,Aggregate!AD:AL,9,FALSE())</f>
        <v>3.76372349019606</v>
      </c>
      <c r="AF33" s="52"/>
      <c r="AG33" s="52"/>
    </row>
    <row r="34" customFormat="false" ht="14.25" hidden="false" customHeight="true" outlineLevel="0" collapsed="false">
      <c r="B34" s="62" t="n">
        <f aca="false">IFERROR(VLOOKUP(Table9[[#This Row],[NAME]],Aggregate!$B:$M,11,FALSE()),"")</f>
        <v>15</v>
      </c>
      <c r="C34" s="63" t="str">
        <f aca="false">Aggregate!B32</f>
        <v>Fernando Mendoza</v>
      </c>
      <c r="D34" s="63" t="str">
        <f aca="false">VLOOKUP(Table9[[#This Row],[NAME]],Aggregate!B:M,4,FALSE())</f>
        <v>LV/13</v>
      </c>
      <c r="E34" s="62" t="n">
        <f aca="false">IFERROR(VLOOKUP(Table9[[#This Row],[NAME]],Aggregate!$B:$M,8,FALSE()),"")</f>
        <v>155.551435294118</v>
      </c>
      <c r="F34" s="62" t="n">
        <f aca="false">IF(Scoring!$K$6="Auction",IFERROR(VLOOKUP(Table9[[#This Row],[NAME]],Aggregate!$B:$M,10,FALSE()),""),IFERROR(VLOOKUP(Table9[[#This Row],[NAME]],Aggregate!$B:$M,9,FALSE()),""))</f>
        <v>-112.827930494118</v>
      </c>
      <c r="G34" s="64" t="n">
        <f aca="false">SUMIFS(J35:$J$44,I35:$I$44,"&lt;&gt;x",I35:$I$44,"&lt;&gt;o",J35:$J$44,"&gt;0")/Aggregate!$J$1</f>
        <v>0</v>
      </c>
      <c r="H34" s="62" t="str">
        <f aca="false">VLOOKUP(Table9[[#This Row],[NAME]],ECR!C:E,3,FALSE())</f>
        <v>QB30</v>
      </c>
      <c r="I34" s="65"/>
      <c r="J34" s="66" t="n">
        <f aca="false">VLOOKUP(C34,Aggregate!B:J,9,FALSE())</f>
        <v>-112.827930494118</v>
      </c>
      <c r="K34" s="67"/>
      <c r="L34" s="62" t="n">
        <f aca="false">IFERROR(VLOOKUP(Table10[[#This Row],[NAME]],Aggregate!$P:$AA,11,FALSE()),"")</f>
        <v>6</v>
      </c>
      <c r="M34" s="63" t="str">
        <f aca="false">Aggregate!P33</f>
        <v>J.K. Dobbins</v>
      </c>
      <c r="N34" s="63" t="str">
        <f aca="false">VLOOKUP(Table10[[#This Row],[NAME]],Aggregate!P:AA,4,FALSE())</f>
        <v>DEN/10</v>
      </c>
      <c r="O34" s="62" t="n">
        <f aca="false">IFERROR(VLOOKUP(Table10[[#This Row],[NAME]],Aggregate!$P:$AA,8,FALSE()),"")</f>
        <v>134.249274764706</v>
      </c>
      <c r="P34" s="62" t="n">
        <f aca="false">IF(Scoring!$K$6="Auction",IFERROR(VLOOKUP(Table10[[#This Row],[NAME]],Aggregate!$P:$AA,10,FALSE()),""),IFERROR(VLOOKUP(Table10[[#This Row],[NAME]],Aggregate!$P:$AA,9,FALSE()),""))</f>
        <v>6.70353637254902</v>
      </c>
      <c r="Q34" s="64" t="n">
        <f aca="false">SUMIFS(T35:$T$84,S35:$S$84,"&lt;&gt;x",S35:$S$84,"&lt;&gt;o",T35:$T$84,"&gt;0")/Aggregate!$X$1</f>
        <v>0</v>
      </c>
      <c r="R34" s="62" t="str">
        <f aca="false">VLOOKUP(Table10[[#This Row],[NAME]],ECR!C:E,3,FALSE())</f>
        <v>RB31</v>
      </c>
      <c r="S34" s="65"/>
      <c r="T34" s="66" t="n">
        <f aca="false">VLOOKUP(M34,Aggregate!P:X,9,FALSE())</f>
        <v>6.70353637254902</v>
      </c>
      <c r="U34" s="68"/>
      <c r="V34" s="62" t="n">
        <f aca="false">IFERROR(VLOOKUP(Table11[[#This Row],[NAME]],Aggregate!$AD:$AO,11,FALSE()),"")</f>
        <v>6</v>
      </c>
      <c r="W34" s="63" t="str">
        <f aca="false">Aggregate!AD33</f>
        <v>Marvin Harrison Jr.</v>
      </c>
      <c r="X34" s="63" t="str">
        <f aca="false">VLOOKUP(Table11[[#This Row],[NAME]],Aggregate!AD:AO,4,FALSE())</f>
        <v>ARI/14</v>
      </c>
      <c r="Y34" s="62" t="n">
        <f aca="false">IFERROR(VLOOKUP(Table11[[#This Row],[NAME]],Aggregate!$AD:$AO,8,FALSE()),"")</f>
        <v>128.561442607843</v>
      </c>
      <c r="Z34" s="62" t="n">
        <f aca="false">IF(Scoring!$K$6="Auction",IFERROR(VLOOKUP(Table11[[#This Row],[NAME]],Aggregate!$AD:$AO,10,FALSE()),""),IFERROR(VLOOKUP(Table11[[#This Row],[NAME]],Aggregate!$AD:$AO,9,FALSE()),""))</f>
        <v>2.88356386274511</v>
      </c>
      <c r="AA34" s="64" t="n">
        <f aca="false">SUMIFS(AD35:$AD$84,AC35:$AC$84,"&lt;&gt;x",AC35:$AC$84,"&lt;&gt;o",AD35:$AD$84,"&gt;0")/Aggregate!$AL$1</f>
        <v>0.00327702223691322</v>
      </c>
      <c r="AB34" s="62" t="str">
        <f aca="false">VLOOKUP(Table11[[#This Row],[NAME]],ECR!C:E,3,FALSE())</f>
        <v>WR31</v>
      </c>
      <c r="AC34" s="65"/>
      <c r="AD34" s="66" t="n">
        <f aca="false">VLOOKUP(W34,Aggregate!AD:AL,9,FALSE())</f>
        <v>2.88356386274511</v>
      </c>
      <c r="AF34" s="52"/>
      <c r="AG34" s="52"/>
    </row>
    <row r="35" customFormat="false" ht="14.25" hidden="false" customHeight="true" outlineLevel="0" collapsed="false">
      <c r="B35" s="62" t="n">
        <f aca="false">IFERROR(VLOOKUP(Table9[[#This Row],[NAME]],Aggregate!$B:$M,11,FALSE()),"")</f>
        <v>15</v>
      </c>
      <c r="C35" s="63" t="str">
        <f aca="false">Aggregate!B34</f>
        <v>Tua Tagovailoa</v>
      </c>
      <c r="D35" s="63" t="str">
        <f aca="false">VLOOKUP(Table9[[#This Row],[NAME]],Aggregate!B:M,4,FALSE())</f>
        <v>ATL/11</v>
      </c>
      <c r="E35" s="62" t="n">
        <f aca="false">IFERROR(VLOOKUP(Table9[[#This Row],[NAME]],Aggregate!$B:$M,8,FALSE()),"")</f>
        <v>112.933247058824</v>
      </c>
      <c r="F35" s="62" t="n">
        <f aca="false">IF(Scoring!$K$6="Auction",IFERROR(VLOOKUP(Table9[[#This Row],[NAME]],Aggregate!$B:$M,10,FALSE()),""),IFERROR(VLOOKUP(Table9[[#This Row],[NAME]],Aggregate!$B:$M,9,FALSE()),""))</f>
        <v>-155.446118729412</v>
      </c>
      <c r="G35" s="64" t="n">
        <f aca="false">SUMIFS(J36:$J$44,I36:$I$44,"&lt;&gt;x",I36:$I$44,"&lt;&gt;o",J36:$J$44,"&gt;0")/Aggregate!$J$1</f>
        <v>0</v>
      </c>
      <c r="H35" s="62" t="str">
        <f aca="false">VLOOKUP(Table9[[#This Row],[NAME]],ECR!C:E,3,FALSE())</f>
        <v>QB32</v>
      </c>
      <c r="I35" s="65"/>
      <c r="J35" s="66" t="n">
        <f aca="false">VLOOKUP(C35,Aggregate!B:J,9,FALSE())</f>
        <v>-155.446118729412</v>
      </c>
      <c r="K35" s="67"/>
      <c r="L35" s="62" t="n">
        <f aca="false">IFERROR(VLOOKUP(Table10[[#This Row],[NAME]],Aggregate!$P:$AA,11,FALSE()),"")</f>
        <v>6</v>
      </c>
      <c r="M35" s="63" t="str">
        <f aca="false">Aggregate!P32</f>
        <v>Jonathon Brooks</v>
      </c>
      <c r="N35" s="63" t="str">
        <f aca="false">VLOOKUP(Table10[[#This Row],[NAME]],Aggregate!P:AA,4,FALSE())</f>
        <v>CAR/5</v>
      </c>
      <c r="O35" s="62" t="n">
        <f aca="false">IFERROR(VLOOKUP(Table10[[#This Row],[NAME]],Aggregate!$P:$AA,8,FALSE()),"")</f>
        <v>127.545738392157</v>
      </c>
      <c r="P35" s="62" t="n">
        <f aca="false">IF(Scoring!$K$6="Auction",IFERROR(VLOOKUP(Table10[[#This Row],[NAME]],Aggregate!$P:$AA,10,FALSE()),""),IFERROR(VLOOKUP(Table10[[#This Row],[NAME]],Aggregate!$P:$AA,9,FALSE()),""))</f>
        <v>0</v>
      </c>
      <c r="Q35" s="64" t="n">
        <f aca="false">SUMIFS(T36:$T$84,S36:$S$84,"&lt;&gt;x",S36:$S$84,"&lt;&gt;o",T36:$T$84,"&gt;0")/Aggregate!$X$1</f>
        <v>0</v>
      </c>
      <c r="R35" s="62" t="str">
        <f aca="false">VLOOKUP(Table10[[#This Row],[NAME]],ECR!C:E,3,FALSE())</f>
        <v>RB30</v>
      </c>
      <c r="S35" s="65"/>
      <c r="T35" s="66" t="n">
        <f aca="false">VLOOKUP(M35,Aggregate!P:X,9,FALSE())</f>
        <v>0</v>
      </c>
      <c r="U35" s="68"/>
      <c r="V35" s="62" t="n">
        <f aca="false">IFERROR(VLOOKUP(Table11[[#This Row],[NAME]],Aggregate!$AD:$AO,11,FALSE()),"")</f>
        <v>6</v>
      </c>
      <c r="W35" s="63" t="str">
        <f aca="false">Aggregate!AD34</f>
        <v>Carnell Tate</v>
      </c>
      <c r="X35" s="63" t="str">
        <f aca="false">VLOOKUP(Table11[[#This Row],[NAME]],Aggregate!AD:AO,4,FALSE())</f>
        <v>TEN/9</v>
      </c>
      <c r="Y35" s="62" t="n">
        <f aca="false">IFERROR(VLOOKUP(Table11[[#This Row],[NAME]],Aggregate!$AD:$AO,8,FALSE()),"")</f>
        <v>128.030094872941</v>
      </c>
      <c r="Z35" s="62" t="n">
        <f aca="false">IF(Scoring!$K$6="Auction",IFERROR(VLOOKUP(Table11[[#This Row],[NAME]],Aggregate!$AD:$AO,10,FALSE()),""),IFERROR(VLOOKUP(Table11[[#This Row],[NAME]],Aggregate!$AD:$AO,9,FALSE()),""))</f>
        <v>2.35221612784314</v>
      </c>
      <c r="AA35" s="64" t="n">
        <f aca="false">SUMIFS(AD36:$AD$84,AC36:$AC$84,"&lt;&gt;x",AC36:$AC$84,"&lt;&gt;o",AD36:$AD$84,"&gt;0")/Aggregate!$AL$1</f>
        <v>0.00158967385860939</v>
      </c>
      <c r="AB35" s="62" t="str">
        <f aca="false">VLOOKUP(Table11[[#This Row],[NAME]],ECR!C:E,3,FALSE())</f>
        <v>WR32</v>
      </c>
      <c r="AC35" s="65"/>
      <c r="AD35" s="66" t="n">
        <f aca="false">VLOOKUP(W35,Aggregate!AD:AL,9,FALSE())</f>
        <v>2.35221612784314</v>
      </c>
      <c r="AF35" s="52"/>
      <c r="AG35" s="52"/>
    </row>
    <row r="36" customFormat="false" ht="14.25" hidden="false" customHeight="true" outlineLevel="0" collapsed="false">
      <c r="B36" s="62" t="n">
        <f aca="false">IFERROR(VLOOKUP(Table9[[#This Row],[NAME]],Aggregate!$B:$M,11,FALSE()),"")</f>
        <v>15</v>
      </c>
      <c r="C36" s="63" t="str">
        <f aca="false">Aggregate!B33</f>
        <v>Michael Penix Jr.</v>
      </c>
      <c r="D36" s="63" t="str">
        <f aca="false">VLOOKUP(Table9[[#This Row],[NAME]],Aggregate!B:M,4,FALSE())</f>
        <v>ATL/11</v>
      </c>
      <c r="E36" s="62" t="n">
        <f aca="false">IFERROR(VLOOKUP(Table9[[#This Row],[NAME]],Aggregate!$B:$M,8,FALSE()),"")</f>
        <v>91.6195529411765</v>
      </c>
      <c r="F36" s="62" t="n">
        <f aca="false">IF(Scoring!$K$6="Auction",IFERROR(VLOOKUP(Table9[[#This Row],[NAME]],Aggregate!$B:$M,10,FALSE()),""),IFERROR(VLOOKUP(Table9[[#This Row],[NAME]],Aggregate!$B:$M,9,FALSE()),""))</f>
        <v>-176.759812847059</v>
      </c>
      <c r="G36" s="64" t="n">
        <f aca="false">SUMIFS(J37:$J$44,I37:$I$44,"&lt;&gt;x",I37:$I$44,"&lt;&gt;o",J37:$J$44,"&gt;0")/Aggregate!$J$1</f>
        <v>0</v>
      </c>
      <c r="H36" s="62" t="str">
        <f aca="false">VLOOKUP(Table9[[#This Row],[NAME]],ECR!C:E,3,FALSE())</f>
        <v>QB31</v>
      </c>
      <c r="I36" s="65"/>
      <c r="J36" s="66" t="n">
        <f aca="false">VLOOKUP(C36,Aggregate!B:J,9,FALSE())</f>
        <v>-176.759812847059</v>
      </c>
      <c r="K36" s="67"/>
      <c r="L36" s="62" t="n">
        <f aca="false">IFERROR(VLOOKUP(Table10[[#This Row],[NAME]],Aggregate!$P:$AA,11,FALSE()),"")</f>
        <v>6</v>
      </c>
      <c r="M36" s="63" t="str">
        <f aca="false">Aggregate!P36</f>
        <v>Chuba Hubbard</v>
      </c>
      <c r="N36" s="63" t="str">
        <f aca="false">VLOOKUP(Table10[[#This Row],[NAME]],Aggregate!P:AA,4,FALSE())</f>
        <v>CAR/5</v>
      </c>
      <c r="O36" s="62" t="n">
        <f aca="false">IFERROR(VLOOKUP(Table10[[#This Row],[NAME]],Aggregate!$P:$AA,8,FALSE()),"")</f>
        <v>125.452710392157</v>
      </c>
      <c r="P36" s="62" t="n">
        <f aca="false">IF(Scoring!$K$6="Auction",IFERROR(VLOOKUP(Table10[[#This Row],[NAME]],Aggregate!$P:$AA,10,FALSE()),""),IFERROR(VLOOKUP(Table10[[#This Row],[NAME]],Aggregate!$P:$AA,9,FALSE()),""))</f>
        <v>-2.09302800000002</v>
      </c>
      <c r="Q36" s="64" t="n">
        <f aca="false">SUMIFS(T37:$T$84,S37:$S$84,"&lt;&gt;x",S37:$S$84,"&lt;&gt;o",T37:$T$84,"&gt;0")/Aggregate!$X$1</f>
        <v>0</v>
      </c>
      <c r="R36" s="62" t="str">
        <f aca="false">VLOOKUP(Table10[[#This Row],[NAME]],ECR!C:E,3,FALSE())</f>
        <v>RB34</v>
      </c>
      <c r="S36" s="65"/>
      <c r="T36" s="66" t="n">
        <f aca="false">VLOOKUP(M36,Aggregate!P:X,9,FALSE())</f>
        <v>-2.09302800000002</v>
      </c>
      <c r="U36" s="68"/>
      <c r="V36" s="62" t="n">
        <f aca="false">IFERROR(VLOOKUP(Table11[[#This Row],[NAME]],Aggregate!$AD:$AO,11,FALSE()),"")</f>
        <v>6</v>
      </c>
      <c r="W36" s="63" t="str">
        <f aca="false">Aggregate!AD35</f>
        <v>DK Metcalf</v>
      </c>
      <c r="X36" s="63" t="str">
        <f aca="false">VLOOKUP(Table11[[#This Row],[NAME]],Aggregate!AD:AO,4,FALSE())</f>
        <v>PIT/9</v>
      </c>
      <c r="Y36" s="62" t="n">
        <f aca="false">IFERROR(VLOOKUP(Table11[[#This Row],[NAME]],Aggregate!$AD:$AO,8,FALSE()),"")</f>
        <v>127.893933554118</v>
      </c>
      <c r="Z36" s="62" t="n">
        <f aca="false">IF(Scoring!$K$6="Auction",IFERROR(VLOOKUP(Table11[[#This Row],[NAME]],Aggregate!$AD:$AO,10,FALSE()),""),IFERROR(VLOOKUP(Table11[[#This Row],[NAME]],Aggregate!$AD:$AO,9,FALSE()),""))</f>
        <v>2.21605480901962</v>
      </c>
      <c r="AA36" s="64" t="n">
        <f aca="false">SUMIFS(AD37:$AD$84,AC37:$AC$84,"&lt;&gt;x",AC37:$AC$84,"&lt;&gt;o",AD37:$AD$84,"&gt;0")/Aggregate!$AL$1</f>
        <v>0</v>
      </c>
      <c r="AB36" s="62" t="str">
        <f aca="false">VLOOKUP(Table11[[#This Row],[NAME]],ECR!C:E,3,FALSE())</f>
        <v>WR33</v>
      </c>
      <c r="AC36" s="65"/>
      <c r="AD36" s="66" t="n">
        <f aca="false">VLOOKUP(W36,Aggregate!AD:AL,9,FALSE())</f>
        <v>2.21605480901962</v>
      </c>
      <c r="AF36" s="52"/>
      <c r="AG36" s="52"/>
    </row>
    <row r="37" customFormat="false" ht="14.25" hidden="false" customHeight="true" outlineLevel="0" collapsed="false">
      <c r="B37" s="62" t="n">
        <f aca="false">IFERROR(VLOOKUP(Table9[[#This Row],[NAME]],Aggregate!$B:$M,11,FALSE()),"")</f>
        <v>15</v>
      </c>
      <c r="C37" s="63" t="str">
        <f aca="false">Aggregate!B37</f>
        <v>Deshaun Watson</v>
      </c>
      <c r="D37" s="63" t="str">
        <f aca="false">VLOOKUP(Table9[[#This Row],[NAME]],Aggregate!B:M,4,FALSE())</f>
        <v>CLE/11</v>
      </c>
      <c r="E37" s="62" t="n">
        <f aca="false">IFERROR(VLOOKUP(Table9[[#This Row],[NAME]],Aggregate!$B:$M,8,FALSE()),"")</f>
        <v>86.2031882352941</v>
      </c>
      <c r="F37" s="62" t="n">
        <f aca="false">IF(Scoring!$K$6="Auction",IFERROR(VLOOKUP(Table9[[#This Row],[NAME]],Aggregate!$B:$M,10,FALSE()),""),IFERROR(VLOOKUP(Table9[[#This Row],[NAME]],Aggregate!$B:$M,9,FALSE()),""))</f>
        <v>-182.176177552941</v>
      </c>
      <c r="G37" s="64" t="n">
        <f aca="false">SUMIFS(J38:$J$44,I38:$I$44,"&lt;&gt;x",I38:$I$44,"&lt;&gt;o",J38:$J$44,"&gt;0")/Aggregate!$J$1</f>
        <v>0</v>
      </c>
      <c r="H37" s="62" t="str">
        <f aca="false">VLOOKUP(Table9[[#This Row],[NAME]],ECR!C:E,3,FALSE())</f>
        <v>QB35</v>
      </c>
      <c r="I37" s="65"/>
      <c r="J37" s="66" t="n">
        <f aca="false">VLOOKUP(C37,Aggregate!B:J,9,FALSE())</f>
        <v>-182.176177552941</v>
      </c>
      <c r="K37" s="67"/>
      <c r="L37" s="62" t="n">
        <f aca="false">IFERROR(VLOOKUP(Table10[[#This Row],[NAME]],Aggregate!$P:$AA,11,FALSE()),"")</f>
        <v>7</v>
      </c>
      <c r="M37" s="63" t="str">
        <f aca="false">Aggregate!P35</f>
        <v>MarShawn Lloyd</v>
      </c>
      <c r="N37" s="63" t="str">
        <f aca="false">VLOOKUP(Table10[[#This Row],[NAME]],Aggregate!P:AA,4,FALSE())</f>
        <v>GB/11</v>
      </c>
      <c r="O37" s="62" t="n">
        <f aca="false">IFERROR(VLOOKUP(Table10[[#This Row],[NAME]],Aggregate!$P:$AA,8,FALSE()),"")</f>
        <v>123.432810843137</v>
      </c>
      <c r="P37" s="62" t="n">
        <f aca="false">IF(Scoring!$K$6="Auction",IFERROR(VLOOKUP(Table10[[#This Row],[NAME]],Aggregate!$P:$AA,10,FALSE()),""),IFERROR(VLOOKUP(Table10[[#This Row],[NAME]],Aggregate!$P:$AA,9,FALSE()),""))</f>
        <v>-4.11292754901962</v>
      </c>
      <c r="Q37" s="64" t="n">
        <f aca="false">SUMIFS(T38:$T$84,S38:$S$84,"&lt;&gt;x",S38:$S$84,"&lt;&gt;o",T38:$T$84,"&gt;0")/Aggregate!$X$1</f>
        <v>0</v>
      </c>
      <c r="R37" s="62" t="str">
        <f aca="false">VLOOKUP(Table10[[#This Row],[NAME]],ECR!C:E,3,FALSE())</f>
        <v>RB33</v>
      </c>
      <c r="S37" s="65"/>
      <c r="T37" s="66" t="n">
        <f aca="false">VLOOKUP(M37,Aggregate!P:X,9,FALSE())</f>
        <v>-4.11292754901962</v>
      </c>
      <c r="U37" s="68"/>
      <c r="V37" s="62" t="n">
        <f aca="false">IFERROR(VLOOKUP(Table11[[#This Row],[NAME]],Aggregate!$AD:$AO,11,FALSE()),"")</f>
        <v>6</v>
      </c>
      <c r="W37" s="63" t="str">
        <f aca="false">Aggregate!AD38</f>
        <v>Courtland Sutton</v>
      </c>
      <c r="X37" s="63" t="str">
        <f aca="false">VLOOKUP(Table11[[#This Row],[NAME]],Aggregate!AD:AO,4,FALSE())</f>
        <v>DEN/10</v>
      </c>
      <c r="Y37" s="62" t="n">
        <f aca="false">IFERROR(VLOOKUP(Table11[[#This Row],[NAME]],Aggregate!$AD:$AO,8,FALSE()),"")</f>
        <v>125.677878745098</v>
      </c>
      <c r="Z37" s="62" t="n">
        <f aca="false">IF(Scoring!$K$6="Auction",IFERROR(VLOOKUP(Table11[[#This Row],[NAME]],Aggregate!$AD:$AO,10,FALSE()),""),IFERROR(VLOOKUP(Table11[[#This Row],[NAME]],Aggregate!$AD:$AO,9,FALSE()),""))</f>
        <v>0</v>
      </c>
      <c r="AA37" s="64" t="n">
        <f aca="false">SUMIFS(AD38:$AD$84,AC38:$AC$84,"&lt;&gt;x",AC38:$AC$84,"&lt;&gt;o",AD38:$AD$84,"&gt;0")/Aggregate!$AL$1</f>
        <v>0</v>
      </c>
      <c r="AB37" s="62" t="str">
        <f aca="false">VLOOKUP(Table11[[#This Row],[NAME]],ECR!C:E,3,FALSE())</f>
        <v>WR36</v>
      </c>
      <c r="AC37" s="65"/>
      <c r="AD37" s="66" t="n">
        <f aca="false">VLOOKUP(W37,Aggregate!AD:AL,9,FALSE())</f>
        <v>0</v>
      </c>
      <c r="AF37" s="52"/>
      <c r="AG37" s="52"/>
    </row>
    <row r="38" customFormat="false" ht="14.25" hidden="false" customHeight="true" outlineLevel="0" collapsed="false">
      <c r="B38" s="62" t="n">
        <f aca="false">IFERROR(VLOOKUP(Table9[[#This Row],[NAME]],Aggregate!$B:$M,11,FALSE()),"")</f>
        <v>15</v>
      </c>
      <c r="C38" s="63" t="str">
        <f aca="false">Aggregate!B36</f>
        <v>Shedeur Sanders</v>
      </c>
      <c r="D38" s="63" t="str">
        <f aca="false">VLOOKUP(Table9[[#This Row],[NAME]],Aggregate!B:M,4,FALSE())</f>
        <v>CLE/11</v>
      </c>
      <c r="E38" s="62" t="n">
        <f aca="false">IFERROR(VLOOKUP(Table9[[#This Row],[NAME]],Aggregate!$B:$M,8,FALSE()),"")</f>
        <v>81.5856</v>
      </c>
      <c r="F38" s="62" t="n">
        <f aca="false">IF(Scoring!$K$6="Auction",IFERROR(VLOOKUP(Table9[[#This Row],[NAME]],Aggregate!$B:$M,10,FALSE()),""),IFERROR(VLOOKUP(Table9[[#This Row],[NAME]],Aggregate!$B:$M,9,FALSE()),""))</f>
        <v>-186.793765788235</v>
      </c>
      <c r="G38" s="64" t="n">
        <f aca="false">SUMIFS(J39:$J$44,I39:$I$44,"&lt;&gt;x",I39:$I$44,"&lt;&gt;o",J39:$J$44,"&gt;0")/Aggregate!$J$1</f>
        <v>0</v>
      </c>
      <c r="H38" s="62" t="str">
        <f aca="false">VLOOKUP(Table9[[#This Row],[NAME]],ECR!C:E,3,FALSE())</f>
        <v>QB34</v>
      </c>
      <c r="I38" s="65"/>
      <c r="J38" s="66" t="n">
        <f aca="false">VLOOKUP(C38,Aggregate!B:J,9,FALSE())</f>
        <v>-186.793765788235</v>
      </c>
      <c r="K38" s="67"/>
      <c r="L38" s="62" t="n">
        <f aca="false">IFERROR(VLOOKUP(Table10[[#This Row],[NAME]],Aggregate!$P:$AA,11,FALSE()),"")</f>
        <v>7</v>
      </c>
      <c r="M38" s="63" t="str">
        <f aca="false">Aggregate!P40</f>
        <v>Kenny Gainwell</v>
      </c>
      <c r="N38" s="63" t="str">
        <f aca="false">VLOOKUP(Table10[[#This Row],[NAME]],Aggregate!P:AA,4,FALSE())</f>
        <v>TB/10</v>
      </c>
      <c r="O38" s="62" t="n">
        <f aca="false">IFERROR(VLOOKUP(Table10[[#This Row],[NAME]],Aggregate!$P:$AA,8,FALSE()),"")</f>
        <v>116.602664392157</v>
      </c>
      <c r="P38" s="62" t="n">
        <f aca="false">IF(Scoring!$K$6="Auction",IFERROR(VLOOKUP(Table10[[#This Row],[NAME]],Aggregate!$P:$AA,10,FALSE()),""),IFERROR(VLOOKUP(Table10[[#This Row],[NAME]],Aggregate!$P:$AA,9,FALSE()),""))</f>
        <v>-10.943074</v>
      </c>
      <c r="Q38" s="64" t="n">
        <f aca="false">SUMIFS(T39:$T$84,S39:$S$84,"&lt;&gt;x",S39:$S$84,"&lt;&gt;o",T39:$T$84,"&gt;0")/Aggregate!$X$1</f>
        <v>0</v>
      </c>
      <c r="R38" s="62" t="str">
        <f aca="false">VLOOKUP(Table10[[#This Row],[NAME]],ECR!C:E,3,FALSE())</f>
        <v>RB38</v>
      </c>
      <c r="S38" s="65"/>
      <c r="T38" s="66" t="n">
        <f aca="false">VLOOKUP(M38,Aggregate!P:X,9,FALSE())</f>
        <v>-10.943074</v>
      </c>
      <c r="U38" s="68"/>
      <c r="V38" s="62" t="n">
        <f aca="false">IFERROR(VLOOKUP(Table11[[#This Row],[NAME]],Aggregate!$AD:$AO,11,FALSE()),"")</f>
        <v>6</v>
      </c>
      <c r="W38" s="63" t="str">
        <f aca="false">Aggregate!AD32</f>
        <v>Parker Washington</v>
      </c>
      <c r="X38" s="63" t="str">
        <f aca="false">VLOOKUP(Table11[[#This Row],[NAME]],Aggregate!AD:AO,4,FALSE())</f>
        <v>JAC/7</v>
      </c>
      <c r="Y38" s="62" t="n">
        <f aca="false">IFERROR(VLOOKUP(Table11[[#This Row],[NAME]],Aggregate!$AD:$AO,8,FALSE()),"")</f>
        <v>124.736514764706</v>
      </c>
      <c r="Z38" s="62" t="n">
        <f aca="false">IF(Scoring!$K$6="Auction",IFERROR(VLOOKUP(Table11[[#This Row],[NAME]],Aggregate!$AD:$AO,10,FALSE()),""),IFERROR(VLOOKUP(Table11[[#This Row],[NAME]],Aggregate!$AD:$AO,9,FALSE()),""))</f>
        <v>-0.94136398039214</v>
      </c>
      <c r="AA38" s="64" t="n">
        <f aca="false">SUMIFS(AD39:$AD$84,AC39:$AC$84,"&lt;&gt;x",AC39:$AC$84,"&lt;&gt;o",AD39:$AD$84,"&gt;0")/Aggregate!$AL$1</f>
        <v>0</v>
      </c>
      <c r="AB38" s="62" t="str">
        <f aca="false">VLOOKUP(Table11[[#This Row],[NAME]],ECR!C:E,3,FALSE())</f>
        <v>WR30</v>
      </c>
      <c r="AC38" s="65"/>
      <c r="AD38" s="66" t="n">
        <f aca="false">VLOOKUP(W38,Aggregate!AD:AL,9,FALSE())</f>
        <v>-0.94136398039214</v>
      </c>
      <c r="AF38" s="52"/>
      <c r="AG38" s="52"/>
    </row>
    <row r="39" customFormat="false" ht="14.25" hidden="false" customHeight="true" outlineLevel="0" collapsed="false">
      <c r="B39" s="62" t="n">
        <f aca="false">IFERROR(VLOOKUP(Table9[[#This Row],[NAME]],Aggregate!$B:$M,11,FALSE()),"")</f>
        <v>15</v>
      </c>
      <c r="C39" s="63" t="str">
        <f aca="false">Aggregate!B35</f>
        <v>Kirk Cousins</v>
      </c>
      <c r="D39" s="63" t="str">
        <f aca="false">VLOOKUP(Table9[[#This Row],[NAME]],Aggregate!B:M,4,FALSE())</f>
        <v>LV/13</v>
      </c>
      <c r="E39" s="62" t="n">
        <f aca="false">IFERROR(VLOOKUP(Table9[[#This Row],[NAME]],Aggregate!$B:$M,8,FALSE()),"")</f>
        <v>54.0294352941177</v>
      </c>
      <c r="F39" s="62" t="n">
        <f aca="false">IF(Scoring!$K$6="Auction",IFERROR(VLOOKUP(Table9[[#This Row],[NAME]],Aggregate!$B:$M,10,FALSE()),""),IFERROR(VLOOKUP(Table9[[#This Row],[NAME]],Aggregate!$B:$M,9,FALSE()),""))</f>
        <v>-214.349930494118</v>
      </c>
      <c r="G39" s="64" t="n">
        <f aca="false">SUMIFS(J40:$J$44,I40:$I$44,"&lt;&gt;x",I40:$I$44,"&lt;&gt;o",J40:$J$44,"&gt;0")/Aggregate!$J$1</f>
        <v>0</v>
      </c>
      <c r="H39" s="62" t="str">
        <f aca="false">VLOOKUP(Table9[[#This Row],[NAME]],ECR!C:E,3,FALSE())</f>
        <v>QB33</v>
      </c>
      <c r="I39" s="65"/>
      <c r="J39" s="66" t="n">
        <f aca="false">VLOOKUP(C39,Aggregate!B:J,9,FALSE())</f>
        <v>-214.349930494118</v>
      </c>
      <c r="K39" s="67"/>
      <c r="L39" s="62" t="n">
        <f aca="false">IFERROR(VLOOKUP(Table10[[#This Row],[NAME]],Aggregate!$P:$AA,11,FALSE()),"")</f>
        <v>7</v>
      </c>
      <c r="M39" s="63" t="str">
        <f aca="false">Aggregate!P37</f>
        <v>RJ Harvey</v>
      </c>
      <c r="N39" s="63" t="str">
        <f aca="false">VLOOKUP(Table10[[#This Row],[NAME]],Aggregate!P:AA,4,FALSE())</f>
        <v>DEN/10</v>
      </c>
      <c r="O39" s="62" t="n">
        <f aca="false">IFERROR(VLOOKUP(Table10[[#This Row],[NAME]],Aggregate!$P:$AA,8,FALSE()),"")</f>
        <v>115.745262588235</v>
      </c>
      <c r="P39" s="62" t="n">
        <f aca="false">IF(Scoring!$K$6="Auction",IFERROR(VLOOKUP(Table10[[#This Row],[NAME]],Aggregate!$P:$AA,10,FALSE()),""),IFERROR(VLOOKUP(Table10[[#This Row],[NAME]],Aggregate!$P:$AA,9,FALSE()),""))</f>
        <v>-11.8004758039216</v>
      </c>
      <c r="Q39" s="64" t="n">
        <f aca="false">SUMIFS(T40:$T$84,S40:$S$84,"&lt;&gt;x",S40:$S$84,"&lt;&gt;o",T40:$T$84,"&gt;0")/Aggregate!$X$1</f>
        <v>0</v>
      </c>
      <c r="R39" s="62" t="str">
        <f aca="false">VLOOKUP(Table10[[#This Row],[NAME]],ECR!C:E,3,FALSE())</f>
        <v>RB35</v>
      </c>
      <c r="S39" s="65"/>
      <c r="T39" s="66" t="n">
        <f aca="false">VLOOKUP(M39,Aggregate!P:X,9,FALSE())</f>
        <v>-11.8004758039216</v>
      </c>
      <c r="U39" s="68"/>
      <c r="V39" s="62" t="n">
        <f aca="false">IFERROR(VLOOKUP(Table11[[#This Row],[NAME]],Aggregate!$AD:$AO,11,FALSE()),"")</f>
        <v>6</v>
      </c>
      <c r="W39" s="63" t="str">
        <f aca="false">Aggregate!AD42</f>
        <v>Alec Pierce</v>
      </c>
      <c r="X39" s="63" t="str">
        <f aca="false">VLOOKUP(Table11[[#This Row],[NAME]],Aggregate!AD:AO,4,FALSE())</f>
        <v>IND/13</v>
      </c>
      <c r="Y39" s="62" t="n">
        <f aca="false">IFERROR(VLOOKUP(Table11[[#This Row],[NAME]],Aggregate!$AD:$AO,8,FALSE()),"")</f>
        <v>123.232672226359</v>
      </c>
      <c r="Z39" s="62" t="n">
        <f aca="false">IF(Scoring!$K$6="Auction",IFERROR(VLOOKUP(Table11[[#This Row],[NAME]],Aggregate!$AD:$AO,10,FALSE()),""),IFERROR(VLOOKUP(Table11[[#This Row],[NAME]],Aggregate!$AD:$AO,9,FALSE()),""))</f>
        <v>-2.44520651873914</v>
      </c>
      <c r="AA39" s="64" t="n">
        <f aca="false">SUMIFS(AD40:$AD$84,AC40:$AC$84,"&lt;&gt;x",AC40:$AC$84,"&lt;&gt;o",AD40:$AD$84,"&gt;0")/Aggregate!$AL$1</f>
        <v>0</v>
      </c>
      <c r="AB39" s="62" t="str">
        <f aca="false">VLOOKUP(Table11[[#This Row],[NAME]],ECR!C:E,3,FALSE())</f>
        <v>WR40</v>
      </c>
      <c r="AC39" s="65"/>
      <c r="AD39" s="66" t="n">
        <f aca="false">VLOOKUP(W39,Aggregate!AD:AL,9,FALSE())</f>
        <v>-2.44520651873914</v>
      </c>
      <c r="AF39" s="52"/>
      <c r="AG39" s="52"/>
    </row>
    <row r="40" customFormat="false" ht="15" hidden="false" customHeight="true" outlineLevel="0" collapsed="false">
      <c r="B40" s="62" t="n">
        <f aca="false">IFERROR(VLOOKUP(Table9[[#This Row],[NAME]],Aggregate!$B:$M,11,FALSE()),"")</f>
        <v>15</v>
      </c>
      <c r="C40" s="63" t="str">
        <f aca="false">Aggregate!B38</f>
        <v>Carson Beck</v>
      </c>
      <c r="D40" s="63" t="str">
        <f aca="false">VLOOKUP(Table9[[#This Row],[NAME]],Aggregate!B:M,4,FALSE())</f>
        <v>ARI/14</v>
      </c>
      <c r="E40" s="62" t="n">
        <f aca="false">IFERROR(VLOOKUP(Table9[[#This Row],[NAME]],Aggregate!$B:$M,8,FALSE()),"")</f>
        <v>24.1732705882353</v>
      </c>
      <c r="F40" s="62" t="n">
        <f aca="false">IF(Scoring!$K$6="Auction",IFERROR(VLOOKUP(Table9[[#This Row],[NAME]],Aggregate!$B:$M,10,FALSE()),""),IFERROR(VLOOKUP(Table9[[#This Row],[NAME]],Aggregate!$B:$M,9,FALSE()),""))</f>
        <v>-244.2060952</v>
      </c>
      <c r="G40" s="64" t="n">
        <f aca="false">SUMIFS(J41:$J$44,I41:$I$44,"&lt;&gt;x",I41:$I$44,"&lt;&gt;o",J41:$J$44,"&gt;0")/Aggregate!$J$1</f>
        <v>0</v>
      </c>
      <c r="H40" s="62" t="str">
        <f aca="false">VLOOKUP(Table9[[#This Row],[NAME]],ECR!C:E,3,FALSE())</f>
        <v>QB36</v>
      </c>
      <c r="I40" s="65"/>
      <c r="J40" s="66" t="n">
        <f aca="false">VLOOKUP(C40,Aggregate!B:J,9,FALSE())</f>
        <v>-244.2060952</v>
      </c>
      <c r="K40" s="67"/>
      <c r="L40" s="62" t="n">
        <f aca="false">IFERROR(VLOOKUP(Table10[[#This Row],[NAME]],Aggregate!$P:$AA,11,FALSE()),"")</f>
        <v>7</v>
      </c>
      <c r="M40" s="63" t="str">
        <f aca="false">Aggregate!P41</f>
        <v>Kyle Monangai</v>
      </c>
      <c r="N40" s="63" t="str">
        <f aca="false">VLOOKUP(Table10[[#This Row],[NAME]],Aggregate!P:AA,4,FALSE())</f>
        <v>CHI/10</v>
      </c>
      <c r="O40" s="62" t="n">
        <f aca="false">IFERROR(VLOOKUP(Table10[[#This Row],[NAME]],Aggregate!$P:$AA,8,FALSE()),"")</f>
        <v>115.192758196078</v>
      </c>
      <c r="P40" s="62" t="n">
        <f aca="false">IF(Scoring!$K$6="Auction",IFERROR(VLOOKUP(Table10[[#This Row],[NAME]],Aggregate!$P:$AA,10,FALSE()),""),IFERROR(VLOOKUP(Table10[[#This Row],[NAME]],Aggregate!$P:$AA,9,FALSE()),""))</f>
        <v>-12.3529801960784</v>
      </c>
      <c r="Q40" s="64" t="n">
        <f aca="false">SUMIFS(T41:$T$84,S41:$S$84,"&lt;&gt;x",S41:$S$84,"&lt;&gt;o",T41:$T$84,"&gt;0")/Aggregate!$X$1</f>
        <v>0</v>
      </c>
      <c r="R40" s="62" t="str">
        <f aca="false">VLOOKUP(Table10[[#This Row],[NAME]],ECR!C:E,3,FALSE())</f>
        <v>RB39</v>
      </c>
      <c r="S40" s="65"/>
      <c r="T40" s="66" t="n">
        <f aca="false">VLOOKUP(M40,Aggregate!P:X,9,FALSE())</f>
        <v>-12.3529801960784</v>
      </c>
      <c r="U40" s="68"/>
      <c r="V40" s="62" t="n">
        <f aca="false">IFERROR(VLOOKUP(Table11[[#This Row],[NAME]],Aggregate!$AD:$AO,11,FALSE()),"")</f>
        <v>6</v>
      </c>
      <c r="W40" s="63" t="str">
        <f aca="false">Aggregate!AD36</f>
        <v>Brian Thomas Jr.</v>
      </c>
      <c r="X40" s="63" t="str">
        <f aca="false">VLOOKUP(Table11[[#This Row],[NAME]],Aggregate!AD:AO,4,FALSE())</f>
        <v>JAC/7</v>
      </c>
      <c r="Y40" s="62" t="n">
        <f aca="false">IFERROR(VLOOKUP(Table11[[#This Row],[NAME]],Aggregate!$AD:$AO,8,FALSE()),"")</f>
        <v>122.055403860015</v>
      </c>
      <c r="Z40" s="62" t="n">
        <f aca="false">IF(Scoring!$K$6="Auction",IFERROR(VLOOKUP(Table11[[#This Row],[NAME]],Aggregate!$AD:$AO,10,FALSE()),""),IFERROR(VLOOKUP(Table11[[#This Row],[NAME]],Aggregate!$AD:$AO,9,FALSE()),""))</f>
        <v>-3.62247488508314</v>
      </c>
      <c r="AA40" s="64" t="n">
        <f aca="false">SUMIFS(AD41:$AD$84,AC41:$AC$84,"&lt;&gt;x",AC41:$AC$84,"&lt;&gt;o",AD41:$AD$84,"&gt;0")/Aggregate!$AL$1</f>
        <v>0</v>
      </c>
      <c r="AB40" s="62" t="str">
        <f aca="false">VLOOKUP(Table11[[#This Row],[NAME]],ECR!C:E,3,FALSE())</f>
        <v>WR34</v>
      </c>
      <c r="AC40" s="65"/>
      <c r="AD40" s="66" t="n">
        <f aca="false">VLOOKUP(W40,Aggregate!AD:AL,9,FALSE())</f>
        <v>-3.62247488508314</v>
      </c>
      <c r="AF40" s="52"/>
      <c r="AG40" s="52"/>
    </row>
    <row r="41" customFormat="false" ht="15" hidden="false" customHeight="true" outlineLevel="0" collapsed="false">
      <c r="B41" s="62" t="n">
        <f aca="false">IFERROR(VLOOKUP(Table9[[#This Row],[NAME]],Aggregate!$B:$M,11,FALSE()),"")</f>
        <v>15</v>
      </c>
      <c r="C41" s="63" t="str">
        <f aca="false">Aggregate!B42</f>
        <v>Ty Simpson</v>
      </c>
      <c r="D41" s="63" t="str">
        <f aca="false">VLOOKUP(Table9[[#This Row],[NAME]],Aggregate!B:M,4,FALSE())</f>
        <v>LAR/11</v>
      </c>
      <c r="E41" s="62" t="n">
        <f aca="false">IFERROR(VLOOKUP(Table9[[#This Row],[NAME]],Aggregate!$B:$M,8,FALSE()),"")</f>
        <v>14.6988941176471</v>
      </c>
      <c r="F41" s="62" t="n">
        <f aca="false">IF(Scoring!$K$6="Auction",IFERROR(VLOOKUP(Table9[[#This Row],[NAME]],Aggregate!$B:$M,10,FALSE()),""),IFERROR(VLOOKUP(Table9[[#This Row],[NAME]],Aggregate!$B:$M,9,FALSE()),""))</f>
        <v>-253.680471670588</v>
      </c>
      <c r="G41" s="64" t="n">
        <f aca="false">SUMIFS(J42:$J$44,I42:$I$44,"&lt;&gt;x",I42:$I$44,"&lt;&gt;o",J42:$J$44,"&gt;0")/Aggregate!$J$1</f>
        <v>0</v>
      </c>
      <c r="H41" s="62" t="str">
        <f aca="false">VLOOKUP(Table9[[#This Row],[NAME]],ECR!C:E,3,FALSE())</f>
        <v>QB40</v>
      </c>
      <c r="I41" s="65"/>
      <c r="J41" s="66" t="n">
        <f aca="false">VLOOKUP(C41,Aggregate!B:J,9,FALSE())</f>
        <v>-253.680471670588</v>
      </c>
      <c r="K41" s="67"/>
      <c r="L41" s="62" t="n">
        <f aca="false">IFERROR(VLOOKUP(Table10[[#This Row],[NAME]],Aggregate!$P:$AA,11,FALSE()),"")</f>
        <v>7</v>
      </c>
      <c r="M41" s="63" t="str">
        <f aca="false">Aggregate!P34</f>
        <v>Blake Corum</v>
      </c>
      <c r="N41" s="63" t="str">
        <f aca="false">VLOOKUP(Table10[[#This Row],[NAME]],Aggregate!P:AA,4,FALSE())</f>
        <v>LAR/11</v>
      </c>
      <c r="O41" s="62" t="n">
        <f aca="false">IFERROR(VLOOKUP(Table10[[#This Row],[NAME]],Aggregate!$P:$AA,8,FALSE()),"")</f>
        <v>114.92305454902</v>
      </c>
      <c r="P41" s="62" t="n">
        <f aca="false">IF(Scoring!$K$6="Auction",IFERROR(VLOOKUP(Table10[[#This Row],[NAME]],Aggregate!$P:$AA,10,FALSE()),""),IFERROR(VLOOKUP(Table10[[#This Row],[NAME]],Aggregate!$P:$AA,9,FALSE()),""))</f>
        <v>-12.6226838431373</v>
      </c>
      <c r="Q41" s="64" t="n">
        <f aca="false">SUMIFS(T42:$T$84,S42:$S$84,"&lt;&gt;x",S42:$S$84,"&lt;&gt;o",T42:$T$84,"&gt;0")/Aggregate!$X$1</f>
        <v>0</v>
      </c>
      <c r="R41" s="62" t="str">
        <f aca="false">VLOOKUP(Table10[[#This Row],[NAME]],ECR!C:E,3,FALSE())</f>
        <v>RB32</v>
      </c>
      <c r="S41" s="65"/>
      <c r="T41" s="66" t="n">
        <f aca="false">VLOOKUP(M41,Aggregate!P:X,9,FALSE())</f>
        <v>-12.6226838431373</v>
      </c>
      <c r="U41" s="68"/>
      <c r="V41" s="62" t="n">
        <f aca="false">IFERROR(VLOOKUP(Table11[[#This Row],[NAME]],Aggregate!$AD:$AO,11,FALSE()),"")</f>
        <v>6</v>
      </c>
      <c r="W41" s="63" t="str">
        <f aca="false">Aggregate!AD51</f>
        <v>De'Zhaun Stribling</v>
      </c>
      <c r="X41" s="63" t="str">
        <f aca="false">VLOOKUP(Table11[[#This Row],[NAME]],Aggregate!AD:AO,4,FALSE())</f>
        <v>SF/8</v>
      </c>
      <c r="Y41" s="62" t="n">
        <f aca="false">IFERROR(VLOOKUP(Table11[[#This Row],[NAME]],Aggregate!$AD:$AO,8,FALSE()),"")</f>
        <v>116.818465425664</v>
      </c>
      <c r="Z41" s="62" t="n">
        <f aca="false">IF(Scoring!$K$6="Auction",IFERROR(VLOOKUP(Table11[[#This Row],[NAME]],Aggregate!$AD:$AO,10,FALSE()),""),IFERROR(VLOOKUP(Table11[[#This Row],[NAME]],Aggregate!$AD:$AO,9,FALSE()),""))</f>
        <v>-8.85941331943405</v>
      </c>
      <c r="AA41" s="64" t="n">
        <f aca="false">SUMIFS(AD42:$AD$84,AC42:$AC$84,"&lt;&gt;x",AC42:$AC$84,"&lt;&gt;o",AD42:$AD$84,"&gt;0")/Aggregate!$AL$1</f>
        <v>0</v>
      </c>
      <c r="AB41" s="62" t="str">
        <f aca="false">VLOOKUP(Table11[[#This Row],[NAME]],ECR!C:E,3,FALSE())</f>
        <v>WR49</v>
      </c>
      <c r="AC41" s="65"/>
      <c r="AD41" s="66" t="n">
        <f aca="false">VLOOKUP(W41,Aggregate!AD:AL,9,FALSE())</f>
        <v>-8.85941331943405</v>
      </c>
      <c r="AF41" s="52"/>
      <c r="AG41" s="52"/>
    </row>
    <row r="42" customFormat="false" ht="14.25" hidden="false" customHeight="true" outlineLevel="0" collapsed="false">
      <c r="B42" s="62" t="n">
        <f aca="false">IFERROR(VLOOKUP(Table9[[#This Row],[NAME]],Aggregate!$B:$M,11,FALSE()),"")</f>
        <v>15</v>
      </c>
      <c r="C42" s="63" t="str">
        <f aca="false">Aggregate!B40</f>
        <v>J.J. McCarthy</v>
      </c>
      <c r="D42" s="63" t="str">
        <f aca="false">VLOOKUP(Table9[[#This Row],[NAME]],Aggregate!B:M,4,FALSE())</f>
        <v>MIN/6</v>
      </c>
      <c r="E42" s="62" t="n">
        <f aca="false">IFERROR(VLOOKUP(Table9[[#This Row],[NAME]],Aggregate!$B:$M,8,FALSE()),"")</f>
        <v>11.6599176470588</v>
      </c>
      <c r="F42" s="62" t="n">
        <f aca="false">IF(Scoring!$K$6="Auction",IFERROR(VLOOKUP(Table9[[#This Row],[NAME]],Aggregate!$B:$M,10,FALSE()),""),IFERROR(VLOOKUP(Table9[[#This Row],[NAME]],Aggregate!$B:$M,9,FALSE()),""))</f>
        <v>-256.719448141176</v>
      </c>
      <c r="G42" s="64" t="n">
        <f aca="false">SUMIFS(J43:$J$44,I43:$I$44,"&lt;&gt;x",I43:$I$44,"&lt;&gt;o",J43:$J$44,"&gt;0")/Aggregate!$J$1</f>
        <v>0</v>
      </c>
      <c r="H42" s="62" t="str">
        <f aca="false">VLOOKUP(Table9[[#This Row],[NAME]],ECR!C:E,3,FALSE())</f>
        <v>QB38</v>
      </c>
      <c r="I42" s="65"/>
      <c r="J42" s="66" t="n">
        <f aca="false">VLOOKUP(C42,Aggregate!B:J,9,FALSE())</f>
        <v>-256.719448141176</v>
      </c>
      <c r="K42" s="67"/>
      <c r="L42" s="62" t="n">
        <f aca="false">IFERROR(VLOOKUP(Table10[[#This Row],[NAME]],Aggregate!$P:$AA,11,FALSE()),"")</f>
        <v>7</v>
      </c>
      <c r="M42" s="63" t="str">
        <f aca="false">Aggregate!P39</f>
        <v>Jacory Croskey-Merritt</v>
      </c>
      <c r="N42" s="63" t="str">
        <f aca="false">VLOOKUP(Table10[[#This Row],[NAME]],Aggregate!P:AA,4,FALSE())</f>
        <v>WAS/7</v>
      </c>
      <c r="O42" s="62" t="n">
        <f aca="false">IFERROR(VLOOKUP(Table10[[#This Row],[NAME]],Aggregate!$P:$AA,8,FALSE()),"")</f>
        <v>114.154477941176</v>
      </c>
      <c r="P42" s="62" t="n">
        <f aca="false">IF(Scoring!$K$6="Auction",IFERROR(VLOOKUP(Table10[[#This Row],[NAME]],Aggregate!$P:$AA,10,FALSE()),""),IFERROR(VLOOKUP(Table10[[#This Row],[NAME]],Aggregate!$P:$AA,9,FALSE()),""))</f>
        <v>-13.3912604509804</v>
      </c>
      <c r="Q42" s="64" t="n">
        <f aca="false">SUMIFS(T43:$T$84,S43:$S$84,"&lt;&gt;x",S43:$S$84,"&lt;&gt;o",T43:$T$84,"&gt;0")/Aggregate!$X$1</f>
        <v>0</v>
      </c>
      <c r="R42" s="62" t="str">
        <f aca="false">VLOOKUP(Table10[[#This Row],[NAME]],ECR!C:E,3,FALSE())</f>
        <v>RB37</v>
      </c>
      <c r="S42" s="65"/>
      <c r="T42" s="66" t="n">
        <f aca="false">VLOOKUP(M42,Aggregate!P:X,9,FALSE())</f>
        <v>-13.3912604509804</v>
      </c>
      <c r="U42" s="68"/>
      <c r="V42" s="62" t="n">
        <f aca="false">IFERROR(VLOOKUP(Table11[[#This Row],[NAME]],Aggregate!$AD:$AO,11,FALSE()),"")</f>
        <v>6</v>
      </c>
      <c r="W42" s="63" t="str">
        <f aca="false">Aggregate!AD40</f>
        <v>Michael Pittman Jr.</v>
      </c>
      <c r="X42" s="63" t="str">
        <f aca="false">VLOOKUP(Table11[[#This Row],[NAME]],Aggregate!AD:AO,4,FALSE())</f>
        <v>PIT/9</v>
      </c>
      <c r="Y42" s="62" t="n">
        <f aca="false">IFERROR(VLOOKUP(Table11[[#This Row],[NAME]],Aggregate!$AD:$AO,8,FALSE()),"")</f>
        <v>116.275678828493</v>
      </c>
      <c r="Z42" s="62" t="n">
        <f aca="false">IF(Scoring!$K$6="Auction",IFERROR(VLOOKUP(Table11[[#This Row],[NAME]],Aggregate!$AD:$AO,10,FALSE()),""),IFERROR(VLOOKUP(Table11[[#This Row],[NAME]],Aggregate!$AD:$AO,9,FALSE()),""))</f>
        <v>-9.4021999166046</v>
      </c>
      <c r="AA42" s="64" t="n">
        <f aca="false">SUMIFS(AD43:$AD$84,AC43:$AC$84,"&lt;&gt;x",AC43:$AC$84,"&lt;&gt;o",AD43:$AD$84,"&gt;0")/Aggregate!$AL$1</f>
        <v>0</v>
      </c>
      <c r="AB42" s="62" t="str">
        <f aca="false">VLOOKUP(Table11[[#This Row],[NAME]],ECR!C:E,3,FALSE())</f>
        <v>WR38</v>
      </c>
      <c r="AC42" s="65"/>
      <c r="AD42" s="66" t="n">
        <f aca="false">VLOOKUP(W42,Aggregate!AD:AL,9,FALSE())</f>
        <v>-9.4021999166046</v>
      </c>
      <c r="AF42" s="52"/>
      <c r="AG42" s="52"/>
    </row>
    <row r="43" customFormat="false" ht="15" hidden="false" customHeight="true" outlineLevel="0" collapsed="false">
      <c r="B43" s="62" t="n">
        <f aca="false">IFERROR(VLOOKUP(Table9[[#This Row],[NAME]],Aggregate!$B:$M,11,FALSE()),"")</f>
        <v>15</v>
      </c>
      <c r="C43" s="63" t="str">
        <f aca="false">Aggregate!B39</f>
        <v>Mac Jones</v>
      </c>
      <c r="D43" s="63" t="str">
        <f aca="false">VLOOKUP(Table9[[#This Row],[NAME]],Aggregate!B:M,4,FALSE())</f>
        <v>SF/8</v>
      </c>
      <c r="E43" s="62" t="n">
        <f aca="false">IFERROR(VLOOKUP(Table9[[#This Row],[NAME]],Aggregate!$B:$M,8,FALSE()),"")</f>
        <v>10.7780705882353</v>
      </c>
      <c r="F43" s="62" t="n">
        <f aca="false">IF(Scoring!$K$6="Auction",IFERROR(VLOOKUP(Table9[[#This Row],[NAME]],Aggregate!$B:$M,10,FALSE()),""),IFERROR(VLOOKUP(Table9[[#This Row],[NAME]],Aggregate!$B:$M,9,FALSE()),""))</f>
        <v>-257.6012952</v>
      </c>
      <c r="G43" s="64" t="n">
        <f aca="false">SUMIFS(J44:$J$44,I44:$I$44,"&lt;&gt;x",I44:$I$44,"&lt;&gt;o",J44:$J$44,"&gt;0")/Aggregate!$J$1</f>
        <v>0</v>
      </c>
      <c r="H43" s="62" t="str">
        <f aca="false">VLOOKUP(Table9[[#This Row],[NAME]],ECR!C:E,3,FALSE())</f>
        <v>QB37</v>
      </c>
      <c r="I43" s="65"/>
      <c r="J43" s="66" t="n">
        <f aca="false">VLOOKUP(C43,Aggregate!B:J,9,FALSE())</f>
        <v>-257.6012952</v>
      </c>
      <c r="K43" s="67"/>
      <c r="L43" s="62" t="n">
        <f aca="false">IFERROR(VLOOKUP(Table10[[#This Row],[NAME]],Aggregate!$P:$AA,11,FALSE()),"")</f>
        <v>7</v>
      </c>
      <c r="M43" s="63" t="str">
        <f aca="false">Aggregate!P42</f>
        <v>Rachaad White</v>
      </c>
      <c r="N43" s="63" t="str">
        <f aca="false">VLOOKUP(Table10[[#This Row],[NAME]],Aggregate!P:AA,4,FALSE())</f>
        <v>WAS/7</v>
      </c>
      <c r="O43" s="62" t="n">
        <f aca="false">IFERROR(VLOOKUP(Table10[[#This Row],[NAME]],Aggregate!$P:$AA,8,FALSE()),"")</f>
        <v>114.057597568627</v>
      </c>
      <c r="P43" s="62" t="n">
        <f aca="false">IF(Scoring!$K$6="Auction",IFERROR(VLOOKUP(Table10[[#This Row],[NAME]],Aggregate!$P:$AA,10,FALSE()),""),IFERROR(VLOOKUP(Table10[[#This Row],[NAME]],Aggregate!$P:$AA,9,FALSE()),""))</f>
        <v>-13.4881408235294</v>
      </c>
      <c r="Q43" s="64" t="n">
        <f aca="false">SUMIFS(T44:$T$84,S44:$S$84,"&lt;&gt;x",S44:$S$84,"&lt;&gt;o",T44:$T$84,"&gt;0")/Aggregate!$X$1</f>
        <v>0</v>
      </c>
      <c r="R43" s="62" t="str">
        <f aca="false">VLOOKUP(Table10[[#This Row],[NAME]],ECR!C:E,3,FALSE())</f>
        <v>RB40</v>
      </c>
      <c r="S43" s="65"/>
      <c r="T43" s="66" t="n">
        <f aca="false">VLOOKUP(M43,Aggregate!P:X,9,FALSE())</f>
        <v>-13.4881408235294</v>
      </c>
      <c r="U43" s="68"/>
      <c r="V43" s="62" t="n">
        <f aca="false">IFERROR(VLOOKUP(Table11[[#This Row],[NAME]],Aggregate!$AD:$AO,11,FALSE()),"")</f>
        <v>6</v>
      </c>
      <c r="W43" s="63" t="str">
        <f aca="false">Aggregate!AD50</f>
        <v>KC Concepcion</v>
      </c>
      <c r="X43" s="63" t="str">
        <f aca="false">VLOOKUP(Table11[[#This Row],[NAME]],Aggregate!AD:AO,4,FALSE())</f>
        <v>CLE/11</v>
      </c>
      <c r="Y43" s="62" t="n">
        <f aca="false">IFERROR(VLOOKUP(Table11[[#This Row],[NAME]],Aggregate!$AD:$AO,8,FALSE()),"")</f>
        <v>114.703897989576</v>
      </c>
      <c r="Z43" s="62" t="n">
        <f aca="false">IF(Scoring!$K$6="Auction",IFERROR(VLOOKUP(Table11[[#This Row],[NAME]],Aggregate!$AD:$AO,10,FALSE()),""),IFERROR(VLOOKUP(Table11[[#This Row],[NAME]],Aggregate!$AD:$AO,9,FALSE()),""))</f>
        <v>-10.9739807555224</v>
      </c>
      <c r="AA43" s="64" t="n">
        <f aca="false">SUMIFS(AD44:$AD$84,AC44:$AC$84,"&lt;&gt;x",AC44:$AC$84,"&lt;&gt;o",AD44:$AD$84,"&gt;0")/Aggregate!$AL$1</f>
        <v>0</v>
      </c>
      <c r="AB43" s="62" t="str">
        <f aca="false">VLOOKUP(Table11[[#This Row],[NAME]],ECR!C:E,3,FALSE())</f>
        <v>WR48</v>
      </c>
      <c r="AC43" s="65"/>
      <c r="AD43" s="66" t="n">
        <f aca="false">VLOOKUP(W43,Aggregate!AD:AL,9,FALSE())</f>
        <v>-10.9739807555224</v>
      </c>
      <c r="AF43" s="52"/>
      <c r="AG43" s="52"/>
    </row>
    <row r="44" customFormat="false" ht="14.25" hidden="false" customHeight="true" outlineLevel="0" collapsed="false">
      <c r="B44" s="62" t="n">
        <f aca="false">IFERROR(VLOOKUP(Table9[[#This Row],[NAME]],Aggregate!$B:$M,11,FALSE()),"")</f>
        <v>15</v>
      </c>
      <c r="C44" s="63" t="str">
        <f aca="false">Aggregate!B41</f>
        <v>Justin Fields</v>
      </c>
      <c r="D44" s="63" t="str">
        <f aca="false">VLOOKUP(Table9[[#This Row],[NAME]],Aggregate!B:M,4,FALSE())</f>
        <v>KC/5</v>
      </c>
      <c r="E44" s="62" t="n">
        <f aca="false">IFERROR(VLOOKUP(Table9[[#This Row],[NAME]],Aggregate!$B:$M,8,FALSE()),"")</f>
        <v>10.2176823529412</v>
      </c>
      <c r="F44" s="62" t="n">
        <f aca="false">IF(Scoring!$K$6="Auction",IFERROR(VLOOKUP(Table9[[#This Row],[NAME]],Aggregate!$B:$M,10,FALSE()),""),IFERROR(VLOOKUP(Table9[[#This Row],[NAME]],Aggregate!$B:$M,9,FALSE()),""))</f>
        <v>-258.161683435294</v>
      </c>
      <c r="G44" s="64" t="n">
        <f aca="false">SUMIFS(J$44:$J45,I$44:$I45,"&lt;&gt;x",I$44:$I45,"&lt;&gt;o",J$44:$J45,"&gt;0")/Aggregate!$J$1</f>
        <v>0</v>
      </c>
      <c r="H44" s="62" t="str">
        <f aca="false">VLOOKUP(Table9[[#This Row],[NAME]],ECR!C:E,3,FALSE())</f>
        <v>QB39</v>
      </c>
      <c r="I44" s="65"/>
      <c r="J44" s="66" t="n">
        <f aca="false">VLOOKUP(C44,Aggregate!B:J,9,FALSE())</f>
        <v>-258.161683435294</v>
      </c>
      <c r="K44" s="67"/>
      <c r="L44" s="62" t="n">
        <f aca="false">IFERROR(VLOOKUP(Table10[[#This Row],[NAME]],Aggregate!$P:$AA,11,FALSE()),"")</f>
        <v>7</v>
      </c>
      <c r="M44" s="63" t="str">
        <f aca="false">Aggregate!P38</f>
        <v>Jordan Mason</v>
      </c>
      <c r="N44" s="63" t="str">
        <f aca="false">VLOOKUP(Table10[[#This Row],[NAME]],Aggregate!P:AA,4,FALSE())</f>
        <v>MIN/6</v>
      </c>
      <c r="O44" s="62" t="n">
        <f aca="false">IFERROR(VLOOKUP(Table10[[#This Row],[NAME]],Aggregate!$P:$AA,8,FALSE()),"")</f>
        <v>112.676555803922</v>
      </c>
      <c r="P44" s="62" t="n">
        <f aca="false">IF(Scoring!$K$6="Auction",IFERROR(VLOOKUP(Table10[[#This Row],[NAME]],Aggregate!$P:$AA,10,FALSE()),""),IFERROR(VLOOKUP(Table10[[#This Row],[NAME]],Aggregate!$P:$AA,9,FALSE()),""))</f>
        <v>-14.8691825882353</v>
      </c>
      <c r="Q44" s="64" t="n">
        <f aca="false">SUMIFS(T45:$T$84,S45:$S$84,"&lt;&gt;x",S45:$S$84,"&lt;&gt;o",T45:$T$84,"&gt;0")/Aggregate!$X$1</f>
        <v>0</v>
      </c>
      <c r="R44" s="62" t="str">
        <f aca="false">VLOOKUP(Table10[[#This Row],[NAME]],ECR!C:E,3,FALSE())</f>
        <v>RB36</v>
      </c>
      <c r="S44" s="65"/>
      <c r="T44" s="66" t="n">
        <f aca="false">VLOOKUP(M44,Aggregate!P:X,9,FALSE())</f>
        <v>-14.8691825882353</v>
      </c>
      <c r="U44" s="68"/>
      <c r="V44" s="62" t="n">
        <f aca="false">IFERROR(VLOOKUP(Table11[[#This Row],[NAME]],Aggregate!$AD:$AO,11,FALSE()),"")</f>
        <v>6</v>
      </c>
      <c r="W44" s="63" t="str">
        <f aca="false">Aggregate!AD39</f>
        <v>Quentin Johnston</v>
      </c>
      <c r="X44" s="63" t="str">
        <f aca="false">VLOOKUP(Table11[[#This Row],[NAME]],Aggregate!AD:AO,4,FALSE())</f>
        <v>LAC/7</v>
      </c>
      <c r="Y44" s="62" t="n">
        <f aca="false">IFERROR(VLOOKUP(Table11[[#This Row],[NAME]],Aggregate!$AD:$AO,8,FALSE()),"")</f>
        <v>114.411580803922</v>
      </c>
      <c r="Z44" s="62" t="n">
        <f aca="false">IF(Scoring!$K$6="Auction",IFERROR(VLOOKUP(Table11[[#This Row],[NAME]],Aggregate!$AD:$AO,10,FALSE()),""),IFERROR(VLOOKUP(Table11[[#This Row],[NAME]],Aggregate!$AD:$AO,9,FALSE()),""))</f>
        <v>-11.2662979411765</v>
      </c>
      <c r="AA44" s="64" t="n">
        <f aca="false">SUMIFS(AD45:$AD$84,AC45:$AC$84,"&lt;&gt;x",AC45:$AC$84,"&lt;&gt;o",AD45:$AD$84,"&gt;0")/Aggregate!$AL$1</f>
        <v>0</v>
      </c>
      <c r="AB44" s="62" t="str">
        <f aca="false">VLOOKUP(Table11[[#This Row],[NAME]],ECR!C:E,3,FALSE())</f>
        <v>WR37</v>
      </c>
      <c r="AC44" s="65"/>
      <c r="AD44" s="66" t="n">
        <f aca="false">VLOOKUP(W44,Aggregate!AD:AL,9,FALSE())</f>
        <v>-11.2662979411765</v>
      </c>
      <c r="AF44" s="52"/>
      <c r="AG44" s="52"/>
    </row>
    <row r="45" customFormat="false" ht="14.25" hidden="false" customHeight="true" outlineLevel="0" collapsed="false">
      <c r="B45" s="71"/>
      <c r="C45" s="71"/>
      <c r="D45" s="72"/>
      <c r="E45" s="72"/>
      <c r="F45" s="72"/>
      <c r="G45" s="72"/>
      <c r="H45" s="72"/>
      <c r="I45" s="73"/>
      <c r="J45" s="72"/>
      <c r="K45" s="67"/>
      <c r="L45" s="62" t="n">
        <f aca="false">IFERROR(VLOOKUP(Table10[[#This Row],[NAME]],Aggregate!$P:$AA,11,FALSE()),"")</f>
        <v>7</v>
      </c>
      <c r="M45" s="63" t="str">
        <f aca="false">Aggregate!P43</f>
        <v>Aaron Jones Sr.</v>
      </c>
      <c r="N45" s="63" t="str">
        <f aca="false">VLOOKUP(Table10[[#This Row],[NAME]],Aggregate!P:AA,4,FALSE())</f>
        <v>MIN/6</v>
      </c>
      <c r="O45" s="62" t="n">
        <f aca="false">IFERROR(VLOOKUP(Table10[[#This Row],[NAME]],Aggregate!$P:$AA,8,FALSE()),"")</f>
        <v>111.974754764706</v>
      </c>
      <c r="P45" s="62" t="n">
        <f aca="false">IF(Scoring!$K$6="Auction",IFERROR(VLOOKUP(Table10[[#This Row],[NAME]],Aggregate!$P:$AA,10,FALSE()),""),IFERROR(VLOOKUP(Table10[[#This Row],[NAME]],Aggregate!$P:$AA,9,FALSE()),""))</f>
        <v>-15.570983627451</v>
      </c>
      <c r="Q45" s="64" t="n">
        <f aca="false">SUMIFS(T46:$T$84,S46:$S$84,"&lt;&gt;x",S46:$S$84,"&lt;&gt;o",T46:$T$84,"&gt;0")/Aggregate!$X$1</f>
        <v>0</v>
      </c>
      <c r="R45" s="62" t="str">
        <f aca="false">VLOOKUP(Table10[[#This Row],[NAME]],ECR!C:E,3,FALSE())</f>
        <v>RB41</v>
      </c>
      <c r="S45" s="65"/>
      <c r="T45" s="66" t="n">
        <f aca="false">VLOOKUP(M45,Aggregate!P:X,9,FALSE())</f>
        <v>-15.570983627451</v>
      </c>
      <c r="U45" s="68"/>
      <c r="V45" s="62" t="n">
        <f aca="false">IFERROR(VLOOKUP(Table11[[#This Row],[NAME]],Aggregate!$AD:$AO,11,FALSE()),"")</f>
        <v>6</v>
      </c>
      <c r="W45" s="63" t="str">
        <f aca="false">Aggregate!AD37</f>
        <v>Chris Godwin Jr.</v>
      </c>
      <c r="X45" s="63" t="str">
        <f aca="false">VLOOKUP(Table11[[#This Row],[NAME]],Aggregate!AD:AO,4,FALSE())</f>
        <v>TB/10</v>
      </c>
      <c r="Y45" s="62" t="n">
        <f aca="false">IFERROR(VLOOKUP(Table11[[#This Row],[NAME]],Aggregate!$AD:$AO,8,FALSE()),"")</f>
        <v>114.110406286299</v>
      </c>
      <c r="Z45" s="62" t="n">
        <f aca="false">IF(Scoring!$K$6="Auction",IFERROR(VLOOKUP(Table11[[#This Row],[NAME]],Aggregate!$AD:$AO,10,FALSE()),""),IFERROR(VLOOKUP(Table11[[#This Row],[NAME]],Aggregate!$AD:$AO,9,FALSE()),""))</f>
        <v>-11.5674724587987</v>
      </c>
      <c r="AA45" s="64" t="n">
        <f aca="false">SUMIFS(AD46:$AD$84,AC46:$AC$84,"&lt;&gt;x",AC46:$AC$84,"&lt;&gt;o",AD46:$AD$84,"&gt;0")/Aggregate!$AL$1</f>
        <v>0</v>
      </c>
      <c r="AB45" s="62" t="str">
        <f aca="false">VLOOKUP(Table11[[#This Row],[NAME]],ECR!C:E,3,FALSE())</f>
        <v>WR35</v>
      </c>
      <c r="AC45" s="65"/>
      <c r="AD45" s="66" t="n">
        <f aca="false">VLOOKUP(W45,Aggregate!AD:AL,9,FALSE())</f>
        <v>-11.5674724587987</v>
      </c>
      <c r="AF45" s="52"/>
      <c r="AG45" s="52"/>
    </row>
    <row r="46" customFormat="false" ht="13.5" hidden="false" customHeight="true" outlineLevel="0" collapsed="false">
      <c r="B46" s="54" t="s">
        <v>100</v>
      </c>
      <c r="C46" s="54"/>
      <c r="D46" s="54"/>
      <c r="E46" s="54"/>
      <c r="F46" s="54"/>
      <c r="G46" s="54"/>
      <c r="H46" s="54"/>
      <c r="I46" s="54"/>
      <c r="K46" s="67"/>
      <c r="L46" s="62" t="n">
        <f aca="false">IFERROR(VLOOKUP(Table10[[#This Row],[NAME]],Aggregate!$P:$AA,11,FALSE()),"")</f>
        <v>8</v>
      </c>
      <c r="M46" s="63" t="str">
        <f aca="false">Aggregate!P49</f>
        <v>Mike Washington Jr.</v>
      </c>
      <c r="N46" s="63" t="str">
        <f aca="false">VLOOKUP(Table10[[#This Row],[NAME]],Aggregate!P:AA,4,FALSE())</f>
        <v>LV/13</v>
      </c>
      <c r="O46" s="62" t="n">
        <f aca="false">IFERROR(VLOOKUP(Table10[[#This Row],[NAME]],Aggregate!$P:$AA,8,FALSE()),"")</f>
        <v>97.575484962353</v>
      </c>
      <c r="P46" s="62" t="n">
        <f aca="false">IF(Scoring!$K$6="Auction",IFERROR(VLOOKUP(Table10[[#This Row],[NAME]],Aggregate!$P:$AA,10,FALSE()),""),IFERROR(VLOOKUP(Table10[[#This Row],[NAME]],Aggregate!$P:$AA,9,FALSE()),""))</f>
        <v>-29.9702534298039</v>
      </c>
      <c r="Q46" s="64" t="n">
        <f aca="false">SUMIFS(T47:$T$84,S47:$S$84,"&lt;&gt;x",S47:$S$84,"&lt;&gt;o",T47:$T$84,"&gt;0")/Aggregate!$X$1</f>
        <v>0</v>
      </c>
      <c r="R46" s="62" t="str">
        <f aca="false">VLOOKUP(Table10[[#This Row],[NAME]],ECR!C:E,3,FALSE())</f>
        <v>RB47</v>
      </c>
      <c r="S46" s="65"/>
      <c r="T46" s="66" t="n">
        <f aca="false">VLOOKUP(M46,Aggregate!P:X,9,FALSE())</f>
        <v>-29.9702534298039</v>
      </c>
      <c r="U46" s="68"/>
      <c r="V46" s="62" t="n">
        <f aca="false">IFERROR(VLOOKUP(Table11[[#This Row],[NAME]],Aggregate!$AD:$AO,11,FALSE()),"")</f>
        <v>6</v>
      </c>
      <c r="W46" s="63" t="str">
        <f aca="false">Aggregate!AD41</f>
        <v>Michael Wilson</v>
      </c>
      <c r="X46" s="63" t="str">
        <f aca="false">VLOOKUP(Table11[[#This Row],[NAME]],Aggregate!AD:AO,4,FALSE())</f>
        <v>ARI/14</v>
      </c>
      <c r="Y46" s="62" t="n">
        <f aca="false">IFERROR(VLOOKUP(Table11[[#This Row],[NAME]],Aggregate!$AD:$AO,8,FALSE()),"")</f>
        <v>113.654324894515</v>
      </c>
      <c r="Z46" s="62" t="n">
        <f aca="false">IF(Scoring!$K$6="Auction",IFERROR(VLOOKUP(Table11[[#This Row],[NAME]],Aggregate!$AD:$AO,10,FALSE()),""),IFERROR(VLOOKUP(Table11[[#This Row],[NAME]],Aggregate!$AD:$AO,9,FALSE()),""))</f>
        <v>-12.0235538505833</v>
      </c>
      <c r="AA46" s="64" t="n">
        <f aca="false">SUMIFS(AD47:$AD$84,AC47:$AC$84,"&lt;&gt;x",AC47:$AC$84,"&lt;&gt;o",AD47:$AD$84,"&gt;0")/Aggregate!$AL$1</f>
        <v>0</v>
      </c>
      <c r="AB46" s="62" t="str">
        <f aca="false">VLOOKUP(Table11[[#This Row],[NAME]],ECR!C:E,3,FALSE())</f>
        <v>WR39</v>
      </c>
      <c r="AC46" s="65"/>
      <c r="AD46" s="66" t="n">
        <f aca="false">VLOOKUP(W46,Aggregate!AD:AL,9,FALSE())</f>
        <v>-12.0235538505833</v>
      </c>
      <c r="AF46" s="52"/>
      <c r="AG46" s="52"/>
    </row>
    <row r="47" customFormat="false" ht="14.25" hidden="false" customHeight="true" outlineLevel="0" collapsed="false">
      <c r="B47" s="60" t="s">
        <v>84</v>
      </c>
      <c r="C47" s="60" t="s">
        <v>85</v>
      </c>
      <c r="D47" s="74" t="s">
        <v>86</v>
      </c>
      <c r="E47" s="74" t="s">
        <v>87</v>
      </c>
      <c r="F47" s="74" t="s">
        <v>88</v>
      </c>
      <c r="G47" s="74" t="s">
        <v>89</v>
      </c>
      <c r="H47" s="74" t="s">
        <v>90</v>
      </c>
      <c r="I47" s="60" t="s">
        <v>91</v>
      </c>
      <c r="J47" s="74"/>
      <c r="K47" s="67"/>
      <c r="L47" s="62" t="n">
        <f aca="false">IFERROR(VLOOKUP(Table10[[#This Row],[NAME]],Aggregate!$P:$AA,11,FALSE()),"")</f>
        <v>8</v>
      </c>
      <c r="M47" s="63" t="str">
        <f aca="false">Aggregate!P46</f>
        <v>Woody Marks</v>
      </c>
      <c r="N47" s="63" t="str">
        <f aca="false">VLOOKUP(Table10[[#This Row],[NAME]],Aggregate!P:AA,4,FALSE())</f>
        <v>HOU/8</v>
      </c>
      <c r="O47" s="62" t="n">
        <f aca="false">IFERROR(VLOOKUP(Table10[[#This Row],[NAME]],Aggregate!$P:$AA,8,FALSE()),"")</f>
        <v>92.3748311372549</v>
      </c>
      <c r="P47" s="62" t="n">
        <f aca="false">IF(Scoring!$K$6="Auction",IFERROR(VLOOKUP(Table10[[#This Row],[NAME]],Aggregate!$P:$AA,10,FALSE()),""),IFERROR(VLOOKUP(Table10[[#This Row],[NAME]],Aggregate!$P:$AA,9,FALSE()),""))</f>
        <v>-35.170907254902</v>
      </c>
      <c r="Q47" s="64" t="n">
        <f aca="false">SUMIFS(T48:$T$84,S48:$S$84,"&lt;&gt;x",S48:$S$84,"&lt;&gt;o",T48:$T$84,"&gt;0")/Aggregate!$X$1</f>
        <v>0</v>
      </c>
      <c r="R47" s="62" t="str">
        <f aca="false">VLOOKUP(Table10[[#This Row],[NAME]],ECR!C:E,3,FALSE())</f>
        <v>RB44</v>
      </c>
      <c r="S47" s="65"/>
      <c r="T47" s="66" t="n">
        <f aca="false">VLOOKUP(M47,Aggregate!P:X,9,FALSE())</f>
        <v>-35.170907254902</v>
      </c>
      <c r="U47" s="68"/>
      <c r="V47" s="62" t="n">
        <f aca="false">IFERROR(VLOOKUP(Table11[[#This Row],[NAME]],Aggregate!$AD:$AO,11,FALSE()),"")</f>
        <v>6</v>
      </c>
      <c r="W47" s="63" t="str">
        <f aca="false">Aggregate!AD46</f>
        <v>Jayden Reed</v>
      </c>
      <c r="X47" s="63" t="str">
        <f aca="false">VLOOKUP(Table11[[#This Row],[NAME]],Aggregate!AD:AO,4,FALSE())</f>
        <v>GB/11</v>
      </c>
      <c r="Y47" s="62" t="n">
        <f aca="false">IFERROR(VLOOKUP(Table11[[#This Row],[NAME]],Aggregate!$AD:$AO,8,FALSE()),"")</f>
        <v>112.502892624224</v>
      </c>
      <c r="Z47" s="62" t="n">
        <f aca="false">IF(Scoring!$K$6="Auction",IFERROR(VLOOKUP(Table11[[#This Row],[NAME]],Aggregate!$AD:$AO,10,FALSE()),""),IFERROR(VLOOKUP(Table11[[#This Row],[NAME]],Aggregate!$AD:$AO,9,FALSE()),""))</f>
        <v>-13.1749861208737</v>
      </c>
      <c r="AA47" s="64" t="n">
        <f aca="false">SUMIFS(AD48:$AD$84,AC48:$AC$84,"&lt;&gt;x",AC48:$AC$84,"&lt;&gt;o",AD48:$AD$84,"&gt;0")/Aggregate!$AL$1</f>
        <v>0</v>
      </c>
      <c r="AB47" s="62" t="str">
        <f aca="false">VLOOKUP(Table11[[#This Row],[NAME]],ECR!C:E,3,FALSE())</f>
        <v>WR44</v>
      </c>
      <c r="AC47" s="65"/>
      <c r="AD47" s="66" t="n">
        <f aca="false">VLOOKUP(W47,Aggregate!AD:AL,9,FALSE())</f>
        <v>-13.1749861208737</v>
      </c>
      <c r="AF47" s="52"/>
      <c r="AG47" s="52"/>
    </row>
    <row r="48" customFormat="false" ht="14.25" hidden="false" customHeight="true" outlineLevel="0" collapsed="false">
      <c r="B48" s="62" t="n">
        <f aca="false">IFERROR(VLOOKUP(Table12[[#This Row],[NAME]],Aggregate!$AR:$BC,11,FALSE()),"")</f>
        <v>1</v>
      </c>
      <c r="C48" s="63" t="str">
        <f aca="false">Aggregate!AR3</f>
        <v>Brock Bowers</v>
      </c>
      <c r="D48" s="63" t="str">
        <f aca="false">VLOOKUP(Table12[[#This Row],[NAME]],Aggregate!AR:BD,4,FALSE())</f>
        <v>LV/13</v>
      </c>
      <c r="E48" s="62" t="n">
        <f aca="false">IFERROR(VLOOKUP(Table12[[#This Row],[NAME]],Aggregate!$AR:$BC,8,FALSE()),"")</f>
        <v>173.640426666667</v>
      </c>
      <c r="F48" s="62" t="n">
        <f aca="false">IF(Scoring!$K$6="Auction",IFERROR(VLOOKUP($C48,Aggregate!$AR:$BC,10,FALSE()),""),IFERROR(VLOOKUP($C48,Aggregate!$AR:$BC,9,FALSE()),""))</f>
        <v>61.0668292254902</v>
      </c>
      <c r="G48" s="64" t="n">
        <f aca="false">SUMIFS(J49:$J$84,I49:$I$84,"&lt;&gt;x",I49:$I$84,"&lt;&gt;o",J49:$J$84,"&gt;0")/Aggregate!$AZ$1</f>
        <v>0.74250254251667</v>
      </c>
      <c r="H48" s="62" t="str">
        <f aca="false">VLOOKUP(Table12[[#This Row],[NAME]],ECR!C:E,3,FALSE())</f>
        <v>TE1</v>
      </c>
      <c r="I48" s="65"/>
      <c r="J48" s="66" t="n">
        <f aca="false">VLOOKUP(C48,Aggregate!AR:AZ,9,FALSE())</f>
        <v>61.0668292254902</v>
      </c>
      <c r="K48" s="67"/>
      <c r="L48" s="62" t="n">
        <f aca="false">IFERROR(VLOOKUP(Table10[[#This Row],[NAME]],Aggregate!$P:$AA,11,FALSE()),"")</f>
        <v>8</v>
      </c>
      <c r="M48" s="63" t="str">
        <f aca="false">Aggregate!P48</f>
        <v>Tyjae Spears</v>
      </c>
      <c r="N48" s="63" t="str">
        <f aca="false">VLOOKUP(Table10[[#This Row],[NAME]],Aggregate!P:AA,4,FALSE())</f>
        <v>TEN/9</v>
      </c>
      <c r="O48" s="62" t="n">
        <f aca="false">IFERROR(VLOOKUP(Table10[[#This Row],[NAME]],Aggregate!$P:$AA,8,FALSE()),"")</f>
        <v>90.219987254902</v>
      </c>
      <c r="P48" s="62" t="n">
        <f aca="false">IF(Scoring!$K$6="Auction",IFERROR(VLOOKUP(Table10[[#This Row],[NAME]],Aggregate!$P:$AA,10,FALSE()),""),IFERROR(VLOOKUP(Table10[[#This Row],[NAME]],Aggregate!$P:$AA,9,FALSE()),""))</f>
        <v>-37.3257511372549</v>
      </c>
      <c r="Q48" s="64" t="n">
        <f aca="false">SUMIFS(T49:$T$84,S49:$S$84,"&lt;&gt;x",S49:$S$84,"&lt;&gt;o",T49:$T$84,"&gt;0")/Aggregate!$X$1</f>
        <v>0</v>
      </c>
      <c r="R48" s="62" t="str">
        <f aca="false">VLOOKUP(Table10[[#This Row],[NAME]],ECR!C:E,3,FALSE())</f>
        <v>RB46</v>
      </c>
      <c r="S48" s="65"/>
      <c r="T48" s="66" t="n">
        <f aca="false">VLOOKUP(M48,Aggregate!P:X,9,FALSE())</f>
        <v>-37.3257511372549</v>
      </c>
      <c r="U48" s="68"/>
      <c r="V48" s="62" t="n">
        <f aca="false">IFERROR(VLOOKUP(Table11[[#This Row],[NAME]],Aggregate!$AD:$AO,11,FALSE()),"")</f>
        <v>6</v>
      </c>
      <c r="W48" s="63" t="str">
        <f aca="false">Aggregate!AD48</f>
        <v>Makai Lemon</v>
      </c>
      <c r="X48" s="63" t="str">
        <f aca="false">VLOOKUP(Table11[[#This Row],[NAME]],Aggregate!AD:AO,4,FALSE())</f>
        <v>PHI/10</v>
      </c>
      <c r="Y48" s="62" t="n">
        <f aca="false">IFERROR(VLOOKUP(Table11[[#This Row],[NAME]],Aggregate!$AD:$AO,8,FALSE()),"")</f>
        <v>112.256664879623</v>
      </c>
      <c r="Z48" s="62" t="n">
        <f aca="false">IF(Scoring!$K$6="Auction",IFERROR(VLOOKUP(Table11[[#This Row],[NAME]],Aggregate!$AD:$AO,10,FALSE()),""),IFERROR(VLOOKUP(Table11[[#This Row],[NAME]],Aggregate!$AD:$AO,9,FALSE()),""))</f>
        <v>-13.4212138654753</v>
      </c>
      <c r="AA48" s="64" t="n">
        <f aca="false">SUMIFS(AD49:$AD$84,AC49:$AC$84,"&lt;&gt;x",AC49:$AC$84,"&lt;&gt;o",AD49:$AD$84,"&gt;0")/Aggregate!$AL$1</f>
        <v>0</v>
      </c>
      <c r="AB48" s="62" t="str">
        <f aca="false">VLOOKUP(Table11[[#This Row],[NAME]],ECR!C:E,3,FALSE())</f>
        <v>WR46</v>
      </c>
      <c r="AC48" s="65"/>
      <c r="AD48" s="66" t="n">
        <f aca="false">VLOOKUP(W48,Aggregate!AD:AL,9,FALSE())</f>
        <v>-13.4212138654753</v>
      </c>
      <c r="AF48" s="52"/>
      <c r="AG48" s="52"/>
    </row>
    <row r="49" customFormat="false" ht="14.25" hidden="false" customHeight="true" outlineLevel="0" collapsed="false">
      <c r="B49" s="62" t="n">
        <f aca="false">IFERROR(VLOOKUP(Table12[[#This Row],[NAME]],Aggregate!$AR:$BC,11,FALSE()),"")</f>
        <v>1</v>
      </c>
      <c r="C49" s="63" t="str">
        <f aca="false">Aggregate!AR4</f>
        <v>Trey McBride</v>
      </c>
      <c r="D49" s="63" t="str">
        <f aca="false">VLOOKUP(Table12[[#This Row],[NAME]],Aggregate!AR:BD,4,FALSE())</f>
        <v>ARI/14</v>
      </c>
      <c r="E49" s="62" t="n">
        <f aca="false">IFERROR(VLOOKUP($C49,Aggregate!$AR:$BC,8,FALSE()),"")</f>
        <v>164.813045647059</v>
      </c>
      <c r="F49" s="62" t="n">
        <f aca="false">IF(Scoring!$K$6="Auction",IFERROR(VLOOKUP($C49,Aggregate!$AR:$BC,10,FALSE()),""),IFERROR(VLOOKUP($C49,Aggregate!$AR:$BC,9,FALSE()),""))</f>
        <v>52.2394482058824</v>
      </c>
      <c r="G49" s="64" t="n">
        <f aca="false">SUMIFS(J50:$J$84,I50:$I$84,"&lt;&gt;x",I50:$I$84,"&lt;&gt;o",J50:$J$84,"&gt;0")/Aggregate!$AZ$1</f>
        <v>0.522227062948591</v>
      </c>
      <c r="H49" s="62" t="str">
        <f aca="false">VLOOKUP(Table12[[#This Row],[NAME]],ECR!C:E,3,FALSE())</f>
        <v>TE2</v>
      </c>
      <c r="I49" s="65"/>
      <c r="J49" s="66" t="n">
        <f aca="false">VLOOKUP(C49,Aggregate!AR:AZ,9,FALSE())</f>
        <v>52.2394482058824</v>
      </c>
      <c r="K49" s="67"/>
      <c r="L49" s="62" t="n">
        <f aca="false">IFERROR(VLOOKUP(Table10[[#This Row],[NAME]],Aggregate!$P:$AA,11,FALSE()),"")</f>
        <v>8</v>
      </c>
      <c r="M49" s="63" t="str">
        <f aca="false">Aggregate!P59</f>
        <v>Josh Jacobs</v>
      </c>
      <c r="N49" s="63" t="str">
        <f aca="false">VLOOKUP(Table10[[#This Row],[NAME]],Aggregate!P:AA,4,FALSE())</f>
        <v>GB/11</v>
      </c>
      <c r="O49" s="62" t="n">
        <f aca="false">IFERROR(VLOOKUP(Table10[[#This Row],[NAME]],Aggregate!$P:$AA,8,FALSE()),"")</f>
        <v>86.5111764705882</v>
      </c>
      <c r="P49" s="62" t="n">
        <f aca="false">IF(Scoring!$K$6="Auction",IFERROR(VLOOKUP(Table10[[#This Row],[NAME]],Aggregate!$P:$AA,10,FALSE()),""),IFERROR(VLOOKUP(Table10[[#This Row],[NAME]],Aggregate!$P:$AA,9,FALSE()),""))</f>
        <v>-41.0345619215686</v>
      </c>
      <c r="Q49" s="64" t="n">
        <f aca="false">SUMIFS(T50:$T$84,S50:$S$84,"&lt;&gt;x",S50:$S$84,"&lt;&gt;o",T50:$T$84,"&gt;0")/Aggregate!$X$1</f>
        <v>0</v>
      </c>
      <c r="R49" s="62" t="str">
        <f aca="false">VLOOKUP(Table10[[#This Row],[NAME]],ECR!C:E,3,FALSE())</f>
        <v>RB57</v>
      </c>
      <c r="S49" s="65"/>
      <c r="T49" s="66" t="n">
        <f aca="false">VLOOKUP(M49,Aggregate!P:X,9,FALSE())</f>
        <v>-41.0345619215686</v>
      </c>
      <c r="U49" s="68"/>
      <c r="V49" s="62" t="n">
        <f aca="false">IFERROR(VLOOKUP(Table11[[#This Row],[NAME]],Aggregate!$AD:$AO,11,FALSE()),"")</f>
        <v>7</v>
      </c>
      <c r="W49" s="63" t="str">
        <f aca="false">Aggregate!AD47</f>
        <v>Jordan Addison</v>
      </c>
      <c r="X49" s="63" t="str">
        <f aca="false">VLOOKUP(Table11[[#This Row],[NAME]],Aggregate!AD:AO,4,FALSE())</f>
        <v>MIN/6</v>
      </c>
      <c r="Y49" s="62" t="n">
        <f aca="false">IFERROR(VLOOKUP(Table11[[#This Row],[NAME]],Aggregate!$AD:$AO,8,FALSE()),"")</f>
        <v>110.294944714569</v>
      </c>
      <c r="Z49" s="62" t="n">
        <f aca="false">IF(Scoring!$K$6="Auction",IFERROR(VLOOKUP(Table11[[#This Row],[NAME]],Aggregate!$AD:$AO,10,FALSE()),""),IFERROR(VLOOKUP(Table11[[#This Row],[NAME]],Aggregate!$AD:$AO,9,FALSE()),""))</f>
        <v>-15.3829340305286</v>
      </c>
      <c r="AA49" s="64" t="n">
        <f aca="false">SUMIFS(AD50:$AD$84,AC50:$AC$84,"&lt;&gt;x",AC50:$AC$84,"&lt;&gt;o",AD50:$AD$84,"&gt;0")/Aggregate!$AL$1</f>
        <v>0</v>
      </c>
      <c r="AB49" s="62" t="str">
        <f aca="false">VLOOKUP(Table11[[#This Row],[NAME]],ECR!C:E,3,FALSE())</f>
        <v>WR45</v>
      </c>
      <c r="AC49" s="65"/>
      <c r="AD49" s="66" t="n">
        <f aca="false">VLOOKUP(W49,Aggregate!AD:AL,9,FALSE())</f>
        <v>-15.3829340305286</v>
      </c>
      <c r="AF49" s="52"/>
      <c r="AG49" s="52"/>
    </row>
    <row r="50" customFormat="false" ht="14.25" hidden="false" customHeight="true" outlineLevel="0" collapsed="false">
      <c r="B50" s="62" t="n">
        <f aca="false">IFERROR(VLOOKUP(Table12[[#This Row],[NAME]],Aggregate!$AR:$BC,11,FALSE()),"")</f>
        <v>2</v>
      </c>
      <c r="C50" s="63" t="str">
        <f aca="false">Aggregate!AR5</f>
        <v>Colston Loveland</v>
      </c>
      <c r="D50" s="63" t="str">
        <f aca="false">VLOOKUP(Table12[[#This Row],[NAME]],Aggregate!AR:BD,4,FALSE())</f>
        <v>CHI/10</v>
      </c>
      <c r="E50" s="62" t="n">
        <f aca="false">IFERROR(VLOOKUP($C50,Aggregate!$AR:$BC,8,FALSE()),"")</f>
        <v>142.143900294118</v>
      </c>
      <c r="F50" s="62" t="n">
        <f aca="false">IF(Scoring!$K$6="Auction",IFERROR(VLOOKUP($C50,Aggregate!$AR:$BC,10,FALSE()),""),IFERROR(VLOOKUP($C50,Aggregate!$AR:$BC,9,FALSE()),""))</f>
        <v>29.5703028529412</v>
      </c>
      <c r="G50" s="64" t="n">
        <f aca="false">SUMIFS(J51:$J$84,I51:$I$84,"&lt;&gt;x",I51:$I$84,"&lt;&gt;o",J51:$J$84,"&gt;0")/Aggregate!$AZ$1</f>
        <v>0.397539439598628</v>
      </c>
      <c r="H50" s="62" t="str">
        <f aca="false">VLOOKUP(Table12[[#This Row],[NAME]],ECR!C:E,3,FALSE())</f>
        <v>TE3</v>
      </c>
      <c r="I50" s="65"/>
      <c r="J50" s="66" t="n">
        <f aca="false">VLOOKUP(C50,Aggregate!AR:AZ,9,FALSE())</f>
        <v>29.5703028529412</v>
      </c>
      <c r="K50" s="67"/>
      <c r="L50" s="62" t="n">
        <f aca="false">IFERROR(VLOOKUP(Table10[[#This Row],[NAME]],Aggregate!$P:$AA,11,FALSE()),"")</f>
        <v>8</v>
      </c>
      <c r="M50" s="63" t="str">
        <f aca="false">Aggregate!P44</f>
        <v>Chris Rodriguez Jr.</v>
      </c>
      <c r="N50" s="63" t="str">
        <f aca="false">VLOOKUP(Table10[[#This Row],[NAME]],Aggregate!P:AA,4,FALSE())</f>
        <v>JAC/7</v>
      </c>
      <c r="O50" s="62" t="n">
        <f aca="false">IFERROR(VLOOKUP(Table10[[#This Row],[NAME]],Aggregate!$P:$AA,8,FALSE()),"")</f>
        <v>85.472775794902</v>
      </c>
      <c r="P50" s="62" t="n">
        <f aca="false">IF(Scoring!$K$6="Auction",IFERROR(VLOOKUP(Table10[[#This Row],[NAME]],Aggregate!$P:$AA,10,FALSE()),""),IFERROR(VLOOKUP(Table10[[#This Row],[NAME]],Aggregate!$P:$AA,9,FALSE()),""))</f>
        <v>-42.0729625972549</v>
      </c>
      <c r="Q50" s="64" t="n">
        <f aca="false">SUMIFS(T51:$T$84,S51:$S$84,"&lt;&gt;x",S51:$S$84,"&lt;&gt;o",T51:$T$84,"&gt;0")/Aggregate!$X$1</f>
        <v>0</v>
      </c>
      <c r="R50" s="62" t="str">
        <f aca="false">VLOOKUP(Table10[[#This Row],[NAME]],ECR!C:E,3,FALSE())</f>
        <v>RB42</v>
      </c>
      <c r="S50" s="65"/>
      <c r="T50" s="66" t="n">
        <f aca="false">VLOOKUP(M50,Aggregate!P:X,9,FALSE())</f>
        <v>-42.0729625972549</v>
      </c>
      <c r="U50" s="68"/>
      <c r="V50" s="62" t="n">
        <f aca="false">IFERROR(VLOOKUP(Table11[[#This Row],[NAME]],Aggregate!$AD:$AO,11,FALSE()),"")</f>
        <v>7</v>
      </c>
      <c r="W50" s="63" t="str">
        <f aca="false">Aggregate!AD49</f>
        <v>Jakobi Meyers</v>
      </c>
      <c r="X50" s="63" t="str">
        <f aca="false">VLOOKUP(Table11[[#This Row],[NAME]],Aggregate!AD:AO,4,FALSE())</f>
        <v>JAC/7</v>
      </c>
      <c r="Y50" s="62" t="n">
        <f aca="false">IFERROR(VLOOKUP(Table11[[#This Row],[NAME]],Aggregate!$AD:$AO,8,FALSE()),"")</f>
        <v>110.081392405063</v>
      </c>
      <c r="Z50" s="62" t="n">
        <f aca="false">IF(Scoring!$K$6="Auction",IFERROR(VLOOKUP(Table11[[#This Row],[NAME]],Aggregate!$AD:$AO,10,FALSE()),""),IFERROR(VLOOKUP(Table11[[#This Row],[NAME]],Aggregate!$AD:$AO,9,FALSE()),""))</f>
        <v>-15.5964863400347</v>
      </c>
      <c r="AA50" s="64" t="n">
        <f aca="false">SUMIFS(AD51:$AD$84,AC51:$AC$84,"&lt;&gt;x",AC51:$AC$84,"&lt;&gt;o",AD51:$AD$84,"&gt;0")/Aggregate!$AL$1</f>
        <v>0</v>
      </c>
      <c r="AB50" s="62" t="str">
        <f aca="false">VLOOKUP(Table11[[#This Row],[NAME]],ECR!C:E,3,FALSE())</f>
        <v>WR47</v>
      </c>
      <c r="AC50" s="65"/>
      <c r="AD50" s="66" t="n">
        <f aca="false">VLOOKUP(W50,Aggregate!AD:AL,9,FALSE())</f>
        <v>-15.5964863400347</v>
      </c>
      <c r="AF50" s="52"/>
      <c r="AG50" s="52"/>
    </row>
    <row r="51" customFormat="false" ht="14.25" hidden="false" customHeight="true" outlineLevel="0" collapsed="false">
      <c r="B51" s="62" t="n">
        <f aca="false">IFERROR(VLOOKUP(Table12[[#This Row],[NAME]],Aggregate!$AR:$BC,11,FALSE()),"")</f>
        <v>3</v>
      </c>
      <c r="C51" s="63" t="str">
        <f aca="false">Aggregate!AR6</f>
        <v>Tyler Warren</v>
      </c>
      <c r="D51" s="63" t="str">
        <f aca="false">VLOOKUP(Table12[[#This Row],[NAME]],Aggregate!AR:BD,4,FALSE())</f>
        <v>IND/13</v>
      </c>
      <c r="E51" s="62" t="n">
        <f aca="false">IFERROR(VLOOKUP($C51,Aggregate!$AR:$BC,8,FALSE()),"")</f>
        <v>131.387067686275</v>
      </c>
      <c r="F51" s="62" t="n">
        <f aca="false">IF(Scoring!$K$6="Auction",IFERROR(VLOOKUP($C51,Aggregate!$AR:$BC,10,FALSE()),""),IFERROR(VLOOKUP($C51,Aggregate!$AR:$BC,9,FALSE()),""))</f>
        <v>18.813470245098</v>
      </c>
      <c r="G51" s="64" t="n">
        <f aca="false">SUMIFS(J52:$J$84,I52:$I$84,"&lt;&gt;x",I52:$I$84,"&lt;&gt;o",J52:$J$84,"&gt;0")/Aggregate!$AZ$1</f>
        <v>0.318209616583535</v>
      </c>
      <c r="H51" s="62" t="str">
        <f aca="false">VLOOKUP(Table12[[#This Row],[NAME]],ECR!C:E,3,FALSE())</f>
        <v>TE4</v>
      </c>
      <c r="I51" s="65"/>
      <c r="J51" s="66" t="n">
        <f aca="false">VLOOKUP(C51,Aggregate!AR:AZ,9,FALSE())</f>
        <v>18.813470245098</v>
      </c>
      <c r="K51" s="67"/>
      <c r="L51" s="62" t="n">
        <f aca="false">IFERROR(VLOOKUP(Table10[[#This Row],[NAME]],Aggregate!$P:$AA,11,FALSE()),"")</f>
        <v>8</v>
      </c>
      <c r="M51" s="63" t="str">
        <f aca="false">Aggregate!P67</f>
        <v>Kaelon Black</v>
      </c>
      <c r="N51" s="63" t="str">
        <f aca="false">VLOOKUP(Table10[[#This Row],[NAME]],Aggregate!P:AA,4,FALSE())</f>
        <v>SF/8</v>
      </c>
      <c r="O51" s="62" t="n">
        <f aca="false">IFERROR(VLOOKUP(Table10[[#This Row],[NAME]],Aggregate!$P:$AA,8,FALSE()),"")</f>
        <v>84.7933250196078</v>
      </c>
      <c r="P51" s="62" t="n">
        <f aca="false">IF(Scoring!$K$6="Auction",IFERROR(VLOOKUP(Table10[[#This Row],[NAME]],Aggregate!$P:$AA,10,FALSE()),""),IFERROR(VLOOKUP(Table10[[#This Row],[NAME]],Aggregate!$P:$AA,9,FALSE()),""))</f>
        <v>-42.752413372549</v>
      </c>
      <c r="Q51" s="64" t="n">
        <f aca="false">SUMIFS(T52:$T$84,S52:$S$84,"&lt;&gt;x",S52:$S$84,"&lt;&gt;o",T52:$T$84,"&gt;0")/Aggregate!$X$1</f>
        <v>0</v>
      </c>
      <c r="R51" s="62" t="str">
        <f aca="false">VLOOKUP(Table10[[#This Row],[NAME]],ECR!C:E,3,FALSE())</f>
        <v>RB65</v>
      </c>
      <c r="S51" s="65"/>
      <c r="T51" s="66" t="n">
        <f aca="false">VLOOKUP(M51,Aggregate!P:X,9,FALSE())</f>
        <v>-42.752413372549</v>
      </c>
      <c r="U51" s="68"/>
      <c r="V51" s="62" t="n">
        <f aca="false">IFERROR(VLOOKUP(Table11[[#This Row],[NAME]],Aggregate!$AD:$AO,11,FALSE()),"")</f>
        <v>7</v>
      </c>
      <c r="W51" s="63" t="str">
        <f aca="false">Aggregate!AD45</f>
        <v>Wan'Dale Robinson</v>
      </c>
      <c r="X51" s="63" t="str">
        <f aca="false">VLOOKUP(Table11[[#This Row],[NAME]],Aggregate!AD:AO,4,FALSE())</f>
        <v>TEN/9</v>
      </c>
      <c r="Y51" s="62" t="n">
        <f aca="false">IFERROR(VLOOKUP(Table11[[#This Row],[NAME]],Aggregate!$AD:$AO,8,FALSE()),"")</f>
        <v>109.300014892033</v>
      </c>
      <c r="Z51" s="62" t="n">
        <f aca="false">IF(Scoring!$K$6="Auction",IFERROR(VLOOKUP(Table11[[#This Row],[NAME]],Aggregate!$AD:$AO,10,FALSE()),""),IFERROR(VLOOKUP(Table11[[#This Row],[NAME]],Aggregate!$AD:$AO,9,FALSE()),""))</f>
        <v>-16.3778638530653</v>
      </c>
      <c r="AA51" s="64" t="n">
        <f aca="false">SUMIFS(AD52:$AD$84,AC52:$AC$84,"&lt;&gt;x",AC52:$AC$84,"&lt;&gt;o",AD52:$AD$84,"&gt;0")/Aggregate!$AL$1</f>
        <v>0</v>
      </c>
      <c r="AB51" s="62" t="str">
        <f aca="false">VLOOKUP(Table11[[#This Row],[NAME]],ECR!C:E,3,FALSE())</f>
        <v>WR43</v>
      </c>
      <c r="AC51" s="65"/>
      <c r="AD51" s="66" t="n">
        <f aca="false">VLOOKUP(W51,Aggregate!AD:AL,9,FALSE())</f>
        <v>-16.3778638530653</v>
      </c>
      <c r="AF51" s="52"/>
      <c r="AG51" s="52"/>
    </row>
    <row r="52" customFormat="false" ht="14.25" hidden="false" customHeight="true" outlineLevel="0" collapsed="false">
      <c r="B52" s="62" t="n">
        <f aca="false">IFERROR(VLOOKUP(Table12[[#This Row],[NAME]],Aggregate!$AR:$BC,11,FALSE()),"")</f>
        <v>3</v>
      </c>
      <c r="C52" s="63" t="str">
        <f aca="false">Aggregate!AR8</f>
        <v>Harold Fannin Jr.</v>
      </c>
      <c r="D52" s="63" t="str">
        <f aca="false">VLOOKUP(Table12[[#This Row],[NAME]],Aggregate!AR:BD,4,FALSE())</f>
        <v>CLE/11</v>
      </c>
      <c r="E52" s="62" t="n">
        <f aca="false">IFERROR(VLOOKUP($C52,Aggregate!$AR:$BC,8,FALSE()),"")</f>
        <v>129.551974235294</v>
      </c>
      <c r="F52" s="62" t="n">
        <f aca="false">IF(Scoring!$K$6="Auction",IFERROR(VLOOKUP($C52,Aggregate!$AR:$BC,10,FALSE()),""),IFERROR(VLOOKUP($C52,Aggregate!$AR:$BC,9,FALSE()),""))</f>
        <v>16.9783767941176</v>
      </c>
      <c r="G52" s="64" t="n">
        <f aca="false">SUMIFS(J53:$J$84,I53:$I$84,"&lt;&gt;x",I53:$I$84,"&lt;&gt;o",J53:$J$84,"&gt;0")/Aggregate!$AZ$1</f>
        <v>0.246617740730018</v>
      </c>
      <c r="H52" s="62" t="str">
        <f aca="false">VLOOKUP(Table12[[#This Row],[NAME]],ECR!C:E,3,FALSE())</f>
        <v>TE6</v>
      </c>
      <c r="I52" s="65"/>
      <c r="J52" s="66" t="n">
        <f aca="false">VLOOKUP(C52,Aggregate!AR:AZ,9,FALSE())</f>
        <v>16.9783767941176</v>
      </c>
      <c r="K52" s="67"/>
      <c r="L52" s="62" t="n">
        <f aca="false">IFERROR(VLOOKUP(Table10[[#This Row],[NAME]],Aggregate!$P:$AA,11,FALSE()),"")</f>
        <v>8</v>
      </c>
      <c r="M52" s="63" t="str">
        <f aca="false">Aggregate!P47</f>
        <v>Jonah Coleman</v>
      </c>
      <c r="N52" s="63" t="str">
        <f aca="false">VLOOKUP(Table10[[#This Row],[NAME]],Aggregate!P:AA,4,FALSE())</f>
        <v>DEN/10</v>
      </c>
      <c r="O52" s="62" t="n">
        <f aca="false">IFERROR(VLOOKUP(Table10[[#This Row],[NAME]],Aggregate!$P:$AA,8,FALSE()),"")</f>
        <v>81.6355474705882</v>
      </c>
      <c r="P52" s="62" t="n">
        <f aca="false">IF(Scoring!$K$6="Auction",IFERROR(VLOOKUP(Table10[[#This Row],[NAME]],Aggregate!$P:$AA,10,FALSE()),""),IFERROR(VLOOKUP(Table10[[#This Row],[NAME]],Aggregate!$P:$AA,9,FALSE()),""))</f>
        <v>-45.9101909215686</v>
      </c>
      <c r="Q52" s="64" t="n">
        <f aca="false">SUMIFS(T53:$T$84,S53:$S$84,"&lt;&gt;x",S53:$S$84,"&lt;&gt;o",T53:$T$84,"&gt;0")/Aggregate!$X$1</f>
        <v>0</v>
      </c>
      <c r="R52" s="62" t="str">
        <f aca="false">VLOOKUP(Table10[[#This Row],[NAME]],ECR!C:E,3,FALSE())</f>
        <v>RB45</v>
      </c>
      <c r="S52" s="65"/>
      <c r="T52" s="66" t="n">
        <f aca="false">VLOOKUP(M52,Aggregate!P:X,9,FALSE())</f>
        <v>-45.9101909215686</v>
      </c>
      <c r="U52" s="68"/>
      <c r="V52" s="62" t="n">
        <f aca="false">IFERROR(VLOOKUP(Table11[[#This Row],[NAME]],Aggregate!$AD:$AO,11,FALSE()),"")</f>
        <v>7</v>
      </c>
      <c r="W52" s="63" t="str">
        <f aca="false">Aggregate!AD60</f>
        <v>Denzel Boston</v>
      </c>
      <c r="X52" s="63" t="str">
        <f aca="false">VLOOKUP(Table11[[#This Row],[NAME]],Aggregate!AD:AO,4,FALSE())</f>
        <v>CLE/11</v>
      </c>
      <c r="Y52" s="62" t="n">
        <f aca="false">IFERROR(VLOOKUP(Table11[[#This Row],[NAME]],Aggregate!$AD:$AO,8,FALSE()),"")</f>
        <v>107.646847009183</v>
      </c>
      <c r="Z52" s="62" t="n">
        <f aca="false">IF(Scoring!$K$6="Auction",IFERROR(VLOOKUP(Table11[[#This Row],[NAME]],Aggregate!$AD:$AO,10,FALSE()),""),IFERROR(VLOOKUP(Table11[[#This Row],[NAME]],Aggregate!$AD:$AO,9,FALSE()),""))</f>
        <v>-18.0310317359146</v>
      </c>
      <c r="AA52" s="64" t="n">
        <f aca="false">SUMIFS(AD53:$AD$84,AC53:$AC$84,"&lt;&gt;x",AC53:$AC$84,"&lt;&gt;o",AD53:$AD$84,"&gt;0")/Aggregate!$AL$1</f>
        <v>0</v>
      </c>
      <c r="AB52" s="62" t="str">
        <f aca="false">VLOOKUP(Table11[[#This Row],[NAME]],ECR!C:E,3,FALSE())</f>
        <v>WR58</v>
      </c>
      <c r="AC52" s="65"/>
      <c r="AD52" s="66" t="n">
        <f aca="false">VLOOKUP(W52,Aggregate!AD:AL,9,FALSE())</f>
        <v>-18.0310317359146</v>
      </c>
      <c r="AF52" s="52"/>
      <c r="AG52" s="52"/>
    </row>
    <row r="53" customFormat="false" ht="14.25" hidden="false" customHeight="true" outlineLevel="0" collapsed="false">
      <c r="B53" s="62" t="n">
        <f aca="false">IFERROR(VLOOKUP(Table12[[#This Row],[NAME]],Aggregate!$AR:$BC,11,FALSE()),"")</f>
        <v>3</v>
      </c>
      <c r="C53" s="63" t="str">
        <f aca="false">Aggregate!AR9</f>
        <v>Sam LaPorta</v>
      </c>
      <c r="D53" s="63" t="str">
        <f aca="false">VLOOKUP(Table12[[#This Row],[NAME]],Aggregate!AR:BD,4,FALSE())</f>
        <v>DET/6</v>
      </c>
      <c r="E53" s="62" t="n">
        <f aca="false">IFERROR(VLOOKUP($C53,Aggregate!$AR:$BC,8,FALSE()),"")</f>
        <v>124.128773088235</v>
      </c>
      <c r="F53" s="62" t="n">
        <f aca="false">IF(Scoring!$K$6="Auction",IFERROR(VLOOKUP($C53,Aggregate!$AR:$BC,10,FALSE()),""),IFERROR(VLOOKUP($C53,Aggregate!$AR:$BC,9,FALSE()),""))</f>
        <v>11.5551756470588</v>
      </c>
      <c r="G53" s="64" t="n">
        <f aca="false">SUMIFS(J54:$J$84,I54:$I$84,"&lt;&gt;x",I54:$I$84,"&lt;&gt;o",J54:$J$84,"&gt;0")/Aggregate!$AZ$1</f>
        <v>0.197893607061572</v>
      </c>
      <c r="H53" s="62" t="str">
        <f aca="false">VLOOKUP(Table12[[#This Row],[NAME]],ECR!C:E,3,FALSE())</f>
        <v>TE7</v>
      </c>
      <c r="I53" s="65"/>
      <c r="J53" s="66" t="n">
        <f aca="false">VLOOKUP(C53,Aggregate!AR:AZ,9,FALSE())</f>
        <v>11.5551756470588</v>
      </c>
      <c r="K53" s="67"/>
      <c r="L53" s="62" t="n">
        <f aca="false">IFERROR(VLOOKUP(Table10[[#This Row],[NAME]],Aggregate!$P:$AA,11,FALSE()),"")</f>
        <v>8</v>
      </c>
      <c r="M53" s="63" t="str">
        <f aca="false">Aggregate!P51</f>
        <v>Zach Charbonnet</v>
      </c>
      <c r="N53" s="63" t="str">
        <f aca="false">VLOOKUP(Table10[[#This Row],[NAME]],Aggregate!P:AA,4,FALSE())</f>
        <v>SEA/11</v>
      </c>
      <c r="O53" s="62" t="n">
        <f aca="false">IFERROR(VLOOKUP(Table10[[#This Row],[NAME]],Aggregate!$P:$AA,8,FALSE()),"")</f>
        <v>79.8213019607843</v>
      </c>
      <c r="P53" s="62" t="n">
        <f aca="false">IF(Scoring!$K$6="Auction",IFERROR(VLOOKUP(Table10[[#This Row],[NAME]],Aggregate!$P:$AA,10,FALSE()),""),IFERROR(VLOOKUP(Table10[[#This Row],[NAME]],Aggregate!$P:$AA,9,FALSE()),""))</f>
        <v>-47.7244364313726</v>
      </c>
      <c r="Q53" s="64" t="n">
        <f aca="false">SUMIFS(T54:$T$84,S54:$S$84,"&lt;&gt;x",S54:$S$84,"&lt;&gt;o",T54:$T$84,"&gt;0")/Aggregate!$X$1</f>
        <v>0</v>
      </c>
      <c r="R53" s="62" t="str">
        <f aca="false">VLOOKUP(Table10[[#This Row],[NAME]],ECR!C:E,3,FALSE())</f>
        <v>RB49</v>
      </c>
      <c r="S53" s="65"/>
      <c r="T53" s="66" t="n">
        <f aca="false">VLOOKUP(M53,Aggregate!P:X,9,FALSE())</f>
        <v>-47.7244364313726</v>
      </c>
      <c r="U53" s="68"/>
      <c r="V53" s="62" t="n">
        <f aca="false">IFERROR(VLOOKUP(Table11[[#This Row],[NAME]],Aggregate!$AD:$AO,11,FALSE()),"")</f>
        <v>7</v>
      </c>
      <c r="W53" s="63" t="str">
        <f aca="false">Aggregate!AD44</f>
        <v>Stefon Diggs</v>
      </c>
      <c r="X53" s="63" t="str">
        <f aca="false">VLOOKUP(Table11[[#This Row],[NAME]],Aggregate!AD:AO,4,FALSE())</f>
        <v>WAS/7</v>
      </c>
      <c r="Y53" s="62" t="n">
        <f aca="false">IFERROR(VLOOKUP(Table11[[#This Row],[NAME]],Aggregate!$AD:$AO,8,FALSE()),"")</f>
        <v>107.161464581782</v>
      </c>
      <c r="Z53" s="62" t="n">
        <f aca="false">IF(Scoring!$K$6="Auction",IFERROR(VLOOKUP(Table11[[#This Row],[NAME]],Aggregate!$AD:$AO,10,FALSE()),""),IFERROR(VLOOKUP(Table11[[#This Row],[NAME]],Aggregate!$AD:$AO,9,FALSE()),""))</f>
        <v>-18.516414163316</v>
      </c>
      <c r="AA53" s="64" t="n">
        <f aca="false">SUMIFS(AD54:$AD$84,AC54:$AC$84,"&lt;&gt;x",AC54:$AC$84,"&lt;&gt;o",AD54:$AD$84,"&gt;0")/Aggregate!$AL$1</f>
        <v>0</v>
      </c>
      <c r="AB53" s="62" t="str">
        <f aca="false">VLOOKUP(Table11[[#This Row],[NAME]],ECR!C:E,3,FALSE())</f>
        <v>WR42</v>
      </c>
      <c r="AC53" s="65"/>
      <c r="AD53" s="66" t="n">
        <f aca="false">VLOOKUP(W53,Aggregate!AD:AL,9,FALSE())</f>
        <v>-18.516414163316</v>
      </c>
      <c r="AF53" s="52"/>
      <c r="AG53" s="52"/>
    </row>
    <row r="54" customFormat="false" ht="14.25" hidden="false" customHeight="true" outlineLevel="0" collapsed="false">
      <c r="B54" s="62" t="n">
        <f aca="false">IFERROR(VLOOKUP(Table12[[#This Row],[NAME]],Aggregate!$AR:$BC,11,FALSE()),"")</f>
        <v>3</v>
      </c>
      <c r="C54" s="63" t="str">
        <f aca="false">Aggregate!AR10</f>
        <v>Kyle Pitts Sr.</v>
      </c>
      <c r="D54" s="63" t="str">
        <f aca="false">VLOOKUP(Table12[[#This Row],[NAME]],Aggregate!AR:BD,4,FALSE())</f>
        <v>ATL/11</v>
      </c>
      <c r="E54" s="62" t="n">
        <f aca="false">IFERROR(VLOOKUP($C54,Aggregate!$AR:$BC,8,FALSE()),"")</f>
        <v>124.00906</v>
      </c>
      <c r="F54" s="62" t="n">
        <f aca="false">IF(Scoring!$K$6="Auction",IFERROR(VLOOKUP($C54,Aggregate!$AR:$BC,10,FALSE()),""),IFERROR(VLOOKUP($C54,Aggregate!$AR:$BC,9,FALSE()),""))</f>
        <v>11.4354625588235</v>
      </c>
      <c r="G54" s="64" t="n">
        <f aca="false">SUMIFS(J55:$J$84,I55:$I$84,"&lt;&gt;x",I55:$I$84,"&lt;&gt;o",J55:$J$84,"&gt;0")/Aggregate!$AZ$1</f>
        <v>0.149674261610216</v>
      </c>
      <c r="H54" s="62" t="str">
        <f aca="false">VLOOKUP(Table12[[#This Row],[NAME]],ECR!C:E,3,FALSE())</f>
        <v>TE8</v>
      </c>
      <c r="I54" s="65"/>
      <c r="J54" s="66" t="n">
        <f aca="false">VLOOKUP(C54,Aggregate!AR:AZ,9,FALSE())</f>
        <v>11.4354625588235</v>
      </c>
      <c r="K54" s="67"/>
      <c r="L54" s="62" t="n">
        <f aca="false">IFERROR(VLOOKUP(Table10[[#This Row],[NAME]],Aggregate!$P:$AA,11,FALSE()),"")</f>
        <v>8</v>
      </c>
      <c r="M54" s="63" t="str">
        <f aca="false">Aggregate!P45</f>
        <v>Tyler Allgeier</v>
      </c>
      <c r="N54" s="63" t="str">
        <f aca="false">VLOOKUP(Table10[[#This Row],[NAME]],Aggregate!P:AA,4,FALSE())</f>
        <v>ARI/14</v>
      </c>
      <c r="O54" s="62" t="n">
        <f aca="false">IFERROR(VLOOKUP(Table10[[#This Row],[NAME]],Aggregate!$P:$AA,8,FALSE()),"")</f>
        <v>77.0269551764706</v>
      </c>
      <c r="P54" s="62" t="n">
        <f aca="false">IF(Scoring!$K$6="Auction",IFERROR(VLOOKUP(Table10[[#This Row],[NAME]],Aggregate!$P:$AA,10,FALSE()),""),IFERROR(VLOOKUP(Table10[[#This Row],[NAME]],Aggregate!$P:$AA,9,FALSE()),""))</f>
        <v>-50.5187832156863</v>
      </c>
      <c r="Q54" s="64" t="n">
        <f aca="false">SUMIFS(T55:$T$84,S55:$S$84,"&lt;&gt;x",S55:$S$84,"&lt;&gt;o",T55:$T$84,"&gt;0")/Aggregate!$X$1</f>
        <v>0</v>
      </c>
      <c r="R54" s="62" t="str">
        <f aca="false">VLOOKUP(Table10[[#This Row],[NAME]],ECR!C:E,3,FALSE())</f>
        <v>RB43</v>
      </c>
      <c r="S54" s="65"/>
      <c r="T54" s="66" t="n">
        <f aca="false">VLOOKUP(M54,Aggregate!P:X,9,FALSE())</f>
        <v>-50.5187832156863</v>
      </c>
      <c r="U54" s="68"/>
      <c r="V54" s="62" t="n">
        <f aca="false">IFERROR(VLOOKUP(Table11[[#This Row],[NAME]],Aggregate!$AD:$AO,11,FALSE()),"")</f>
        <v>7</v>
      </c>
      <c r="W54" s="63" t="str">
        <f aca="false">Aggregate!AD54</f>
        <v>Xavier Worthy</v>
      </c>
      <c r="X54" s="63" t="str">
        <f aca="false">VLOOKUP(Table11[[#This Row],[NAME]],Aggregate!AD:AO,4,FALSE())</f>
        <v>KC/5</v>
      </c>
      <c r="Y54" s="62" t="n">
        <f aca="false">IFERROR(VLOOKUP(Table11[[#This Row],[NAME]],Aggregate!$AD:$AO,8,FALSE()),"")</f>
        <v>107.105452965997</v>
      </c>
      <c r="Z54" s="62" t="n">
        <f aca="false">IF(Scoring!$K$6="Auction",IFERROR(VLOOKUP(Table11[[#This Row],[NAME]],Aggregate!$AD:$AO,10,FALSE()),""),IFERROR(VLOOKUP(Table11[[#This Row],[NAME]],Aggregate!$AD:$AO,9,FALSE()),""))</f>
        <v>-18.5724257791015</v>
      </c>
      <c r="AA54" s="64" t="n">
        <f aca="false">SUMIFS(AD55:$AD$84,AC55:$AC$84,"&lt;&gt;x",AC55:$AC$84,"&lt;&gt;o",AD55:$AD$84,"&gt;0")/Aggregate!$AL$1</f>
        <v>0</v>
      </c>
      <c r="AB54" s="62" t="str">
        <f aca="false">VLOOKUP(Table11[[#This Row],[NAME]],ECR!C:E,3,FALSE())</f>
        <v>WR52</v>
      </c>
      <c r="AC54" s="65"/>
      <c r="AD54" s="66" t="n">
        <f aca="false">VLOOKUP(W54,Aggregate!AD:AL,9,FALSE())</f>
        <v>-18.5724257791015</v>
      </c>
      <c r="AF54" s="52"/>
      <c r="AG54" s="52"/>
    </row>
    <row r="55" customFormat="false" ht="14.25" hidden="false" customHeight="true" outlineLevel="0" collapsed="false">
      <c r="B55" s="62" t="n">
        <f aca="false">IFERROR(VLOOKUP(Table12[[#This Row],[NAME]],Aggregate!$AR:$BC,11,FALSE()),"")</f>
        <v>3</v>
      </c>
      <c r="C55" s="63" t="str">
        <f aca="false">Aggregate!AR7</f>
        <v>Tucker Kraft</v>
      </c>
      <c r="D55" s="63" t="str">
        <f aca="false">VLOOKUP(Table12[[#This Row],[NAME]],Aggregate!AR:BD,4,FALSE())</f>
        <v>GB/11</v>
      </c>
      <c r="E55" s="62" t="n">
        <f aca="false">IFERROR(VLOOKUP($C55,Aggregate!$AR:$BC,8,FALSE()),"")</f>
        <v>124.004311803922</v>
      </c>
      <c r="F55" s="62" t="n">
        <f aca="false">IF(Scoring!$K$6="Auction",IFERROR(VLOOKUP($C55,Aggregate!$AR:$BC,10,FALSE()),""),IFERROR(VLOOKUP($C55,Aggregate!$AR:$BC,9,FALSE()),""))</f>
        <v>11.4307143627451</v>
      </c>
      <c r="G55" s="64" t="n">
        <f aca="false">SUMIFS(J56:$J$84,I56:$I$84,"&lt;&gt;x",I56:$I$84,"&lt;&gt;o",J56:$J$84,"&gt;0")/Aggregate!$AZ$1</f>
        <v>0.101474937640789</v>
      </c>
      <c r="H55" s="62" t="str">
        <f aca="false">VLOOKUP(Table12[[#This Row],[NAME]],ECR!C:E,3,FALSE())</f>
        <v>TE5</v>
      </c>
      <c r="I55" s="65"/>
      <c r="J55" s="66" t="n">
        <f aca="false">VLOOKUP(C55,Aggregate!AR:AZ,9,FALSE())</f>
        <v>11.4307143627451</v>
      </c>
      <c r="K55" s="67"/>
      <c r="L55" s="62" t="n">
        <f aca="false">IFERROR(VLOOKUP(Table10[[#This Row],[NAME]],Aggregate!$P:$AA,11,FALSE()),"")</f>
        <v>9</v>
      </c>
      <c r="M55" s="63" t="str">
        <f aca="false">Aggregate!P53</f>
        <v>Dylan Sampson</v>
      </c>
      <c r="N55" s="63" t="str">
        <f aca="false">VLOOKUP(Table10[[#This Row],[NAME]],Aggregate!P:AA,4,FALSE())</f>
        <v>CLE/11</v>
      </c>
      <c r="O55" s="62" t="n">
        <f aca="false">IFERROR(VLOOKUP(Table10[[#This Row],[NAME]],Aggregate!$P:$AA,8,FALSE()),"")</f>
        <v>71.1479323529412</v>
      </c>
      <c r="P55" s="62" t="n">
        <f aca="false">IF(Scoring!$K$6="Auction",IFERROR(VLOOKUP(Table10[[#This Row],[NAME]],Aggregate!$P:$AA,10,FALSE()),""),IFERROR(VLOOKUP(Table10[[#This Row],[NAME]],Aggregate!$P:$AA,9,FALSE()),""))</f>
        <v>-56.3978060392157</v>
      </c>
      <c r="Q55" s="64" t="n">
        <f aca="false">SUMIFS(T56:$T$84,S56:$S$84,"&lt;&gt;x",S56:$S$84,"&lt;&gt;o",T56:$T$84,"&gt;0")/Aggregate!$X$1</f>
        <v>0</v>
      </c>
      <c r="R55" s="62" t="str">
        <f aca="false">VLOOKUP(Table10[[#This Row],[NAME]],ECR!C:E,3,FALSE())</f>
        <v>RB51</v>
      </c>
      <c r="S55" s="65"/>
      <c r="T55" s="66" t="n">
        <f aca="false">VLOOKUP(M55,Aggregate!P:X,9,FALSE())</f>
        <v>-56.3978060392157</v>
      </c>
      <c r="U55" s="68"/>
      <c r="V55" s="62" t="n">
        <f aca="false">IFERROR(VLOOKUP(Table11[[#This Row],[NAME]],Aggregate!$AD:$AO,11,FALSE()),"")</f>
        <v>7</v>
      </c>
      <c r="W55" s="63" t="str">
        <f aca="false">Aggregate!AD52</f>
        <v>Matthew Golden</v>
      </c>
      <c r="X55" s="63" t="str">
        <f aca="false">VLOOKUP(Table11[[#This Row],[NAME]],Aggregate!AD:AO,4,FALSE())</f>
        <v>GB/11</v>
      </c>
      <c r="Y55" s="62" t="n">
        <f aca="false">IFERROR(VLOOKUP(Table11[[#This Row],[NAME]],Aggregate!$AD:$AO,8,FALSE()),"")</f>
        <v>106.90559568131</v>
      </c>
      <c r="Z55" s="62" t="n">
        <f aca="false">IF(Scoring!$K$6="Auction",IFERROR(VLOOKUP(Table11[[#This Row],[NAME]],Aggregate!$AD:$AO,10,FALSE()),""),IFERROR(VLOOKUP(Table11[[#This Row],[NAME]],Aggregate!$AD:$AO,9,FALSE()),""))</f>
        <v>-18.7722830637875</v>
      </c>
      <c r="AA55" s="64" t="n">
        <f aca="false">SUMIFS(AD56:$AD$84,AC56:$AC$84,"&lt;&gt;x",AC56:$AC$84,"&lt;&gt;o",AD56:$AD$84,"&gt;0")/Aggregate!$AL$1</f>
        <v>0</v>
      </c>
      <c r="AB55" s="62" t="str">
        <f aca="false">VLOOKUP(Table11[[#This Row],[NAME]],ECR!C:E,3,FALSE())</f>
        <v>WR50</v>
      </c>
      <c r="AC55" s="65"/>
      <c r="AD55" s="66" t="n">
        <f aca="false">VLOOKUP(W55,Aggregate!AD:AL,9,FALSE())</f>
        <v>-18.7722830637875</v>
      </c>
      <c r="AF55" s="52"/>
      <c r="AG55" s="52"/>
    </row>
    <row r="56" customFormat="false" ht="14.25" hidden="false" customHeight="true" outlineLevel="0" collapsed="false">
      <c r="B56" s="62" t="n">
        <f aca="false">IFERROR(VLOOKUP(Table12[[#This Row],[NAME]],Aggregate!$AR:$BC,11,FALSE()),"")</f>
        <v>3</v>
      </c>
      <c r="C56" s="63" t="str">
        <f aca="false">Aggregate!AR11</f>
        <v>George Kittle</v>
      </c>
      <c r="D56" s="63" t="str">
        <f aca="false">VLOOKUP(Table12[[#This Row],[NAME]],Aggregate!AR:BD,4,FALSE())</f>
        <v>SF/8</v>
      </c>
      <c r="E56" s="62" t="n">
        <f aca="false">IFERROR(VLOOKUP($C56,Aggregate!$AR:$BC,8,FALSE()),"")</f>
        <v>123.715208509804</v>
      </c>
      <c r="F56" s="62" t="n">
        <f aca="false">IF(Scoring!$K$6="Auction",IFERROR(VLOOKUP($C56,Aggregate!$AR:$BC,10,FALSE()),""),IFERROR(VLOOKUP($C56,Aggregate!$AR:$BC,9,FALSE()),""))</f>
        <v>11.1416110686274</v>
      </c>
      <c r="G56" s="64" t="n">
        <f aca="false">SUMIFS(J57:$J$84,I57:$I$84,"&lt;&gt;x",I57:$I$84,"&lt;&gt;o",J57:$J$84,"&gt;0")/Aggregate!$AZ$1</f>
        <v>0.0544946611334547</v>
      </c>
      <c r="H56" s="62" t="str">
        <f aca="false">VLOOKUP(Table12[[#This Row],[NAME]],ECR!C:E,3,FALSE())</f>
        <v>TE9</v>
      </c>
      <c r="I56" s="65"/>
      <c r="J56" s="66" t="n">
        <f aca="false">VLOOKUP(C56,Aggregate!AR:AZ,9,FALSE())</f>
        <v>11.1416110686274</v>
      </c>
      <c r="K56" s="67"/>
      <c r="L56" s="62" t="n">
        <f aca="false">IFERROR(VLOOKUP(Table10[[#This Row],[NAME]],Aggregate!$P:$AA,11,FALSE()),"")</f>
        <v>9</v>
      </c>
      <c r="M56" s="63" t="str">
        <f aca="false">Aggregate!P55</f>
        <v>Alvin Kamara</v>
      </c>
      <c r="N56" s="63" t="str">
        <f aca="false">VLOOKUP(Table10[[#This Row],[NAME]],Aggregate!P:AA,4,FALSE())</f>
        <v>NO/8</v>
      </c>
      <c r="O56" s="62" t="n">
        <f aca="false">IFERROR(VLOOKUP(Table10[[#This Row],[NAME]],Aggregate!$P:$AA,8,FALSE()),"")</f>
        <v>71.039657254902</v>
      </c>
      <c r="P56" s="62" t="n">
        <f aca="false">IF(Scoring!$K$6="Auction",IFERROR(VLOOKUP(Table10[[#This Row],[NAME]],Aggregate!$P:$AA,10,FALSE()),""),IFERROR(VLOOKUP(Table10[[#This Row],[NAME]],Aggregate!$P:$AA,9,FALSE()),""))</f>
        <v>-56.5060811372549</v>
      </c>
      <c r="Q56" s="64" t="n">
        <f aca="false">SUMIFS(T57:$T$84,S57:$S$84,"&lt;&gt;x",S57:$S$84,"&lt;&gt;o",T57:$T$84,"&gt;0")/Aggregate!$X$1</f>
        <v>0</v>
      </c>
      <c r="R56" s="62" t="str">
        <f aca="false">VLOOKUP(Table10[[#This Row],[NAME]],ECR!C:E,3,FALSE())</f>
        <v>RB53</v>
      </c>
      <c r="S56" s="65"/>
      <c r="T56" s="66" t="n">
        <f aca="false">VLOOKUP(M56,Aggregate!P:X,9,FALSE())</f>
        <v>-56.5060811372549</v>
      </c>
      <c r="U56" s="68"/>
      <c r="V56" s="62" t="n">
        <f aca="false">IFERROR(VLOOKUP(Table11[[#This Row],[NAME]],Aggregate!$AD:$AO,11,FALSE()),"")</f>
        <v>7</v>
      </c>
      <c r="W56" s="63" t="str">
        <f aca="false">Aggregate!AD53</f>
        <v>Romeo Doubs</v>
      </c>
      <c r="X56" s="63" t="str">
        <f aca="false">VLOOKUP(Table11[[#This Row],[NAME]],Aggregate!AD:AO,4,FALSE())</f>
        <v>NE/11</v>
      </c>
      <c r="Y56" s="62" t="n">
        <f aca="false">IFERROR(VLOOKUP(Table11[[#This Row],[NAME]],Aggregate!$AD:$AO,8,FALSE()),"")</f>
        <v>104.990627649541</v>
      </c>
      <c r="Z56" s="62" t="n">
        <f aca="false">IF(Scoring!$K$6="Auction",IFERROR(VLOOKUP(Table11[[#This Row],[NAME]],Aggregate!$AD:$AO,10,FALSE()),""),IFERROR(VLOOKUP(Table11[[#This Row],[NAME]],Aggregate!$AD:$AO,9,FALSE()),""))</f>
        <v>-20.6872510955572</v>
      </c>
      <c r="AA56" s="64" t="n">
        <f aca="false">SUMIFS(AD57:$AD$84,AC57:$AC$84,"&lt;&gt;x",AC57:$AC$84,"&lt;&gt;o",AD57:$AD$84,"&gt;0")/Aggregate!$AL$1</f>
        <v>0</v>
      </c>
      <c r="AB56" s="62" t="str">
        <f aca="false">VLOOKUP(Table11[[#This Row],[NAME]],ECR!C:E,3,FALSE())</f>
        <v>WR51</v>
      </c>
      <c r="AC56" s="65"/>
      <c r="AD56" s="66" t="n">
        <f aca="false">VLOOKUP(W56,Aggregate!AD:AL,9,FALSE())</f>
        <v>-20.6872510955572</v>
      </c>
      <c r="AF56" s="52"/>
      <c r="AG56" s="52"/>
    </row>
    <row r="57" customFormat="false" ht="14.25" hidden="false" customHeight="true" outlineLevel="0" collapsed="false">
      <c r="B57" s="62" t="n">
        <f aca="false">IFERROR(VLOOKUP(Table12[[#This Row],[NAME]],Aggregate!$AR:$BC,11,FALSE()),"")</f>
        <v>4</v>
      </c>
      <c r="C57" s="63" t="str">
        <f aca="false">Aggregate!AR12</f>
        <v>Travis Kelce</v>
      </c>
      <c r="D57" s="63" t="str">
        <f aca="false">VLOOKUP(Table12[[#This Row],[NAME]],Aggregate!AR:BD,4,FALSE())</f>
        <v>KC/5</v>
      </c>
      <c r="E57" s="62" t="n">
        <f aca="false">IFERROR(VLOOKUP($C57,Aggregate!$AR:$BC,8,FALSE()),"")</f>
        <v>120.133619607843</v>
      </c>
      <c r="F57" s="62" t="n">
        <f aca="false">IF(Scoring!$K$6="Auction",IFERROR(VLOOKUP($C57,Aggregate!$AR:$BC,10,FALSE()),""),IFERROR(VLOOKUP($C57,Aggregate!$AR:$BC,9,FALSE()),""))</f>
        <v>7.56002216666667</v>
      </c>
      <c r="G57" s="64" t="n">
        <f aca="false">SUMIFS(J58:$J$84,I58:$I$84,"&lt;&gt;x",I58:$I$84,"&lt;&gt;o",J58:$J$84,"&gt;0")/Aggregate!$AZ$1</f>
        <v>0.022616692175117</v>
      </c>
      <c r="H57" s="62" t="str">
        <f aca="false">VLOOKUP(Table12[[#This Row],[NAME]],ECR!C:E,3,FALSE())</f>
        <v>TE10</v>
      </c>
      <c r="I57" s="65"/>
      <c r="J57" s="66" t="n">
        <f aca="false">VLOOKUP(C57,Aggregate!AR:AZ,9,FALSE())</f>
        <v>7.56002216666667</v>
      </c>
      <c r="K57" s="67"/>
      <c r="L57" s="62" t="n">
        <f aca="false">IFERROR(VLOOKUP(Table10[[#This Row],[NAME]],Aggregate!$P:$AA,11,FALSE()),"")</f>
        <v>9</v>
      </c>
      <c r="M57" s="63" t="str">
        <f aca="false">Aggregate!P57</f>
        <v>Emmett Johnson</v>
      </c>
      <c r="N57" s="63" t="str">
        <f aca="false">VLOOKUP(Table10[[#This Row],[NAME]],Aggregate!P:AA,4,FALSE())</f>
        <v>KC/5</v>
      </c>
      <c r="O57" s="62" t="n">
        <f aca="false">IFERROR(VLOOKUP(Table10[[#This Row],[NAME]],Aggregate!$P:$AA,8,FALSE()),"")</f>
        <v>69.7457850980392</v>
      </c>
      <c r="P57" s="62" t="n">
        <f aca="false">IF(Scoring!$K$6="Auction",IFERROR(VLOOKUP(Table10[[#This Row],[NAME]],Aggregate!$P:$AA,10,FALSE()),""),IFERROR(VLOOKUP(Table10[[#This Row],[NAME]],Aggregate!$P:$AA,9,FALSE()),""))</f>
        <v>-57.7999532941176</v>
      </c>
      <c r="Q57" s="64" t="n">
        <f aca="false">SUMIFS(T58:$T$84,S58:$S$84,"&lt;&gt;x",S58:$S$84,"&lt;&gt;o",T58:$T$84,"&gt;0")/Aggregate!$X$1</f>
        <v>0</v>
      </c>
      <c r="R57" s="62" t="str">
        <f aca="false">VLOOKUP(Table10[[#This Row],[NAME]],ECR!C:E,3,FALSE())</f>
        <v>RB55</v>
      </c>
      <c r="S57" s="65"/>
      <c r="T57" s="66" t="n">
        <f aca="false">VLOOKUP(M57,Aggregate!P:X,9,FALSE())</f>
        <v>-57.7999532941176</v>
      </c>
      <c r="U57" s="68"/>
      <c r="V57" s="62" t="n">
        <f aca="false">IFERROR(VLOOKUP(Table11[[#This Row],[NAME]],Aggregate!$AD:$AO,11,FALSE()),"")</f>
        <v>7</v>
      </c>
      <c r="W57" s="63" t="str">
        <f aca="false">Aggregate!AD43</f>
        <v>Josh Downs</v>
      </c>
      <c r="X57" s="63" t="str">
        <f aca="false">VLOOKUP(Table11[[#This Row],[NAME]],Aggregate!AD:AO,4,FALSE())</f>
        <v>IND/13</v>
      </c>
      <c r="Y57" s="62" t="n">
        <f aca="false">IFERROR(VLOOKUP(Table11[[#This Row],[NAME]],Aggregate!$AD:$AO,8,FALSE()),"")</f>
        <v>104.329370811616</v>
      </c>
      <c r="Z57" s="62" t="n">
        <f aca="false">IF(Scoring!$K$6="Auction",IFERROR(VLOOKUP(Table11[[#This Row],[NAME]],Aggregate!$AD:$AO,10,FALSE()),""),IFERROR(VLOOKUP(Table11[[#This Row],[NAME]],Aggregate!$AD:$AO,9,FALSE()),""))</f>
        <v>-21.3485079334822</v>
      </c>
      <c r="AA57" s="64" t="n">
        <f aca="false">SUMIFS(AD58:$AD$84,AC58:$AC$84,"&lt;&gt;x",AC58:$AC$84,"&lt;&gt;o",AD58:$AD$84,"&gt;0")/Aggregate!$AL$1</f>
        <v>0</v>
      </c>
      <c r="AB57" s="62" t="str">
        <f aca="false">VLOOKUP(Table11[[#This Row],[NAME]],ECR!C:E,3,FALSE())</f>
        <v>WR41</v>
      </c>
      <c r="AC57" s="65"/>
      <c r="AD57" s="66" t="n">
        <f aca="false">VLOOKUP(W57,Aggregate!AD:AL,9,FALSE())</f>
        <v>-21.3485079334822</v>
      </c>
      <c r="AF57" s="52"/>
      <c r="AG57" s="52"/>
    </row>
    <row r="58" customFormat="false" ht="14.25" hidden="false" customHeight="true" outlineLevel="0" collapsed="false">
      <c r="B58" s="62" t="n">
        <f aca="false">IFERROR(VLOOKUP(Table12[[#This Row],[NAME]],Aggregate!$AR:$BC,11,FALSE()),"")</f>
        <v>4</v>
      </c>
      <c r="C58" s="63" t="str">
        <f aca="false">Aggregate!AR15</f>
        <v>Dallas Goedert</v>
      </c>
      <c r="D58" s="63" t="str">
        <f aca="false">VLOOKUP(Table12[[#This Row],[NAME]],Aggregate!AR:BD,4,FALSE())</f>
        <v>PHI/10</v>
      </c>
      <c r="E58" s="62" t="n">
        <f aca="false">IFERROR(VLOOKUP($C58,Aggregate!$AR:$BC,8,FALSE()),"")</f>
        <v>117.937260803922</v>
      </c>
      <c r="F58" s="62" t="n">
        <f aca="false">IF(Scoring!$K$6="Auction",IFERROR(VLOOKUP($C58,Aggregate!$AR:$BC,10,FALSE()),""),IFERROR(VLOOKUP($C58,Aggregate!$AR:$BC,9,FALSE()),""))</f>
        <v>5.36366336274509</v>
      </c>
      <c r="G58" s="64" t="n">
        <f aca="false">SUMIFS(J59:$J$84,I59:$I$84,"&lt;&gt;x",I59:$I$84,"&lt;&gt;o",J59:$J$84,"&gt;0")/Aggregate!$AZ$1</f>
        <v>0</v>
      </c>
      <c r="H58" s="62" t="str">
        <f aca="false">VLOOKUP(Table12[[#This Row],[NAME]],ECR!C:E,3,FALSE())</f>
        <v>TE13</v>
      </c>
      <c r="I58" s="65"/>
      <c r="J58" s="66" t="n">
        <f aca="false">VLOOKUP(C58,Aggregate!AR:AZ,9,FALSE())</f>
        <v>5.36366336274509</v>
      </c>
      <c r="K58" s="67"/>
      <c r="L58" s="62" t="n">
        <f aca="false">IFERROR(VLOOKUP(Table10[[#This Row],[NAME]],Aggregate!$P:$AA,11,FALSE()),"")</f>
        <v>9</v>
      </c>
      <c r="M58" s="63" t="str">
        <f aca="false">Aggregate!P54</f>
        <v>Braelon Allen</v>
      </c>
      <c r="N58" s="63" t="str">
        <f aca="false">VLOOKUP(Table10[[#This Row],[NAME]],Aggregate!P:AA,4,FALSE())</f>
        <v>NYJ/13</v>
      </c>
      <c r="O58" s="62" t="n">
        <f aca="false">IFERROR(VLOOKUP(Table10[[#This Row],[NAME]],Aggregate!$P:$AA,8,FALSE()),"")</f>
        <v>69.299022627451</v>
      </c>
      <c r="P58" s="62" t="n">
        <f aca="false">IF(Scoring!$K$6="Auction",IFERROR(VLOOKUP(Table10[[#This Row],[NAME]],Aggregate!$P:$AA,10,FALSE()),""),IFERROR(VLOOKUP(Table10[[#This Row],[NAME]],Aggregate!$P:$AA,9,FALSE()),""))</f>
        <v>-58.2467157647059</v>
      </c>
      <c r="Q58" s="64" t="n">
        <f aca="false">SUMIFS(T59:$T$84,S59:$S$84,"&lt;&gt;x",S59:$S$84,"&lt;&gt;o",T59:$T$84,"&gt;0")/Aggregate!$X$1</f>
        <v>0</v>
      </c>
      <c r="R58" s="62" t="str">
        <f aca="false">VLOOKUP(Table10[[#This Row],[NAME]],ECR!C:E,3,FALSE())</f>
        <v>RB52</v>
      </c>
      <c r="S58" s="65"/>
      <c r="T58" s="66" t="n">
        <f aca="false">VLOOKUP(M58,Aggregate!P:X,9,FALSE())</f>
        <v>-58.2467157647059</v>
      </c>
      <c r="U58" s="68"/>
      <c r="V58" s="62" t="n">
        <f aca="false">IFERROR(VLOOKUP(Table11[[#This Row],[NAME]],Aggregate!$AD:$AO,11,FALSE()),"")</f>
        <v>7</v>
      </c>
      <c r="W58" s="63" t="str">
        <f aca="false">Aggregate!AD57</f>
        <v>Deebo Samuel Sr.</v>
      </c>
      <c r="X58" s="63" t="str">
        <f aca="false">VLOOKUP(Table11[[#This Row],[NAME]],Aggregate!AD:AO,4,FALSE())</f>
        <v>SF/8</v>
      </c>
      <c r="Y58" s="62" t="n">
        <f aca="false">IFERROR(VLOOKUP(Table11[[#This Row],[NAME]],Aggregate!$AD:$AO,8,FALSE()),"")</f>
        <v>103.453866964507</v>
      </c>
      <c r="Z58" s="62" t="n">
        <f aca="false">IF(Scoring!$K$6="Auction",IFERROR(VLOOKUP(Table11[[#This Row],[NAME]],Aggregate!$AD:$AO,10,FALSE()),""),IFERROR(VLOOKUP(Table11[[#This Row],[NAME]],Aggregate!$AD:$AO,9,FALSE()),""))</f>
        <v>-22.2240117805907</v>
      </c>
      <c r="AA58" s="64" t="n">
        <f aca="false">SUMIFS(AD59:$AD$84,AC59:$AC$84,"&lt;&gt;x",AC59:$AC$84,"&lt;&gt;o",AD59:$AD$84,"&gt;0")/Aggregate!$AL$1</f>
        <v>0</v>
      </c>
      <c r="AB58" s="62" t="str">
        <f aca="false">VLOOKUP(Table11[[#This Row],[NAME]],ECR!C:E,3,FALSE())</f>
        <v>WR55</v>
      </c>
      <c r="AC58" s="65"/>
      <c r="AD58" s="66" t="n">
        <f aca="false">VLOOKUP(W58,Aggregate!AD:AL,9,FALSE())</f>
        <v>-22.2240117805907</v>
      </c>
      <c r="AF58" s="52"/>
      <c r="AG58" s="52"/>
    </row>
    <row r="59" customFormat="false" ht="14.25" hidden="false" customHeight="true" outlineLevel="0" collapsed="false">
      <c r="B59" s="62" t="n">
        <f aca="false">IFERROR(VLOOKUP(Table12[[#This Row],[NAME]],Aggregate!$AR:$BC,11,FALSE()),"")</f>
        <v>4</v>
      </c>
      <c r="C59" s="63" t="str">
        <f aca="false">Aggregate!AR13</f>
        <v>Dalton Kincaid</v>
      </c>
      <c r="D59" s="63" t="str">
        <f aca="false">VLOOKUP(Table12[[#This Row],[NAME]],Aggregate!AR:BD,4,FALSE())</f>
        <v>BUF/7</v>
      </c>
      <c r="E59" s="62" t="n">
        <f aca="false">IFERROR(VLOOKUP($C59,Aggregate!$AR:$BC,8,FALSE()),"")</f>
        <v>112.573597441176</v>
      </c>
      <c r="F59" s="62" t="n">
        <f aca="false">IF(Scoring!$K$6="Auction",IFERROR(VLOOKUP($C59,Aggregate!$AR:$BC,10,FALSE()),""),IFERROR(VLOOKUP($C59,Aggregate!$AR:$BC,9,FALSE()),""))</f>
        <v>0</v>
      </c>
      <c r="G59" s="64" t="n">
        <f aca="false">SUMIFS(J60:$J$84,I60:$I$84,"&lt;&gt;x",I60:$I$84,"&lt;&gt;o",J60:$J$84,"&gt;0")/Aggregate!$AZ$1</f>
        <v>0</v>
      </c>
      <c r="H59" s="62" t="str">
        <f aca="false">VLOOKUP(Table12[[#This Row],[NAME]],ECR!C:E,3,FALSE())</f>
        <v>TE11</v>
      </c>
      <c r="I59" s="65"/>
      <c r="J59" s="66" t="n">
        <f aca="false">VLOOKUP(C59,Aggregate!AR:AZ,9,FALSE())</f>
        <v>0</v>
      </c>
      <c r="K59" s="67"/>
      <c r="L59" s="62" t="n">
        <f aca="false">IFERROR(VLOOKUP(Table10[[#This Row],[NAME]],Aggregate!$P:$AA,11,FALSE()),"")</f>
        <v>9</v>
      </c>
      <c r="M59" s="63" t="str">
        <f aca="false">Aggregate!P71</f>
        <v>Justice Hill</v>
      </c>
      <c r="N59" s="63" t="str">
        <f aca="false">VLOOKUP(Table10[[#This Row],[NAME]],Aggregate!P:AA,4,FALSE())</f>
        <v>BAL/13</v>
      </c>
      <c r="O59" s="62" t="n">
        <f aca="false">IFERROR(VLOOKUP(Table10[[#This Row],[NAME]],Aggregate!$P:$AA,8,FALSE()),"")</f>
        <v>67.843431372549</v>
      </c>
      <c r="P59" s="62" t="n">
        <f aca="false">IF(Scoring!$K$6="Auction",IFERROR(VLOOKUP(Table10[[#This Row],[NAME]],Aggregate!$P:$AA,10,FALSE()),""),IFERROR(VLOOKUP(Table10[[#This Row],[NAME]],Aggregate!$P:$AA,9,FALSE()),""))</f>
        <v>-59.7023070196079</v>
      </c>
      <c r="Q59" s="64" t="n">
        <f aca="false">SUMIFS(T60:$T$84,S60:$S$84,"&lt;&gt;x",S60:$S$84,"&lt;&gt;o",T60:$T$84,"&gt;0")/Aggregate!$X$1</f>
        <v>0</v>
      </c>
      <c r="R59" s="62" t="str">
        <f aca="false">VLOOKUP(Table10[[#This Row],[NAME]],ECR!C:E,3,FALSE())</f>
        <v>RB69</v>
      </c>
      <c r="S59" s="65"/>
      <c r="T59" s="66" t="n">
        <f aca="false">VLOOKUP(M59,Aggregate!P:X,9,FALSE())</f>
        <v>-59.7023070196079</v>
      </c>
      <c r="U59" s="68"/>
      <c r="V59" s="62" t="n">
        <f aca="false">IFERROR(VLOOKUP(Table11[[#This Row],[NAME]],Aggregate!$AD:$AO,11,FALSE()),"")</f>
        <v>7</v>
      </c>
      <c r="W59" s="63" t="str">
        <f aca="false">Aggregate!AD59</f>
        <v>Rashid Shaheed</v>
      </c>
      <c r="X59" s="63" t="str">
        <f aca="false">VLOOKUP(Table11[[#This Row],[NAME]],Aggregate!AD:AO,4,FALSE())</f>
        <v>SEA/11</v>
      </c>
      <c r="Y59" s="62" t="n">
        <f aca="false">IFERROR(VLOOKUP(Table11[[#This Row],[NAME]],Aggregate!$AD:$AO,8,FALSE()),"")</f>
        <v>101.260594440308</v>
      </c>
      <c r="Z59" s="62" t="n">
        <f aca="false">IF(Scoring!$K$6="Auction",IFERROR(VLOOKUP(Table11[[#This Row],[NAME]],Aggregate!$AD:$AO,10,FALSE()),""),IFERROR(VLOOKUP(Table11[[#This Row],[NAME]],Aggregate!$AD:$AO,9,FALSE()),""))</f>
        <v>-24.4172843047902</v>
      </c>
      <c r="AA59" s="64" t="n">
        <f aca="false">SUMIFS(AD60:$AD$84,AC60:$AC$84,"&lt;&gt;x",AC60:$AC$84,"&lt;&gt;o",AD60:$AD$84,"&gt;0")/Aggregate!$AL$1</f>
        <v>0</v>
      </c>
      <c r="AB59" s="62" t="str">
        <f aca="false">VLOOKUP(Table11[[#This Row],[NAME]],ECR!C:E,3,FALSE())</f>
        <v>WR57</v>
      </c>
      <c r="AC59" s="65"/>
      <c r="AD59" s="66" t="n">
        <f aca="false">VLOOKUP(W59,Aggregate!AD:AL,9,FALSE())</f>
        <v>-24.4172843047902</v>
      </c>
      <c r="AF59" s="52"/>
      <c r="AG59" s="52"/>
    </row>
    <row r="60" customFormat="false" ht="14.25" hidden="false" customHeight="true" outlineLevel="0" collapsed="false">
      <c r="B60" s="62" t="n">
        <f aca="false">IFERROR(VLOOKUP(Table12[[#This Row],[NAME]],Aggregate!$AR:$BC,11,FALSE()),"")</f>
        <v>4</v>
      </c>
      <c r="C60" s="63" t="str">
        <f aca="false">Aggregate!AR14</f>
        <v>Isaiah Likely</v>
      </c>
      <c r="D60" s="63" t="str">
        <f aca="false">VLOOKUP(Table12[[#This Row],[NAME]],Aggregate!AR:BD,4,FALSE())</f>
        <v>NYG/8</v>
      </c>
      <c r="E60" s="62" t="n">
        <f aca="false">IFERROR(VLOOKUP($C60,Aggregate!$AR:$BC,8,FALSE()),"")</f>
        <v>112.228894588235</v>
      </c>
      <c r="F60" s="62" t="n">
        <f aca="false">IF(Scoring!$K$6="Auction",IFERROR(VLOOKUP($C60,Aggregate!$AR:$BC,10,FALSE()),""),IFERROR(VLOOKUP($C60,Aggregate!$AR:$BC,9,FALSE()),""))</f>
        <v>-0.344702852941197</v>
      </c>
      <c r="G60" s="64" t="n">
        <f aca="false">SUMIFS(J61:$J$84,I61:$I$84,"&lt;&gt;x",I61:$I$84,"&lt;&gt;o",J61:$J$84,"&gt;0")/Aggregate!$AZ$1</f>
        <v>0</v>
      </c>
      <c r="H60" s="62" t="str">
        <f aca="false">VLOOKUP(Table12[[#This Row],[NAME]],ECR!C:E,3,FALSE())</f>
        <v>TE12</v>
      </c>
      <c r="I60" s="65"/>
      <c r="J60" s="66" t="n">
        <f aca="false">VLOOKUP(C60,Aggregate!AR:AZ,9,FALSE())</f>
        <v>-0.344702852941197</v>
      </c>
      <c r="K60" s="67"/>
      <c r="L60" s="62" t="n">
        <f aca="false">IFERROR(VLOOKUP(Table10[[#This Row],[NAME]],Aggregate!$P:$AA,11,FALSE()),"")</f>
        <v>9</v>
      </c>
      <c r="M60" s="63" t="str">
        <f aca="false">Aggregate!P52</f>
        <v>Tank Bigsby</v>
      </c>
      <c r="N60" s="63" t="str">
        <f aca="false">VLOOKUP(Table10[[#This Row],[NAME]],Aggregate!P:AA,4,FALSE())</f>
        <v>PHI/10</v>
      </c>
      <c r="O60" s="62" t="n">
        <f aca="false">IFERROR(VLOOKUP(Table10[[#This Row],[NAME]],Aggregate!$P:$AA,8,FALSE()),"")</f>
        <v>66.0371754901961</v>
      </c>
      <c r="P60" s="62" t="n">
        <f aca="false">IF(Scoring!$K$6="Auction",IFERROR(VLOOKUP(Table10[[#This Row],[NAME]],Aggregate!$P:$AA,10,FALSE()),""),IFERROR(VLOOKUP(Table10[[#This Row],[NAME]],Aggregate!$P:$AA,9,FALSE()),""))</f>
        <v>-61.5085629019608</v>
      </c>
      <c r="Q60" s="64" t="n">
        <f aca="false">SUMIFS(T61:$T$84,S61:$S$84,"&lt;&gt;x",S61:$S$84,"&lt;&gt;o",T61:$T$84,"&gt;0")/Aggregate!$X$1</f>
        <v>0</v>
      </c>
      <c r="R60" s="62" t="str">
        <f aca="false">VLOOKUP(Table10[[#This Row],[NAME]],ECR!C:E,3,FALSE())</f>
        <v>RB50</v>
      </c>
      <c r="S60" s="65"/>
      <c r="T60" s="66" t="n">
        <f aca="false">VLOOKUP(M60,Aggregate!P:X,9,FALSE())</f>
        <v>-61.5085629019608</v>
      </c>
      <c r="U60" s="68"/>
      <c r="V60" s="62" t="n">
        <f aca="false">IFERROR(VLOOKUP(Table11[[#This Row],[NAME]],Aggregate!$AD:$AO,11,FALSE()),"")</f>
        <v>7</v>
      </c>
      <c r="W60" s="63" t="str">
        <f aca="false">Aggregate!AD56</f>
        <v>Khalil Shakir</v>
      </c>
      <c r="X60" s="63" t="str">
        <f aca="false">VLOOKUP(Table11[[#This Row],[NAME]],Aggregate!AD:AO,4,FALSE())</f>
        <v>BUF/7</v>
      </c>
      <c r="Y60" s="62" t="n">
        <f aca="false">IFERROR(VLOOKUP(Table11[[#This Row],[NAME]],Aggregate!$AD:$AO,8,FALSE()),"")</f>
        <v>101.165178704393</v>
      </c>
      <c r="Z60" s="62" t="n">
        <f aca="false">IF(Scoring!$K$6="Auction",IFERROR(VLOOKUP(Table11[[#This Row],[NAME]],Aggregate!$AD:$AO,10,FALSE()),""),IFERROR(VLOOKUP(Table11[[#This Row],[NAME]],Aggregate!$AD:$AO,9,FALSE()),""))</f>
        <v>-24.5127000407049</v>
      </c>
      <c r="AA60" s="64" t="n">
        <f aca="false">SUMIFS(AD61:$AD$84,AC61:$AC$84,"&lt;&gt;x",AC61:$AC$84,"&lt;&gt;o",AD61:$AD$84,"&gt;0")/Aggregate!$AL$1</f>
        <v>0</v>
      </c>
      <c r="AB60" s="62" t="str">
        <f aca="false">VLOOKUP(Table11[[#This Row],[NAME]],ECR!C:E,3,FALSE())</f>
        <v>WR54</v>
      </c>
      <c r="AC60" s="65"/>
      <c r="AD60" s="66" t="n">
        <f aca="false">VLOOKUP(W60,Aggregate!AD:AL,9,FALSE())</f>
        <v>-24.5127000407049</v>
      </c>
      <c r="AF60" s="52"/>
      <c r="AG60" s="52"/>
    </row>
    <row r="61" customFormat="false" ht="14.25" hidden="false" customHeight="true" outlineLevel="0" collapsed="false">
      <c r="B61" s="62" t="n">
        <f aca="false">IFERROR(VLOOKUP(Table12[[#This Row],[NAME]],Aggregate!$AR:$BC,11,FALSE()),"")</f>
        <v>5</v>
      </c>
      <c r="C61" s="63" t="str">
        <f aca="false">Aggregate!AR18</f>
        <v>Mark Andrews</v>
      </c>
      <c r="D61" s="63" t="str">
        <f aca="false">VLOOKUP(Table12[[#This Row],[NAME]],Aggregate!AR:BD,4,FALSE())</f>
        <v>BAL/13</v>
      </c>
      <c r="E61" s="62" t="n">
        <f aca="false">IFERROR(VLOOKUP($C61,Aggregate!$AR:$BC,8,FALSE()),"")</f>
        <v>107.914846196078</v>
      </c>
      <c r="F61" s="62" t="n">
        <f aca="false">IF(Scoring!$K$6="Auction",IFERROR(VLOOKUP($C61,Aggregate!$AR:$BC,10,FALSE()),""),IFERROR(VLOOKUP($C61,Aggregate!$AR:$BC,9,FALSE()),""))</f>
        <v>-4.65875124509805</v>
      </c>
      <c r="G61" s="64" t="n">
        <f aca="false">SUMIFS(J62:$J$84,I62:$I$84,"&lt;&gt;x",I62:$I$84,"&lt;&gt;o",J62:$J$84,"&gt;0")/Aggregate!$AZ$1</f>
        <v>0</v>
      </c>
      <c r="H61" s="62" t="str">
        <f aca="false">VLOOKUP(Table12[[#This Row],[NAME]],ECR!C:E,3,FALSE())</f>
        <v>TE16</v>
      </c>
      <c r="I61" s="65"/>
      <c r="J61" s="66" t="n">
        <f aca="false">VLOOKUP(C61,Aggregate!AR:AZ,9,FALSE())</f>
        <v>-4.65875124509805</v>
      </c>
      <c r="K61" s="67"/>
      <c r="L61" s="62" t="n">
        <f aca="false">IFERROR(VLOOKUP(Table10[[#This Row],[NAME]],Aggregate!$P:$AA,11,FALSE()),"")</f>
        <v>9</v>
      </c>
      <c r="M61" s="63" t="str">
        <f aca="false">Aggregate!P50</f>
        <v>Keaton Mitchell</v>
      </c>
      <c r="N61" s="63" t="str">
        <f aca="false">VLOOKUP(Table10[[#This Row],[NAME]],Aggregate!P:AA,4,FALSE())</f>
        <v>LAC/7</v>
      </c>
      <c r="O61" s="62" t="n">
        <f aca="false">IFERROR(VLOOKUP(Table10[[#This Row],[NAME]],Aggregate!$P:$AA,8,FALSE()),"")</f>
        <v>65.5656918333333</v>
      </c>
      <c r="P61" s="62" t="n">
        <f aca="false">IF(Scoring!$K$6="Auction",IFERROR(VLOOKUP(Table10[[#This Row],[NAME]],Aggregate!$P:$AA,10,FALSE()),""),IFERROR(VLOOKUP(Table10[[#This Row],[NAME]],Aggregate!$P:$AA,9,FALSE()),""))</f>
        <v>-61.9800465588235</v>
      </c>
      <c r="Q61" s="64" t="n">
        <f aca="false">SUMIFS(T62:$T$84,S62:$S$84,"&lt;&gt;x",S62:$S$84,"&lt;&gt;o",T62:$T$84,"&gt;0")/Aggregate!$X$1</f>
        <v>0</v>
      </c>
      <c r="R61" s="62" t="str">
        <f aca="false">VLOOKUP(Table10[[#This Row],[NAME]],ECR!C:E,3,FALSE())</f>
        <v>RB48</v>
      </c>
      <c r="S61" s="65"/>
      <c r="T61" s="66" t="n">
        <f aca="false">VLOOKUP(M61,Aggregate!P:X,9,FALSE())</f>
        <v>-61.9800465588235</v>
      </c>
      <c r="U61" s="68"/>
      <c r="V61" s="62" t="n">
        <f aca="false">IFERROR(VLOOKUP(Table11[[#This Row],[NAME]],Aggregate!$AD:$AO,11,FALSE()),"")</f>
        <v>7</v>
      </c>
      <c r="W61" s="63" t="str">
        <f aca="false">Aggregate!AD55</f>
        <v>Jalen Coker</v>
      </c>
      <c r="X61" s="63" t="str">
        <f aca="false">VLOOKUP(Table11[[#This Row],[NAME]],Aggregate!AD:AO,4,FALSE())</f>
        <v>CAR/5</v>
      </c>
      <c r="Y61" s="62" t="n">
        <f aca="false">IFERROR(VLOOKUP(Table11[[#This Row],[NAME]],Aggregate!$AD:$AO,8,FALSE()),"")</f>
        <v>100.365749565649</v>
      </c>
      <c r="Z61" s="62" t="n">
        <f aca="false">IF(Scoring!$K$6="Auction",IFERROR(VLOOKUP(Table11[[#This Row],[NAME]],Aggregate!$AD:$AO,10,FALSE()),""),IFERROR(VLOOKUP(Table11[[#This Row],[NAME]],Aggregate!$AD:$AO,9,FALSE()),""))</f>
        <v>-25.312129179449</v>
      </c>
      <c r="AA61" s="64" t="n">
        <f aca="false">SUMIFS(AD62:$AD$84,AC62:$AC$84,"&lt;&gt;x",AC62:$AC$84,"&lt;&gt;o",AD62:$AD$84,"&gt;0")/Aggregate!$AL$1</f>
        <v>0</v>
      </c>
      <c r="AB61" s="62" t="str">
        <f aca="false">VLOOKUP(Table11[[#This Row],[NAME]],ECR!C:E,3,FALSE())</f>
        <v>WR53</v>
      </c>
      <c r="AC61" s="65"/>
      <c r="AD61" s="66" t="n">
        <f aca="false">VLOOKUP(W61,Aggregate!AD:AL,9,FALSE())</f>
        <v>-25.312129179449</v>
      </c>
      <c r="AF61" s="52"/>
      <c r="AG61" s="52"/>
    </row>
    <row r="62" customFormat="false" ht="14.25" hidden="false" customHeight="true" outlineLevel="0" collapsed="false">
      <c r="B62" s="62" t="n">
        <f aca="false">IFERROR(VLOOKUP(Table12[[#This Row],[NAME]],Aggregate!$AR:$BC,11,FALSE()),"")</f>
        <v>5</v>
      </c>
      <c r="C62" s="63" t="str">
        <f aca="false">Aggregate!AR16</f>
        <v>Jake Ferguson</v>
      </c>
      <c r="D62" s="63" t="str">
        <f aca="false">VLOOKUP(Table12[[#This Row],[NAME]],Aggregate!AR:BD,4,FALSE())</f>
        <v>DAL/14</v>
      </c>
      <c r="E62" s="62" t="n">
        <f aca="false">IFERROR(VLOOKUP($C62,Aggregate!$AR:$BC,8,FALSE()),"")</f>
        <v>107.613273901961</v>
      </c>
      <c r="F62" s="62" t="n">
        <f aca="false">IF(Scoring!$K$6="Auction",IFERROR(VLOOKUP($C62,Aggregate!$AR:$BC,10,FALSE()),""),IFERROR(VLOOKUP($C62,Aggregate!$AR:$BC,9,FALSE()),""))</f>
        <v>-4.96032353921569</v>
      </c>
      <c r="G62" s="64" t="n">
        <f aca="false">SUMIFS(J63:$J$84,I63:$I$84,"&lt;&gt;x",I63:$I$84,"&lt;&gt;o",J63:$J$84,"&gt;0")/Aggregate!$AZ$1</f>
        <v>0</v>
      </c>
      <c r="H62" s="62" t="str">
        <f aca="false">VLOOKUP(Table12[[#This Row],[NAME]],ECR!C:E,3,FALSE())</f>
        <v>TE14</v>
      </c>
      <c r="I62" s="65"/>
      <c r="J62" s="66" t="n">
        <f aca="false">VLOOKUP(C62,Aggregate!AR:AZ,9,FALSE())</f>
        <v>-4.96032353921569</v>
      </c>
      <c r="K62" s="67"/>
      <c r="L62" s="62" t="n">
        <f aca="false">IFERROR(VLOOKUP(Table10[[#This Row],[NAME]],Aggregate!$P:$AA,11,FALSE()),"")</f>
        <v>9</v>
      </c>
      <c r="M62" s="63" t="str">
        <f aca="false">Aggregate!P58</f>
        <v>Brian Robinson Jr.</v>
      </c>
      <c r="N62" s="63" t="str">
        <f aca="false">VLOOKUP(Table10[[#This Row],[NAME]],Aggregate!P:AA,4,FALSE())</f>
        <v>ATL/11</v>
      </c>
      <c r="O62" s="62" t="n">
        <f aca="false">IFERROR(VLOOKUP(Table10[[#This Row],[NAME]],Aggregate!$P:$AA,8,FALSE()),"")</f>
        <v>64.2019937254902</v>
      </c>
      <c r="P62" s="62" t="n">
        <f aca="false">IF(Scoring!$K$6="Auction",IFERROR(VLOOKUP(Table10[[#This Row],[NAME]],Aggregate!$P:$AA,10,FALSE()),""),IFERROR(VLOOKUP(Table10[[#This Row],[NAME]],Aggregate!$P:$AA,9,FALSE()),""))</f>
        <v>-63.3437446666667</v>
      </c>
      <c r="Q62" s="64" t="n">
        <f aca="false">SUMIFS(T63:$T$84,S63:$S$84,"&lt;&gt;x",S63:$S$84,"&lt;&gt;o",T63:$T$84,"&gt;0")/Aggregate!$X$1</f>
        <v>0</v>
      </c>
      <c r="R62" s="62" t="str">
        <f aca="false">VLOOKUP(Table10[[#This Row],[NAME]],ECR!C:E,3,FALSE())</f>
        <v>RB56</v>
      </c>
      <c r="S62" s="65"/>
      <c r="T62" s="66" t="n">
        <f aca="false">VLOOKUP(M62,Aggregate!P:X,9,FALSE())</f>
        <v>-63.3437446666667</v>
      </c>
      <c r="U62" s="68"/>
      <c r="V62" s="62" t="n">
        <f aca="false">IFERROR(VLOOKUP(Table11[[#This Row],[NAME]],Aggregate!$AD:$AO,11,FALSE()),"")</f>
        <v>7</v>
      </c>
      <c r="W62" s="63" t="str">
        <f aca="false">Aggregate!AD80</f>
        <v>Ja'Kobi Lane</v>
      </c>
      <c r="X62" s="63" t="str">
        <f aca="false">VLOOKUP(Table11[[#This Row],[NAME]],Aggregate!AD:AO,4,FALSE())</f>
        <v>BAL/13</v>
      </c>
      <c r="Y62" s="62" t="n">
        <f aca="false">IFERROR(VLOOKUP(Table11[[#This Row],[NAME]],Aggregate!$AD:$AO,8,FALSE()),"")</f>
        <v>96.6157564159841</v>
      </c>
      <c r="Z62" s="62" t="n">
        <f aca="false">IF(Scoring!$K$6="Auction",IFERROR(VLOOKUP(Table11[[#This Row],[NAME]],Aggregate!$AD:$AO,10,FALSE()),""),IFERROR(VLOOKUP(Table11[[#This Row],[NAME]],Aggregate!$AD:$AO,9,FALSE()),""))</f>
        <v>-29.0621223291139</v>
      </c>
      <c r="AA62" s="64" t="n">
        <f aca="false">SUMIFS(AD63:$AD$84,AC63:$AC$84,"&lt;&gt;x",AC63:$AC$84,"&lt;&gt;o",AD63:$AD$84,"&gt;0")/Aggregate!$AL$1</f>
        <v>0</v>
      </c>
      <c r="AB62" s="62" t="str">
        <f aca="false">VLOOKUP(Table11[[#This Row],[NAME]],ECR!C:E,3,FALSE())</f>
        <v>WR78</v>
      </c>
      <c r="AC62" s="65"/>
      <c r="AD62" s="66" t="n">
        <f aca="false">VLOOKUP(W62,Aggregate!AD:AL,9,FALSE())</f>
        <v>-29.0621223291139</v>
      </c>
      <c r="AF62" s="52"/>
      <c r="AG62" s="52"/>
    </row>
    <row r="63" customFormat="false" ht="14.25" hidden="false" customHeight="true" outlineLevel="0" collapsed="false">
      <c r="B63" s="62" t="n">
        <f aca="false">IFERROR(VLOOKUP(Table12[[#This Row],[NAME]],Aggregate!$AR:$BC,11,FALSE()),"")</f>
        <v>5</v>
      </c>
      <c r="C63" s="63" t="str">
        <f aca="false">Aggregate!AR17</f>
        <v>Juwan Johnson</v>
      </c>
      <c r="D63" s="63" t="str">
        <f aca="false">VLOOKUP(Table12[[#This Row],[NAME]],Aggregate!AR:BD,4,FALSE())</f>
        <v>NO/8</v>
      </c>
      <c r="E63" s="62" t="n">
        <f aca="false">IFERROR(VLOOKUP($C63,Aggregate!$AR:$BC,8,FALSE()),"")</f>
        <v>103.50715945098</v>
      </c>
      <c r="F63" s="62" t="n">
        <f aca="false">IF(Scoring!$K$6="Auction",IFERROR(VLOOKUP($C63,Aggregate!$AR:$BC,10,FALSE()),""),IFERROR(VLOOKUP($C63,Aggregate!$AR:$BC,9,FALSE()),""))</f>
        <v>-9.06643799019609</v>
      </c>
      <c r="G63" s="64" t="n">
        <f aca="false">SUMIFS(J64:$J$84,I64:$I$84,"&lt;&gt;x",I64:$I$84,"&lt;&gt;o",J64:$J$84,"&gt;0")/Aggregate!$AZ$1</f>
        <v>0</v>
      </c>
      <c r="H63" s="62" t="str">
        <f aca="false">VLOOKUP(Table12[[#This Row],[NAME]],ECR!C:E,3,FALSE())</f>
        <v>TE15</v>
      </c>
      <c r="I63" s="65"/>
      <c r="J63" s="66" t="n">
        <f aca="false">VLOOKUP(C63,Aggregate!AR:AZ,9,FALSE())</f>
        <v>-9.06643799019609</v>
      </c>
      <c r="K63" s="67"/>
      <c r="L63" s="62" t="n">
        <f aca="false">IFERROR(VLOOKUP(Table10[[#This Row],[NAME]],Aggregate!$P:$AA,11,FALSE()),"")</f>
        <v>9</v>
      </c>
      <c r="M63" s="63" t="str">
        <f aca="false">Aggregate!P66</f>
        <v>Kaytron Allen</v>
      </c>
      <c r="N63" s="63" t="str">
        <f aca="false">VLOOKUP(Table10[[#This Row],[NAME]],Aggregate!P:AA,4,FALSE())</f>
        <v>WAS/7</v>
      </c>
      <c r="O63" s="62" t="n">
        <f aca="false">IFERROR(VLOOKUP(Table10[[#This Row],[NAME]],Aggregate!$P:$AA,8,FALSE()),"")</f>
        <v>61.0263435294118</v>
      </c>
      <c r="P63" s="62" t="n">
        <f aca="false">IF(Scoring!$K$6="Auction",IFERROR(VLOOKUP(Table10[[#This Row],[NAME]],Aggregate!$P:$AA,10,FALSE()),""),IFERROR(VLOOKUP(Table10[[#This Row],[NAME]],Aggregate!$P:$AA,9,FALSE()),""))</f>
        <v>-66.5193948627451</v>
      </c>
      <c r="Q63" s="64" t="n">
        <f aca="false">SUMIFS(T64:$T$84,S64:$S$84,"&lt;&gt;x",S64:$S$84,"&lt;&gt;o",T64:$T$84,"&gt;0")/Aggregate!$X$1</f>
        <v>0</v>
      </c>
      <c r="R63" s="62" t="str">
        <f aca="false">VLOOKUP(Table10[[#This Row],[NAME]],ECR!C:E,3,FALSE())</f>
        <v>RB64</v>
      </c>
      <c r="S63" s="65"/>
      <c r="T63" s="66" t="n">
        <f aca="false">VLOOKUP(M63,Aggregate!P:X,9,FALSE())</f>
        <v>-66.5193948627451</v>
      </c>
      <c r="U63" s="68"/>
      <c r="V63" s="62" t="n">
        <f aca="false">IFERROR(VLOOKUP(Table11[[#This Row],[NAME]],Aggregate!$AD:$AO,11,FALSE()),"")</f>
        <v>7</v>
      </c>
      <c r="W63" s="63" t="str">
        <f aca="false">Aggregate!AD58</f>
        <v>Jordyn Tyson</v>
      </c>
      <c r="X63" s="63" t="str">
        <f aca="false">VLOOKUP(Table11[[#This Row],[NAME]],Aggregate!AD:AO,4,FALSE())</f>
        <v>NO/8</v>
      </c>
      <c r="Y63" s="62" t="n">
        <f aca="false">IFERROR(VLOOKUP(Table11[[#This Row],[NAME]],Aggregate!$AD:$AO,8,FALSE()),"")</f>
        <v>96.1469299081658</v>
      </c>
      <c r="Z63" s="62" t="n">
        <f aca="false">IF(Scoring!$K$6="Auction",IFERROR(VLOOKUP(Table11[[#This Row],[NAME]],Aggregate!$AD:$AO,10,FALSE()),""),IFERROR(VLOOKUP(Table11[[#This Row],[NAME]],Aggregate!$AD:$AO,9,FALSE()),""))</f>
        <v>-29.5309488369322</v>
      </c>
      <c r="AA63" s="64" t="n">
        <f aca="false">SUMIFS(AD64:$AD$84,AC64:$AC$84,"&lt;&gt;x",AC64:$AC$84,"&lt;&gt;o",AD64:$AD$84,"&gt;0")/Aggregate!$AL$1</f>
        <v>0</v>
      </c>
      <c r="AB63" s="62" t="str">
        <f aca="false">VLOOKUP(Table11[[#This Row],[NAME]],ECR!C:E,3,FALSE())</f>
        <v>WR56</v>
      </c>
      <c r="AC63" s="65"/>
      <c r="AD63" s="66" t="n">
        <f aca="false">VLOOKUP(W63,Aggregate!AD:AL,9,FALSE())</f>
        <v>-29.5309488369322</v>
      </c>
      <c r="AF63" s="52"/>
      <c r="AG63" s="52"/>
    </row>
    <row r="64" customFormat="false" ht="14.25" hidden="false" customHeight="true" outlineLevel="0" collapsed="false">
      <c r="B64" s="62" t="n">
        <f aca="false">IFERROR(VLOOKUP(Table12[[#This Row],[NAME]],Aggregate!$AR:$BC,11,FALSE()),"")</f>
        <v>5</v>
      </c>
      <c r="C64" s="63" t="str">
        <f aca="false">Aggregate!AR19</f>
        <v>Hunter Henry</v>
      </c>
      <c r="D64" s="63" t="str">
        <f aca="false">VLOOKUP(Table12[[#This Row],[NAME]],Aggregate!AR:BD,4,FALSE())</f>
        <v>NE/11</v>
      </c>
      <c r="E64" s="62" t="n">
        <f aca="false">IFERROR(VLOOKUP($C64,Aggregate!$AR:$BC,8,FALSE()),"")</f>
        <v>100.925357705882</v>
      </c>
      <c r="F64" s="62" t="n">
        <f aca="false">IF(Scoring!$K$6="Auction",IFERROR(VLOOKUP($C64,Aggregate!$AR:$BC,10,FALSE()),""),IFERROR(VLOOKUP($C64,Aggregate!$AR:$BC,9,FALSE()),""))</f>
        <v>-11.6482397352941</v>
      </c>
      <c r="G64" s="64" t="n">
        <f aca="false">SUMIFS(J65:$J$84,I65:$I$84,"&lt;&gt;x",I65:$I$84,"&lt;&gt;o",J65:$J$84,"&gt;0")/Aggregate!$AZ$1</f>
        <v>0</v>
      </c>
      <c r="H64" s="62" t="str">
        <f aca="false">VLOOKUP(Table12[[#This Row],[NAME]],ECR!C:E,3,FALSE())</f>
        <v>TE17</v>
      </c>
      <c r="I64" s="65"/>
      <c r="J64" s="66" t="n">
        <f aca="false">VLOOKUP(C64,Aggregate!AR:AZ,9,FALSE())</f>
        <v>-11.6482397352941</v>
      </c>
      <c r="K64" s="67"/>
      <c r="L64" s="62" t="n">
        <f aca="false">IFERROR(VLOOKUP(Table10[[#This Row],[NAME]],Aggregate!$P:$AA,11,FALSE()),"")</f>
        <v>9</v>
      </c>
      <c r="M64" s="63" t="str">
        <f aca="false">Aggregate!P65</f>
        <v>Nicholas Singleton</v>
      </c>
      <c r="N64" s="63" t="str">
        <f aca="false">VLOOKUP(Table10[[#This Row],[NAME]],Aggregate!P:AA,4,FALSE())</f>
        <v>TEN/9</v>
      </c>
      <c r="O64" s="62" t="n">
        <f aca="false">IFERROR(VLOOKUP(Table10[[#This Row],[NAME]],Aggregate!$P:$AA,8,FALSE()),"")</f>
        <v>60.6101141176471</v>
      </c>
      <c r="P64" s="62" t="n">
        <f aca="false">IF(Scoring!$K$6="Auction",IFERROR(VLOOKUP(Table10[[#This Row],[NAME]],Aggregate!$P:$AA,10,FALSE()),""),IFERROR(VLOOKUP(Table10[[#This Row],[NAME]],Aggregate!$P:$AA,9,FALSE()),""))</f>
        <v>-66.9356242745098</v>
      </c>
      <c r="Q64" s="64" t="n">
        <f aca="false">SUMIFS(T65:$T$84,S65:$S$84,"&lt;&gt;x",S65:$S$84,"&lt;&gt;o",T65:$T$84,"&gt;0")/Aggregate!$X$1</f>
        <v>0</v>
      </c>
      <c r="R64" s="62" t="str">
        <f aca="false">VLOOKUP(Table10[[#This Row],[NAME]],ECR!C:E,3,FALSE())</f>
        <v>RB63</v>
      </c>
      <c r="S64" s="65"/>
      <c r="T64" s="66" t="n">
        <f aca="false">VLOOKUP(M64,Aggregate!P:X,9,FALSE())</f>
        <v>-66.9356242745098</v>
      </c>
      <c r="U64" s="68"/>
      <c r="V64" s="62" t="n">
        <f aca="false">IFERROR(VLOOKUP(Table11[[#This Row],[NAME]],Aggregate!$AD:$AO,11,FALSE()),"")</f>
        <v>7</v>
      </c>
      <c r="W64" s="63" t="str">
        <f aca="false">Aggregate!AD66</f>
        <v>Jerry Jeudy</v>
      </c>
      <c r="X64" s="63" t="str">
        <f aca="false">VLOOKUP(Table11[[#This Row],[NAME]],Aggregate!AD:AO,4,FALSE())</f>
        <v>CLE/11</v>
      </c>
      <c r="Y64" s="62" t="n">
        <f aca="false">IFERROR(VLOOKUP(Table11[[#This Row],[NAME]],Aggregate!$AD:$AO,8,FALSE()),"")</f>
        <v>95.6893985604368</v>
      </c>
      <c r="Z64" s="62" t="n">
        <f aca="false">IF(Scoring!$K$6="Auction",IFERROR(VLOOKUP(Table11[[#This Row],[NAME]],Aggregate!$AD:$AO,10,FALSE()),""),IFERROR(VLOOKUP(Table11[[#This Row],[NAME]],Aggregate!$AD:$AO,9,FALSE()),""))</f>
        <v>-29.9884801846612</v>
      </c>
      <c r="AA64" s="64" t="n">
        <f aca="false">SUMIFS(AD65:$AD$84,AC65:$AC$84,"&lt;&gt;x",AC65:$AC$84,"&lt;&gt;o",AD65:$AD$84,"&gt;0")/Aggregate!$AL$1</f>
        <v>0</v>
      </c>
      <c r="AB64" s="62" t="str">
        <f aca="false">VLOOKUP(Table11[[#This Row],[NAME]],ECR!C:E,3,FALSE())</f>
        <v>WR64</v>
      </c>
      <c r="AC64" s="65"/>
      <c r="AD64" s="66" t="n">
        <f aca="false">VLOOKUP(W64,Aggregate!AD:AL,9,FALSE())</f>
        <v>-29.9884801846612</v>
      </c>
      <c r="AF64" s="52"/>
      <c r="AG64" s="52"/>
    </row>
    <row r="65" customFormat="false" ht="14.25" hidden="false" customHeight="true" outlineLevel="0" collapsed="false">
      <c r="B65" s="62" t="n">
        <f aca="false">IFERROR(VLOOKUP(Table12[[#This Row],[NAME]],Aggregate!$AR:$BC,11,FALSE()),"")</f>
        <v>5</v>
      </c>
      <c r="C65" s="63" t="str">
        <f aca="false">Aggregate!AR20</f>
        <v>Brenton Strange</v>
      </c>
      <c r="D65" s="63" t="str">
        <f aca="false">VLOOKUP(Table12[[#This Row],[NAME]],Aggregate!AR:BD,4,FALSE())</f>
        <v>JAC/7</v>
      </c>
      <c r="E65" s="62" t="n">
        <f aca="false">IFERROR(VLOOKUP($C65,Aggregate!$AR:$BC,8,FALSE()),"")</f>
        <v>97.8274</v>
      </c>
      <c r="F65" s="62" t="n">
        <f aca="false">IF(Scoring!$K$6="Auction",IFERROR(VLOOKUP($C65,Aggregate!$AR:$BC,10,FALSE()),""),IFERROR(VLOOKUP($C65,Aggregate!$AR:$BC,9,FALSE()),""))</f>
        <v>-14.7461974411765</v>
      </c>
      <c r="G65" s="64" t="n">
        <f aca="false">SUMIFS(J66:$J$84,I66:$I$84,"&lt;&gt;x",I66:$I$84,"&lt;&gt;o",J66:$J$84,"&gt;0")/Aggregate!$AZ$1</f>
        <v>0</v>
      </c>
      <c r="H65" s="62" t="str">
        <f aca="false">VLOOKUP(Table12[[#This Row],[NAME]],ECR!C:E,3,FALSE())</f>
        <v>TE18</v>
      </c>
      <c r="I65" s="65"/>
      <c r="J65" s="66" t="n">
        <f aca="false">VLOOKUP(C65,Aggregate!AR:AZ,9,FALSE())</f>
        <v>-14.7461974411765</v>
      </c>
      <c r="K65" s="67"/>
      <c r="L65" s="62" t="n">
        <f aca="false">IFERROR(VLOOKUP(Table10[[#This Row],[NAME]],Aggregate!$P:$AA,11,FALSE()),"")</f>
        <v>9</v>
      </c>
      <c r="M65" s="63" t="str">
        <f aca="false">Aggregate!P62</f>
        <v>Isiah Pacheco</v>
      </c>
      <c r="N65" s="63" t="str">
        <f aca="false">VLOOKUP(Table10[[#This Row],[NAME]],Aggregate!P:AA,4,FALSE())</f>
        <v>DET/6</v>
      </c>
      <c r="O65" s="62" t="n">
        <f aca="false">IFERROR(VLOOKUP(Table10[[#This Row],[NAME]],Aggregate!$P:$AA,8,FALSE()),"")</f>
        <v>59.6649019607843</v>
      </c>
      <c r="P65" s="62" t="n">
        <f aca="false">IF(Scoring!$K$6="Auction",IFERROR(VLOOKUP(Table10[[#This Row],[NAME]],Aggregate!$P:$AA,10,FALSE()),""),IFERROR(VLOOKUP(Table10[[#This Row],[NAME]],Aggregate!$P:$AA,9,FALSE()),""))</f>
        <v>-67.8808364313726</v>
      </c>
      <c r="Q65" s="64" t="n">
        <f aca="false">SUMIFS(T66:$T$84,S66:$S$84,"&lt;&gt;x",S66:$S$84,"&lt;&gt;o",T66:$T$84,"&gt;0")/Aggregate!$X$1</f>
        <v>0</v>
      </c>
      <c r="R65" s="62" t="str">
        <f aca="false">VLOOKUP(Table10[[#This Row],[NAME]],ECR!C:E,3,FALSE())</f>
        <v>RB60</v>
      </c>
      <c r="S65" s="65"/>
      <c r="T65" s="66" t="n">
        <f aca="false">VLOOKUP(M65,Aggregate!P:X,9,FALSE())</f>
        <v>-67.8808364313726</v>
      </c>
      <c r="U65" s="68"/>
      <c r="V65" s="62" t="n">
        <f aca="false">IFERROR(VLOOKUP(Table11[[#This Row],[NAME]],Aggregate!$AD:$AO,11,FALSE()),"")</f>
        <v>7</v>
      </c>
      <c r="W65" s="63" t="str">
        <f aca="false">Aggregate!AD61</f>
        <v>Tre Tucker</v>
      </c>
      <c r="X65" s="63" t="str">
        <f aca="false">VLOOKUP(Table11[[#This Row],[NAME]],Aggregate!AD:AO,4,FALSE())</f>
        <v>LV/13</v>
      </c>
      <c r="Y65" s="62" t="n">
        <f aca="false">IFERROR(VLOOKUP(Table11[[#This Row],[NAME]],Aggregate!$AD:$AO,8,FALSE()),"")</f>
        <v>92.9942392653264</v>
      </c>
      <c r="Z65" s="62" t="n">
        <f aca="false">IF(Scoring!$K$6="Auction",IFERROR(VLOOKUP(Table11[[#This Row],[NAME]],Aggregate!$AD:$AO,10,FALSE()),""),IFERROR(VLOOKUP(Table11[[#This Row],[NAME]],Aggregate!$AD:$AO,9,FALSE()),""))</f>
        <v>-32.6836394797716</v>
      </c>
      <c r="AA65" s="64" t="n">
        <f aca="false">SUMIFS(AD66:$AD$84,AC66:$AC$84,"&lt;&gt;x",AC66:$AC$84,"&lt;&gt;o",AD66:$AD$84,"&gt;0")/Aggregate!$AL$1</f>
        <v>0</v>
      </c>
      <c r="AB65" s="62" t="str">
        <f aca="false">VLOOKUP(Table11[[#This Row],[NAME]],ECR!C:E,3,FALSE())</f>
        <v>WR59</v>
      </c>
      <c r="AC65" s="65"/>
      <c r="AD65" s="66" t="n">
        <f aca="false">VLOOKUP(W65,Aggregate!AD:AL,9,FALSE())</f>
        <v>-32.6836394797716</v>
      </c>
      <c r="AF65" s="52"/>
      <c r="AG65" s="52"/>
    </row>
    <row r="66" customFormat="false" ht="14.25" hidden="false" customHeight="true" outlineLevel="0" collapsed="false">
      <c r="B66" s="62" t="n">
        <f aca="false">IFERROR(VLOOKUP(Table12[[#This Row],[NAME]],Aggregate!$AR:$BC,11,FALSE()),"")</f>
        <v>6</v>
      </c>
      <c r="C66" s="63" t="str">
        <f aca="false">Aggregate!AR22</f>
        <v>Dalton Schultz</v>
      </c>
      <c r="D66" s="63" t="str">
        <f aca="false">VLOOKUP(Table12[[#This Row],[NAME]],Aggregate!AR:BD,4,FALSE())</f>
        <v>HOU/8</v>
      </c>
      <c r="E66" s="62" t="n">
        <f aca="false">IFERROR(VLOOKUP($C66,Aggregate!$AR:$BC,8,FALSE()),"")</f>
        <v>87.7979288235294</v>
      </c>
      <c r="F66" s="62" t="n">
        <f aca="false">IF(Scoring!$K$6="Auction",IFERROR(VLOOKUP($C66,Aggregate!$AR:$BC,10,FALSE()),""),IFERROR(VLOOKUP($C66,Aggregate!$AR:$BC,9,FALSE()),""))</f>
        <v>-24.7756686176471</v>
      </c>
      <c r="G66" s="64" t="n">
        <f aca="false">SUMIFS(J67:$J$84,I67:$I$84,"&lt;&gt;x",I67:$I$84,"&lt;&gt;o",J67:$J$84,"&gt;0")/Aggregate!$AZ$1</f>
        <v>0</v>
      </c>
      <c r="H66" s="62" t="str">
        <f aca="false">VLOOKUP(Table12[[#This Row],[NAME]],ECR!C:E,3,FALSE())</f>
        <v>TE20</v>
      </c>
      <c r="I66" s="65"/>
      <c r="J66" s="66" t="n">
        <f aca="false">VLOOKUP(C66,Aggregate!AR:AZ,9,FALSE())</f>
        <v>-24.7756686176471</v>
      </c>
      <c r="K66" s="67"/>
      <c r="L66" s="62" t="n">
        <f aca="false">IFERROR(VLOOKUP(Table10[[#This Row],[NAME]],Aggregate!$P:$AA,11,FALSE()),"")</f>
        <v>9</v>
      </c>
      <c r="M66" s="63" t="str">
        <f aca="false">Aggregate!P74</f>
        <v>Samaje Perine</v>
      </c>
      <c r="N66" s="63" t="str">
        <f aca="false">VLOOKUP(Table10[[#This Row],[NAME]],Aggregate!P:AA,4,FALSE())</f>
        <v>CIN/6</v>
      </c>
      <c r="O66" s="62" t="n">
        <f aca="false">IFERROR(VLOOKUP(Table10[[#This Row],[NAME]],Aggregate!$P:$AA,8,FALSE()),"")</f>
        <v>58.0539215686275</v>
      </c>
      <c r="P66" s="62" t="n">
        <f aca="false">IF(Scoring!$K$6="Auction",IFERROR(VLOOKUP(Table10[[#This Row],[NAME]],Aggregate!$P:$AA,10,FALSE()),""),IFERROR(VLOOKUP(Table10[[#This Row],[NAME]],Aggregate!$P:$AA,9,FALSE()),""))</f>
        <v>-69.4918168235294</v>
      </c>
      <c r="Q66" s="64" t="n">
        <f aca="false">SUMIFS(T67:$T$84,S67:$S$84,"&lt;&gt;x",S67:$S$84,"&lt;&gt;o",T67:$T$84,"&gt;0")/Aggregate!$X$1</f>
        <v>0</v>
      </c>
      <c r="R66" s="62" t="str">
        <f aca="false">VLOOKUP(Table10[[#This Row],[NAME]],ECR!C:E,3,FALSE())</f>
        <v>RB72</v>
      </c>
      <c r="S66" s="65"/>
      <c r="T66" s="66" t="n">
        <f aca="false">VLOOKUP(M66,Aggregate!P:X,9,FALSE())</f>
        <v>-69.4918168235294</v>
      </c>
      <c r="U66" s="68"/>
      <c r="V66" s="62" t="n">
        <f aca="false">IFERROR(VLOOKUP(Table11[[#This Row],[NAME]],Aggregate!$AD:$AO,11,FALSE()),"")</f>
        <v>8</v>
      </c>
      <c r="W66" s="63" t="str">
        <f aca="false">Aggregate!AD75</f>
        <v>Calvin Ridley</v>
      </c>
      <c r="X66" s="63" t="str">
        <f aca="false">VLOOKUP(Table11[[#This Row],[NAME]],Aggregate!AD:AO,4,FALSE())</f>
        <v>TEN/9</v>
      </c>
      <c r="Y66" s="62" t="n">
        <f aca="false">IFERROR(VLOOKUP(Table11[[#This Row],[NAME]],Aggregate!$AD:$AO,8,FALSE()),"")</f>
        <v>92.0542653263837</v>
      </c>
      <c r="Z66" s="62" t="n">
        <f aca="false">IF(Scoring!$K$6="Auction",IFERROR(VLOOKUP(Table11[[#This Row],[NAME]],Aggregate!$AD:$AO,10,FALSE()),""),IFERROR(VLOOKUP(Table11[[#This Row],[NAME]],Aggregate!$AD:$AO,9,FALSE()),""))</f>
        <v>-33.6236134187143</v>
      </c>
      <c r="AA66" s="64" t="n">
        <f aca="false">SUMIFS(AD67:$AD$84,AC67:$AC$84,"&lt;&gt;x",AC67:$AC$84,"&lt;&gt;o",AD67:$AD$84,"&gt;0")/Aggregate!$AL$1</f>
        <v>0</v>
      </c>
      <c r="AB66" s="62" t="str">
        <f aca="false">VLOOKUP(Table11[[#This Row],[NAME]],ECR!C:E,3,FALSE())</f>
        <v>WR73</v>
      </c>
      <c r="AC66" s="65"/>
      <c r="AD66" s="66" t="n">
        <f aca="false">VLOOKUP(W66,Aggregate!AD:AL,9,FALSE())</f>
        <v>-33.6236134187143</v>
      </c>
      <c r="AF66" s="52"/>
      <c r="AG66" s="52"/>
    </row>
    <row r="67" customFormat="false" ht="14.25" hidden="false" customHeight="true" outlineLevel="0" collapsed="false">
      <c r="B67" s="62" t="n">
        <f aca="false">IFERROR(VLOOKUP(Table12[[#This Row],[NAME]],Aggregate!$AR:$BC,11,FALSE()),"")</f>
        <v>6</v>
      </c>
      <c r="C67" s="63" t="str">
        <f aca="false">Aggregate!AR25</f>
        <v>T.J. Hockenson</v>
      </c>
      <c r="D67" s="63" t="str">
        <f aca="false">VLOOKUP(Table12[[#This Row],[NAME]],Aggregate!AR:BD,4,FALSE())</f>
        <v>MIN/6</v>
      </c>
      <c r="E67" s="62" t="n">
        <f aca="false">IFERROR(VLOOKUP($C67,Aggregate!$AR:$BC,8,FALSE()),"")</f>
        <v>83.1477450980392</v>
      </c>
      <c r="F67" s="62" t="n">
        <f aca="false">IF(Scoring!$K$6="Auction",IFERROR(VLOOKUP($C67,Aggregate!$AR:$BC,10,FALSE()),""),IFERROR(VLOOKUP($C67,Aggregate!$AR:$BC,9,FALSE()),""))</f>
        <v>-29.4258523431373</v>
      </c>
      <c r="G67" s="64" t="n">
        <f aca="false">SUMIFS(J67:$J$85,I67:$I$85,"&lt;&gt;x",I67:$I$85,"&lt;&gt;o",J67:$J$85,"&gt;0")/Aggregate!$AZ$1</f>
        <v>0</v>
      </c>
      <c r="H67" s="62" t="str">
        <f aca="false">VLOOKUP(Table12[[#This Row],[NAME]],ECR!C:E,3,FALSE())</f>
        <v>TE23</v>
      </c>
      <c r="I67" s="65"/>
      <c r="J67" s="66" t="n">
        <f aca="false">VLOOKUP(C67,Aggregate!AR:AZ,9,FALSE())</f>
        <v>-29.4258523431373</v>
      </c>
      <c r="K67" s="67"/>
      <c r="L67" s="62" t="n">
        <f aca="false">IFERROR(VLOOKUP(Table10[[#This Row],[NAME]],Aggregate!$P:$AA,11,FALSE()),"")</f>
        <v>9</v>
      </c>
      <c r="M67" s="63" t="str">
        <f aca="false">Aggregate!P63</f>
        <v>Malik Davis</v>
      </c>
      <c r="N67" s="63" t="str">
        <f aca="false">VLOOKUP(Table10[[#This Row],[NAME]],Aggregate!P:AA,4,FALSE())</f>
        <v>DAL/14</v>
      </c>
      <c r="O67" s="62" t="n">
        <f aca="false">IFERROR(VLOOKUP(Table10[[#This Row],[NAME]],Aggregate!$P:$AA,8,FALSE()),"")</f>
        <v>57.1647705882353</v>
      </c>
      <c r="P67" s="62" t="n">
        <f aca="false">IF(Scoring!$K$6="Auction",IFERROR(VLOOKUP(Table10[[#This Row],[NAME]],Aggregate!$P:$AA,10,FALSE()),""),IFERROR(VLOOKUP(Table10[[#This Row],[NAME]],Aggregate!$P:$AA,9,FALSE()),""))</f>
        <v>-70.3809678039216</v>
      </c>
      <c r="Q67" s="64" t="n">
        <f aca="false">SUMIFS(T68:$T$84,S68:$S$84,"&lt;&gt;x",S68:$S$84,"&lt;&gt;o",T68:$T$84,"&gt;0")/Aggregate!$X$1</f>
        <v>0</v>
      </c>
      <c r="R67" s="62" t="str">
        <f aca="false">VLOOKUP(Table10[[#This Row],[NAME]],ECR!C:E,3,FALSE())</f>
        <v>RB61</v>
      </c>
      <c r="S67" s="65"/>
      <c r="T67" s="66" t="n">
        <f aca="false">VLOOKUP(M67,Aggregate!P:X,9,FALSE())</f>
        <v>-70.3809678039216</v>
      </c>
      <c r="U67" s="68"/>
      <c r="V67" s="62" t="n">
        <f aca="false">IFERROR(VLOOKUP(Table11[[#This Row],[NAME]],Aggregate!$AD:$AO,11,FALSE()),"")</f>
        <v>8</v>
      </c>
      <c r="W67" s="63" t="str">
        <f aca="false">Aggregate!AD63</f>
        <v>Kayshon Boutte</v>
      </c>
      <c r="X67" s="63" t="str">
        <f aca="false">VLOOKUP(Table11[[#This Row],[NAME]],Aggregate!AD:AO,4,FALSE())</f>
        <v>HOU/8</v>
      </c>
      <c r="Y67" s="62" t="n">
        <f aca="false">IFERROR(VLOOKUP(Table11[[#This Row],[NAME]],Aggregate!$AD:$AO,8,FALSE()),"")</f>
        <v>90.0492970464135</v>
      </c>
      <c r="Z67" s="62" t="n">
        <f aca="false">IF(Scoring!$K$6="Auction",IFERROR(VLOOKUP(Table11[[#This Row],[NAME]],Aggregate!$AD:$AO,10,FALSE()),""),IFERROR(VLOOKUP(Table11[[#This Row],[NAME]],Aggregate!$AD:$AO,9,FALSE()),""))</f>
        <v>-35.6285816986845</v>
      </c>
      <c r="AA67" s="64" t="n">
        <f aca="false">SUMIFS(AD68:$AD$84,AC68:$AC$84,"&lt;&gt;x",AC68:$AC$84,"&lt;&gt;o",AD68:$AD$84,"&gt;0")/Aggregate!$AL$1</f>
        <v>0</v>
      </c>
      <c r="AB67" s="62" t="str">
        <f aca="false">VLOOKUP(Table11[[#This Row],[NAME]],ECR!C:E,3,FALSE())</f>
        <v>WR61</v>
      </c>
      <c r="AC67" s="65"/>
      <c r="AD67" s="66" t="n">
        <f aca="false">VLOOKUP(W67,Aggregate!AD:AL,9,FALSE())</f>
        <v>-35.6285816986845</v>
      </c>
      <c r="AF67" s="52"/>
      <c r="AG67" s="52"/>
    </row>
    <row r="68" customFormat="false" ht="14.25" hidden="false" customHeight="true" outlineLevel="0" collapsed="false">
      <c r="B68" s="62" t="n">
        <f aca="false">IFERROR(VLOOKUP(Table12[[#This Row],[NAME]],Aggregate!$AR:$BC,11,FALSE()),"")</f>
        <v>6</v>
      </c>
      <c r="C68" s="63" t="str">
        <f aca="false">Aggregate!AR21</f>
        <v>Chig Okonkwo</v>
      </c>
      <c r="D68" s="63" t="str">
        <f aca="false">VLOOKUP(Table12[[#This Row],[NAME]],Aggregate!AR:BD,4,FALSE())</f>
        <v>WAS/7</v>
      </c>
      <c r="E68" s="62" t="n">
        <f aca="false">IFERROR(VLOOKUP($C68,Aggregate!$AR:$BC,8,FALSE()),"")</f>
        <v>82.3275965</v>
      </c>
      <c r="F68" s="62" t="n">
        <f aca="false">IF(Scoring!$K$6="Auction",IFERROR(VLOOKUP($C68,Aggregate!$AR:$BC,10,FALSE()),""),IFERROR(VLOOKUP($C68,Aggregate!$AR:$BC,9,FALSE()),""))</f>
        <v>-30.2460009411765</v>
      </c>
      <c r="G68" s="64" t="n">
        <f aca="false">SUMIFS(J69:$J$84,I69:$I$84,"&lt;&gt;x",I69:$I$84,"&lt;&gt;o",J69:$J$84,"&gt;0")/Aggregate!$AZ$1</f>
        <v>0</v>
      </c>
      <c r="H68" s="62" t="str">
        <f aca="false">VLOOKUP(Table12[[#This Row],[NAME]],ECR!C:E,3,FALSE())</f>
        <v>TE19</v>
      </c>
      <c r="I68" s="65"/>
      <c r="J68" s="66" t="n">
        <f aca="false">VLOOKUP(C68,Aggregate!AR:AZ,9,FALSE())</f>
        <v>-30.2460009411765</v>
      </c>
      <c r="K68" s="67"/>
      <c r="L68" s="62" t="n">
        <f aca="false">IFERROR(VLOOKUP(Table10[[#This Row],[NAME]],Aggregate!$P:$AA,11,FALSE()),"")</f>
        <v>9</v>
      </c>
      <c r="M68" s="63" t="str">
        <f aca="false">Aggregate!P56</f>
        <v>Tyrone Tracy Jr.</v>
      </c>
      <c r="N68" s="63" t="str">
        <f aca="false">VLOOKUP(Table10[[#This Row],[NAME]],Aggregate!P:AA,4,FALSE())</f>
        <v>NYG/8</v>
      </c>
      <c r="O68" s="62" t="n">
        <f aca="false">IFERROR(VLOOKUP(Table10[[#This Row],[NAME]],Aggregate!$P:$AA,8,FALSE()),"")</f>
        <v>55.6952882352941</v>
      </c>
      <c r="P68" s="62" t="n">
        <f aca="false">IF(Scoring!$K$6="Auction",IFERROR(VLOOKUP(Table10[[#This Row],[NAME]],Aggregate!$P:$AA,10,FALSE()),""),IFERROR(VLOOKUP(Table10[[#This Row],[NAME]],Aggregate!$P:$AA,9,FALSE()),""))</f>
        <v>-71.8504501568627</v>
      </c>
      <c r="Q68" s="64" t="n">
        <f aca="false">SUMIFS(T69:$T$84,S69:$S$84,"&lt;&gt;x",S69:$S$84,"&lt;&gt;o",T69:$T$84,"&gt;0")/Aggregate!$X$1</f>
        <v>0</v>
      </c>
      <c r="R68" s="62" t="str">
        <f aca="false">VLOOKUP(Table10[[#This Row],[NAME]],ECR!C:E,3,FALSE())</f>
        <v>RB54</v>
      </c>
      <c r="S68" s="65"/>
      <c r="T68" s="66" t="n">
        <f aca="false">VLOOKUP(M68,Aggregate!P:X,9,FALSE())</f>
        <v>-71.8504501568627</v>
      </c>
      <c r="U68" s="68"/>
      <c r="V68" s="62" t="n">
        <f aca="false">IFERROR(VLOOKUP(Table11[[#This Row],[NAME]],Aggregate!$AD:$AO,11,FALSE()),"")</f>
        <v>8</v>
      </c>
      <c r="W68" s="63" t="str">
        <f aca="false">Aggregate!AD71</f>
        <v>Omar Cooper Jr.</v>
      </c>
      <c r="X68" s="63" t="str">
        <f aca="false">VLOOKUP(Table11[[#This Row],[NAME]],Aggregate!AD:AO,4,FALSE())</f>
        <v>NYJ/13</v>
      </c>
      <c r="Y68" s="62" t="n">
        <f aca="false">IFERROR(VLOOKUP(Table11[[#This Row],[NAME]],Aggregate!$AD:$AO,8,FALSE()),"")</f>
        <v>89.9522824522214</v>
      </c>
      <c r="Z68" s="62" t="n">
        <f aca="false">IF(Scoring!$K$6="Auction",IFERROR(VLOOKUP(Table11[[#This Row],[NAME]],Aggregate!$AD:$AO,10,FALSE()),""),IFERROR(VLOOKUP(Table11[[#This Row],[NAME]],Aggregate!$AD:$AO,9,FALSE()),""))</f>
        <v>-35.7255962928766</v>
      </c>
      <c r="AA68" s="64" t="n">
        <f aca="false">SUMIFS(AD69:$AD$84,AC69:$AC$84,"&lt;&gt;x",AC69:$AC$84,"&lt;&gt;o",AD69:$AD$84,"&gt;0")/Aggregate!$AL$1</f>
        <v>0</v>
      </c>
      <c r="AB68" s="62" t="str">
        <f aca="false">VLOOKUP(Table11[[#This Row],[NAME]],ECR!C:E,3,FALSE())</f>
        <v>WR69</v>
      </c>
      <c r="AC68" s="65"/>
      <c r="AD68" s="66" t="n">
        <f aca="false">VLOOKUP(W68,Aggregate!AD:AL,9,FALSE())</f>
        <v>-35.7255962928766</v>
      </c>
      <c r="AF68" s="52"/>
      <c r="AG68" s="52"/>
    </row>
    <row r="69" customFormat="false" ht="14.25" hidden="false" customHeight="true" outlineLevel="0" collapsed="false">
      <c r="B69" s="62" t="n">
        <f aca="false">IFERROR(VLOOKUP(Table12[[#This Row],[NAME]],Aggregate!$AR:$BC,11,FALSE()),"")</f>
        <v>6</v>
      </c>
      <c r="C69" s="63" t="str">
        <f aca="false">Aggregate!AR26</f>
        <v>Kenyon Sadiq</v>
      </c>
      <c r="D69" s="63" t="str">
        <f aca="false">VLOOKUP(Table12[[#This Row],[NAME]],Aggregate!AR:BD,4,FALSE())</f>
        <v>NYJ/13</v>
      </c>
      <c r="E69" s="62" t="n">
        <f aca="false">IFERROR(VLOOKUP($C69,Aggregate!$AR:$BC,8,FALSE()),"")</f>
        <v>81.2336635686275</v>
      </c>
      <c r="F69" s="62" t="n">
        <f aca="false">IF(Scoring!$K$6="Auction",IFERROR(VLOOKUP($C69,Aggregate!$AR:$BC,10,FALSE()),""),IFERROR(VLOOKUP($C69,Aggregate!$AR:$BC,9,FALSE()),""))</f>
        <v>-31.339933872549</v>
      </c>
      <c r="G69" s="64" t="n">
        <f aca="false">SUMIFS(J70:$J$84,I70:$I$84,"&lt;&gt;x",I70:$I$84,"&lt;&gt;o",J70:$J$84,"&gt;0")/Aggregate!$AZ$1</f>
        <v>0</v>
      </c>
      <c r="H69" s="62" t="str">
        <f aca="false">VLOOKUP(Table12[[#This Row],[NAME]],ECR!C:E,3,FALSE())</f>
        <v>TE24</v>
      </c>
      <c r="I69" s="65"/>
      <c r="J69" s="66" t="n">
        <f aca="false">VLOOKUP(C69,Aggregate!AR:AZ,9,FALSE())</f>
        <v>-31.339933872549</v>
      </c>
      <c r="K69" s="67"/>
      <c r="L69" s="62" t="n">
        <f aca="false">IFERROR(VLOOKUP(Table10[[#This Row],[NAME]],Aggregate!$P:$AA,11,FALSE()),"")</f>
        <v>9</v>
      </c>
      <c r="M69" s="63" t="str">
        <f aca="false">Aggregate!P75</f>
        <v>Demond Claiborne</v>
      </c>
      <c r="N69" s="63" t="str">
        <f aca="false">VLOOKUP(Table10[[#This Row],[NAME]],Aggregate!P:AA,4,FALSE())</f>
        <v>MIN/6</v>
      </c>
      <c r="O69" s="62" t="n">
        <f aca="false">IFERROR(VLOOKUP(Table10[[#This Row],[NAME]],Aggregate!$P:$AA,8,FALSE()),"")</f>
        <v>53.8377309803922</v>
      </c>
      <c r="P69" s="62" t="n">
        <f aca="false">IF(Scoring!$K$6="Auction",IFERROR(VLOOKUP(Table10[[#This Row],[NAME]],Aggregate!$P:$AA,10,FALSE()),""),IFERROR(VLOOKUP(Table10[[#This Row],[NAME]],Aggregate!$P:$AA,9,FALSE()),""))</f>
        <v>-73.7080074117647</v>
      </c>
      <c r="Q69" s="64" t="n">
        <f aca="false">SUMIFS(T70:$T$84,S70:$S$84,"&lt;&gt;x",S70:$S$84,"&lt;&gt;o",T70:$T$84,"&gt;0")/Aggregate!$X$1</f>
        <v>0</v>
      </c>
      <c r="R69" s="62" t="str">
        <f aca="false">VLOOKUP(Table10[[#This Row],[NAME]],ECR!C:E,3,FALSE())</f>
        <v>RB73</v>
      </c>
      <c r="S69" s="65"/>
      <c r="T69" s="66" t="n">
        <f aca="false">VLOOKUP(M69,Aggregate!P:X,9,FALSE())</f>
        <v>-73.7080074117647</v>
      </c>
      <c r="U69" s="68"/>
      <c r="V69" s="62" t="n">
        <f aca="false">IFERROR(VLOOKUP(Table11[[#This Row],[NAME]],Aggregate!$AD:$AO,11,FALSE()),"")</f>
        <v>8</v>
      </c>
      <c r="W69" s="63" t="str">
        <f aca="false">Aggregate!AD79</f>
        <v>Chris Bell</v>
      </c>
      <c r="X69" s="63" t="str">
        <f aca="false">VLOOKUP(Table11[[#This Row],[NAME]],Aggregate!AD:AO,4,FALSE())</f>
        <v>MIA/6</v>
      </c>
      <c r="Y69" s="62" t="n">
        <f aca="false">IFERROR(VLOOKUP(Table11[[#This Row],[NAME]],Aggregate!$AD:$AO,8,FALSE()),"")</f>
        <v>88.4847884338546</v>
      </c>
      <c r="Z69" s="62" t="n">
        <f aca="false">IF(Scoring!$K$6="Auction",IFERROR(VLOOKUP(Table11[[#This Row],[NAME]],Aggregate!$AD:$AO,10,FALSE()),""),IFERROR(VLOOKUP(Table11[[#This Row],[NAME]],Aggregate!$AD:$AO,9,FALSE()),""))</f>
        <v>-37.1930903112435</v>
      </c>
      <c r="AA69" s="64" t="n">
        <f aca="false">SUMIFS(AD70:$AD$84,AC70:$AC$84,"&lt;&gt;x",AC70:$AC$84,"&lt;&gt;o",AD70:$AD$84,"&gt;0")/Aggregate!$AL$1</f>
        <v>0</v>
      </c>
      <c r="AB69" s="62" t="str">
        <f aca="false">VLOOKUP(Table11[[#This Row],[NAME]],ECR!C:E,3,FALSE())</f>
        <v>WR77</v>
      </c>
      <c r="AC69" s="65"/>
      <c r="AD69" s="66" t="n">
        <f aca="false">VLOOKUP(W69,Aggregate!AD:AL,9,FALSE())</f>
        <v>-37.1930903112435</v>
      </c>
      <c r="AF69" s="52"/>
      <c r="AG69" s="52"/>
    </row>
    <row r="70" customFormat="false" ht="14.25" hidden="false" customHeight="true" outlineLevel="0" collapsed="false">
      <c r="B70" s="62" t="n">
        <f aca="false">IFERROR(VLOOKUP(Table12[[#This Row],[NAME]],Aggregate!$AR:$BC,11,FALSE()),"")</f>
        <v>6</v>
      </c>
      <c r="C70" s="63" t="str">
        <f aca="false">Aggregate!AR23</f>
        <v>Terrance Ferguson</v>
      </c>
      <c r="D70" s="63" t="str">
        <f aca="false">VLOOKUP(Table12[[#This Row],[NAME]],Aggregate!AR:BD,4,FALSE())</f>
        <v>LAR/11</v>
      </c>
      <c r="E70" s="62" t="n">
        <f aca="false">IFERROR(VLOOKUP($C70,Aggregate!$AR:$BC,8,FALSE()),"")</f>
        <v>80.3928923431373</v>
      </c>
      <c r="F70" s="62" t="n">
        <f aca="false">IF(Scoring!$K$6="Auction",IFERROR(VLOOKUP($C70,Aggregate!$AR:$BC,10,FALSE()),""),IFERROR(VLOOKUP($C70,Aggregate!$AR:$BC,9,FALSE()),""))</f>
        <v>-32.1807050980392</v>
      </c>
      <c r="G70" s="64" t="n">
        <f aca="false">SUMIFS(J71:$J$84,I71:$I$84,"&lt;&gt;x",I71:$I$84,"&lt;&gt;o",J71:$J$84,"&gt;0")/Aggregate!$AZ$1</f>
        <v>0</v>
      </c>
      <c r="H70" s="62" t="str">
        <f aca="false">VLOOKUP(Table12[[#This Row],[NAME]],ECR!C:E,3,FALSE())</f>
        <v>TE21</v>
      </c>
      <c r="I70" s="65"/>
      <c r="J70" s="66" t="n">
        <f aca="false">VLOOKUP(C70,Aggregate!AR:AZ,9,FALSE())</f>
        <v>-32.1807050980392</v>
      </c>
      <c r="K70" s="67"/>
      <c r="L70" s="62" t="n">
        <f aca="false">IFERROR(VLOOKUP(Table10[[#This Row],[NAME]],Aggregate!$P:$AA,11,FALSE()),"")</f>
        <v>9</v>
      </c>
      <c r="M70" s="63" t="str">
        <f aca="false">Aggregate!P69</f>
        <v>Najee Harris</v>
      </c>
      <c r="N70" s="63" t="str">
        <f aca="false">VLOOKUP(Table10[[#This Row],[NAME]],Aggregate!P:AA,4,FALSE())</f>
        <v>NYG/8</v>
      </c>
      <c r="O70" s="62" t="n">
        <f aca="false">IFERROR(VLOOKUP(Table10[[#This Row],[NAME]],Aggregate!$P:$AA,8,FALSE()),"")</f>
        <v>53.4440196078431</v>
      </c>
      <c r="P70" s="62" t="n">
        <f aca="false">IF(Scoring!$K$6="Auction",IFERROR(VLOOKUP(Table10[[#This Row],[NAME]],Aggregate!$P:$AA,10,FALSE()),""),IFERROR(VLOOKUP(Table10[[#This Row],[NAME]],Aggregate!$P:$AA,9,FALSE()),""))</f>
        <v>-74.1017187843137</v>
      </c>
      <c r="Q70" s="64" t="n">
        <f aca="false">SUMIFS(T71:$T$84,S71:$S$84,"&lt;&gt;x",S71:$S$84,"&lt;&gt;o",T71:$T$84,"&gt;0")/Aggregate!$X$1</f>
        <v>0</v>
      </c>
      <c r="R70" s="62" t="str">
        <f aca="false">VLOOKUP(Table10[[#This Row],[NAME]],ECR!C:E,3,FALSE())</f>
        <v>RB67</v>
      </c>
      <c r="S70" s="65"/>
      <c r="T70" s="66" t="n">
        <f aca="false">VLOOKUP(M70,Aggregate!P:X,9,FALSE())</f>
        <v>-74.1017187843137</v>
      </c>
      <c r="U70" s="68"/>
      <c r="V70" s="62" t="n">
        <f aca="false">IFERROR(VLOOKUP(Table11[[#This Row],[NAME]],Aggregate!$AD:$AO,11,FALSE()),"")</f>
        <v>8</v>
      </c>
      <c r="W70" s="63" t="str">
        <f aca="false">Aggregate!AD64</f>
        <v>Jalen McMillan</v>
      </c>
      <c r="X70" s="63" t="str">
        <f aca="false">VLOOKUP(Table11[[#This Row],[NAME]],Aggregate!AD:AO,4,FALSE())</f>
        <v>TB/10</v>
      </c>
      <c r="Y70" s="62" t="n">
        <f aca="false">IFERROR(VLOOKUP(Table11[[#This Row],[NAME]],Aggregate!$AD:$AO,8,FALSE()),"")</f>
        <v>88.0678990320179</v>
      </c>
      <c r="Z70" s="62" t="n">
        <f aca="false">IF(Scoring!$K$6="Auction",IFERROR(VLOOKUP(Table11[[#This Row],[NAME]],Aggregate!$AD:$AO,10,FALSE()),""),IFERROR(VLOOKUP(Table11[[#This Row],[NAME]],Aggregate!$AD:$AO,9,FALSE()),""))</f>
        <v>-37.6099797130802</v>
      </c>
      <c r="AA70" s="64" t="n">
        <f aca="false">SUMIFS(AD71:$AD$84,AC71:$AC$84,"&lt;&gt;x",AC71:$AC$84,"&lt;&gt;o",AD71:$AD$84,"&gt;0")/Aggregate!$AL$1</f>
        <v>0</v>
      </c>
      <c r="AB70" s="62" t="str">
        <f aca="false">VLOOKUP(Table11[[#This Row],[NAME]],ECR!C:E,3,FALSE())</f>
        <v>WR62</v>
      </c>
      <c r="AC70" s="65"/>
      <c r="AD70" s="66" t="n">
        <f aca="false">VLOOKUP(W70,Aggregate!AD:AL,9,FALSE())</f>
        <v>-37.6099797130802</v>
      </c>
      <c r="AF70" s="52"/>
      <c r="AG70" s="52"/>
    </row>
    <row r="71" customFormat="false" ht="14.25" hidden="false" customHeight="true" outlineLevel="0" collapsed="false">
      <c r="B71" s="62" t="n">
        <f aca="false">IFERROR(VLOOKUP(Table12[[#This Row],[NAME]],Aggregate!$AR:$BC,11,FALSE()),"")</f>
        <v>6</v>
      </c>
      <c r="C71" s="63" t="str">
        <f aca="false">Aggregate!AR29</f>
        <v>Pat Freiermuth</v>
      </c>
      <c r="D71" s="63" t="str">
        <f aca="false">VLOOKUP(Table12[[#This Row],[NAME]],Aggregate!AR:BD,4,FALSE())</f>
        <v>PIT/9</v>
      </c>
      <c r="E71" s="62" t="n">
        <f aca="false">IFERROR(VLOOKUP($C71,Aggregate!$AR:$BC,8,FALSE()),"")</f>
        <v>79.7486274509804</v>
      </c>
      <c r="F71" s="62" t="n">
        <f aca="false">IF(Scoring!$K$6="Auction",IFERROR(VLOOKUP($C71,Aggregate!$AR:$BC,10,FALSE()),""),IFERROR(VLOOKUP($C71,Aggregate!$AR:$BC,9,FALSE()),""))</f>
        <v>-32.8249699901961</v>
      </c>
      <c r="G71" s="64" t="n">
        <f aca="false">SUMIFS(J72:$J$84,I72:$I$84,"&lt;&gt;x",I72:$I$84,"&lt;&gt;o",J72:$J$84,"&gt;0")/Aggregate!$AZ$1</f>
        <v>0</v>
      </c>
      <c r="H71" s="62" t="str">
        <f aca="false">VLOOKUP(Table12[[#This Row],[NAME]],ECR!C:E,3,FALSE())</f>
        <v>TE27</v>
      </c>
      <c r="I71" s="65"/>
      <c r="J71" s="66" t="n">
        <f aca="false">VLOOKUP(C71,Aggregate!AR:AZ,9,FALSE())</f>
        <v>-32.8249699901961</v>
      </c>
      <c r="K71" s="67"/>
      <c r="L71" s="62" t="n">
        <f aca="false">IFERROR(VLOOKUP(Table10[[#This Row],[NAME]],Aggregate!$P:$AA,11,FALSE()),"")</f>
        <v>9</v>
      </c>
      <c r="M71" s="63" t="str">
        <f aca="false">Aggregate!P81</f>
        <v>Ty Johnson</v>
      </c>
      <c r="N71" s="63" t="str">
        <f aca="false">VLOOKUP(Table10[[#This Row],[NAME]],Aggregate!P:AA,4,FALSE())</f>
        <v>BUF/7</v>
      </c>
      <c r="O71" s="62" t="n">
        <f aca="false">IFERROR(VLOOKUP(Table10[[#This Row],[NAME]],Aggregate!$P:$AA,8,FALSE()),"")</f>
        <v>50.635</v>
      </c>
      <c r="P71" s="62" t="n">
        <f aca="false">IF(Scoring!$K$6="Auction",IFERROR(VLOOKUP(Table10[[#This Row],[NAME]],Aggregate!$P:$AA,10,FALSE()),""),IFERROR(VLOOKUP(Table10[[#This Row],[NAME]],Aggregate!$P:$AA,9,FALSE()),""))</f>
        <v>-76.9107383921569</v>
      </c>
      <c r="Q71" s="64" t="n">
        <f aca="false">SUMIFS(T72:$T$84,S72:$S$84,"&lt;&gt;x",S72:$S$84,"&lt;&gt;o",T72:$T$84,"&gt;0")/Aggregate!$X$1</f>
        <v>0</v>
      </c>
      <c r="R71" s="62" t="str">
        <f aca="false">VLOOKUP(Table10[[#This Row],[NAME]],ECR!C:E,3,FALSE())</f>
        <v>RB79</v>
      </c>
      <c r="S71" s="65"/>
      <c r="T71" s="66" t="n">
        <f aca="false">VLOOKUP(M71,Aggregate!P:X,9,FALSE())</f>
        <v>-76.9107383921569</v>
      </c>
      <c r="U71" s="68"/>
      <c r="V71" s="62" t="n">
        <f aca="false">IFERROR(VLOOKUP(Table11[[#This Row],[NAME]],Aggregate!$AD:$AO,11,FALSE()),"")</f>
        <v>8</v>
      </c>
      <c r="W71" s="63" t="str">
        <f aca="false">Aggregate!AD67</f>
        <v>Jauan Jennings</v>
      </c>
      <c r="X71" s="63" t="str">
        <f aca="false">VLOOKUP(Table11[[#This Row],[NAME]],Aggregate!AD:AO,4,FALSE())</f>
        <v>MIN/6</v>
      </c>
      <c r="Y71" s="62" t="n">
        <f aca="false">IFERROR(VLOOKUP(Table11[[#This Row],[NAME]],Aggregate!$AD:$AO,8,FALSE()),"")</f>
        <v>87.1617074211963</v>
      </c>
      <c r="Z71" s="62" t="n">
        <f aca="false">IF(Scoring!$K$6="Auction",IFERROR(VLOOKUP(Table11[[#This Row],[NAME]],Aggregate!$AD:$AO,10,FALSE()),""),IFERROR(VLOOKUP(Table11[[#This Row],[NAME]],Aggregate!$AD:$AO,9,FALSE()),""))</f>
        <v>-38.5161713239017</v>
      </c>
      <c r="AA71" s="64" t="n">
        <f aca="false">SUMIFS(AD72:$AD$84,AC72:$AC$84,"&lt;&gt;x",AC72:$AC$84,"&lt;&gt;o",AD72:$AD$84,"&gt;0")/Aggregate!$AL$1</f>
        <v>0</v>
      </c>
      <c r="AB71" s="62" t="str">
        <f aca="false">VLOOKUP(Table11[[#This Row],[NAME]],ECR!C:E,3,FALSE())</f>
        <v>WR65</v>
      </c>
      <c r="AC71" s="65"/>
      <c r="AD71" s="66" t="n">
        <f aca="false">VLOOKUP(W71,Aggregate!AD:AL,9,FALSE())</f>
        <v>-38.5161713239017</v>
      </c>
      <c r="AF71" s="52"/>
      <c r="AG71" s="52"/>
    </row>
    <row r="72" customFormat="false" ht="14.25" hidden="false" customHeight="true" outlineLevel="0" collapsed="false">
      <c r="B72" s="62" t="n">
        <f aca="false">IFERROR(VLOOKUP(Table12[[#This Row],[NAME]],Aggregate!$AR:$BC,11,FALSE()),"")</f>
        <v>6</v>
      </c>
      <c r="C72" s="63" t="str">
        <f aca="false">Aggregate!AR24</f>
        <v>AJ Barner</v>
      </c>
      <c r="D72" s="63" t="str">
        <f aca="false">VLOOKUP(Table12[[#This Row],[NAME]],Aggregate!AR:BD,4,FALSE())</f>
        <v>SEA/11</v>
      </c>
      <c r="E72" s="62" t="n">
        <f aca="false">IFERROR(VLOOKUP($C72,Aggregate!$AR:$BC,8,FALSE()),"")</f>
        <v>78.796568627451</v>
      </c>
      <c r="F72" s="62" t="n">
        <f aca="false">IF(Scoring!$K$6="Auction",IFERROR(VLOOKUP($C72,Aggregate!$AR:$BC,10,FALSE()),""),IFERROR(VLOOKUP($C72,Aggregate!$AR:$BC,9,FALSE()),""))</f>
        <v>-33.7770288137255</v>
      </c>
      <c r="G72" s="64" t="n">
        <f aca="false">SUMIFS(J73:$J$84,I73:$I$84,"&lt;&gt;x",I73:$I$84,"&lt;&gt;o",J73:$J$84,"&gt;0")/Aggregate!$AZ$1</f>
        <v>0</v>
      </c>
      <c r="H72" s="62" t="str">
        <f aca="false">VLOOKUP(Table12[[#This Row],[NAME]],ECR!C:E,3,FALSE())</f>
        <v>TE22</v>
      </c>
      <c r="I72" s="65"/>
      <c r="J72" s="66" t="n">
        <f aca="false">VLOOKUP(C72,Aggregate!AR:AZ,9,FALSE())</f>
        <v>-33.7770288137255</v>
      </c>
      <c r="K72" s="67"/>
      <c r="L72" s="62" t="n">
        <f aca="false">IFERROR(VLOOKUP(Table10[[#This Row],[NAME]],Aggregate!$P:$AA,11,FALSE()),"")</f>
        <v>10</v>
      </c>
      <c r="M72" s="63" t="str">
        <f aca="false">Aggregate!P61</f>
        <v>Kimani Vidal</v>
      </c>
      <c r="N72" s="63" t="str">
        <f aca="false">VLOOKUP(Table10[[#This Row],[NAME]],Aggregate!P:AA,4,FALSE())</f>
        <v>LAC/7</v>
      </c>
      <c r="O72" s="62" t="n">
        <f aca="false">IFERROR(VLOOKUP(Table10[[#This Row],[NAME]],Aggregate!$P:$AA,8,FALSE()),"")</f>
        <v>48.456862745098</v>
      </c>
      <c r="P72" s="62" t="n">
        <f aca="false">IF(Scoring!$K$6="Auction",IFERROR(VLOOKUP(Table10[[#This Row],[NAME]],Aggregate!$P:$AA,10,FALSE()),""),IFERROR(VLOOKUP(Table10[[#This Row],[NAME]],Aggregate!$P:$AA,9,FALSE()),""))</f>
        <v>-79.0888756470588</v>
      </c>
      <c r="Q72" s="64" t="n">
        <f aca="false">SUMIFS(T73:$T$84,S73:$S$84,"&lt;&gt;x",S73:$S$84,"&lt;&gt;o",T73:$T$84,"&gt;0")/Aggregate!$X$1</f>
        <v>0</v>
      </c>
      <c r="R72" s="62" t="str">
        <f aca="false">VLOOKUP(Table10[[#This Row],[NAME]],ECR!C:E,3,FALSE())</f>
        <v>RB59</v>
      </c>
      <c r="S72" s="65"/>
      <c r="T72" s="66" t="n">
        <f aca="false">VLOOKUP(M72,Aggregate!P:X,9,FALSE())</f>
        <v>-79.0888756470588</v>
      </c>
      <c r="U72" s="68"/>
      <c r="V72" s="62" t="n">
        <f aca="false">IFERROR(VLOOKUP(Table11[[#This Row],[NAME]],Aggregate!$AD:$AO,11,FALSE()),"")</f>
        <v>8</v>
      </c>
      <c r="W72" s="63" t="str">
        <f aca="false">Aggregate!AD73</f>
        <v>Keenan Allen</v>
      </c>
      <c r="X72" s="63" t="str">
        <f aca="false">VLOOKUP(Table11[[#This Row],[NAME]],Aggregate!AD:AO,4,FALSE())</f>
        <v>IND/13</v>
      </c>
      <c r="Y72" s="62" t="n">
        <f aca="false">IFERROR(VLOOKUP(Table11[[#This Row],[NAME]],Aggregate!$AD:$AO,8,FALSE()),"")</f>
        <v>86.4595507570117</v>
      </c>
      <c r="Z72" s="62" t="n">
        <f aca="false">IF(Scoring!$K$6="Auction",IFERROR(VLOOKUP(Table11[[#This Row],[NAME]],Aggregate!$AD:$AO,10,FALSE()),""),IFERROR(VLOOKUP(Table11[[#This Row],[NAME]],Aggregate!$AD:$AO,9,FALSE()),""))</f>
        <v>-39.2183279880863</v>
      </c>
      <c r="AA72" s="64" t="n">
        <f aca="false">SUMIFS(AD73:$AD$84,AC73:$AC$84,"&lt;&gt;x",AC73:$AC$84,"&lt;&gt;o",AD73:$AD$84,"&gt;0")/Aggregate!$AL$1</f>
        <v>0</v>
      </c>
      <c r="AB72" s="62" t="str">
        <f aca="false">VLOOKUP(Table11[[#This Row],[NAME]],ECR!C:E,3,FALSE())</f>
        <v>WR71</v>
      </c>
      <c r="AC72" s="65"/>
      <c r="AD72" s="66" t="n">
        <f aca="false">VLOOKUP(W72,Aggregate!AD:AL,9,FALSE())</f>
        <v>-39.2183279880863</v>
      </c>
      <c r="AF72" s="52"/>
      <c r="AG72" s="52"/>
    </row>
    <row r="73" customFormat="false" ht="15" hidden="false" customHeight="true" outlineLevel="0" collapsed="false">
      <c r="B73" s="62" t="n">
        <f aca="false">IFERROR(VLOOKUP(Table12[[#This Row],[NAME]],Aggregate!$AR:$BC,11,FALSE()),"")</f>
        <v>7</v>
      </c>
      <c r="C73" s="63" t="str">
        <f aca="false">Aggregate!AR30</f>
        <v>Cade Otton</v>
      </c>
      <c r="D73" s="63" t="str">
        <f aca="false">VLOOKUP(Table12[[#This Row],[NAME]],Aggregate!AR:BD,4,FALSE())</f>
        <v>TB/10</v>
      </c>
      <c r="E73" s="62" t="n">
        <f aca="false">IFERROR(VLOOKUP($C73,Aggregate!$AR:$BC,8,FALSE()),"")</f>
        <v>76.3597058823529</v>
      </c>
      <c r="F73" s="62" t="n">
        <f aca="false">IF(Scoring!$K$6="Auction",IFERROR(VLOOKUP($C73,Aggregate!$AR:$BC,10,FALSE()),""),IFERROR(VLOOKUP($C73,Aggregate!$AR:$BC,9,FALSE()),""))</f>
        <v>-36.2138915588236</v>
      </c>
      <c r="G73" s="64" t="n">
        <f aca="false">SUMIFS(J74:$J$84,I74:$I$84,"&lt;&gt;x",I74:$I$84,"&lt;&gt;o",J74:$J$84,"&gt;0")/Aggregate!$AZ$1</f>
        <v>0</v>
      </c>
      <c r="H73" s="62" t="str">
        <f aca="false">VLOOKUP(Table12[[#This Row],[NAME]],ECR!C:E,3,FALSE())</f>
        <v>TE28</v>
      </c>
      <c r="I73" s="65"/>
      <c r="J73" s="66" t="n">
        <f aca="false">VLOOKUP(C73,Aggregate!AR:AZ,9,FALSE())</f>
        <v>-36.2138915588236</v>
      </c>
      <c r="K73" s="67"/>
      <c r="L73" s="62" t="n">
        <f aca="false">IFERROR(VLOOKUP(Table10[[#This Row],[NAME]],Aggregate!$P:$AA,11,FALSE()),"")</f>
        <v>10</v>
      </c>
      <c r="M73" s="63" t="str">
        <f aca="false">Aggregate!P76</f>
        <v>Chris Brooks</v>
      </c>
      <c r="N73" s="63" t="str">
        <f aca="false">VLOOKUP(Table10[[#This Row],[NAME]],Aggregate!P:AA,4,FALSE())</f>
        <v>GB/11</v>
      </c>
      <c r="O73" s="62" t="n">
        <f aca="false">IFERROR(VLOOKUP(Table10[[#This Row],[NAME]],Aggregate!$P:$AA,8,FALSE()),"")</f>
        <v>48.1917647058824</v>
      </c>
      <c r="P73" s="62" t="n">
        <f aca="false">IF(Scoring!$K$6="Auction",IFERROR(VLOOKUP(Table10[[#This Row],[NAME]],Aggregate!$P:$AA,10,FALSE()),""),IFERROR(VLOOKUP(Table10[[#This Row],[NAME]],Aggregate!$P:$AA,9,FALSE()),""))</f>
        <v>-79.3539736862745</v>
      </c>
      <c r="Q73" s="64" t="n">
        <f aca="false">SUMIFS(T74:$T$84,S74:$S$84,"&lt;&gt;x",S74:$S$84,"&lt;&gt;o",T74:$T$84,"&gt;0")/Aggregate!$X$1</f>
        <v>0</v>
      </c>
      <c r="R73" s="62" t="str">
        <f aca="false">VLOOKUP(Table10[[#This Row],[NAME]],ECR!C:E,3,FALSE())</f>
        <v>RB74</v>
      </c>
      <c r="S73" s="65"/>
      <c r="T73" s="66" t="n">
        <f aca="false">VLOOKUP(M73,Aggregate!P:X,9,FALSE())</f>
        <v>-79.3539736862745</v>
      </c>
      <c r="U73" s="68"/>
      <c r="V73" s="62" t="n">
        <f aca="false">IFERROR(VLOOKUP(Table11[[#This Row],[NAME]],Aggregate!$AD:$AO,11,FALSE()),"")</f>
        <v>8</v>
      </c>
      <c r="W73" s="63" t="str">
        <f aca="false">Aggregate!AD78</f>
        <v>Rashod Bateman</v>
      </c>
      <c r="X73" s="63" t="str">
        <f aca="false">VLOOKUP(Table11[[#This Row],[NAME]],Aggregate!AD:AO,4,FALSE())</f>
        <v>BAL/13</v>
      </c>
      <c r="Y73" s="62" t="n">
        <f aca="false">IFERROR(VLOOKUP(Table11[[#This Row],[NAME]],Aggregate!$AD:$AO,8,FALSE()),"")</f>
        <v>85.9895379995036</v>
      </c>
      <c r="Z73" s="62" t="n">
        <f aca="false">IF(Scoring!$K$6="Auction",IFERROR(VLOOKUP(Table11[[#This Row],[NAME]],Aggregate!$AD:$AO,10,FALSE()),""),IFERROR(VLOOKUP(Table11[[#This Row],[NAME]],Aggregate!$AD:$AO,9,FALSE()),""))</f>
        <v>-39.6883407455944</v>
      </c>
      <c r="AA73" s="64" t="n">
        <f aca="false">SUMIFS(AD74:$AD$84,AC74:$AC$84,"&lt;&gt;x",AC74:$AC$84,"&lt;&gt;o",AD74:$AD$84,"&gt;0")/Aggregate!$AL$1</f>
        <v>0</v>
      </c>
      <c r="AB73" s="62" t="str">
        <f aca="false">VLOOKUP(Table11[[#This Row],[NAME]],ECR!C:E,3,FALSE())</f>
        <v>WR76</v>
      </c>
      <c r="AC73" s="65"/>
      <c r="AD73" s="66" t="n">
        <f aca="false">VLOOKUP(W73,Aggregate!AD:AL,9,FALSE())</f>
        <v>-39.6883407455944</v>
      </c>
      <c r="AF73" s="52"/>
      <c r="AG73" s="52"/>
    </row>
    <row r="74" customFormat="false" ht="14.25" hidden="false" customHeight="true" outlineLevel="0" collapsed="false">
      <c r="B74" s="62" t="n">
        <f aca="false">IFERROR(VLOOKUP(Table12[[#This Row],[NAME]],Aggregate!$AR:$BC,11,FALSE()),"")</f>
        <v>7</v>
      </c>
      <c r="C74" s="63" t="str">
        <f aca="false">Aggregate!AR34</f>
        <v>Greg Dulcich</v>
      </c>
      <c r="D74" s="63" t="str">
        <f aca="false">VLOOKUP(Table12[[#This Row],[NAME]],Aggregate!AR:BD,4,FALSE())</f>
        <v>MIA/6</v>
      </c>
      <c r="E74" s="62" t="n">
        <f aca="false">IFERROR(VLOOKUP($C74,Aggregate!$AR:$BC,8,FALSE()),"")</f>
        <v>75.8511764705882</v>
      </c>
      <c r="F74" s="62" t="n">
        <f aca="false">IF(Scoring!$K$6="Auction",IFERROR(VLOOKUP($C74,Aggregate!$AR:$BC,10,FALSE()),""),IFERROR(VLOOKUP($C74,Aggregate!$AR:$BC,9,FALSE()),""))</f>
        <v>-36.7224209705882</v>
      </c>
      <c r="G74" s="64" t="n">
        <f aca="false">SUMIFS(J75:$J$84,I75:$I$84,"&lt;&gt;x",I75:$I$84,"&lt;&gt;o",J75:$J$84,"&gt;0")/Aggregate!$AZ$1</f>
        <v>0</v>
      </c>
      <c r="H74" s="62" t="str">
        <f aca="false">VLOOKUP(Table12[[#This Row],[NAME]],ECR!C:E,3,FALSE())</f>
        <v>TE32</v>
      </c>
      <c r="I74" s="65"/>
      <c r="J74" s="66" t="n">
        <f aca="false">VLOOKUP(C74,Aggregate!AR:AZ,9,FALSE())</f>
        <v>-36.7224209705882</v>
      </c>
      <c r="L74" s="62" t="n">
        <f aca="false">IFERROR(VLOOKUP(Table10[[#This Row],[NAME]],Aggregate!$P:$AA,11,FALSE()),"")</f>
        <v>10</v>
      </c>
      <c r="M74" s="63" t="str">
        <f aca="false">Aggregate!P79</f>
        <v>Jordan James</v>
      </c>
      <c r="N74" s="63" t="str">
        <f aca="false">VLOOKUP(Table10[[#This Row],[NAME]],Aggregate!P:AA,4,FALSE())</f>
        <v>SF/8</v>
      </c>
      <c r="O74" s="62" t="n">
        <f aca="false">IFERROR(VLOOKUP(Table10[[#This Row],[NAME]],Aggregate!$P:$AA,8,FALSE()),"")</f>
        <v>44.9787254901961</v>
      </c>
      <c r="P74" s="62" t="n">
        <f aca="false">IF(Scoring!$K$6="Auction",IFERROR(VLOOKUP(Table10[[#This Row],[NAME]],Aggregate!$P:$AA,10,FALSE()),""),IFERROR(VLOOKUP(Table10[[#This Row],[NAME]],Aggregate!$P:$AA,9,FALSE()),""))</f>
        <v>-82.5670129019608</v>
      </c>
      <c r="Q74" s="64" t="n">
        <f aca="false">SUMIFS(T75:$T$84,S75:$S$84,"&lt;&gt;x",S75:$S$84,"&lt;&gt;o",T75:$T$84,"&gt;0")/Aggregate!$X$1</f>
        <v>0</v>
      </c>
      <c r="R74" s="62" t="str">
        <f aca="false">VLOOKUP(Table10[[#This Row],[NAME]],ECR!C:E,3,FALSE())</f>
        <v>RB77</v>
      </c>
      <c r="S74" s="65"/>
      <c r="T74" s="66" t="n">
        <f aca="false">VLOOKUP(M74,Aggregate!P:X,9,FALSE())</f>
        <v>-82.5670129019608</v>
      </c>
      <c r="V74" s="62" t="n">
        <f aca="false">IFERROR(VLOOKUP(Table11[[#This Row],[NAME]],Aggregate!$AD:$AO,11,FALSE()),"")</f>
        <v>8</v>
      </c>
      <c r="W74" s="63" t="str">
        <f aca="false">Aggregate!AD72</f>
        <v>Jalen Nailor</v>
      </c>
      <c r="X74" s="63" t="str">
        <f aca="false">VLOOKUP(Table11[[#This Row],[NAME]],Aggregate!AD:AO,4,FALSE())</f>
        <v>LV/13</v>
      </c>
      <c r="Y74" s="62" t="n">
        <f aca="false">IFERROR(VLOOKUP(Table11[[#This Row],[NAME]],Aggregate!$AD:$AO,8,FALSE()),"")</f>
        <v>83.3417771159097</v>
      </c>
      <c r="Z74" s="62" t="n">
        <f aca="false">IF(Scoring!$K$6="Auction",IFERROR(VLOOKUP(Table11[[#This Row],[NAME]],Aggregate!$AD:$AO,10,FALSE()),""),IFERROR(VLOOKUP(Table11[[#This Row],[NAME]],Aggregate!$AD:$AO,9,FALSE()),""))</f>
        <v>-42.3361016291884</v>
      </c>
      <c r="AA74" s="64" t="n">
        <f aca="false">SUMIFS(AD75:$AD$84,AC75:$AC$84,"&lt;&gt;x",AC75:$AC$84,"&lt;&gt;o",AD75:$AD$84,"&gt;0")/Aggregate!$AL$1</f>
        <v>0</v>
      </c>
      <c r="AB74" s="62" t="str">
        <f aca="false">VLOOKUP(Table11[[#This Row],[NAME]],ECR!C:E,3,FALSE())</f>
        <v>WR70</v>
      </c>
      <c r="AC74" s="65"/>
      <c r="AD74" s="66" t="n">
        <f aca="false">VLOOKUP(W74,Aggregate!AD:AL,9,FALSE())</f>
        <v>-42.3361016291884</v>
      </c>
      <c r="AF74" s="52"/>
      <c r="AG74" s="52"/>
    </row>
    <row r="75" customFormat="false" ht="14.25" hidden="false" customHeight="true" outlineLevel="0" collapsed="false">
      <c r="B75" s="62" t="n">
        <f aca="false">IFERROR(VLOOKUP(Table12[[#This Row],[NAME]],Aggregate!$AR:$BC,11,FALSE()),"")</f>
        <v>7</v>
      </c>
      <c r="C75" s="63" t="str">
        <f aca="false">Aggregate!AR27</f>
        <v>Gunnar Helm</v>
      </c>
      <c r="D75" s="63" t="str">
        <f aca="false">VLOOKUP(Table12[[#This Row],[NAME]],Aggregate!AR:BD,4,FALSE())</f>
        <v>TEN/9</v>
      </c>
      <c r="E75" s="62" t="n">
        <f aca="false">IFERROR(VLOOKUP($C75,Aggregate!$AR:$BC,8,FALSE()),"")</f>
        <v>70.7402038039216</v>
      </c>
      <c r="F75" s="62" t="n">
        <f aca="false">IF(Scoring!$K$6="Auction",IFERROR(VLOOKUP($C75,Aggregate!$AR:$BC,10,FALSE()),""),IFERROR(VLOOKUP($C75,Aggregate!$AR:$BC,9,FALSE()),""))</f>
        <v>-41.8333936372549</v>
      </c>
      <c r="G75" s="64" t="n">
        <f aca="false">SUMIFS(J76:$J$84,I76:$I$84,"&lt;&gt;x",I76:$I$84,"&lt;&gt;o",J76:$J$84,"&gt;0")/Aggregate!$AZ$1</f>
        <v>0</v>
      </c>
      <c r="H75" s="62" t="str">
        <f aca="false">VLOOKUP(Table12[[#This Row],[NAME]],ECR!C:E,3,FALSE())</f>
        <v>TE25</v>
      </c>
      <c r="I75" s="65"/>
      <c r="J75" s="66" t="n">
        <f aca="false">VLOOKUP(C75,Aggregate!AR:AZ,9,FALSE())</f>
        <v>-41.8333936372549</v>
      </c>
      <c r="K75" s="67"/>
      <c r="L75" s="62" t="n">
        <f aca="false">IFERROR(VLOOKUP(Table10[[#This Row],[NAME]],Aggregate!$P:$AA,11,FALSE()),"")</f>
        <v>10</v>
      </c>
      <c r="M75" s="63" t="str">
        <f aca="false">Aggregate!P70</f>
        <v>Jaylen Wright</v>
      </c>
      <c r="N75" s="63" t="str">
        <f aca="false">VLOOKUP(Table10[[#This Row],[NAME]],Aggregate!P:AA,4,FALSE())</f>
        <v>MIA/6</v>
      </c>
      <c r="O75" s="62" t="n">
        <f aca="false">IFERROR(VLOOKUP(Table10[[#This Row],[NAME]],Aggregate!$P:$AA,8,FALSE()),"")</f>
        <v>42.6221568627451</v>
      </c>
      <c r="P75" s="62" t="n">
        <f aca="false">IF(Scoring!$K$6="Auction",IFERROR(VLOOKUP(Table10[[#This Row],[NAME]],Aggregate!$P:$AA,10,FALSE()),""),IFERROR(VLOOKUP(Table10[[#This Row],[NAME]],Aggregate!$P:$AA,9,FALSE()),""))</f>
        <v>-84.9235815294118</v>
      </c>
      <c r="Q75" s="64" t="n">
        <f aca="false">SUMIFS(T76:$T$84,S76:$S$84,"&lt;&gt;x",S76:$S$84,"&lt;&gt;o",T76:$T$84,"&gt;0")/Aggregate!$X$1</f>
        <v>0</v>
      </c>
      <c r="R75" s="62" t="str">
        <f aca="false">VLOOKUP(Table10[[#This Row],[NAME]],ECR!C:E,3,FALSE())</f>
        <v>RB68</v>
      </c>
      <c r="S75" s="65"/>
      <c r="T75" s="66" t="n">
        <f aca="false">VLOOKUP(M75,Aggregate!P:X,9,FALSE())</f>
        <v>-84.9235815294118</v>
      </c>
      <c r="U75" s="68"/>
      <c r="V75" s="62" t="n">
        <f aca="false">IFERROR(VLOOKUP(Table11[[#This Row],[NAME]],Aggregate!$AD:$AO,11,FALSE()),"")</f>
        <v>8</v>
      </c>
      <c r="W75" s="63" t="str">
        <f aca="false">Aggregate!AD62</f>
        <v>Adonai Mitchell</v>
      </c>
      <c r="X75" s="63" t="str">
        <f aca="false">VLOOKUP(Table11[[#This Row],[NAME]],Aggregate!AD:AO,4,FALSE())</f>
        <v>NYJ/13</v>
      </c>
      <c r="Y75" s="62" t="n">
        <f aca="false">IFERROR(VLOOKUP(Table11[[#This Row],[NAME]],Aggregate!$AD:$AO,8,FALSE()),"")</f>
        <v>80.9357532886572</v>
      </c>
      <c r="Z75" s="62" t="n">
        <f aca="false">IF(Scoring!$K$6="Auction",IFERROR(VLOOKUP(Table11[[#This Row],[NAME]],Aggregate!$AD:$AO,10,FALSE()),""),IFERROR(VLOOKUP(Table11[[#This Row],[NAME]],Aggregate!$AD:$AO,9,FALSE()),""))</f>
        <v>-44.7421254564408</v>
      </c>
      <c r="AA75" s="64" t="n">
        <f aca="false">SUMIFS(AD76:$AD$84,AC76:$AC$84,"&lt;&gt;x",AC76:$AC$84,"&lt;&gt;o",AD76:$AD$84,"&gt;0")/Aggregate!$AL$1</f>
        <v>0</v>
      </c>
      <c r="AB75" s="62" t="str">
        <f aca="false">VLOOKUP(Table11[[#This Row],[NAME]],ECR!C:E,3,FALSE())</f>
        <v>WR60</v>
      </c>
      <c r="AC75" s="65"/>
      <c r="AD75" s="66" t="n">
        <f aca="false">VLOOKUP(W75,Aggregate!AD:AL,9,FALSE())</f>
        <v>-44.7421254564408</v>
      </c>
      <c r="AF75" s="52"/>
      <c r="AG75" s="52"/>
    </row>
    <row r="76" customFormat="false" ht="14.25" hidden="false" customHeight="true" outlineLevel="0" collapsed="false">
      <c r="B76" s="62" t="n">
        <f aca="false">IFERROR(VLOOKUP(Table12[[#This Row],[NAME]],Aggregate!$AR:$BC,11,FALSE()),"")</f>
        <v>7</v>
      </c>
      <c r="C76" s="63" t="str">
        <f aca="false">Aggregate!AR31</f>
        <v>Evan Engram</v>
      </c>
      <c r="D76" s="63" t="str">
        <f aca="false">VLOOKUP(Table12[[#This Row],[NAME]],Aggregate!AR:BD,4,FALSE())</f>
        <v>DEN/10</v>
      </c>
      <c r="E76" s="62" t="n">
        <f aca="false">IFERROR(VLOOKUP($C76,Aggregate!$AR:$BC,8,FALSE()),"")</f>
        <v>68.6591176470588</v>
      </c>
      <c r="F76" s="62" t="n">
        <f aca="false">IF(Scoring!$K$6="Auction",IFERROR(VLOOKUP($C76,Aggregate!$AR:$BC,10,FALSE()),""),IFERROR(VLOOKUP($C76,Aggregate!$AR:$BC,9,FALSE()),""))</f>
        <v>-43.9144797941177</v>
      </c>
      <c r="G76" s="64" t="n">
        <f aca="false">SUMIFS(J76:$J$84,I76:$I$84,"&lt;&gt;x",I76:$I$84,"&lt;&gt;o",J76:$J$84,"&gt;0")/Aggregate!$AZ$1</f>
        <v>0</v>
      </c>
      <c r="H76" s="62" t="str">
        <f aca="false">VLOOKUP(Table12[[#This Row],[NAME]],ECR!C:E,3,FALSE())</f>
        <v>TE29</v>
      </c>
      <c r="I76" s="65"/>
      <c r="J76" s="66" t="n">
        <f aca="false">VLOOKUP(C76,Aggregate!AR:AZ,9,FALSE())</f>
        <v>-43.9144797941177</v>
      </c>
      <c r="K76" s="67"/>
      <c r="L76" s="62" t="n">
        <f aca="false">IFERROR(VLOOKUP(Table10[[#This Row],[NAME]],Aggregate!$P:$AA,11,FALSE()),"")</f>
        <v>10</v>
      </c>
      <c r="M76" s="63" t="str">
        <f aca="false">Aggregate!P73</f>
        <v>Emanuel Wilson</v>
      </c>
      <c r="N76" s="63" t="str">
        <f aca="false">VLOOKUP(Table10[[#This Row],[NAME]],Aggregate!P:AA,4,FALSE())</f>
        <v>SEA/11</v>
      </c>
      <c r="O76" s="62" t="n">
        <f aca="false">IFERROR(VLOOKUP(Table10[[#This Row],[NAME]],Aggregate!$P:$AA,8,FALSE()),"")</f>
        <v>40.2630392156863</v>
      </c>
      <c r="P76" s="62" t="n">
        <f aca="false">IF(Scoring!$K$6="Auction",IFERROR(VLOOKUP(Table10[[#This Row],[NAME]],Aggregate!$P:$AA,10,FALSE()),""),IFERROR(VLOOKUP(Table10[[#This Row],[NAME]],Aggregate!$P:$AA,9,FALSE()),""))</f>
        <v>-87.2826991764706</v>
      </c>
      <c r="Q76" s="64" t="n">
        <f aca="false">SUMIFS(T77:$T$84,S77:$S$84,"&lt;&gt;x",S77:$S$84,"&lt;&gt;o",T77:$T$84,"&gt;0")/Aggregate!$X$1</f>
        <v>0</v>
      </c>
      <c r="R76" s="62" t="str">
        <f aca="false">VLOOKUP(Table10[[#This Row],[NAME]],ECR!C:E,3,FALSE())</f>
        <v>RB71</v>
      </c>
      <c r="S76" s="65"/>
      <c r="T76" s="66" t="n">
        <f aca="false">VLOOKUP(M76,Aggregate!P:X,9,FALSE())</f>
        <v>-87.2826991764706</v>
      </c>
      <c r="U76" s="68"/>
      <c r="V76" s="62" t="n">
        <f aca="false">IFERROR(VLOOKUP(Table11[[#This Row],[NAME]],Aggregate!$AD:$AO,11,FALSE()),"")</f>
        <v>8</v>
      </c>
      <c r="W76" s="63" t="str">
        <f aca="false">Aggregate!AD82</f>
        <v>Malachi Fields</v>
      </c>
      <c r="X76" s="63" t="str">
        <f aca="false">VLOOKUP(Table11[[#This Row],[NAME]],Aggregate!AD:AO,4,FALSE())</f>
        <v>NYG/8</v>
      </c>
      <c r="Y76" s="62" t="n">
        <f aca="false">IFERROR(VLOOKUP(Table11[[#This Row],[NAME]],Aggregate!$AD:$AO,8,FALSE()),"")</f>
        <v>79.7675552246215</v>
      </c>
      <c r="Z76" s="62" t="n">
        <f aca="false">IF(Scoring!$K$6="Auction",IFERROR(VLOOKUP(Table11[[#This Row],[NAME]],Aggregate!$AD:$AO,10,FALSE()),""),IFERROR(VLOOKUP(Table11[[#This Row],[NAME]],Aggregate!$AD:$AO,9,FALSE()),""))</f>
        <v>-45.9103235204765</v>
      </c>
      <c r="AA76" s="64" t="n">
        <f aca="false">SUMIFS(AD77:$AD$84,AC77:$AC$84,"&lt;&gt;x",AC77:$AC$84,"&lt;&gt;o",AD77:$AD$84,"&gt;0")/Aggregate!$AL$1</f>
        <v>0</v>
      </c>
      <c r="AB76" s="62" t="str">
        <f aca="false">VLOOKUP(Table11[[#This Row],[NAME]],ECR!C:E,3,FALSE())</f>
        <v>WR80</v>
      </c>
      <c r="AC76" s="65"/>
      <c r="AD76" s="66" t="n">
        <f aca="false">VLOOKUP(W76,Aggregate!AD:AL,9,FALSE())</f>
        <v>-45.9103235204765</v>
      </c>
      <c r="AF76" s="52"/>
      <c r="AG76" s="52"/>
    </row>
    <row r="77" customFormat="false" ht="14.25" hidden="false" customHeight="true" outlineLevel="0" collapsed="false">
      <c r="B77" s="62" t="n">
        <f aca="false">IFERROR(VLOOKUP(Table12[[#This Row],[NAME]],Aggregate!$AR:$BC,11,FALSE()),"")</f>
        <v>7</v>
      </c>
      <c r="C77" s="63" t="str">
        <f aca="false">Aggregate!AR32</f>
        <v>David Njoku</v>
      </c>
      <c r="D77" s="63" t="str">
        <f aca="false">VLOOKUP(Table12[[#This Row],[NAME]],Aggregate!AR:BD,4,FALSE())</f>
        <v>LAC/7</v>
      </c>
      <c r="E77" s="62" t="n">
        <f aca="false">IFERROR(VLOOKUP($C77,Aggregate!$AR:$BC,8,FALSE()),"")</f>
        <v>66.7129411764706</v>
      </c>
      <c r="F77" s="62" t="n">
        <f aca="false">IF(Scoring!$K$6="Auction",IFERROR(VLOOKUP($C77,Aggregate!$AR:$BC,10,FALSE()),""),IFERROR(VLOOKUP($C77,Aggregate!$AR:$BC,9,FALSE()),""))</f>
        <v>-45.8606562647059</v>
      </c>
      <c r="G77" s="64" t="n">
        <v>0</v>
      </c>
      <c r="H77" s="62" t="str">
        <f aca="false">VLOOKUP(Table12[[#This Row],[NAME]],ECR!C:E,3,FALSE())</f>
        <v>TE30</v>
      </c>
      <c r="I77" s="65"/>
      <c r="J77" s="66" t="n">
        <f aca="false">VLOOKUP(C77,Aggregate!AR:AZ,9,FALSE())</f>
        <v>-45.8606562647059</v>
      </c>
      <c r="K77" s="67"/>
      <c r="L77" s="62" t="n">
        <f aca="false">IFERROR(VLOOKUP(Table10[[#This Row],[NAME]],Aggregate!$P:$AA,11,FALSE()),"")</f>
        <v>10</v>
      </c>
      <c r="M77" s="63" t="str">
        <f aca="false">Aggregate!P60</f>
        <v>Ray Davis</v>
      </c>
      <c r="N77" s="63" t="str">
        <f aca="false">VLOOKUP(Table10[[#This Row],[NAME]],Aggregate!P:AA,4,FALSE())</f>
        <v>BUF/7</v>
      </c>
      <c r="O77" s="62" t="n">
        <f aca="false">IFERROR(VLOOKUP(Table10[[#This Row],[NAME]],Aggregate!$P:$AA,8,FALSE()),"")</f>
        <v>38.5003887843137</v>
      </c>
      <c r="P77" s="62" t="n">
        <f aca="false">IF(Scoring!$K$6="Auction",IFERROR(VLOOKUP(Table10[[#This Row],[NAME]],Aggregate!$P:$AA,10,FALSE()),""),IFERROR(VLOOKUP(Table10[[#This Row],[NAME]],Aggregate!$P:$AA,9,FALSE()),""))</f>
        <v>-89.0453496078432</v>
      </c>
      <c r="Q77" s="64" t="n">
        <f aca="false">SUMIFS(T78:$T$84,S78:$S$84,"&lt;&gt;x",S78:$S$84,"&lt;&gt;o",T78:$T$84,"&gt;0")/Aggregate!$X$1</f>
        <v>0</v>
      </c>
      <c r="R77" s="62" t="str">
        <f aca="false">VLOOKUP(Table10[[#This Row],[NAME]],ECR!C:E,3,FALSE())</f>
        <v>RB58</v>
      </c>
      <c r="S77" s="65"/>
      <c r="T77" s="66" t="n">
        <f aca="false">VLOOKUP(M77,Aggregate!P:X,9,FALSE())</f>
        <v>-89.0453496078432</v>
      </c>
      <c r="U77" s="68"/>
      <c r="V77" s="62" t="n">
        <f aca="false">IFERROR(VLOOKUP(Table11[[#This Row],[NAME]],Aggregate!$AD:$AO,11,FALSE()),"")</f>
        <v>8</v>
      </c>
      <c r="W77" s="63" t="str">
        <f aca="false">Aggregate!AD81</f>
        <v>Zachariah Branch</v>
      </c>
      <c r="X77" s="63" t="str">
        <f aca="false">VLOOKUP(Table11[[#This Row],[NAME]],Aggregate!AD:AO,4,FALSE())</f>
        <v>ATL/11</v>
      </c>
      <c r="Y77" s="62" t="n">
        <f aca="false">IFERROR(VLOOKUP(Table11[[#This Row],[NAME]],Aggregate!$AD:$AO,8,FALSE()),"")</f>
        <v>78.6728014892033</v>
      </c>
      <c r="Z77" s="62" t="n">
        <f aca="false">IF(Scoring!$K$6="Auction",IFERROR(VLOOKUP(Table11[[#This Row],[NAME]],Aggregate!$AD:$AO,10,FALSE()),""),IFERROR(VLOOKUP(Table11[[#This Row],[NAME]],Aggregate!$AD:$AO,9,FALSE()),""))</f>
        <v>-47.0050772558948</v>
      </c>
      <c r="AA77" s="64" t="n">
        <f aca="false">SUMIFS(AD78:$AD$84,AC78:$AC$84,"&lt;&gt;x",AC78:$AC$84,"&lt;&gt;o",AD78:$AD$84,"&gt;0")/Aggregate!$AL$1</f>
        <v>0</v>
      </c>
      <c r="AB77" s="62" t="str">
        <f aca="false">VLOOKUP(Table11[[#This Row],[NAME]],ECR!C:E,3,FALSE())</f>
        <v>WR79</v>
      </c>
      <c r="AC77" s="65"/>
      <c r="AD77" s="66" t="n">
        <f aca="false">VLOOKUP(W77,Aggregate!AD:AL,9,FALSE())</f>
        <v>-47.0050772558948</v>
      </c>
      <c r="AF77" s="52"/>
      <c r="AG77" s="52"/>
    </row>
    <row r="78" customFormat="false" ht="14.25" hidden="false" customHeight="true" outlineLevel="0" collapsed="false">
      <c r="B78" s="62" t="n">
        <f aca="false">IFERROR(VLOOKUP(Table12[[#This Row],[NAME]],Aggregate!$AR:$BC,11,FALSE()),"")</f>
        <v>8</v>
      </c>
      <c r="C78" s="63" t="str">
        <f aca="false">Aggregate!AR39</f>
        <v>Darren Waller</v>
      </c>
      <c r="D78" s="63" t="str">
        <f aca="false">VLOOKUP(Table12[[#This Row],[NAME]],Aggregate!AR:BD,4,FALSE())</f>
        <v>CAR/5</v>
      </c>
      <c r="E78" s="62" t="n">
        <f aca="false">IFERROR(VLOOKUP($C78,Aggregate!$AR:$BC,8,FALSE()),"")</f>
        <v>64.7438235294118</v>
      </c>
      <c r="F78" s="62" t="n">
        <f aca="false">IF(Scoring!$K$6="Auction",IFERROR(VLOOKUP($C78,Aggregate!$AR:$BC,10,FALSE()),""),IFERROR(VLOOKUP($C78,Aggregate!$AR:$BC,9,FALSE()),""))</f>
        <v>-47.8297739117647</v>
      </c>
      <c r="G78" s="64" t="n">
        <f aca="false">SUMIFS(J78:$J$85,I78:$I$85,"&lt;&gt;x",I78:$I$85,"&lt;&gt;o",J78:$J$85,"&gt;0")/Aggregate!$AZ$1</f>
        <v>0</v>
      </c>
      <c r="H78" s="62" t="str">
        <f aca="false">VLOOKUP(Table12[[#This Row],[NAME]],ECR!C:E,3,FALSE())</f>
        <v>TE37</v>
      </c>
      <c r="I78" s="65"/>
      <c r="J78" s="66" t="n">
        <f aca="false">VLOOKUP(C78,Aggregate!AR:AZ,9,FALSE())</f>
        <v>-47.8297739117647</v>
      </c>
      <c r="K78" s="67"/>
      <c r="L78" s="62" t="n">
        <f aca="false">IFERROR(VLOOKUP(Table10[[#This Row],[NAME]],Aggregate!$P:$AA,11,FALSE()),"")</f>
        <v>10</v>
      </c>
      <c r="M78" s="63" t="str">
        <f aca="false">Aggregate!P72</f>
        <v>James Conner</v>
      </c>
      <c r="N78" s="63" t="str">
        <f aca="false">VLOOKUP(Table10[[#This Row],[NAME]],Aggregate!P:AA,4,FALSE())</f>
        <v>ARI/14</v>
      </c>
      <c r="O78" s="62" t="n">
        <f aca="false">IFERROR(VLOOKUP(Table10[[#This Row],[NAME]],Aggregate!$P:$AA,8,FALSE()),"")</f>
        <v>38.1664705882353</v>
      </c>
      <c r="P78" s="62" t="n">
        <f aca="false">IF(Scoring!$K$6="Auction",IFERROR(VLOOKUP(Table10[[#This Row],[NAME]],Aggregate!$P:$AA,10,FALSE()),""),IFERROR(VLOOKUP(Table10[[#This Row],[NAME]],Aggregate!$P:$AA,9,FALSE()),""))</f>
        <v>-89.3792678039216</v>
      </c>
      <c r="Q78" s="64" t="n">
        <f aca="false">SUMIFS(T79:$T$84,S79:$S$84,"&lt;&gt;x",S79:$S$84,"&lt;&gt;o",T79:$T$84,"&gt;0")/Aggregate!$X$1</f>
        <v>0</v>
      </c>
      <c r="R78" s="62" t="str">
        <f aca="false">VLOOKUP(Table10[[#This Row],[NAME]],ECR!C:E,3,FALSE())</f>
        <v>RB70</v>
      </c>
      <c r="S78" s="65"/>
      <c r="T78" s="66" t="n">
        <f aca="false">VLOOKUP(M78,Aggregate!P:X,9,FALSE())</f>
        <v>-89.3792678039216</v>
      </c>
      <c r="U78" s="68"/>
      <c r="V78" s="62" t="n">
        <f aca="false">IFERROR(VLOOKUP(Table11[[#This Row],[NAME]],Aggregate!$AD:$AO,11,FALSE()),"")</f>
        <v>8</v>
      </c>
      <c r="W78" s="63" t="str">
        <f aca="false">Aggregate!AD76</f>
        <v>Jaylin Noel</v>
      </c>
      <c r="X78" s="63" t="str">
        <f aca="false">VLOOKUP(Table11[[#This Row],[NAME]],Aggregate!AD:AO,4,FALSE())</f>
        <v>HOU/8</v>
      </c>
      <c r="Y78" s="62" t="n">
        <f aca="false">IFERROR(VLOOKUP(Table11[[#This Row],[NAME]],Aggregate!$AD:$AO,8,FALSE()),"")</f>
        <v>77.7469593943907</v>
      </c>
      <c r="Z78" s="62" t="n">
        <f aca="false">IF(Scoring!$K$6="Auction",IFERROR(VLOOKUP(Table11[[#This Row],[NAME]],Aggregate!$AD:$AO,10,FALSE()),""),IFERROR(VLOOKUP(Table11[[#This Row],[NAME]],Aggregate!$AD:$AO,9,FALSE()),""))</f>
        <v>-47.9309193507074</v>
      </c>
      <c r="AA78" s="64" t="n">
        <f aca="false">SUMIFS(AD79:$AD$84,AC79:$AC$84,"&lt;&gt;x",AC79:$AC$84,"&lt;&gt;o",AD79:$AD$84,"&gt;0")/Aggregate!$AL$1</f>
        <v>0</v>
      </c>
      <c r="AB78" s="62" t="str">
        <f aca="false">VLOOKUP(Table11[[#This Row],[NAME]],ECR!C:E,3,FALSE())</f>
        <v>WR74</v>
      </c>
      <c r="AC78" s="65"/>
      <c r="AD78" s="66" t="n">
        <f aca="false">VLOOKUP(W78,Aggregate!AD:AL,9,FALSE())</f>
        <v>-47.9309193507074</v>
      </c>
      <c r="AF78" s="52"/>
      <c r="AG78" s="52"/>
    </row>
    <row r="79" customFormat="false" ht="14.25" hidden="false" customHeight="true" outlineLevel="0" collapsed="false">
      <c r="B79" s="62" t="n">
        <f aca="false">IFERROR(VLOOKUP(Table12[[#This Row],[NAME]],Aggregate!$AR:$BC,11,FALSE()),"")</f>
        <v>8</v>
      </c>
      <c r="C79" s="63" t="str">
        <f aca="false">Aggregate!AR28</f>
        <v>Oronde Gadsden II</v>
      </c>
      <c r="D79" s="63" t="str">
        <f aca="false">VLOOKUP(Table12[[#This Row],[NAME]],Aggregate!AR:BD,4,FALSE())</f>
        <v>LAC/7</v>
      </c>
      <c r="E79" s="62" t="n">
        <f aca="false">IFERROR(VLOOKUP($C79,Aggregate!$AR:$BC,8,FALSE()),"")</f>
        <v>62.92</v>
      </c>
      <c r="F79" s="62" t="n">
        <f aca="false">IF(Scoring!$K$6="Auction",IFERROR(VLOOKUP($C79,Aggregate!$AR:$BC,10,FALSE()),""),IFERROR(VLOOKUP($C79,Aggregate!$AR:$BC,9,FALSE()),""))</f>
        <v>-49.6535974411765</v>
      </c>
      <c r="G79" s="64" t="n">
        <f aca="false">SUMIFS(J80:$J$84,I80:$I$84,"&lt;&gt;x",I80:$I$84,"&lt;&gt;o",J80:$J$84,"&gt;0")/Aggregate!$AZ$1</f>
        <v>0</v>
      </c>
      <c r="H79" s="62" t="str">
        <f aca="false">VLOOKUP(Table12[[#This Row],[NAME]],ECR!C:E,3,FALSE())</f>
        <v>TE26</v>
      </c>
      <c r="I79" s="65"/>
      <c r="J79" s="66" t="n">
        <f aca="false">VLOOKUP(C79,Aggregate!AR:AZ,9,FALSE())</f>
        <v>-49.6535974411765</v>
      </c>
      <c r="K79" s="67"/>
      <c r="L79" s="62" t="n">
        <f aca="false">IFERROR(VLOOKUP(Table10[[#This Row],[NAME]],Aggregate!$P:$AA,11,FALSE()),"")</f>
        <v>10</v>
      </c>
      <c r="M79" s="63" t="str">
        <f aca="false">Aggregate!P64</f>
        <v>Sean Tucker</v>
      </c>
      <c r="N79" s="63" t="str">
        <f aca="false">VLOOKUP(Table10[[#This Row],[NAME]],Aggregate!P:AA,4,FALSE())</f>
        <v>TB/10</v>
      </c>
      <c r="O79" s="62" t="n">
        <f aca="false">IFERROR(VLOOKUP(Table10[[#This Row],[NAME]],Aggregate!$P:$AA,8,FALSE()),"")</f>
        <v>36.3507733333333</v>
      </c>
      <c r="P79" s="62" t="n">
        <f aca="false">IF(Scoring!$K$6="Auction",IFERROR(VLOOKUP(Table10[[#This Row],[NAME]],Aggregate!$P:$AA,10,FALSE()),""),IFERROR(VLOOKUP(Table10[[#This Row],[NAME]],Aggregate!$P:$AA,9,FALSE()),""))</f>
        <v>-91.1949650588235</v>
      </c>
      <c r="Q79" s="64" t="n">
        <f aca="false">SUMIFS(T80:$T$84,S80:$S$84,"&lt;&gt;x",S80:$S$84,"&lt;&gt;o",T80:$T$84,"&gt;0")/Aggregate!$X$1</f>
        <v>0</v>
      </c>
      <c r="R79" s="62" t="str">
        <f aca="false">VLOOKUP(Table10[[#This Row],[NAME]],ECR!C:E,3,FALSE())</f>
        <v>RB62</v>
      </c>
      <c r="S79" s="65"/>
      <c r="T79" s="66" t="n">
        <f aca="false">VLOOKUP(M79,Aggregate!P:X,9,FALSE())</f>
        <v>-91.1949650588235</v>
      </c>
      <c r="U79" s="68"/>
      <c r="V79" s="62" t="n">
        <f aca="false">IFERROR(VLOOKUP(Table11[[#This Row],[NAME]],Aggregate!$AD:$AO,11,FALSE()),"")</f>
        <v>8</v>
      </c>
      <c r="W79" s="63" t="str">
        <f aca="false">Aggregate!AD65</f>
        <v>Dontayvion Wicks</v>
      </c>
      <c r="X79" s="63" t="str">
        <f aca="false">VLOOKUP(Table11[[#This Row],[NAME]],Aggregate!AD:AO,4,FALSE())</f>
        <v>PHI/10</v>
      </c>
      <c r="Y79" s="62" t="n">
        <f aca="false">IFERROR(VLOOKUP(Table11[[#This Row],[NAME]],Aggregate!$AD:$AO,8,FALSE()),"")</f>
        <v>73.9392526185158</v>
      </c>
      <c r="Z79" s="62" t="n">
        <f aca="false">IF(Scoring!$K$6="Auction",IFERROR(VLOOKUP(Table11[[#This Row],[NAME]],Aggregate!$AD:$AO,10,FALSE()),""),IFERROR(VLOOKUP(Table11[[#This Row],[NAME]],Aggregate!$AD:$AO,9,FALSE()),""))</f>
        <v>-51.7386261265823</v>
      </c>
      <c r="AA79" s="64" t="n">
        <f aca="false">SUMIFS(AD80:$AD$84,AC80:$AC$84,"&lt;&gt;x",AC80:$AC$84,"&lt;&gt;o",AD80:$AD$84,"&gt;0")/Aggregate!$AL$1</f>
        <v>0</v>
      </c>
      <c r="AB79" s="62" t="str">
        <f aca="false">VLOOKUP(Table11[[#This Row],[NAME]],ECR!C:E,3,FALSE())</f>
        <v>WR63</v>
      </c>
      <c r="AC79" s="65"/>
      <c r="AD79" s="66" t="n">
        <f aca="false">VLOOKUP(W79,Aggregate!AD:AL,9,FALSE())</f>
        <v>-51.7386261265823</v>
      </c>
      <c r="AF79" s="52"/>
      <c r="AG79" s="52"/>
    </row>
    <row r="80" customFormat="false" ht="14.25" hidden="false" customHeight="true" outlineLevel="0" collapsed="false">
      <c r="B80" s="62" t="n">
        <f aca="false">IFERROR(VLOOKUP(Table12[[#This Row],[NAME]],Aggregate!$AR:$BC,11,FALSE()),"")</f>
        <v>8</v>
      </c>
      <c r="C80" s="63" t="str">
        <f aca="false">Aggregate!AR38</f>
        <v>Mike Gesicki</v>
      </c>
      <c r="D80" s="63" t="str">
        <f aca="false">VLOOKUP(Table12[[#This Row],[NAME]],Aggregate!AR:BD,4,FALSE())</f>
        <v>CIN/6</v>
      </c>
      <c r="E80" s="62" t="n">
        <f aca="false">IFERROR(VLOOKUP($C80,Aggregate!$AR:$BC,8,FALSE()),"")</f>
        <v>62.6026470588235</v>
      </c>
      <c r="F80" s="62" t="n">
        <f aca="false">IF(Scoring!$K$6="Auction",IFERROR(VLOOKUP($C80,Aggregate!$AR:$BC,10,FALSE()),""),IFERROR(VLOOKUP($C80,Aggregate!$AR:$BC,9,FALSE()),""))</f>
        <v>-49.970950382353</v>
      </c>
      <c r="G80" s="64" t="n">
        <f aca="false">SUMIFS(J80:$J$85,I80:$I$85,"&lt;&gt;x",I80:$I$85,"&lt;&gt;o",J80:$J$85,"&gt;0")/Aggregate!$AZ$1</f>
        <v>0</v>
      </c>
      <c r="H80" s="62" t="str">
        <f aca="false">VLOOKUP(Table12[[#This Row],[NAME]],ECR!C:E,3,FALSE())</f>
        <v>TE36</v>
      </c>
      <c r="I80" s="65"/>
      <c r="J80" s="66" t="n">
        <f aca="false">VLOOKUP(C80,Aggregate!AR:AZ,9,FALSE())</f>
        <v>-49.970950382353</v>
      </c>
      <c r="K80" s="67"/>
      <c r="L80" s="62" t="n">
        <f aca="false">IFERROR(VLOOKUP(Table10[[#This Row],[NAME]],Aggregate!$P:$AA,11,FALSE()),"")</f>
        <v>10</v>
      </c>
      <c r="M80" s="63" t="str">
        <f aca="false">Aggregate!P68</f>
        <v>George Holani</v>
      </c>
      <c r="N80" s="63" t="str">
        <f aca="false">VLOOKUP(Table10[[#This Row],[NAME]],Aggregate!P:AA,4,FALSE())</f>
        <v>SEA/11</v>
      </c>
      <c r="O80" s="62" t="n">
        <f aca="false">IFERROR(VLOOKUP(Table10[[#This Row],[NAME]],Aggregate!$P:$AA,8,FALSE()),"")</f>
        <v>34.5060784313726</v>
      </c>
      <c r="P80" s="62" t="n">
        <f aca="false">IF(Scoring!$K$6="Auction",IFERROR(VLOOKUP(Table10[[#This Row],[NAME]],Aggregate!$P:$AA,10,FALSE()),""),IFERROR(VLOOKUP(Table10[[#This Row],[NAME]],Aggregate!$P:$AA,9,FALSE()),""))</f>
        <v>-93.0396599607843</v>
      </c>
      <c r="Q80" s="64" t="n">
        <f aca="false">SUMIFS(T81:$T$84,S81:$S$84,"&lt;&gt;x",S81:$S$84,"&lt;&gt;o",T81:$T$84,"&gt;0")/Aggregate!$X$1</f>
        <v>0</v>
      </c>
      <c r="R80" s="62" t="str">
        <f aca="false">VLOOKUP(Table10[[#This Row],[NAME]],ECR!C:E,3,FALSE())</f>
        <v>RB66</v>
      </c>
      <c r="S80" s="65"/>
      <c r="T80" s="66" t="n">
        <f aca="false">VLOOKUP(M80,Aggregate!P:X,9,FALSE())</f>
        <v>-93.0396599607843</v>
      </c>
      <c r="U80" s="68"/>
      <c r="V80" s="62" t="n">
        <f aca="false">IFERROR(VLOOKUP(Table11[[#This Row],[NAME]],Aggregate!$AD:$AO,11,FALSE()),"")</f>
        <v>9</v>
      </c>
      <c r="W80" s="63" t="str">
        <f aca="false">Aggregate!AD74</f>
        <v>Malik Washington</v>
      </c>
      <c r="X80" s="63" t="str">
        <f aca="false">VLOOKUP(Table11[[#This Row],[NAME]],Aggregate!AD:AO,4,FALSE())</f>
        <v>MIA/6</v>
      </c>
      <c r="Y80" s="62" t="n">
        <f aca="false">IFERROR(VLOOKUP(Table11[[#This Row],[NAME]],Aggregate!$AD:$AO,8,FALSE()),"")</f>
        <v>73.8608054107719</v>
      </c>
      <c r="Z80" s="62" t="n">
        <f aca="false">IF(Scoring!$K$6="Auction",IFERROR(VLOOKUP(Table11[[#This Row],[NAME]],Aggregate!$AD:$AO,10,FALSE()),""),IFERROR(VLOOKUP(Table11[[#This Row],[NAME]],Aggregate!$AD:$AO,9,FALSE()),""))</f>
        <v>-51.8170733343261</v>
      </c>
      <c r="AA80" s="64" t="n">
        <f aca="false">SUMIFS(AD81:$AD$84,AC81:$AC$84,"&lt;&gt;x",AC81:$AC$84,"&lt;&gt;o",AD81:$AD$84,"&gt;0")/Aggregate!$AL$1</f>
        <v>0</v>
      </c>
      <c r="AB80" s="62" t="str">
        <f aca="false">VLOOKUP(Table11[[#This Row],[NAME]],ECR!C:E,3,FALSE())</f>
        <v>WR72</v>
      </c>
      <c r="AC80" s="65"/>
      <c r="AD80" s="66" t="n">
        <f aca="false">VLOOKUP(W80,Aggregate!AD:AL,9,FALSE())</f>
        <v>-51.8170733343261</v>
      </c>
      <c r="AF80" s="52"/>
      <c r="AG80" s="52"/>
    </row>
    <row r="81" customFormat="false" ht="14.25" hidden="false" customHeight="true" outlineLevel="0" collapsed="false">
      <c r="B81" s="62" t="n">
        <f aca="false">IFERROR(VLOOKUP(Table12[[#This Row],[NAME]],Aggregate!$AR:$BC,11,FALSE()),"")</f>
        <v>8</v>
      </c>
      <c r="C81" s="63" t="str">
        <f aca="false">Aggregate!AR33</f>
        <v>Colby Parkinson</v>
      </c>
      <c r="D81" s="63" t="str">
        <f aca="false">VLOOKUP(Table12[[#This Row],[NAME]],Aggregate!AR:BD,4,FALSE())</f>
        <v>LAR/11</v>
      </c>
      <c r="E81" s="62" t="n">
        <f aca="false">IFERROR(VLOOKUP($C81,Aggregate!$AR:$BC,8,FALSE()),"")</f>
        <v>61.1739215686274</v>
      </c>
      <c r="F81" s="62" t="n">
        <f aca="false">IF(Scoring!$K$6="Auction",IFERROR(VLOOKUP($C81,Aggregate!$AR:$BC,10,FALSE()),""),IFERROR(VLOOKUP($C81,Aggregate!$AR:$BC,9,FALSE()),""))</f>
        <v>-51.3996758725491</v>
      </c>
      <c r="G81" s="64" t="n">
        <f aca="false">SUMIFS(J82:$J$84,I82:$I$84,"&lt;&gt;x",I82:$I$84,"&lt;&gt;o",J82:$J$84,"&gt;0")/Aggregate!$AZ$1</f>
        <v>0</v>
      </c>
      <c r="H81" s="62" t="str">
        <f aca="false">VLOOKUP(Table12[[#This Row],[NAME]],ECR!C:E,3,FALSE())</f>
        <v>TE31</v>
      </c>
      <c r="I81" s="65"/>
      <c r="J81" s="66" t="n">
        <f aca="false">VLOOKUP(C81,Aggregate!AR:AZ,9,FALSE())</f>
        <v>-51.3996758725491</v>
      </c>
      <c r="K81" s="67"/>
      <c r="L81" s="62" t="n">
        <f aca="false">IFERROR(VLOOKUP(Table10[[#This Row],[NAME]],Aggregate!$P:$AA,11,FALSE()),"")</f>
        <v>10</v>
      </c>
      <c r="M81" s="63" t="str">
        <f aca="false">Aggregate!P80</f>
        <v>Isaiah Davis</v>
      </c>
      <c r="N81" s="63" t="str">
        <f aca="false">VLOOKUP(Table10[[#This Row],[NAME]],Aggregate!P:AA,4,FALSE())</f>
        <v>NYJ/13</v>
      </c>
      <c r="O81" s="62" t="n">
        <f aca="false">IFERROR(VLOOKUP(Table10[[#This Row],[NAME]],Aggregate!$P:$AA,8,FALSE()),"")</f>
        <v>28.5451960784314</v>
      </c>
      <c r="P81" s="62" t="n">
        <f aca="false">IF(Scoring!$K$6="Auction",IFERROR(VLOOKUP(Table10[[#This Row],[NAME]],Aggregate!$P:$AA,10,FALSE()),""),IFERROR(VLOOKUP(Table10[[#This Row],[NAME]],Aggregate!$P:$AA,9,FALSE()),""))</f>
        <v>-99.0005423137255</v>
      </c>
      <c r="Q81" s="64" t="n">
        <f aca="false">SUMIFS(T82:$T$84,S82:$S$84,"&lt;&gt;x",S82:$S$84,"&lt;&gt;o",T82:$T$84,"&gt;0")/Aggregate!$X$1</f>
        <v>0</v>
      </c>
      <c r="R81" s="62" t="str">
        <f aca="false">VLOOKUP(Table10[[#This Row],[NAME]],ECR!C:E,3,FALSE())</f>
        <v>RB78</v>
      </c>
      <c r="S81" s="65"/>
      <c r="T81" s="66" t="n">
        <f aca="false">VLOOKUP(M81,Aggregate!P:X,9,FALSE())</f>
        <v>-99.0005423137255</v>
      </c>
      <c r="U81" s="68"/>
      <c r="V81" s="62" t="n">
        <f aca="false">IFERROR(VLOOKUP(Table11[[#This Row],[NAME]],Aggregate!$AD:$AO,11,FALSE()),"")</f>
        <v>9</v>
      </c>
      <c r="W81" s="63" t="str">
        <f aca="false">Aggregate!AD77</f>
        <v>Travis Hunter</v>
      </c>
      <c r="X81" s="63" t="str">
        <f aca="false">VLOOKUP(Table11[[#This Row],[NAME]],Aggregate!AD:AO,4,FALSE())</f>
        <v>JAC/7</v>
      </c>
      <c r="Y81" s="62" t="n">
        <f aca="false">IFERROR(VLOOKUP(Table11[[#This Row],[NAME]],Aggregate!$AD:$AO,8,FALSE()),"")</f>
        <v>70.2620848845867</v>
      </c>
      <c r="Z81" s="62" t="n">
        <f aca="false">IF(Scoring!$K$6="Auction",IFERROR(VLOOKUP(Table11[[#This Row],[NAME]],Aggregate!$AD:$AO,10,FALSE()),""),IFERROR(VLOOKUP(Table11[[#This Row],[NAME]],Aggregate!$AD:$AO,9,FALSE()),""))</f>
        <v>-55.4157938605113</v>
      </c>
      <c r="AA81" s="64" t="n">
        <f aca="false">SUMIFS(AD82:$AD$84,AC82:$AC$84,"&lt;&gt;x",AC82:$AC$84,"&lt;&gt;o",AD82:$AD$84,"&gt;0")/Aggregate!$AL$1</f>
        <v>0</v>
      </c>
      <c r="AB81" s="62" t="str">
        <f aca="false">VLOOKUP(Table11[[#This Row],[NAME]],ECR!C:E,3,FALSE())</f>
        <v>WR75</v>
      </c>
      <c r="AC81" s="65"/>
      <c r="AD81" s="66" t="n">
        <f aca="false">VLOOKUP(W81,Aggregate!AD:AL,9,FALSE())</f>
        <v>-55.4157938605113</v>
      </c>
      <c r="AF81" s="52"/>
      <c r="AG81" s="52"/>
    </row>
    <row r="82" customFormat="false" ht="14.25" hidden="false" customHeight="true" outlineLevel="0" collapsed="false">
      <c r="B82" s="62" t="n">
        <f aca="false">IFERROR(VLOOKUP(Table12[[#This Row],[NAME]],Aggregate!$AR:$BC,11,FALSE()),"")</f>
        <v>8</v>
      </c>
      <c r="C82" s="63" t="str">
        <f aca="false">Aggregate!AR35</f>
        <v>Mason Taylor</v>
      </c>
      <c r="D82" s="63" t="str">
        <f aca="false">VLOOKUP(Table12[[#This Row],[NAME]],Aggregate!AR:BD,4,FALSE())</f>
        <v>NYJ/13</v>
      </c>
      <c r="E82" s="62" t="n">
        <f aca="false">IFERROR(VLOOKUP($C82,Aggregate!$AR:$BC,8,FALSE()),"")</f>
        <v>57.8232352941176</v>
      </c>
      <c r="F82" s="62" t="n">
        <f aca="false">IF(Scoring!$K$6="Auction",IFERROR(VLOOKUP($C82,Aggregate!$AR:$BC,10,FALSE()),""),IFERROR(VLOOKUP($C82,Aggregate!$AR:$BC,9,FALSE()),""))</f>
        <v>-54.7503621470589</v>
      </c>
      <c r="G82" s="64" t="n">
        <f aca="false">SUMIFS(J83:$J$84,I83:$I$84,"&lt;&gt;x",I83:$I$84,"&lt;&gt;o",J83:$J$84,"&gt;0")/Aggregate!$AZ$1</f>
        <v>0</v>
      </c>
      <c r="H82" s="62" t="str">
        <f aca="false">VLOOKUP(Table12[[#This Row],[NAME]],ECR!C:E,3,FALSE())</f>
        <v>TE33</v>
      </c>
      <c r="I82" s="65"/>
      <c r="J82" s="66" t="n">
        <f aca="false">VLOOKUP(C82,Aggregate!AR:AZ,9,FALSE())</f>
        <v>-54.7503621470589</v>
      </c>
      <c r="K82" s="67"/>
      <c r="L82" s="62" t="n">
        <f aca="false">IFERROR(VLOOKUP(Table10[[#This Row],[NAME]],Aggregate!$P:$AA,11,FALSE()),"")</f>
        <v>11</v>
      </c>
      <c r="M82" s="63" t="str">
        <f aca="false">Aggregate!P82</f>
        <v>LeQuint Allen Jr.</v>
      </c>
      <c r="N82" s="63" t="str">
        <f aca="false">VLOOKUP(Table10[[#This Row],[NAME]],Aggregate!P:AA,4,FALSE())</f>
        <v>JAC/7</v>
      </c>
      <c r="O82" s="62" t="n">
        <f aca="false">IFERROR(VLOOKUP(Table10[[#This Row],[NAME]],Aggregate!$P:$AA,8,FALSE()),"")</f>
        <v>25.8852941176471</v>
      </c>
      <c r="P82" s="62" t="n">
        <f aca="false">IF(Scoring!$K$6="Auction",IFERROR(VLOOKUP(Table10[[#This Row],[NAME]],Aggregate!$P:$AA,10,FALSE()),""),IFERROR(VLOOKUP(Table10[[#This Row],[NAME]],Aggregate!$P:$AA,9,FALSE()),""))</f>
        <v>-101.66044427451</v>
      </c>
      <c r="Q82" s="64" t="n">
        <f aca="false">SUMIFS(T83:$T$84,S83:$S$84,"&lt;&gt;x",S83:$S$84,"&lt;&gt;o",T83:$T$84,"&gt;0")/Aggregate!$X$1</f>
        <v>0</v>
      </c>
      <c r="R82" s="62" t="str">
        <f aca="false">VLOOKUP(Table10[[#This Row],[NAME]],ECR!C:E,3,FALSE())</f>
        <v>RB80</v>
      </c>
      <c r="S82" s="65"/>
      <c r="T82" s="66" t="n">
        <f aca="false">VLOOKUP(M82,Aggregate!P:X,9,FALSE())</f>
        <v>-101.66044427451</v>
      </c>
      <c r="U82" s="68"/>
      <c r="V82" s="62" t="n">
        <f aca="false">IFERROR(VLOOKUP(Table11[[#This Row],[NAME]],Aggregate!$AD:$AO,11,FALSE()),"")</f>
        <v>9</v>
      </c>
      <c r="W82" s="63" t="str">
        <f aca="false">Aggregate!AD68</f>
        <v>Ryan Flournoy</v>
      </c>
      <c r="X82" s="63" t="str">
        <f aca="false">VLOOKUP(Table11[[#This Row],[NAME]],Aggregate!AD:AO,4,FALSE())</f>
        <v>DAL/14</v>
      </c>
      <c r="Y82" s="62" t="n">
        <f aca="false">IFERROR(VLOOKUP(Table11[[#This Row],[NAME]],Aggregate!$AD:$AO,8,FALSE()),"")</f>
        <v>67.7121638123604</v>
      </c>
      <c r="Z82" s="62" t="n">
        <f aca="false">IF(Scoring!$K$6="Auction",IFERROR(VLOOKUP(Table11[[#This Row],[NAME]],Aggregate!$AD:$AO,10,FALSE()),""),IFERROR(VLOOKUP(Table11[[#This Row],[NAME]],Aggregate!$AD:$AO,9,FALSE()),""))</f>
        <v>-57.9657149327377</v>
      </c>
      <c r="AA82" s="64" t="n">
        <f aca="false">SUMIFS(AD$83:$AD84,AC$83:$AC84,"&lt;&gt;x",AC$83:$AC84,"&lt;&gt;o",AD$83:$AD84,"&gt;0")/Aggregate!$AL$1</f>
        <v>0</v>
      </c>
      <c r="AB82" s="62" t="str">
        <f aca="false">VLOOKUP(Table11[[#This Row],[NAME]],ECR!C:E,3,FALSE())</f>
        <v>WR66</v>
      </c>
      <c r="AC82" s="65"/>
      <c r="AD82" s="66" t="n">
        <f aca="false">VLOOKUP(W82,Aggregate!AD:AL,9,FALSE())</f>
        <v>-57.9657149327377</v>
      </c>
      <c r="AF82" s="52"/>
      <c r="AG82" s="52"/>
    </row>
    <row r="83" customFormat="false" ht="14.25" hidden="false" customHeight="true" outlineLevel="0" collapsed="false">
      <c r="B83" s="62" t="n">
        <f aca="false">IFERROR(VLOOKUP(Table12[[#This Row],[NAME]],Aggregate!$AR:$BC,11,FALSE()),"")</f>
        <v>9</v>
      </c>
      <c r="C83" s="63" t="str">
        <f aca="false">Aggregate!AR36</f>
        <v>Theo Johnson</v>
      </c>
      <c r="D83" s="63" t="str">
        <f aca="false">VLOOKUP(Table12[[#This Row],[NAME]],Aggregate!AR:BD,4,FALSE())</f>
        <v>NYG/8</v>
      </c>
      <c r="E83" s="62" t="n">
        <f aca="false">IFERROR(VLOOKUP($C83,Aggregate!$AR:$BC,8,FALSE()),"")</f>
        <v>51.9082352941176</v>
      </c>
      <c r="F83" s="62" t="n">
        <f aca="false">IF(Scoring!$K$6="Auction",IFERROR(VLOOKUP($C83,Aggregate!$AR:$BC,10,FALSE()),""),IFERROR(VLOOKUP($C83,Aggregate!$AR:$BC,9,FALSE()),""))</f>
        <v>-60.6653621470588</v>
      </c>
      <c r="G83" s="64" t="n">
        <f aca="false">SUMIFS(J83:$J$85,I83:$I$85,"&lt;&gt;x",I83:$I$85,"&lt;&gt;o",J83:$J$85,"&gt;0")/Aggregate!$AZ$1</f>
        <v>0</v>
      </c>
      <c r="H83" s="62" t="str">
        <f aca="false">VLOOKUP(Table12[[#This Row],[NAME]],ECR!C:E,3,FALSE())</f>
        <v>TE34</v>
      </c>
      <c r="I83" s="65"/>
      <c r="J83" s="66" t="n">
        <f aca="false">VLOOKUP(C83,Aggregate!AR:AZ,9,FALSE())</f>
        <v>-60.6653621470588</v>
      </c>
      <c r="K83" s="67"/>
      <c r="L83" s="62" t="n">
        <f aca="false">IFERROR(VLOOKUP(Table10[[#This Row],[NAME]],Aggregate!$P:$AA,11,FALSE()),"")</f>
        <v>11</v>
      </c>
      <c r="M83" s="63" t="str">
        <f aca="false">Aggregate!P78</f>
        <v>Ollie Gordon II</v>
      </c>
      <c r="N83" s="63" t="str">
        <f aca="false">VLOOKUP(Table10[[#This Row],[NAME]],Aggregate!P:AA,4,FALSE())</f>
        <v>MIA/6</v>
      </c>
      <c r="O83" s="62" t="n">
        <f aca="false">IFERROR(VLOOKUP(Table10[[#This Row],[NAME]],Aggregate!$P:$AA,8,FALSE()),"")</f>
        <v>22.2707843137255</v>
      </c>
      <c r="P83" s="62" t="n">
        <f aca="false">IF(Scoring!$K$6="Auction",IFERROR(VLOOKUP(Table10[[#This Row],[NAME]],Aggregate!$P:$AA,10,FALSE()),""),IFERROR(VLOOKUP(Table10[[#This Row],[NAME]],Aggregate!$P:$AA,9,FALSE()),""))</f>
        <v>-105.274954078431</v>
      </c>
      <c r="Q83" s="64" t="n">
        <f aca="false">SUMIFS(T84:$T$84,S84:$S$84,"&lt;&gt;x",S84:$S$84,"&lt;&gt;o",T84:$T$84,"&gt;0")/Aggregate!$X$1</f>
        <v>0</v>
      </c>
      <c r="R83" s="62" t="str">
        <f aca="false">VLOOKUP(Table10[[#This Row],[NAME]],ECR!C:E,3,FALSE())</f>
        <v>RB76</v>
      </c>
      <c r="S83" s="65"/>
      <c r="T83" s="66" t="n">
        <f aca="false">VLOOKUP(M83,Aggregate!P:X,9,FALSE())</f>
        <v>-105.274954078431</v>
      </c>
      <c r="U83" s="68"/>
      <c r="V83" s="62" t="n">
        <f aca="false">IFERROR(VLOOKUP(Table11[[#This Row],[NAME]],Aggregate!$AD:$AO,11,FALSE()),"")</f>
        <v>9</v>
      </c>
      <c r="W83" s="63" t="str">
        <f aca="false">Aggregate!AD70</f>
        <v>Tre' Harris</v>
      </c>
      <c r="X83" s="63" t="str">
        <f aca="false">VLOOKUP(Table11[[#This Row],[NAME]],Aggregate!AD:AO,4,FALSE())</f>
        <v>LAC/7</v>
      </c>
      <c r="Y83" s="62" t="n">
        <f aca="false">IFERROR(VLOOKUP(Table11[[#This Row],[NAME]],Aggregate!$AD:$AO,8,FALSE()),"")</f>
        <v>67.0024770414495</v>
      </c>
      <c r="Z83" s="62" t="n">
        <f aca="false">IF(Scoring!$K$6="Auction",IFERROR(VLOOKUP(Table11[[#This Row],[NAME]],Aggregate!$AD:$AO,10,FALSE()),""),IFERROR(VLOOKUP(Table11[[#This Row],[NAME]],Aggregate!$AD:$AO,9,FALSE()),""))</f>
        <v>-58.6754017036485</v>
      </c>
      <c r="AA83" s="64" t="n">
        <f aca="false">SUMIFS(AD84:$AD$84,AC84:$AC$84,"&lt;&gt;x",AC84:$AC$84,"&lt;&gt;o",AD84:$AD$84,"&gt;0")/Aggregate!$AL$1</f>
        <v>0</v>
      </c>
      <c r="AB83" s="62" t="str">
        <f aca="false">VLOOKUP(Table11[[#This Row],[NAME]],ECR!C:E,3,FALSE())</f>
        <v>WR68</v>
      </c>
      <c r="AC83" s="65"/>
      <c r="AD83" s="66" t="n">
        <f aca="false">VLOOKUP(W83,Aggregate!AD:AL,9,FALSE())</f>
        <v>-58.6754017036485</v>
      </c>
      <c r="AF83" s="52"/>
      <c r="AG83" s="52"/>
    </row>
    <row r="84" customFormat="false" ht="14.25" hidden="false" customHeight="true" outlineLevel="0" collapsed="false">
      <c r="B84" s="62" t="n">
        <f aca="false">IFERROR(VLOOKUP(Table12[[#This Row],[NAME]],Aggregate!$AR:$BC,11,FALSE()),"")</f>
        <v>10</v>
      </c>
      <c r="C84" s="63" t="str">
        <f aca="false">Aggregate!AR37</f>
        <v>Eli Stowers</v>
      </c>
      <c r="D84" s="63" t="str">
        <f aca="false">VLOOKUP(Table12[[#This Row],[NAME]],Aggregate!AR:BD,4,FALSE())</f>
        <v>PHI/10</v>
      </c>
      <c r="E84" s="62" t="n">
        <f aca="false">IFERROR(VLOOKUP($C84,Aggregate!$AR:$BC,8,FALSE()),"")</f>
        <v>38.2493137254902</v>
      </c>
      <c r="F84" s="62" t="n">
        <f aca="false">IF(Scoring!$K$6="Auction",IFERROR(VLOOKUP($C84,Aggregate!$AR:$BC,10,FALSE()),""),IFERROR(VLOOKUP($C84,Aggregate!$AR:$BC,9,FALSE()),""))</f>
        <v>-74.3242837156863</v>
      </c>
      <c r="G84" s="64" t="n">
        <f aca="false">SUMIFS(J84:$J$85,I84:$I$85,"&lt;&gt;x",I84:$I$85,"&lt;&gt;o",J84:$J$85,"&gt;0")/Aggregate!$AZ$1</f>
        <v>0</v>
      </c>
      <c r="H84" s="62" t="str">
        <f aca="false">VLOOKUP(Table12[[#This Row],[NAME]],ECR!C:E,3,FALSE())</f>
        <v>TE35</v>
      </c>
      <c r="I84" s="65"/>
      <c r="J84" s="66" t="n">
        <f aca="false">VLOOKUP(C84,Aggregate!AR:AZ,9,FALSE())</f>
        <v>-74.3242837156863</v>
      </c>
      <c r="K84" s="67"/>
      <c r="L84" s="62" t="n">
        <f aca="false">IFERROR(VLOOKUP(Table10[[#This Row],[NAME]],Aggregate!$P:$AA,11,FALSE()),"")</f>
        <v>11</v>
      </c>
      <c r="M84" s="63" t="str">
        <f aca="false">Aggregate!P77</f>
        <v>Kaleb Johnson</v>
      </c>
      <c r="N84" s="63" t="str">
        <f aca="false">VLOOKUP(Table10[[#This Row],[NAME]],Aggregate!P:AA,4,FALSE())</f>
        <v>GB/11</v>
      </c>
      <c r="O84" s="62" t="n">
        <f aca="false">IFERROR(VLOOKUP(Table10[[#This Row],[NAME]],Aggregate!$P:$AA,8,FALSE()),"")</f>
        <v>15.7937254901961</v>
      </c>
      <c r="P84" s="62" t="n">
        <f aca="false">IF(Scoring!$K$6="Auction",IFERROR(VLOOKUP(Table10[[#This Row],[NAME]],Aggregate!$P:$AA,10,FALSE()),""),IFERROR(VLOOKUP(Table10[[#This Row],[NAME]],Aggregate!$P:$AA,9,FALSE()),""))</f>
        <v>-111.752012901961</v>
      </c>
      <c r="Q84" s="64" t="n">
        <f aca="false">SUMIFS(T$84:$T85,S$84:$S85,"&lt;&gt;x",S$84:$S85,"&lt;&gt;o",T$84:$T85,"&gt;0")/Aggregate!$X$1</f>
        <v>0</v>
      </c>
      <c r="R84" s="62" t="str">
        <f aca="false">VLOOKUP(Table10[[#This Row],[NAME]],ECR!C:E,3,FALSE())</f>
        <v>RB75</v>
      </c>
      <c r="S84" s="65"/>
      <c r="T84" s="66" t="n">
        <f aca="false">VLOOKUP(M84,Aggregate!P:X,9,FALSE())</f>
        <v>-111.752012901961</v>
      </c>
      <c r="U84" s="68"/>
      <c r="V84" s="62" t="n">
        <f aca="false">IFERROR(VLOOKUP(Table11[[#This Row],[NAME]],Aggregate!$AD:$AO,11,FALSE()),"")</f>
        <v>9</v>
      </c>
      <c r="W84" s="63" t="str">
        <f aca="false">Aggregate!AD69</f>
        <v>Pat Bryant</v>
      </c>
      <c r="X84" s="63" t="str">
        <f aca="false">VLOOKUP(Table11[[#This Row],[NAME]],Aggregate!AD:AO,4,FALSE())</f>
        <v>DEN/10</v>
      </c>
      <c r="Y84" s="62" t="n">
        <f aca="false">IFERROR(VLOOKUP(Table11[[#This Row],[NAME]],Aggregate!$AD:$AO,8,FALSE()),"")</f>
        <v>60.3414271531397</v>
      </c>
      <c r="Z84" s="62" t="n">
        <f aca="false">IF(Scoring!$K$6="Auction",IFERROR(VLOOKUP(Table11[[#This Row],[NAME]],Aggregate!$AD:$AO,10,FALSE()),""),IFERROR(VLOOKUP(Table11[[#This Row],[NAME]],Aggregate!$AD:$AO,9,FALSE()),""))</f>
        <v>-65.3364515919583</v>
      </c>
      <c r="AA84" s="64" t="n">
        <f aca="false">SUMIFS(AD84:$AD$85,AC84:$AC$85,"&lt;&gt;x",AC84:$AC$85,"&lt;&gt;o",AD84:$AD$85,"&gt;0")/Aggregate!$AL$1</f>
        <v>0</v>
      </c>
      <c r="AB84" s="62" t="str">
        <f aca="false">VLOOKUP(Table11[[#This Row],[NAME]],ECR!C:E,3,FALSE())</f>
        <v>WR67</v>
      </c>
      <c r="AC84" s="65"/>
      <c r="AD84" s="66" t="n">
        <f aca="false">VLOOKUP(W84,Aggregate!AD:AL,9,FALSE())</f>
        <v>-65.3364515919583</v>
      </c>
      <c r="AF84" s="52"/>
      <c r="AG84" s="52"/>
    </row>
    <row r="85" s="52" customFormat="true" ht="14.25" hidden="false" customHeight="true" outlineLevel="0" collapsed="false">
      <c r="B85" s="75"/>
      <c r="C85" s="75"/>
      <c r="D85" s="76"/>
      <c r="E85" s="76"/>
      <c r="F85" s="76"/>
      <c r="G85" s="76"/>
      <c r="H85" s="76"/>
      <c r="I85" s="75"/>
      <c r="J85" s="76"/>
      <c r="L85" s="75"/>
      <c r="M85" s="75"/>
      <c r="N85" s="76"/>
      <c r="O85" s="76"/>
      <c r="P85" s="76"/>
      <c r="Q85" s="76"/>
      <c r="R85" s="76"/>
      <c r="S85" s="75"/>
      <c r="T85" s="76"/>
      <c r="V85" s="75"/>
      <c r="W85" s="75"/>
      <c r="X85" s="76"/>
      <c r="Y85" s="76"/>
      <c r="Z85" s="76"/>
      <c r="AA85" s="76"/>
      <c r="AB85" s="76"/>
      <c r="AC85" s="75"/>
      <c r="AD85" s="76"/>
    </row>
    <row r="86" s="52" customFormat="true" ht="14.25" hidden="false" customHeight="true" outlineLevel="0" collapsed="false">
      <c r="B86" s="75"/>
      <c r="C86" s="75"/>
      <c r="D86" s="76"/>
      <c r="E86" s="76"/>
      <c r="F86" s="76"/>
      <c r="G86" s="76"/>
      <c r="H86" s="76"/>
      <c r="I86" s="75"/>
      <c r="J86" s="76"/>
      <c r="L86" s="75"/>
      <c r="M86" s="75"/>
      <c r="N86" s="76"/>
      <c r="O86" s="76"/>
      <c r="P86" s="76"/>
      <c r="Q86" s="76"/>
      <c r="R86" s="76"/>
      <c r="S86" s="75"/>
      <c r="T86" s="76"/>
      <c r="V86" s="75"/>
      <c r="W86" s="75"/>
      <c r="X86" s="76"/>
      <c r="Y86" s="76"/>
      <c r="Z86" s="76"/>
      <c r="AA86" s="76"/>
      <c r="AB86" s="76"/>
      <c r="AC86" s="75"/>
      <c r="AD86" s="76"/>
    </row>
    <row r="87" s="52" customFormat="true" ht="14.25" hidden="false" customHeight="true" outlineLevel="0" collapsed="false">
      <c r="B87" s="75"/>
      <c r="C87" s="75"/>
      <c r="D87" s="76"/>
      <c r="E87" s="76"/>
      <c r="F87" s="76"/>
      <c r="G87" s="76"/>
      <c r="H87" s="76"/>
      <c r="I87" s="75"/>
      <c r="J87" s="76"/>
      <c r="L87" s="75"/>
      <c r="M87" s="75"/>
      <c r="N87" s="76"/>
      <c r="O87" s="76"/>
      <c r="P87" s="76"/>
      <c r="Q87" s="76"/>
      <c r="R87" s="76"/>
      <c r="S87" s="75"/>
      <c r="T87" s="76"/>
      <c r="V87" s="75"/>
      <c r="W87" s="75"/>
      <c r="X87" s="76"/>
      <c r="Y87" s="76"/>
      <c r="Z87" s="76"/>
      <c r="AA87" s="76"/>
      <c r="AB87" s="76"/>
      <c r="AC87" s="75"/>
      <c r="AD87" s="76"/>
    </row>
    <row r="88" s="52" customFormat="true" ht="14.25" hidden="false" customHeight="true" outlineLevel="0" collapsed="false">
      <c r="B88" s="75"/>
      <c r="C88" s="75"/>
      <c r="D88" s="76"/>
      <c r="E88" s="76"/>
      <c r="F88" s="76"/>
      <c r="G88" s="76"/>
      <c r="H88" s="76"/>
      <c r="I88" s="75"/>
      <c r="J88" s="76"/>
      <c r="L88" s="75"/>
      <c r="M88" s="75"/>
      <c r="N88" s="76"/>
      <c r="O88" s="76"/>
      <c r="P88" s="76"/>
      <c r="Q88" s="76"/>
      <c r="R88" s="76"/>
      <c r="S88" s="75"/>
      <c r="T88" s="76"/>
      <c r="V88" s="75"/>
      <c r="W88" s="75"/>
      <c r="X88" s="76"/>
      <c r="Y88" s="76"/>
      <c r="Z88" s="76"/>
      <c r="AA88" s="76"/>
      <c r="AB88" s="76"/>
      <c r="AC88" s="75"/>
      <c r="AD88" s="76"/>
    </row>
    <row r="89" s="52" customFormat="true" ht="14.25" hidden="false" customHeight="true" outlineLevel="0" collapsed="false">
      <c r="B89" s="75"/>
      <c r="C89" s="75"/>
      <c r="D89" s="76"/>
      <c r="E89" s="76"/>
      <c r="F89" s="76"/>
      <c r="G89" s="76"/>
      <c r="H89" s="76"/>
      <c r="I89" s="75"/>
      <c r="J89" s="76"/>
      <c r="L89" s="75"/>
      <c r="M89" s="75"/>
      <c r="N89" s="76"/>
      <c r="O89" s="76"/>
      <c r="P89" s="76"/>
      <c r="Q89" s="76"/>
      <c r="R89" s="76"/>
      <c r="S89" s="75"/>
      <c r="T89" s="76"/>
      <c r="V89" s="75"/>
      <c r="W89" s="75"/>
      <c r="X89" s="76"/>
      <c r="Y89" s="76"/>
      <c r="Z89" s="76"/>
      <c r="AA89" s="76"/>
      <c r="AB89" s="76"/>
      <c r="AC89" s="75"/>
      <c r="AD89" s="76"/>
    </row>
    <row r="90" s="52" customFormat="true" ht="14.25" hidden="false" customHeight="true" outlineLevel="0" collapsed="false">
      <c r="B90" s="75"/>
      <c r="C90" s="75"/>
      <c r="D90" s="76"/>
      <c r="E90" s="76"/>
      <c r="F90" s="76"/>
      <c r="G90" s="76"/>
      <c r="H90" s="76"/>
      <c r="I90" s="75"/>
      <c r="J90" s="76"/>
      <c r="L90" s="75"/>
      <c r="M90" s="75"/>
      <c r="N90" s="76"/>
      <c r="O90" s="76"/>
      <c r="P90" s="76"/>
      <c r="Q90" s="76"/>
      <c r="R90" s="76"/>
      <c r="S90" s="75"/>
      <c r="T90" s="76"/>
      <c r="V90" s="75"/>
      <c r="W90" s="75"/>
      <c r="X90" s="76"/>
      <c r="Y90" s="76"/>
      <c r="Z90" s="76"/>
      <c r="AA90" s="76"/>
      <c r="AB90" s="76"/>
      <c r="AC90" s="75"/>
      <c r="AD90" s="76"/>
    </row>
    <row r="91" s="52" customFormat="true" ht="14.25" hidden="false" customHeight="true" outlineLevel="0" collapsed="false">
      <c r="B91" s="75"/>
      <c r="C91" s="75"/>
      <c r="D91" s="76"/>
      <c r="E91" s="76"/>
      <c r="F91" s="76"/>
      <c r="G91" s="76"/>
      <c r="H91" s="76"/>
      <c r="I91" s="75"/>
      <c r="J91" s="76"/>
      <c r="L91" s="75"/>
      <c r="M91" s="75"/>
      <c r="N91" s="76"/>
      <c r="O91" s="76"/>
      <c r="P91" s="76"/>
      <c r="Q91" s="76"/>
      <c r="R91" s="76"/>
      <c r="S91" s="75"/>
      <c r="T91" s="76"/>
      <c r="V91" s="75"/>
      <c r="W91" s="75"/>
      <c r="X91" s="76"/>
      <c r="Y91" s="76"/>
      <c r="Z91" s="76"/>
      <c r="AA91" s="76"/>
      <c r="AB91" s="76"/>
      <c r="AC91" s="75"/>
      <c r="AD91" s="76"/>
    </row>
    <row r="92" s="52" customFormat="true" ht="14.25" hidden="false" customHeight="true" outlineLevel="0" collapsed="false">
      <c r="B92" s="75"/>
      <c r="C92" s="75"/>
      <c r="D92" s="76"/>
      <c r="E92" s="76"/>
      <c r="F92" s="76"/>
      <c r="G92" s="76"/>
      <c r="H92" s="76"/>
      <c r="I92" s="75"/>
      <c r="J92" s="76"/>
      <c r="L92" s="75"/>
      <c r="M92" s="75"/>
      <c r="N92" s="76"/>
      <c r="O92" s="76"/>
      <c r="P92" s="76"/>
      <c r="Q92" s="76"/>
      <c r="R92" s="76"/>
      <c r="S92" s="75"/>
      <c r="T92" s="76"/>
      <c r="V92" s="75"/>
      <c r="W92" s="75"/>
      <c r="X92" s="76"/>
      <c r="Y92" s="76"/>
      <c r="Z92" s="76"/>
      <c r="AA92" s="76"/>
      <c r="AB92" s="76"/>
      <c r="AC92" s="75"/>
      <c r="AD92" s="76"/>
    </row>
    <row r="93" s="52" customFormat="true" ht="14.25" hidden="false" customHeight="true" outlineLevel="0" collapsed="false">
      <c r="B93" s="75"/>
      <c r="C93" s="75"/>
      <c r="D93" s="76"/>
      <c r="E93" s="76"/>
      <c r="F93" s="76"/>
      <c r="G93" s="76"/>
      <c r="H93" s="76"/>
      <c r="I93" s="75"/>
      <c r="J93" s="76"/>
      <c r="L93" s="75"/>
      <c r="M93" s="75"/>
      <c r="N93" s="76"/>
      <c r="O93" s="76"/>
      <c r="P93" s="76"/>
      <c r="Q93" s="76"/>
      <c r="R93" s="76"/>
      <c r="S93" s="75"/>
      <c r="T93" s="76"/>
      <c r="V93" s="75"/>
      <c r="W93" s="75"/>
      <c r="X93" s="76"/>
      <c r="Y93" s="76"/>
      <c r="Z93" s="76"/>
      <c r="AA93" s="76"/>
      <c r="AB93" s="76"/>
      <c r="AC93" s="75"/>
      <c r="AD93" s="76"/>
    </row>
    <row r="94" s="52" customFormat="true" ht="14.25" hidden="false" customHeight="true" outlineLevel="0" collapsed="false">
      <c r="B94" s="75"/>
      <c r="C94" s="75"/>
      <c r="D94" s="76"/>
      <c r="E94" s="76"/>
      <c r="F94" s="76"/>
      <c r="G94" s="76"/>
      <c r="H94" s="76"/>
      <c r="I94" s="75"/>
      <c r="J94" s="76"/>
      <c r="L94" s="75"/>
      <c r="M94" s="75"/>
      <c r="N94" s="76"/>
      <c r="O94" s="76"/>
      <c r="P94" s="76"/>
      <c r="Q94" s="76"/>
      <c r="R94" s="76"/>
      <c r="S94" s="75"/>
      <c r="T94" s="76"/>
      <c r="V94" s="75"/>
      <c r="W94" s="75"/>
      <c r="X94" s="76"/>
      <c r="Y94" s="76"/>
      <c r="Z94" s="76"/>
      <c r="AA94" s="76"/>
      <c r="AB94" s="76"/>
      <c r="AC94" s="75"/>
      <c r="AD94" s="76"/>
    </row>
    <row r="95" s="52" customFormat="true" ht="14.25" hidden="false" customHeight="true" outlineLevel="0" collapsed="false">
      <c r="B95" s="75"/>
      <c r="C95" s="75"/>
      <c r="D95" s="76"/>
      <c r="E95" s="76"/>
      <c r="F95" s="76"/>
      <c r="G95" s="76"/>
      <c r="H95" s="76"/>
      <c r="I95" s="75"/>
      <c r="J95" s="76"/>
      <c r="L95" s="75"/>
      <c r="M95" s="75"/>
      <c r="N95" s="76"/>
      <c r="O95" s="76"/>
      <c r="P95" s="76"/>
      <c r="Q95" s="76"/>
      <c r="R95" s="76"/>
      <c r="S95" s="75"/>
      <c r="T95" s="76"/>
      <c r="V95" s="75"/>
      <c r="W95" s="75"/>
      <c r="X95" s="76"/>
      <c r="Y95" s="76"/>
      <c r="Z95" s="76"/>
      <c r="AA95" s="76"/>
      <c r="AB95" s="76"/>
      <c r="AC95" s="75"/>
      <c r="AD95" s="76"/>
    </row>
    <row r="96" s="52" customFormat="true" ht="14.25" hidden="false" customHeight="true" outlineLevel="0" collapsed="false">
      <c r="B96" s="75"/>
      <c r="C96" s="75"/>
      <c r="D96" s="76"/>
      <c r="E96" s="76"/>
      <c r="F96" s="76"/>
      <c r="G96" s="76"/>
      <c r="H96" s="76"/>
      <c r="I96" s="75"/>
      <c r="J96" s="76"/>
      <c r="L96" s="75"/>
      <c r="M96" s="75"/>
      <c r="N96" s="76"/>
      <c r="O96" s="76"/>
      <c r="P96" s="76"/>
      <c r="Q96" s="76"/>
      <c r="R96" s="76"/>
      <c r="S96" s="75"/>
      <c r="T96" s="76"/>
      <c r="V96" s="75"/>
      <c r="W96" s="75"/>
      <c r="X96" s="76"/>
      <c r="Y96" s="76"/>
      <c r="Z96" s="76"/>
      <c r="AA96" s="76"/>
      <c r="AB96" s="76"/>
      <c r="AC96" s="75"/>
      <c r="AD96" s="76"/>
    </row>
    <row r="97" s="52" customFormat="true" ht="14.25" hidden="false" customHeight="true" outlineLevel="0" collapsed="false">
      <c r="B97" s="75"/>
      <c r="C97" s="75"/>
      <c r="D97" s="76"/>
      <c r="E97" s="76"/>
      <c r="F97" s="76"/>
      <c r="G97" s="76"/>
      <c r="H97" s="76"/>
      <c r="I97" s="75"/>
      <c r="J97" s="76"/>
      <c r="L97" s="75"/>
      <c r="M97" s="75"/>
      <c r="N97" s="76"/>
      <c r="O97" s="76"/>
      <c r="P97" s="76"/>
      <c r="Q97" s="76"/>
      <c r="R97" s="76"/>
      <c r="S97" s="75"/>
      <c r="T97" s="76"/>
      <c r="V97" s="75"/>
      <c r="W97" s="75"/>
      <c r="X97" s="76"/>
      <c r="Y97" s="76"/>
      <c r="Z97" s="76"/>
      <c r="AA97" s="76"/>
      <c r="AB97" s="76"/>
      <c r="AC97" s="75"/>
      <c r="AD97" s="76"/>
    </row>
    <row r="98" s="52" customFormat="true" ht="14.25" hidden="false" customHeight="true" outlineLevel="0" collapsed="false">
      <c r="B98" s="75"/>
      <c r="C98" s="75"/>
      <c r="D98" s="76"/>
      <c r="E98" s="76"/>
      <c r="F98" s="76"/>
      <c r="G98" s="76"/>
      <c r="H98" s="76"/>
      <c r="I98" s="75"/>
      <c r="J98" s="76"/>
      <c r="L98" s="75"/>
      <c r="M98" s="75"/>
      <c r="N98" s="76"/>
      <c r="O98" s="76"/>
      <c r="P98" s="76"/>
      <c r="Q98" s="76"/>
      <c r="R98" s="76"/>
      <c r="S98" s="75"/>
      <c r="T98" s="76"/>
      <c r="V98" s="75"/>
      <c r="W98" s="75"/>
      <c r="X98" s="76"/>
      <c r="Y98" s="76"/>
      <c r="Z98" s="76"/>
      <c r="AA98" s="76"/>
      <c r="AB98" s="76"/>
      <c r="AC98" s="75"/>
      <c r="AD98" s="76"/>
    </row>
    <row r="99" s="52" customFormat="true" ht="14.25" hidden="false" customHeight="true" outlineLevel="0" collapsed="false">
      <c r="B99" s="75"/>
      <c r="C99" s="75"/>
      <c r="D99" s="76"/>
      <c r="E99" s="76"/>
      <c r="F99" s="76"/>
      <c r="G99" s="76"/>
      <c r="H99" s="76"/>
      <c r="I99" s="75"/>
      <c r="J99" s="76"/>
      <c r="L99" s="75"/>
      <c r="M99" s="75"/>
      <c r="N99" s="76"/>
      <c r="O99" s="76"/>
      <c r="P99" s="76"/>
      <c r="Q99" s="76"/>
      <c r="R99" s="76"/>
      <c r="S99" s="75"/>
      <c r="T99" s="76"/>
      <c r="V99" s="75"/>
      <c r="W99" s="75"/>
      <c r="X99" s="76"/>
      <c r="Y99" s="76"/>
      <c r="Z99" s="76"/>
      <c r="AA99" s="76"/>
      <c r="AB99" s="76"/>
      <c r="AC99" s="75"/>
      <c r="AD99" s="76"/>
    </row>
    <row r="100" s="52" customFormat="true" ht="14.25" hidden="false" customHeight="true" outlineLevel="0" collapsed="false">
      <c r="B100" s="75"/>
      <c r="C100" s="75"/>
      <c r="D100" s="76"/>
      <c r="E100" s="76"/>
      <c r="F100" s="76"/>
      <c r="G100" s="76"/>
      <c r="H100" s="76"/>
      <c r="I100" s="75"/>
      <c r="J100" s="76"/>
      <c r="L100" s="75"/>
      <c r="M100" s="75"/>
      <c r="N100" s="76"/>
      <c r="O100" s="76"/>
      <c r="P100" s="76"/>
      <c r="Q100" s="76"/>
      <c r="R100" s="76"/>
      <c r="S100" s="75"/>
      <c r="T100" s="76"/>
      <c r="V100" s="75"/>
      <c r="W100" s="75"/>
      <c r="X100" s="76"/>
      <c r="Y100" s="76"/>
      <c r="Z100" s="76"/>
      <c r="AA100" s="76"/>
      <c r="AB100" s="76"/>
      <c r="AC100" s="75"/>
      <c r="AD100" s="76"/>
    </row>
    <row r="101" s="52" customFormat="true" ht="14.25" hidden="false" customHeight="true" outlineLevel="0" collapsed="false">
      <c r="B101" s="75"/>
      <c r="C101" s="75"/>
      <c r="D101" s="76"/>
      <c r="E101" s="76"/>
      <c r="F101" s="76"/>
      <c r="G101" s="76"/>
      <c r="H101" s="76"/>
      <c r="I101" s="75"/>
      <c r="J101" s="76"/>
      <c r="L101" s="75"/>
      <c r="M101" s="75"/>
      <c r="N101" s="76"/>
      <c r="O101" s="76"/>
      <c r="P101" s="76"/>
      <c r="Q101" s="76"/>
      <c r="R101" s="76"/>
      <c r="S101" s="75"/>
      <c r="T101" s="76"/>
      <c r="V101" s="75"/>
      <c r="W101" s="75"/>
      <c r="X101" s="76"/>
      <c r="Y101" s="76"/>
      <c r="Z101" s="76"/>
      <c r="AA101" s="76"/>
      <c r="AB101" s="76"/>
      <c r="AC101" s="75"/>
      <c r="AD101" s="76"/>
    </row>
    <row r="102" s="52" customFormat="true" ht="14.25" hidden="false" customHeight="true" outlineLevel="0" collapsed="false">
      <c r="B102" s="75"/>
      <c r="C102" s="75"/>
      <c r="D102" s="76"/>
      <c r="E102" s="76"/>
      <c r="F102" s="76"/>
      <c r="G102" s="76"/>
      <c r="H102" s="76"/>
      <c r="I102" s="75"/>
      <c r="J102" s="76"/>
      <c r="L102" s="75"/>
      <c r="M102" s="75"/>
      <c r="N102" s="76"/>
      <c r="O102" s="76"/>
      <c r="P102" s="76"/>
      <c r="Q102" s="76"/>
      <c r="R102" s="76"/>
      <c r="S102" s="75"/>
      <c r="T102" s="76"/>
      <c r="V102" s="75"/>
      <c r="W102" s="75"/>
      <c r="X102" s="76"/>
      <c r="Y102" s="76"/>
      <c r="Z102" s="76"/>
      <c r="AA102" s="76"/>
      <c r="AB102" s="76"/>
      <c r="AC102" s="75"/>
      <c r="AD102" s="76"/>
    </row>
    <row r="103" s="52" customFormat="true" ht="14.25" hidden="false" customHeight="true" outlineLevel="0" collapsed="false">
      <c r="B103" s="75"/>
      <c r="C103" s="75"/>
      <c r="D103" s="76"/>
      <c r="E103" s="76"/>
      <c r="F103" s="76"/>
      <c r="G103" s="76"/>
      <c r="H103" s="76"/>
      <c r="I103" s="75"/>
      <c r="J103" s="76"/>
      <c r="L103" s="75"/>
      <c r="M103" s="75"/>
      <c r="N103" s="76"/>
      <c r="O103" s="76"/>
      <c r="P103" s="76"/>
      <c r="Q103" s="76"/>
      <c r="R103" s="76"/>
      <c r="S103" s="75"/>
      <c r="T103" s="76"/>
      <c r="V103" s="75"/>
      <c r="W103" s="75"/>
      <c r="X103" s="76"/>
      <c r="Y103" s="76"/>
      <c r="Z103" s="76"/>
      <c r="AA103" s="76"/>
      <c r="AB103" s="76"/>
      <c r="AC103" s="75"/>
      <c r="AD103" s="76"/>
    </row>
    <row r="104" s="52" customFormat="true" ht="14.25" hidden="false" customHeight="true" outlineLevel="0" collapsed="false">
      <c r="B104" s="75"/>
      <c r="C104" s="75"/>
      <c r="D104" s="76"/>
      <c r="E104" s="76"/>
      <c r="F104" s="76"/>
      <c r="G104" s="76"/>
      <c r="H104" s="76"/>
      <c r="I104" s="75"/>
      <c r="J104" s="76"/>
      <c r="L104" s="75"/>
      <c r="M104" s="75"/>
      <c r="N104" s="76"/>
      <c r="O104" s="76"/>
      <c r="P104" s="76"/>
      <c r="Q104" s="76"/>
      <c r="R104" s="76"/>
      <c r="S104" s="75"/>
      <c r="T104" s="76"/>
      <c r="V104" s="75"/>
      <c r="W104" s="75"/>
      <c r="X104" s="76"/>
      <c r="Y104" s="76"/>
      <c r="Z104" s="76"/>
      <c r="AA104" s="76"/>
      <c r="AB104" s="76"/>
      <c r="AC104" s="75"/>
      <c r="AD104" s="76"/>
    </row>
    <row r="105" s="52" customFormat="true" ht="14.25" hidden="false" customHeight="true" outlineLevel="0" collapsed="false">
      <c r="B105" s="75"/>
      <c r="C105" s="75"/>
      <c r="D105" s="76"/>
      <c r="E105" s="76"/>
      <c r="F105" s="76"/>
      <c r="G105" s="76"/>
      <c r="H105" s="76"/>
      <c r="I105" s="75"/>
      <c r="J105" s="76"/>
      <c r="L105" s="75"/>
      <c r="M105" s="75"/>
      <c r="N105" s="76"/>
      <c r="O105" s="76"/>
      <c r="P105" s="76"/>
      <c r="Q105" s="76"/>
      <c r="R105" s="76"/>
      <c r="S105" s="75"/>
      <c r="T105" s="76"/>
      <c r="V105" s="75"/>
      <c r="W105" s="75"/>
      <c r="X105" s="76"/>
      <c r="Y105" s="76"/>
      <c r="Z105" s="76"/>
      <c r="AA105" s="76"/>
      <c r="AB105" s="76"/>
      <c r="AC105" s="75"/>
      <c r="AD105" s="76"/>
    </row>
    <row r="106" s="52" customFormat="true" ht="14.25" hidden="false" customHeight="true" outlineLevel="0" collapsed="false">
      <c r="B106" s="75"/>
      <c r="C106" s="75"/>
      <c r="D106" s="76"/>
      <c r="E106" s="76"/>
      <c r="F106" s="76"/>
      <c r="G106" s="76"/>
      <c r="H106" s="76"/>
      <c r="I106" s="75"/>
      <c r="J106" s="76"/>
      <c r="L106" s="75"/>
      <c r="M106" s="75"/>
      <c r="N106" s="76"/>
      <c r="O106" s="76"/>
      <c r="P106" s="76"/>
      <c r="Q106" s="76"/>
      <c r="R106" s="76"/>
      <c r="S106" s="75"/>
      <c r="T106" s="76"/>
      <c r="V106" s="75"/>
      <c r="W106" s="75"/>
      <c r="X106" s="76"/>
      <c r="Y106" s="76"/>
      <c r="Z106" s="76"/>
      <c r="AA106" s="76"/>
      <c r="AB106" s="76"/>
      <c r="AC106" s="75"/>
      <c r="AD106" s="76"/>
    </row>
    <row r="107" s="52" customFormat="true" ht="14.25" hidden="false" customHeight="true" outlineLevel="0" collapsed="false">
      <c r="B107" s="75"/>
      <c r="C107" s="75"/>
      <c r="D107" s="76"/>
      <c r="E107" s="76"/>
      <c r="F107" s="76"/>
      <c r="G107" s="76"/>
      <c r="H107" s="76"/>
      <c r="I107" s="75"/>
      <c r="J107" s="76"/>
      <c r="L107" s="75"/>
      <c r="M107" s="75"/>
      <c r="N107" s="76"/>
      <c r="O107" s="76"/>
      <c r="P107" s="76"/>
      <c r="Q107" s="76"/>
      <c r="R107" s="76"/>
      <c r="S107" s="75"/>
      <c r="T107" s="76"/>
      <c r="V107" s="75"/>
      <c r="W107" s="75"/>
      <c r="X107" s="76"/>
      <c r="Y107" s="76"/>
      <c r="Z107" s="76"/>
      <c r="AA107" s="76"/>
      <c r="AB107" s="76"/>
      <c r="AC107" s="75"/>
      <c r="AD107" s="76"/>
    </row>
    <row r="108" s="52" customFormat="true" ht="14.25" hidden="false" customHeight="true" outlineLevel="0" collapsed="false">
      <c r="B108" s="75"/>
      <c r="C108" s="75"/>
      <c r="D108" s="76"/>
      <c r="E108" s="76"/>
      <c r="F108" s="76"/>
      <c r="G108" s="76"/>
      <c r="H108" s="76"/>
      <c r="I108" s="75"/>
      <c r="J108" s="76"/>
      <c r="L108" s="75"/>
      <c r="M108" s="75"/>
      <c r="N108" s="76"/>
      <c r="O108" s="76"/>
      <c r="P108" s="76"/>
      <c r="Q108" s="76"/>
      <c r="R108" s="76"/>
      <c r="S108" s="75"/>
      <c r="T108" s="76"/>
      <c r="V108" s="75"/>
      <c r="W108" s="75"/>
      <c r="X108" s="76"/>
      <c r="Y108" s="76"/>
      <c r="Z108" s="76"/>
      <c r="AA108" s="76"/>
      <c r="AB108" s="76"/>
      <c r="AC108" s="75"/>
      <c r="AD108" s="76"/>
    </row>
    <row r="109" s="52" customFormat="true" ht="14.25" hidden="false" customHeight="true" outlineLevel="0" collapsed="false">
      <c r="B109" s="75"/>
      <c r="C109" s="75"/>
      <c r="D109" s="76"/>
      <c r="E109" s="76"/>
      <c r="F109" s="76"/>
      <c r="G109" s="76"/>
      <c r="H109" s="76"/>
      <c r="I109" s="75"/>
      <c r="J109" s="76"/>
      <c r="L109" s="75"/>
      <c r="M109" s="75"/>
      <c r="N109" s="76"/>
      <c r="O109" s="76"/>
      <c r="P109" s="76"/>
      <c r="Q109" s="76"/>
      <c r="R109" s="76"/>
      <c r="S109" s="75"/>
      <c r="T109" s="76"/>
      <c r="V109" s="75"/>
      <c r="W109" s="75"/>
      <c r="X109" s="76"/>
      <c r="Y109" s="76"/>
      <c r="Z109" s="76"/>
      <c r="AA109" s="76"/>
      <c r="AB109" s="76"/>
      <c r="AC109" s="75"/>
      <c r="AD109" s="76"/>
    </row>
    <row r="110" s="52" customFormat="true" ht="14.25" hidden="false" customHeight="true" outlineLevel="0" collapsed="false">
      <c r="B110" s="75"/>
      <c r="C110" s="75"/>
      <c r="D110" s="76"/>
      <c r="E110" s="76"/>
      <c r="F110" s="76"/>
      <c r="G110" s="76"/>
      <c r="H110" s="76"/>
      <c r="I110" s="75"/>
      <c r="J110" s="76"/>
      <c r="L110" s="75"/>
      <c r="M110" s="75"/>
      <c r="N110" s="76"/>
      <c r="O110" s="76"/>
      <c r="P110" s="76"/>
      <c r="Q110" s="76"/>
      <c r="R110" s="76"/>
      <c r="S110" s="75"/>
      <c r="T110" s="76"/>
      <c r="V110" s="75"/>
      <c r="W110" s="75"/>
      <c r="X110" s="76"/>
      <c r="Y110" s="76"/>
      <c r="Z110" s="76"/>
      <c r="AA110" s="76"/>
      <c r="AB110" s="76"/>
      <c r="AC110" s="75"/>
      <c r="AD110" s="76"/>
    </row>
    <row r="111" s="52" customFormat="true" ht="14.25" hidden="false" customHeight="true" outlineLevel="0" collapsed="false">
      <c r="B111" s="75"/>
      <c r="C111" s="75"/>
      <c r="D111" s="76"/>
      <c r="E111" s="76"/>
      <c r="F111" s="76"/>
      <c r="G111" s="76"/>
      <c r="H111" s="76"/>
      <c r="I111" s="75"/>
      <c r="J111" s="76"/>
      <c r="L111" s="75"/>
      <c r="M111" s="75"/>
      <c r="N111" s="76"/>
      <c r="O111" s="76"/>
      <c r="P111" s="76"/>
      <c r="Q111" s="76"/>
      <c r="R111" s="76"/>
      <c r="S111" s="75"/>
      <c r="T111" s="76"/>
      <c r="V111" s="75"/>
      <c r="W111" s="75"/>
      <c r="X111" s="76"/>
      <c r="Y111" s="76"/>
      <c r="Z111" s="76"/>
      <c r="AA111" s="76"/>
      <c r="AB111" s="76"/>
      <c r="AC111" s="75"/>
      <c r="AD111" s="76"/>
    </row>
    <row r="112" s="52" customFormat="true" ht="14.25" hidden="false" customHeight="true" outlineLevel="0" collapsed="false">
      <c r="B112" s="75"/>
      <c r="C112" s="75"/>
      <c r="D112" s="76"/>
      <c r="E112" s="76"/>
      <c r="F112" s="76"/>
      <c r="G112" s="76"/>
      <c r="H112" s="76"/>
      <c r="I112" s="75"/>
      <c r="J112" s="76"/>
      <c r="L112" s="75"/>
      <c r="M112" s="75"/>
      <c r="N112" s="76"/>
      <c r="O112" s="76"/>
      <c r="P112" s="76"/>
      <c r="Q112" s="76"/>
      <c r="R112" s="76"/>
      <c r="S112" s="75"/>
      <c r="T112" s="76"/>
      <c r="V112" s="75"/>
      <c r="W112" s="75"/>
      <c r="X112" s="76"/>
      <c r="Y112" s="76"/>
      <c r="Z112" s="76"/>
      <c r="AA112" s="76"/>
      <c r="AB112" s="76"/>
      <c r="AC112" s="75"/>
      <c r="AD112" s="76"/>
    </row>
    <row r="113" s="52" customFormat="true" ht="14.25" hidden="false" customHeight="true" outlineLevel="0" collapsed="false">
      <c r="B113" s="75"/>
      <c r="C113" s="75"/>
      <c r="D113" s="76"/>
      <c r="E113" s="76"/>
      <c r="F113" s="76"/>
      <c r="G113" s="76"/>
      <c r="H113" s="76"/>
      <c r="I113" s="75"/>
      <c r="J113" s="76"/>
      <c r="L113" s="75"/>
      <c r="M113" s="75"/>
      <c r="N113" s="76"/>
      <c r="O113" s="76"/>
      <c r="P113" s="76"/>
      <c r="Q113" s="76"/>
      <c r="R113" s="76"/>
      <c r="S113" s="75"/>
      <c r="T113" s="76"/>
      <c r="V113" s="75"/>
      <c r="W113" s="75"/>
      <c r="X113" s="76"/>
      <c r="Y113" s="76"/>
      <c r="Z113" s="76"/>
      <c r="AA113" s="76"/>
      <c r="AB113" s="76"/>
      <c r="AC113" s="75"/>
      <c r="AD113" s="76"/>
    </row>
    <row r="114" s="52" customFormat="true" ht="14.25" hidden="false" customHeight="true" outlineLevel="0" collapsed="false">
      <c r="B114" s="75"/>
      <c r="C114" s="75"/>
      <c r="D114" s="76"/>
      <c r="E114" s="76"/>
      <c r="F114" s="76"/>
      <c r="G114" s="76"/>
      <c r="H114" s="76"/>
      <c r="I114" s="75"/>
      <c r="J114" s="76"/>
      <c r="L114" s="75"/>
      <c r="M114" s="75"/>
      <c r="N114" s="76"/>
      <c r="O114" s="76"/>
      <c r="P114" s="76"/>
      <c r="Q114" s="76"/>
      <c r="R114" s="76"/>
      <c r="S114" s="75"/>
      <c r="T114" s="76"/>
      <c r="V114" s="75"/>
      <c r="W114" s="75"/>
      <c r="X114" s="76"/>
      <c r="Y114" s="76"/>
      <c r="Z114" s="76"/>
      <c r="AA114" s="76"/>
      <c r="AB114" s="76"/>
      <c r="AC114" s="75"/>
      <c r="AD114" s="76"/>
    </row>
    <row r="115" s="52" customFormat="true" ht="14.25" hidden="false" customHeight="true" outlineLevel="0" collapsed="false">
      <c r="B115" s="75"/>
      <c r="C115" s="75"/>
      <c r="D115" s="76"/>
      <c r="E115" s="76"/>
      <c r="F115" s="76"/>
      <c r="G115" s="76"/>
      <c r="H115" s="76"/>
      <c r="I115" s="75"/>
      <c r="J115" s="76"/>
      <c r="L115" s="75"/>
      <c r="M115" s="75"/>
      <c r="N115" s="76"/>
      <c r="O115" s="76"/>
      <c r="P115" s="76"/>
      <c r="Q115" s="76"/>
      <c r="R115" s="76"/>
      <c r="S115" s="75"/>
      <c r="T115" s="76"/>
      <c r="V115" s="75"/>
      <c r="W115" s="75"/>
      <c r="X115" s="76"/>
      <c r="Y115" s="76"/>
      <c r="Z115" s="76"/>
      <c r="AA115" s="76"/>
      <c r="AB115" s="76"/>
      <c r="AC115" s="75"/>
      <c r="AD115" s="76"/>
    </row>
    <row r="116" s="52" customFormat="true" ht="14.25" hidden="false" customHeight="true" outlineLevel="0" collapsed="false">
      <c r="B116" s="75"/>
      <c r="C116" s="75"/>
      <c r="D116" s="76"/>
      <c r="E116" s="76"/>
      <c r="F116" s="76"/>
      <c r="G116" s="76"/>
      <c r="H116" s="76"/>
      <c r="I116" s="75"/>
      <c r="J116" s="76"/>
      <c r="L116" s="75"/>
      <c r="M116" s="75"/>
      <c r="N116" s="76"/>
      <c r="O116" s="76"/>
      <c r="P116" s="76"/>
      <c r="Q116" s="76"/>
      <c r="R116" s="76"/>
      <c r="S116" s="75"/>
      <c r="T116" s="76"/>
      <c r="V116" s="75"/>
      <c r="W116" s="75"/>
      <c r="X116" s="76"/>
      <c r="Y116" s="76"/>
      <c r="Z116" s="76"/>
      <c r="AA116" s="76"/>
      <c r="AB116" s="76"/>
      <c r="AC116" s="75"/>
      <c r="AD116" s="76"/>
    </row>
    <row r="117" s="52" customFormat="true" ht="14.25" hidden="false" customHeight="true" outlineLevel="0" collapsed="false">
      <c r="B117" s="75"/>
      <c r="C117" s="75"/>
      <c r="D117" s="76"/>
      <c r="E117" s="76"/>
      <c r="F117" s="76"/>
      <c r="G117" s="76"/>
      <c r="H117" s="76"/>
      <c r="I117" s="75"/>
      <c r="J117" s="76"/>
      <c r="L117" s="75"/>
      <c r="M117" s="75"/>
      <c r="N117" s="76"/>
      <c r="O117" s="76"/>
      <c r="P117" s="76"/>
      <c r="Q117" s="76"/>
      <c r="R117" s="76"/>
      <c r="S117" s="75"/>
      <c r="T117" s="76"/>
      <c r="V117" s="75"/>
      <c r="W117" s="75"/>
      <c r="X117" s="76"/>
      <c r="Y117" s="76"/>
      <c r="Z117" s="76"/>
      <c r="AA117" s="76"/>
      <c r="AB117" s="76"/>
      <c r="AC117" s="75"/>
      <c r="AD117" s="76"/>
    </row>
    <row r="118" s="52" customFormat="true" ht="14.25" hidden="false" customHeight="true" outlineLevel="0" collapsed="false">
      <c r="B118" s="75"/>
      <c r="C118" s="75"/>
      <c r="D118" s="76"/>
      <c r="E118" s="76"/>
      <c r="F118" s="76"/>
      <c r="G118" s="76"/>
      <c r="H118" s="76"/>
      <c r="I118" s="75"/>
      <c r="J118" s="76"/>
      <c r="L118" s="75"/>
      <c r="M118" s="75"/>
      <c r="N118" s="76"/>
      <c r="O118" s="76"/>
      <c r="P118" s="76"/>
      <c r="Q118" s="76"/>
      <c r="R118" s="76"/>
      <c r="S118" s="75"/>
      <c r="T118" s="76"/>
      <c r="V118" s="75"/>
      <c r="W118" s="75"/>
      <c r="X118" s="76"/>
      <c r="Y118" s="76"/>
      <c r="Z118" s="76"/>
      <c r="AA118" s="76"/>
      <c r="AB118" s="76"/>
      <c r="AC118" s="75"/>
      <c r="AD118" s="76"/>
    </row>
    <row r="119" s="52" customFormat="true" ht="14.25" hidden="false" customHeight="true" outlineLevel="0" collapsed="false">
      <c r="B119" s="75"/>
      <c r="C119" s="75"/>
      <c r="D119" s="76"/>
      <c r="E119" s="76"/>
      <c r="F119" s="76"/>
      <c r="G119" s="76"/>
      <c r="H119" s="76"/>
      <c r="I119" s="75"/>
      <c r="J119" s="76"/>
      <c r="L119" s="75"/>
      <c r="M119" s="75"/>
      <c r="N119" s="76"/>
      <c r="O119" s="76"/>
      <c r="P119" s="76"/>
      <c r="Q119" s="76"/>
      <c r="R119" s="76"/>
      <c r="S119" s="75"/>
      <c r="T119" s="76"/>
      <c r="V119" s="75"/>
      <c r="W119" s="75"/>
      <c r="X119" s="76"/>
      <c r="Y119" s="76"/>
      <c r="Z119" s="76"/>
      <c r="AA119" s="76"/>
      <c r="AB119" s="76"/>
      <c r="AC119" s="75"/>
      <c r="AD119" s="76"/>
    </row>
    <row r="120" s="52" customFormat="true" ht="14.25" hidden="false" customHeight="true" outlineLevel="0" collapsed="false">
      <c r="B120" s="75"/>
      <c r="C120" s="75"/>
      <c r="D120" s="76"/>
      <c r="E120" s="76"/>
      <c r="F120" s="76"/>
      <c r="G120" s="76"/>
      <c r="H120" s="76"/>
      <c r="I120" s="75"/>
      <c r="J120" s="76"/>
      <c r="L120" s="75"/>
      <c r="M120" s="75"/>
      <c r="N120" s="76"/>
      <c r="O120" s="76"/>
      <c r="P120" s="76"/>
      <c r="Q120" s="76"/>
      <c r="R120" s="76"/>
      <c r="S120" s="75"/>
      <c r="T120" s="76"/>
      <c r="V120" s="75"/>
      <c r="W120" s="75"/>
      <c r="X120" s="76"/>
      <c r="Y120" s="76"/>
      <c r="Z120" s="76"/>
      <c r="AA120" s="76"/>
      <c r="AB120" s="76"/>
      <c r="AC120" s="75"/>
      <c r="AD120" s="76"/>
    </row>
    <row r="121" s="52" customFormat="true" ht="14.25" hidden="false" customHeight="true" outlineLevel="0" collapsed="false">
      <c r="B121" s="75"/>
      <c r="C121" s="75"/>
      <c r="D121" s="76"/>
      <c r="E121" s="76"/>
      <c r="F121" s="76"/>
      <c r="G121" s="76"/>
      <c r="H121" s="76"/>
      <c r="I121" s="75"/>
      <c r="J121" s="76"/>
      <c r="L121" s="75"/>
      <c r="M121" s="75"/>
      <c r="N121" s="76"/>
      <c r="O121" s="76"/>
      <c r="P121" s="76"/>
      <c r="Q121" s="76"/>
      <c r="R121" s="76"/>
      <c r="S121" s="75"/>
      <c r="T121" s="76"/>
      <c r="V121" s="75"/>
      <c r="W121" s="75"/>
      <c r="X121" s="76"/>
      <c r="Y121" s="76"/>
      <c r="Z121" s="76"/>
      <c r="AA121" s="76"/>
      <c r="AB121" s="76"/>
      <c r="AC121" s="75"/>
      <c r="AD121" s="76"/>
    </row>
    <row r="122" s="52" customFormat="true" ht="14.25" hidden="false" customHeight="true" outlineLevel="0" collapsed="false">
      <c r="B122" s="75"/>
      <c r="C122" s="75"/>
      <c r="D122" s="76"/>
      <c r="E122" s="76"/>
      <c r="F122" s="76"/>
      <c r="G122" s="76"/>
      <c r="H122" s="76"/>
      <c r="I122" s="75"/>
      <c r="J122" s="76"/>
      <c r="L122" s="75"/>
      <c r="M122" s="75"/>
      <c r="N122" s="76"/>
      <c r="O122" s="76"/>
      <c r="P122" s="76"/>
      <c r="Q122" s="76"/>
      <c r="R122" s="76"/>
      <c r="S122" s="75"/>
      <c r="T122" s="76"/>
      <c r="V122" s="75"/>
      <c r="W122" s="75"/>
      <c r="X122" s="76"/>
      <c r="Y122" s="76"/>
      <c r="Z122" s="76"/>
      <c r="AA122" s="76"/>
      <c r="AB122" s="76"/>
      <c r="AC122" s="75"/>
      <c r="AD122" s="76"/>
    </row>
    <row r="123" s="52" customFormat="true" ht="14.25" hidden="false" customHeight="true" outlineLevel="0" collapsed="false">
      <c r="B123" s="75"/>
      <c r="C123" s="75"/>
      <c r="D123" s="76"/>
      <c r="E123" s="76"/>
      <c r="F123" s="76"/>
      <c r="G123" s="76"/>
      <c r="H123" s="76"/>
      <c r="I123" s="75"/>
      <c r="J123" s="76"/>
      <c r="L123" s="75"/>
      <c r="M123" s="75"/>
      <c r="N123" s="76"/>
      <c r="O123" s="76"/>
      <c r="P123" s="76"/>
      <c r="Q123" s="76"/>
      <c r="R123" s="76"/>
      <c r="S123" s="75"/>
      <c r="T123" s="76"/>
      <c r="V123" s="75"/>
      <c r="W123" s="75"/>
      <c r="X123" s="76"/>
      <c r="Y123" s="76"/>
      <c r="Z123" s="76"/>
      <c r="AA123" s="76"/>
      <c r="AB123" s="76"/>
      <c r="AC123" s="75"/>
      <c r="AD123" s="76"/>
    </row>
    <row r="124" s="52" customFormat="true" ht="14.25" hidden="false" customHeight="true" outlineLevel="0" collapsed="false">
      <c r="B124" s="75"/>
      <c r="C124" s="75"/>
      <c r="D124" s="76"/>
      <c r="E124" s="76"/>
      <c r="F124" s="76"/>
      <c r="G124" s="76"/>
      <c r="H124" s="76"/>
      <c r="I124" s="75"/>
      <c r="J124" s="76"/>
      <c r="L124" s="75"/>
      <c r="M124" s="75"/>
      <c r="N124" s="76"/>
      <c r="O124" s="76"/>
      <c r="P124" s="76"/>
      <c r="Q124" s="76"/>
      <c r="R124" s="76"/>
      <c r="S124" s="75"/>
      <c r="T124" s="76"/>
      <c r="V124" s="75"/>
      <c r="W124" s="75"/>
      <c r="X124" s="76"/>
      <c r="Y124" s="76"/>
      <c r="Z124" s="76"/>
      <c r="AA124" s="76"/>
      <c r="AB124" s="76"/>
      <c r="AC124" s="75"/>
      <c r="AD124" s="76"/>
    </row>
    <row r="125" s="52" customFormat="true" ht="14.25" hidden="false" customHeight="true" outlineLevel="0" collapsed="false">
      <c r="B125" s="75"/>
      <c r="C125" s="75"/>
      <c r="D125" s="76"/>
      <c r="E125" s="76"/>
      <c r="F125" s="76"/>
      <c r="G125" s="76"/>
      <c r="H125" s="76"/>
      <c r="I125" s="75"/>
      <c r="J125" s="76"/>
      <c r="L125" s="75"/>
      <c r="M125" s="75"/>
      <c r="N125" s="76"/>
      <c r="O125" s="76"/>
      <c r="P125" s="76"/>
      <c r="Q125" s="76"/>
      <c r="R125" s="76"/>
      <c r="S125" s="75"/>
      <c r="T125" s="76"/>
      <c r="V125" s="75"/>
      <c r="W125" s="75"/>
      <c r="X125" s="76"/>
      <c r="Y125" s="76"/>
      <c r="Z125" s="76"/>
      <c r="AA125" s="76"/>
      <c r="AB125" s="76"/>
      <c r="AC125" s="75"/>
      <c r="AD125" s="76"/>
    </row>
    <row r="126" s="52" customFormat="true" ht="14.25" hidden="false" customHeight="true" outlineLevel="0" collapsed="false">
      <c r="B126" s="75"/>
      <c r="C126" s="75"/>
      <c r="D126" s="76"/>
      <c r="E126" s="76"/>
      <c r="F126" s="76"/>
      <c r="G126" s="76"/>
      <c r="H126" s="76"/>
      <c r="I126" s="75"/>
      <c r="J126" s="76"/>
      <c r="L126" s="75"/>
      <c r="M126" s="75"/>
      <c r="N126" s="76"/>
      <c r="O126" s="76"/>
      <c r="P126" s="76"/>
      <c r="Q126" s="76"/>
      <c r="R126" s="76"/>
      <c r="S126" s="75"/>
      <c r="T126" s="76"/>
      <c r="V126" s="75"/>
      <c r="W126" s="75"/>
      <c r="X126" s="76"/>
      <c r="Y126" s="76"/>
      <c r="Z126" s="76"/>
      <c r="AA126" s="76"/>
      <c r="AB126" s="76"/>
      <c r="AC126" s="75"/>
      <c r="AD126" s="76"/>
    </row>
    <row r="127" s="52" customFormat="true" ht="14.25" hidden="false" customHeight="true" outlineLevel="0" collapsed="false">
      <c r="B127" s="75"/>
      <c r="C127" s="75"/>
      <c r="D127" s="76"/>
      <c r="E127" s="76"/>
      <c r="F127" s="76"/>
      <c r="G127" s="76"/>
      <c r="H127" s="76"/>
      <c r="I127" s="75"/>
      <c r="J127" s="76"/>
      <c r="L127" s="75"/>
      <c r="M127" s="75"/>
      <c r="N127" s="76"/>
      <c r="O127" s="76"/>
      <c r="P127" s="76"/>
      <c r="Q127" s="76"/>
      <c r="R127" s="76"/>
      <c r="S127" s="75"/>
      <c r="T127" s="76"/>
      <c r="V127" s="75"/>
      <c r="W127" s="75"/>
      <c r="X127" s="76"/>
      <c r="Y127" s="76"/>
      <c r="Z127" s="76"/>
      <c r="AA127" s="76"/>
      <c r="AB127" s="76"/>
      <c r="AC127" s="75"/>
      <c r="AD127" s="76"/>
    </row>
    <row r="128" s="52" customFormat="true" ht="14.25" hidden="false" customHeight="true" outlineLevel="0" collapsed="false">
      <c r="B128" s="75"/>
      <c r="C128" s="75"/>
      <c r="D128" s="76"/>
      <c r="E128" s="76"/>
      <c r="F128" s="76"/>
      <c r="G128" s="76"/>
      <c r="H128" s="76"/>
      <c r="I128" s="75"/>
      <c r="J128" s="76"/>
      <c r="L128" s="75"/>
      <c r="M128" s="75"/>
      <c r="N128" s="76"/>
      <c r="O128" s="76"/>
      <c r="P128" s="76"/>
      <c r="Q128" s="76"/>
      <c r="R128" s="76"/>
      <c r="S128" s="75"/>
      <c r="T128" s="76"/>
      <c r="V128" s="75"/>
      <c r="W128" s="75"/>
      <c r="X128" s="76"/>
      <c r="Y128" s="76"/>
      <c r="Z128" s="76"/>
      <c r="AA128" s="76"/>
      <c r="AB128" s="76"/>
      <c r="AC128" s="75"/>
      <c r="AD128" s="76"/>
    </row>
    <row r="129" s="52" customFormat="true" ht="14.25" hidden="false" customHeight="true" outlineLevel="0" collapsed="false">
      <c r="B129" s="75"/>
      <c r="C129" s="75"/>
      <c r="D129" s="76"/>
      <c r="E129" s="76"/>
      <c r="F129" s="76"/>
      <c r="G129" s="76"/>
      <c r="H129" s="76"/>
      <c r="I129" s="75"/>
      <c r="J129" s="76"/>
      <c r="L129" s="75"/>
      <c r="M129" s="75"/>
      <c r="N129" s="76"/>
      <c r="O129" s="76"/>
      <c r="P129" s="76"/>
      <c r="Q129" s="76"/>
      <c r="R129" s="76"/>
      <c r="S129" s="75"/>
      <c r="T129" s="76"/>
      <c r="V129" s="75"/>
      <c r="W129" s="75"/>
      <c r="X129" s="76"/>
      <c r="Y129" s="76"/>
      <c r="Z129" s="76"/>
      <c r="AA129" s="76"/>
      <c r="AB129" s="76"/>
      <c r="AC129" s="75"/>
      <c r="AD129" s="76"/>
    </row>
    <row r="130" s="52" customFormat="true" ht="14.25" hidden="false" customHeight="true" outlineLevel="0" collapsed="false">
      <c r="B130" s="75"/>
      <c r="C130" s="75"/>
      <c r="D130" s="76"/>
      <c r="E130" s="76"/>
      <c r="F130" s="76"/>
      <c r="G130" s="76"/>
      <c r="H130" s="76"/>
      <c r="I130" s="75"/>
      <c r="J130" s="76"/>
      <c r="L130" s="75"/>
      <c r="M130" s="75"/>
      <c r="N130" s="76"/>
      <c r="O130" s="76"/>
      <c r="P130" s="76"/>
      <c r="Q130" s="76"/>
      <c r="R130" s="76"/>
      <c r="S130" s="75"/>
      <c r="T130" s="76"/>
      <c r="V130" s="75"/>
      <c r="W130" s="75"/>
      <c r="X130" s="76"/>
      <c r="Y130" s="76"/>
      <c r="Z130" s="76"/>
      <c r="AA130" s="76"/>
      <c r="AB130" s="76"/>
      <c r="AC130" s="75"/>
      <c r="AD130" s="76"/>
    </row>
    <row r="131" s="52" customFormat="true" ht="14.25" hidden="false" customHeight="true" outlineLevel="0" collapsed="false">
      <c r="B131" s="75"/>
      <c r="C131" s="75"/>
      <c r="D131" s="76"/>
      <c r="E131" s="76"/>
      <c r="F131" s="76"/>
      <c r="G131" s="76"/>
      <c r="H131" s="76"/>
      <c r="I131" s="75"/>
      <c r="J131" s="76"/>
      <c r="L131" s="75"/>
      <c r="M131" s="75"/>
      <c r="N131" s="76"/>
      <c r="O131" s="76"/>
      <c r="P131" s="76"/>
      <c r="Q131" s="76"/>
      <c r="R131" s="76"/>
      <c r="S131" s="75"/>
      <c r="T131" s="76"/>
      <c r="V131" s="75"/>
      <c r="W131" s="75"/>
      <c r="X131" s="76"/>
      <c r="Y131" s="76"/>
      <c r="Z131" s="76"/>
      <c r="AA131" s="76"/>
      <c r="AB131" s="76"/>
      <c r="AC131" s="75"/>
      <c r="AD131" s="76"/>
    </row>
    <row r="132" s="52" customFormat="true" ht="14.25" hidden="false" customHeight="true" outlineLevel="0" collapsed="false">
      <c r="B132" s="75"/>
      <c r="C132" s="75"/>
      <c r="D132" s="76"/>
      <c r="E132" s="76"/>
      <c r="F132" s="76"/>
      <c r="G132" s="76"/>
      <c r="H132" s="76"/>
      <c r="I132" s="75"/>
      <c r="J132" s="76"/>
      <c r="L132" s="75"/>
      <c r="M132" s="75"/>
      <c r="N132" s="76"/>
      <c r="O132" s="76"/>
      <c r="P132" s="76"/>
      <c r="Q132" s="76"/>
      <c r="R132" s="76"/>
      <c r="S132" s="75"/>
      <c r="T132" s="76"/>
      <c r="V132" s="75"/>
      <c r="W132" s="75"/>
      <c r="X132" s="76"/>
      <c r="Y132" s="76"/>
      <c r="Z132" s="76"/>
      <c r="AA132" s="76"/>
      <c r="AB132" s="76"/>
      <c r="AC132" s="75"/>
      <c r="AD132" s="76"/>
    </row>
    <row r="133" s="52" customFormat="true" ht="14.25" hidden="false" customHeight="true" outlineLevel="0" collapsed="false">
      <c r="B133" s="75"/>
      <c r="C133" s="75"/>
      <c r="D133" s="76"/>
      <c r="E133" s="76"/>
      <c r="F133" s="76"/>
      <c r="G133" s="76"/>
      <c r="H133" s="76"/>
      <c r="I133" s="75"/>
      <c r="J133" s="76"/>
      <c r="L133" s="75"/>
      <c r="M133" s="75"/>
      <c r="N133" s="76"/>
      <c r="O133" s="76"/>
      <c r="P133" s="76"/>
      <c r="Q133" s="76"/>
      <c r="R133" s="76"/>
      <c r="S133" s="75"/>
      <c r="T133" s="76"/>
      <c r="V133" s="75"/>
      <c r="W133" s="75"/>
      <c r="X133" s="76"/>
      <c r="Y133" s="76"/>
      <c r="Z133" s="76"/>
      <c r="AA133" s="76"/>
      <c r="AB133" s="76"/>
      <c r="AC133" s="75"/>
      <c r="AD133" s="76"/>
    </row>
    <row r="134" s="52" customFormat="true" ht="14.25" hidden="false" customHeight="true" outlineLevel="0" collapsed="false">
      <c r="B134" s="75"/>
      <c r="C134" s="75"/>
      <c r="D134" s="76"/>
      <c r="E134" s="76"/>
      <c r="F134" s="76"/>
      <c r="G134" s="76"/>
      <c r="H134" s="76"/>
      <c r="I134" s="75"/>
      <c r="J134" s="76"/>
      <c r="L134" s="75"/>
      <c r="M134" s="75"/>
      <c r="N134" s="76"/>
      <c r="O134" s="76"/>
      <c r="P134" s="76"/>
      <c r="Q134" s="76"/>
      <c r="R134" s="76"/>
      <c r="S134" s="75"/>
      <c r="T134" s="76"/>
      <c r="V134" s="75"/>
      <c r="W134" s="75"/>
      <c r="X134" s="76"/>
      <c r="Y134" s="76"/>
      <c r="Z134" s="76"/>
      <c r="AA134" s="76"/>
      <c r="AB134" s="76"/>
      <c r="AC134" s="75"/>
      <c r="AD134" s="76"/>
    </row>
    <row r="135" s="52" customFormat="true" ht="14.25" hidden="false" customHeight="true" outlineLevel="0" collapsed="false">
      <c r="B135" s="75"/>
      <c r="C135" s="75"/>
      <c r="D135" s="76"/>
      <c r="E135" s="76"/>
      <c r="F135" s="76"/>
      <c r="G135" s="76"/>
      <c r="H135" s="76"/>
      <c r="I135" s="75"/>
      <c r="J135" s="76"/>
      <c r="L135" s="75"/>
      <c r="M135" s="75"/>
      <c r="N135" s="76"/>
      <c r="O135" s="76"/>
      <c r="P135" s="76"/>
      <c r="Q135" s="76"/>
      <c r="R135" s="76"/>
      <c r="S135" s="75"/>
      <c r="T135" s="76"/>
      <c r="V135" s="75"/>
      <c r="W135" s="75"/>
      <c r="X135" s="76"/>
      <c r="Y135" s="76"/>
      <c r="Z135" s="76"/>
      <c r="AA135" s="76"/>
      <c r="AB135" s="76"/>
      <c r="AC135" s="75"/>
      <c r="AD135" s="76"/>
    </row>
    <row r="136" s="52" customFormat="true" ht="14.25" hidden="false" customHeight="true" outlineLevel="0" collapsed="false">
      <c r="B136" s="75"/>
      <c r="C136" s="75"/>
      <c r="D136" s="76"/>
      <c r="E136" s="76"/>
      <c r="F136" s="76"/>
      <c r="G136" s="76"/>
      <c r="H136" s="76"/>
      <c r="I136" s="75"/>
      <c r="J136" s="76"/>
      <c r="L136" s="75"/>
      <c r="M136" s="75"/>
      <c r="N136" s="76"/>
      <c r="O136" s="76"/>
      <c r="P136" s="76"/>
      <c r="Q136" s="76"/>
      <c r="R136" s="76"/>
      <c r="S136" s="75"/>
      <c r="T136" s="76"/>
      <c r="V136" s="75"/>
      <c r="W136" s="75"/>
      <c r="X136" s="76"/>
      <c r="Y136" s="76"/>
      <c r="Z136" s="76"/>
      <c r="AA136" s="76"/>
      <c r="AB136" s="76"/>
      <c r="AC136" s="75"/>
      <c r="AD136" s="76"/>
    </row>
    <row r="137" s="52" customFormat="true" ht="14.25" hidden="false" customHeight="true" outlineLevel="0" collapsed="false">
      <c r="B137" s="75"/>
      <c r="C137" s="75"/>
      <c r="D137" s="76"/>
      <c r="E137" s="76"/>
      <c r="F137" s="76"/>
      <c r="G137" s="76"/>
      <c r="H137" s="76"/>
      <c r="I137" s="75"/>
      <c r="J137" s="76"/>
      <c r="L137" s="75"/>
      <c r="M137" s="75"/>
      <c r="N137" s="76"/>
      <c r="O137" s="76"/>
      <c r="P137" s="76"/>
      <c r="Q137" s="76"/>
      <c r="R137" s="76"/>
      <c r="S137" s="75"/>
      <c r="T137" s="76"/>
      <c r="V137" s="75"/>
      <c r="W137" s="75"/>
      <c r="X137" s="76"/>
      <c r="Y137" s="76"/>
      <c r="Z137" s="76"/>
      <c r="AA137" s="76"/>
      <c r="AB137" s="76"/>
      <c r="AC137" s="75"/>
      <c r="AD137" s="76"/>
    </row>
    <row r="138" s="52" customFormat="true" ht="14.25" hidden="false" customHeight="true" outlineLevel="0" collapsed="false">
      <c r="B138" s="75"/>
      <c r="C138" s="75"/>
      <c r="D138" s="76"/>
      <c r="E138" s="76"/>
      <c r="F138" s="76"/>
      <c r="G138" s="76"/>
      <c r="H138" s="76"/>
      <c r="I138" s="75"/>
      <c r="J138" s="76"/>
      <c r="L138" s="75"/>
      <c r="M138" s="75"/>
      <c r="N138" s="76"/>
      <c r="O138" s="76"/>
      <c r="P138" s="76"/>
      <c r="Q138" s="76"/>
      <c r="R138" s="76"/>
      <c r="S138" s="75"/>
      <c r="T138" s="76"/>
      <c r="V138" s="75"/>
      <c r="W138" s="75"/>
      <c r="X138" s="76"/>
      <c r="Y138" s="76"/>
      <c r="Z138" s="76"/>
      <c r="AA138" s="76"/>
      <c r="AB138" s="76"/>
      <c r="AC138" s="75"/>
      <c r="AD138" s="76"/>
    </row>
    <row r="139" s="52" customFormat="true" ht="14.25" hidden="false" customHeight="true" outlineLevel="0" collapsed="false">
      <c r="B139" s="75"/>
      <c r="C139" s="75"/>
      <c r="D139" s="76"/>
      <c r="E139" s="76"/>
      <c r="F139" s="76"/>
      <c r="G139" s="76"/>
      <c r="H139" s="76"/>
      <c r="I139" s="75"/>
      <c r="J139" s="76"/>
      <c r="L139" s="75"/>
      <c r="M139" s="75"/>
      <c r="N139" s="76"/>
      <c r="O139" s="76"/>
      <c r="P139" s="76"/>
      <c r="Q139" s="76"/>
      <c r="R139" s="76"/>
      <c r="S139" s="75"/>
      <c r="T139" s="76"/>
      <c r="V139" s="75"/>
      <c r="W139" s="75"/>
      <c r="X139" s="76"/>
      <c r="Y139" s="76"/>
      <c r="Z139" s="76"/>
      <c r="AA139" s="76"/>
      <c r="AB139" s="76"/>
      <c r="AC139" s="75"/>
      <c r="AD139" s="76"/>
    </row>
    <row r="140" s="52" customFormat="true" ht="14.25" hidden="false" customHeight="true" outlineLevel="0" collapsed="false">
      <c r="B140" s="75"/>
      <c r="C140" s="75"/>
      <c r="D140" s="76"/>
      <c r="E140" s="76"/>
      <c r="F140" s="76"/>
      <c r="G140" s="76"/>
      <c r="H140" s="76"/>
      <c r="I140" s="75"/>
      <c r="J140" s="76"/>
      <c r="L140" s="75"/>
      <c r="M140" s="75"/>
      <c r="N140" s="76"/>
      <c r="O140" s="76"/>
      <c r="P140" s="76"/>
      <c r="Q140" s="76"/>
      <c r="R140" s="76"/>
      <c r="S140" s="75"/>
      <c r="T140" s="76"/>
      <c r="V140" s="75"/>
      <c r="W140" s="75"/>
      <c r="X140" s="76"/>
      <c r="Y140" s="76"/>
      <c r="Z140" s="76"/>
      <c r="AA140" s="76"/>
      <c r="AB140" s="76"/>
      <c r="AC140" s="75"/>
      <c r="AD140" s="76"/>
    </row>
    <row r="141" s="52" customFormat="true" ht="14.25" hidden="false" customHeight="true" outlineLevel="0" collapsed="false">
      <c r="L141" s="75"/>
      <c r="M141" s="75"/>
      <c r="N141" s="76"/>
      <c r="O141" s="76"/>
      <c r="P141" s="76"/>
      <c r="Q141" s="76"/>
      <c r="R141" s="76"/>
      <c r="S141" s="75"/>
      <c r="T141" s="76"/>
      <c r="V141" s="75"/>
      <c r="W141" s="75"/>
      <c r="X141" s="76"/>
      <c r="Y141" s="76"/>
      <c r="Z141" s="76"/>
      <c r="AA141" s="76"/>
      <c r="AB141" s="76"/>
      <c r="AC141" s="75"/>
      <c r="AD141" s="76"/>
    </row>
    <row r="142" s="52" customFormat="true" ht="14.25" hidden="false" customHeight="true" outlineLevel="0" collapsed="false">
      <c r="B142" s="77"/>
      <c r="L142" s="75"/>
      <c r="M142" s="75"/>
      <c r="N142" s="76"/>
      <c r="O142" s="76"/>
      <c r="P142" s="76"/>
      <c r="Q142" s="76"/>
      <c r="R142" s="76"/>
      <c r="S142" s="75"/>
      <c r="T142" s="76"/>
      <c r="V142" s="75"/>
      <c r="W142" s="75"/>
      <c r="X142" s="76"/>
      <c r="Y142" s="76"/>
      <c r="Z142" s="76"/>
      <c r="AA142" s="76"/>
      <c r="AB142" s="76"/>
      <c r="AC142" s="75"/>
      <c r="AD142" s="76"/>
    </row>
    <row r="143" s="52" customFormat="true" ht="14.25" hidden="false" customHeight="true" outlineLevel="0" collapsed="false">
      <c r="B143" s="78"/>
      <c r="C143" s="78"/>
      <c r="D143" s="78"/>
      <c r="E143" s="78"/>
      <c r="F143" s="78"/>
      <c r="G143" s="78"/>
      <c r="H143" s="78"/>
      <c r="I143" s="78"/>
      <c r="J143" s="78"/>
      <c r="L143" s="75"/>
      <c r="M143" s="75"/>
      <c r="N143" s="76"/>
      <c r="O143" s="76"/>
      <c r="P143" s="76"/>
      <c r="Q143" s="76"/>
      <c r="R143" s="76"/>
      <c r="S143" s="75"/>
      <c r="T143" s="76"/>
      <c r="V143" s="75"/>
      <c r="W143" s="75"/>
      <c r="X143" s="76"/>
      <c r="Y143" s="76"/>
      <c r="Z143" s="76"/>
      <c r="AA143" s="76"/>
      <c r="AB143" s="76"/>
      <c r="AC143" s="75"/>
      <c r="AD143" s="76"/>
    </row>
    <row r="144" customFormat="false" ht="14.25" hidden="false" customHeight="true" outlineLevel="0" collapsed="false">
      <c r="B144" s="73"/>
      <c r="C144" s="73"/>
      <c r="D144" s="79"/>
      <c r="E144" s="79"/>
      <c r="F144" s="79"/>
      <c r="G144" s="79"/>
      <c r="H144" s="79"/>
      <c r="I144" s="73"/>
      <c r="J144" s="79"/>
      <c r="L144" s="73"/>
      <c r="M144" s="73"/>
      <c r="N144" s="79"/>
      <c r="O144" s="79"/>
      <c r="P144" s="79"/>
      <c r="Q144" s="79"/>
      <c r="R144" s="79"/>
      <c r="S144" s="73"/>
      <c r="T144" s="79"/>
      <c r="V144" s="73"/>
      <c r="W144" s="73"/>
      <c r="X144" s="79"/>
      <c r="Y144" s="79"/>
      <c r="Z144" s="79"/>
      <c r="AA144" s="79"/>
      <c r="AB144" s="79"/>
      <c r="AC144" s="73"/>
      <c r="AD144" s="79"/>
      <c r="AF144" s="52"/>
      <c r="AG144" s="52"/>
    </row>
    <row r="145" customFormat="false" ht="14.25" hidden="false" customHeight="true" outlineLevel="0" collapsed="false">
      <c r="B145" s="73"/>
      <c r="C145" s="73"/>
      <c r="D145" s="79"/>
      <c r="E145" s="79"/>
      <c r="F145" s="79"/>
      <c r="G145" s="79"/>
      <c r="H145" s="79"/>
      <c r="I145" s="73"/>
      <c r="J145" s="79"/>
      <c r="L145" s="73"/>
      <c r="M145" s="73"/>
      <c r="N145" s="79"/>
      <c r="O145" s="79"/>
      <c r="P145" s="79"/>
      <c r="Q145" s="79"/>
      <c r="R145" s="79"/>
      <c r="S145" s="73"/>
      <c r="T145" s="79"/>
      <c r="V145" s="73"/>
      <c r="W145" s="73"/>
      <c r="X145" s="79"/>
      <c r="Y145" s="79"/>
      <c r="Z145" s="79"/>
      <c r="AA145" s="79"/>
      <c r="AB145" s="79"/>
      <c r="AC145" s="73"/>
      <c r="AD145" s="79"/>
      <c r="AF145" s="52"/>
      <c r="AG145" s="52"/>
    </row>
    <row r="146" customFormat="false" ht="14.25" hidden="false" customHeight="true" outlineLevel="0" collapsed="false">
      <c r="B146" s="73"/>
      <c r="C146" s="73"/>
      <c r="D146" s="79"/>
      <c r="E146" s="79"/>
      <c r="F146" s="79"/>
      <c r="G146" s="79"/>
      <c r="H146" s="79"/>
      <c r="I146" s="73"/>
      <c r="J146" s="79"/>
      <c r="L146" s="73"/>
      <c r="M146" s="73"/>
      <c r="N146" s="79"/>
      <c r="O146" s="79"/>
      <c r="P146" s="79"/>
      <c r="Q146" s="79"/>
      <c r="R146" s="79"/>
      <c r="S146" s="73"/>
      <c r="T146" s="79"/>
      <c r="V146" s="73"/>
      <c r="W146" s="73"/>
      <c r="X146" s="79"/>
      <c r="Y146" s="79"/>
      <c r="Z146" s="79"/>
      <c r="AA146" s="79"/>
      <c r="AB146" s="79"/>
      <c r="AC146" s="73"/>
      <c r="AD146" s="79"/>
      <c r="AF146" s="52"/>
      <c r="AG146" s="52"/>
    </row>
    <row r="147" customFormat="false" ht="14.25" hidden="false" customHeight="true" outlineLevel="0" collapsed="false">
      <c r="B147" s="73"/>
      <c r="C147" s="73"/>
      <c r="D147" s="79"/>
      <c r="E147" s="79"/>
      <c r="F147" s="79"/>
      <c r="G147" s="79"/>
      <c r="H147" s="79"/>
      <c r="I147" s="73"/>
      <c r="J147" s="79"/>
      <c r="L147" s="73"/>
      <c r="M147" s="73"/>
      <c r="N147" s="79"/>
      <c r="O147" s="79"/>
      <c r="P147" s="79"/>
      <c r="Q147" s="79"/>
      <c r="R147" s="79"/>
      <c r="S147" s="73"/>
      <c r="T147" s="79"/>
      <c r="V147" s="73"/>
      <c r="W147" s="73"/>
      <c r="X147" s="79"/>
      <c r="Y147" s="79"/>
      <c r="Z147" s="79"/>
      <c r="AA147" s="79"/>
      <c r="AB147" s="79"/>
      <c r="AC147" s="73"/>
      <c r="AD147" s="79"/>
      <c r="AF147" s="52"/>
      <c r="AG147" s="52"/>
    </row>
    <row r="148" customFormat="false" ht="14.25" hidden="false" customHeight="true" outlineLevel="0" collapsed="false">
      <c r="B148" s="73"/>
      <c r="C148" s="73"/>
      <c r="D148" s="79"/>
      <c r="E148" s="79"/>
      <c r="F148" s="79"/>
      <c r="G148" s="79"/>
      <c r="H148" s="79"/>
      <c r="I148" s="73"/>
      <c r="J148" s="79"/>
      <c r="L148" s="73"/>
      <c r="M148" s="73"/>
      <c r="N148" s="79"/>
      <c r="O148" s="79"/>
      <c r="P148" s="79"/>
      <c r="Q148" s="79"/>
      <c r="R148" s="79"/>
      <c r="S148" s="73"/>
      <c r="T148" s="79"/>
      <c r="V148" s="73"/>
      <c r="W148" s="73"/>
      <c r="X148" s="79"/>
      <c r="Y148" s="79"/>
      <c r="Z148" s="79"/>
      <c r="AA148" s="79"/>
      <c r="AB148" s="79"/>
      <c r="AC148" s="73"/>
      <c r="AD148" s="79"/>
      <c r="AF148" s="52"/>
      <c r="AG148" s="52"/>
    </row>
    <row r="149" customFormat="false" ht="14.25" hidden="false" customHeight="true" outlineLevel="0" collapsed="false">
      <c r="B149" s="73"/>
      <c r="C149" s="73"/>
      <c r="D149" s="79"/>
      <c r="E149" s="79"/>
      <c r="F149" s="79"/>
      <c r="G149" s="79"/>
      <c r="H149" s="79"/>
      <c r="I149" s="73"/>
      <c r="J149" s="79"/>
      <c r="L149" s="73"/>
      <c r="M149" s="73"/>
      <c r="N149" s="79"/>
      <c r="O149" s="79"/>
      <c r="P149" s="79"/>
      <c r="Q149" s="79"/>
      <c r="R149" s="79"/>
      <c r="S149" s="73"/>
      <c r="T149" s="79"/>
      <c r="V149" s="73"/>
      <c r="W149" s="73"/>
      <c r="X149" s="79"/>
      <c r="Y149" s="79"/>
      <c r="Z149" s="79"/>
      <c r="AA149" s="79"/>
      <c r="AB149" s="79"/>
      <c r="AC149" s="73"/>
      <c r="AD149" s="79"/>
      <c r="AF149" s="52"/>
      <c r="AG149" s="52"/>
    </row>
    <row r="150" customFormat="false" ht="14.25" hidden="false" customHeight="true" outlineLevel="0" collapsed="false">
      <c r="B150" s="73"/>
      <c r="C150" s="73"/>
      <c r="D150" s="79"/>
      <c r="E150" s="79"/>
      <c r="F150" s="79"/>
      <c r="G150" s="79"/>
      <c r="H150" s="79"/>
      <c r="I150" s="73"/>
      <c r="J150" s="79"/>
      <c r="L150" s="73"/>
      <c r="M150" s="73"/>
      <c r="N150" s="79"/>
      <c r="O150" s="79"/>
      <c r="P150" s="79"/>
      <c r="Q150" s="79"/>
      <c r="R150" s="79"/>
      <c r="S150" s="73"/>
      <c r="T150" s="79"/>
      <c r="V150" s="73"/>
      <c r="W150" s="73"/>
      <c r="X150" s="79"/>
      <c r="Y150" s="79"/>
      <c r="Z150" s="79"/>
      <c r="AA150" s="79"/>
      <c r="AB150" s="79"/>
      <c r="AC150" s="73"/>
      <c r="AD150" s="79"/>
      <c r="AF150" s="52"/>
      <c r="AG150" s="52"/>
    </row>
    <row r="151" customFormat="false" ht="14.25" hidden="false" customHeight="true" outlineLevel="0" collapsed="false">
      <c r="B151" s="73"/>
      <c r="C151" s="73"/>
      <c r="D151" s="79"/>
      <c r="E151" s="79"/>
      <c r="F151" s="79"/>
      <c r="G151" s="79"/>
      <c r="H151" s="79"/>
      <c r="I151" s="73"/>
      <c r="J151" s="79"/>
      <c r="L151" s="73"/>
      <c r="M151" s="73"/>
      <c r="N151" s="79"/>
      <c r="O151" s="79"/>
      <c r="P151" s="79"/>
      <c r="Q151" s="79"/>
      <c r="R151" s="79"/>
      <c r="S151" s="73"/>
      <c r="T151" s="79"/>
      <c r="V151" s="73"/>
      <c r="W151" s="73"/>
      <c r="X151" s="79"/>
      <c r="Y151" s="79"/>
      <c r="Z151" s="79"/>
      <c r="AA151" s="79"/>
      <c r="AB151" s="79"/>
      <c r="AC151" s="73"/>
      <c r="AD151" s="79"/>
      <c r="AF151" s="52"/>
      <c r="AG151" s="52"/>
    </row>
    <row r="152" customFormat="false" ht="14.25" hidden="false" customHeight="true" outlineLevel="0" collapsed="false">
      <c r="B152" s="73"/>
      <c r="C152" s="73"/>
      <c r="D152" s="79"/>
      <c r="E152" s="79"/>
      <c r="F152" s="79"/>
      <c r="G152" s="79"/>
      <c r="H152" s="79"/>
      <c r="I152" s="73"/>
      <c r="J152" s="79"/>
      <c r="L152" s="73"/>
      <c r="M152" s="73"/>
      <c r="N152" s="79"/>
      <c r="O152" s="79"/>
      <c r="P152" s="79"/>
      <c r="Q152" s="79"/>
      <c r="R152" s="79"/>
      <c r="S152" s="73"/>
      <c r="T152" s="79"/>
      <c r="V152" s="73"/>
      <c r="W152" s="73"/>
      <c r="X152" s="79"/>
      <c r="Y152" s="79"/>
      <c r="Z152" s="79"/>
      <c r="AA152" s="79"/>
      <c r="AB152" s="79"/>
      <c r="AC152" s="73"/>
      <c r="AD152" s="79"/>
      <c r="AF152" s="52"/>
      <c r="AG152" s="52"/>
    </row>
    <row r="153" customFormat="false" ht="14.25" hidden="false" customHeight="true" outlineLevel="0" collapsed="false">
      <c r="B153" s="73"/>
      <c r="C153" s="73"/>
      <c r="D153" s="79"/>
      <c r="E153" s="79"/>
      <c r="F153" s="79"/>
      <c r="G153" s="79"/>
      <c r="H153" s="79"/>
      <c r="I153" s="73"/>
      <c r="J153" s="79"/>
      <c r="L153" s="73"/>
      <c r="M153" s="73"/>
      <c r="N153" s="79"/>
      <c r="O153" s="79"/>
      <c r="P153" s="79"/>
      <c r="Q153" s="79"/>
      <c r="R153" s="79"/>
      <c r="S153" s="73"/>
      <c r="T153" s="79"/>
      <c r="V153" s="73"/>
      <c r="W153" s="73"/>
      <c r="X153" s="79"/>
      <c r="Y153" s="79"/>
      <c r="Z153" s="79"/>
      <c r="AA153" s="79"/>
      <c r="AB153" s="79"/>
      <c r="AC153" s="73"/>
      <c r="AD153" s="79"/>
      <c r="AF153" s="52"/>
      <c r="AG153" s="52"/>
    </row>
    <row r="154" customFormat="false" ht="14.25" hidden="false" customHeight="true" outlineLevel="0" collapsed="false">
      <c r="B154" s="73"/>
      <c r="C154" s="73"/>
      <c r="D154" s="79"/>
      <c r="E154" s="79"/>
      <c r="F154" s="79"/>
      <c r="G154" s="79"/>
      <c r="H154" s="79"/>
      <c r="I154" s="73"/>
      <c r="J154" s="79"/>
      <c r="L154" s="73"/>
      <c r="M154" s="73"/>
      <c r="N154" s="79"/>
      <c r="O154" s="79"/>
      <c r="P154" s="79"/>
      <c r="Q154" s="79"/>
      <c r="R154" s="79"/>
      <c r="S154" s="73"/>
      <c r="T154" s="79"/>
      <c r="V154" s="73"/>
      <c r="W154" s="73"/>
      <c r="X154" s="79"/>
      <c r="Y154" s="79"/>
      <c r="Z154" s="79"/>
      <c r="AA154" s="79"/>
      <c r="AB154" s="79"/>
      <c r="AC154" s="73"/>
      <c r="AD154" s="79"/>
      <c r="AF154" s="52"/>
      <c r="AG154" s="52"/>
    </row>
    <row r="155" customFormat="false" ht="14.25" hidden="false" customHeight="true" outlineLevel="0" collapsed="false">
      <c r="B155" s="73"/>
      <c r="C155" s="73"/>
      <c r="D155" s="79"/>
      <c r="E155" s="79"/>
      <c r="F155" s="79"/>
      <c r="G155" s="79"/>
      <c r="H155" s="79"/>
      <c r="I155" s="73"/>
      <c r="J155" s="79"/>
      <c r="L155" s="73"/>
      <c r="M155" s="73"/>
      <c r="N155" s="79"/>
      <c r="O155" s="79"/>
      <c r="P155" s="79"/>
      <c r="Q155" s="79"/>
      <c r="R155" s="79"/>
      <c r="S155" s="73"/>
      <c r="T155" s="79"/>
      <c r="V155" s="73"/>
      <c r="W155" s="73"/>
      <c r="X155" s="79"/>
      <c r="Y155" s="79"/>
      <c r="Z155" s="79"/>
      <c r="AA155" s="79"/>
      <c r="AB155" s="79"/>
      <c r="AC155" s="73"/>
      <c r="AD155" s="79"/>
      <c r="AF155" s="52"/>
      <c r="AG155" s="52"/>
    </row>
    <row r="156" customFormat="false" ht="14.25" hidden="false" customHeight="true" outlineLevel="0" collapsed="false">
      <c r="B156" s="73"/>
      <c r="C156" s="73"/>
      <c r="D156" s="79"/>
      <c r="E156" s="79"/>
      <c r="F156" s="79"/>
      <c r="G156" s="79"/>
      <c r="H156" s="79"/>
      <c r="I156" s="73"/>
      <c r="J156" s="79"/>
      <c r="L156" s="73"/>
      <c r="M156" s="73"/>
      <c r="N156" s="79"/>
      <c r="O156" s="79"/>
      <c r="P156" s="79"/>
      <c r="Q156" s="79"/>
      <c r="R156" s="79"/>
      <c r="S156" s="73"/>
      <c r="T156" s="79"/>
      <c r="V156" s="73"/>
      <c r="W156" s="73"/>
      <c r="X156" s="79"/>
      <c r="Y156" s="79"/>
      <c r="Z156" s="79"/>
      <c r="AA156" s="79"/>
      <c r="AB156" s="79"/>
      <c r="AC156" s="73"/>
      <c r="AD156" s="79"/>
      <c r="AF156" s="52"/>
      <c r="AG156" s="52"/>
    </row>
    <row r="157" customFormat="false" ht="14.25" hidden="false" customHeight="true" outlineLevel="0" collapsed="false">
      <c r="B157" s="73"/>
      <c r="C157" s="73"/>
      <c r="D157" s="79"/>
      <c r="E157" s="79"/>
      <c r="F157" s="79"/>
      <c r="G157" s="79"/>
      <c r="H157" s="79"/>
      <c r="I157" s="73"/>
      <c r="J157" s="79"/>
      <c r="L157" s="73"/>
      <c r="M157" s="73"/>
      <c r="N157" s="79"/>
      <c r="O157" s="79"/>
      <c r="P157" s="79"/>
      <c r="Q157" s="79"/>
      <c r="R157" s="79"/>
      <c r="S157" s="73"/>
      <c r="T157" s="79"/>
      <c r="V157" s="73"/>
      <c r="W157" s="73"/>
      <c r="X157" s="79"/>
      <c r="Y157" s="79"/>
      <c r="Z157" s="79"/>
      <c r="AA157" s="79"/>
      <c r="AB157" s="79"/>
      <c r="AC157" s="73"/>
      <c r="AD157" s="79"/>
      <c r="AF157" s="52"/>
      <c r="AG157" s="52"/>
    </row>
    <row r="158" customFormat="false" ht="14.25" hidden="false" customHeight="true" outlineLevel="0" collapsed="false">
      <c r="B158" s="73"/>
      <c r="C158" s="73"/>
      <c r="D158" s="79"/>
      <c r="E158" s="79"/>
      <c r="F158" s="79"/>
      <c r="G158" s="79"/>
      <c r="H158" s="79"/>
      <c r="I158" s="73"/>
      <c r="J158" s="79"/>
      <c r="L158" s="73"/>
      <c r="M158" s="73"/>
      <c r="N158" s="79"/>
      <c r="O158" s="79"/>
      <c r="P158" s="79"/>
      <c r="Q158" s="79"/>
      <c r="R158" s="79"/>
      <c r="S158" s="73"/>
      <c r="T158" s="79"/>
      <c r="V158" s="73"/>
      <c r="W158" s="73"/>
      <c r="X158" s="79"/>
      <c r="Y158" s="79"/>
      <c r="Z158" s="79"/>
      <c r="AA158" s="79"/>
      <c r="AB158" s="79"/>
      <c r="AC158" s="73"/>
      <c r="AD158" s="79"/>
      <c r="AF158" s="52"/>
      <c r="AG158" s="52"/>
    </row>
    <row r="159" customFormat="false" ht="14.25" hidden="false" customHeight="true" outlineLevel="0" collapsed="false">
      <c r="B159" s="73"/>
      <c r="C159" s="73"/>
      <c r="D159" s="79"/>
      <c r="E159" s="79"/>
      <c r="F159" s="79"/>
      <c r="G159" s="79"/>
      <c r="H159" s="79"/>
      <c r="I159" s="73"/>
      <c r="J159" s="79"/>
      <c r="L159" s="73"/>
      <c r="M159" s="73"/>
      <c r="N159" s="79"/>
      <c r="O159" s="79"/>
      <c r="P159" s="79"/>
      <c r="Q159" s="79"/>
      <c r="R159" s="79"/>
      <c r="S159" s="73"/>
      <c r="T159" s="79"/>
      <c r="V159" s="73"/>
      <c r="W159" s="73"/>
      <c r="X159" s="79"/>
      <c r="Y159" s="79"/>
      <c r="Z159" s="79"/>
      <c r="AA159" s="79"/>
      <c r="AB159" s="79"/>
      <c r="AC159" s="73"/>
      <c r="AD159" s="79"/>
      <c r="AF159" s="52"/>
      <c r="AG159" s="52"/>
    </row>
    <row r="160" customFormat="false" ht="14.25" hidden="false" customHeight="true" outlineLevel="0" collapsed="false">
      <c r="B160" s="73"/>
      <c r="C160" s="73"/>
      <c r="D160" s="79"/>
      <c r="E160" s="79"/>
      <c r="F160" s="79"/>
      <c r="G160" s="79"/>
      <c r="H160" s="79"/>
      <c r="I160" s="73"/>
      <c r="J160" s="79"/>
      <c r="L160" s="73"/>
      <c r="M160" s="73"/>
      <c r="N160" s="79"/>
      <c r="O160" s="79"/>
      <c r="P160" s="79"/>
      <c r="Q160" s="79"/>
      <c r="R160" s="79"/>
      <c r="S160" s="73"/>
      <c r="T160" s="79"/>
      <c r="V160" s="73"/>
      <c r="W160" s="73"/>
      <c r="X160" s="79"/>
      <c r="Y160" s="79"/>
      <c r="Z160" s="79"/>
      <c r="AA160" s="79"/>
      <c r="AB160" s="79"/>
      <c r="AC160" s="73"/>
      <c r="AD160" s="79"/>
      <c r="AF160" s="52"/>
      <c r="AG160" s="52"/>
    </row>
    <row r="161" customFormat="false" ht="14.25" hidden="false" customHeight="true" outlineLevel="0" collapsed="false">
      <c r="B161" s="73"/>
      <c r="C161" s="73"/>
      <c r="D161" s="79"/>
      <c r="E161" s="79"/>
      <c r="F161" s="79"/>
      <c r="G161" s="79"/>
      <c r="H161" s="79"/>
      <c r="I161" s="73"/>
      <c r="J161" s="79"/>
      <c r="L161" s="73"/>
      <c r="M161" s="73"/>
      <c r="N161" s="79"/>
      <c r="O161" s="79"/>
      <c r="P161" s="79"/>
      <c r="Q161" s="79"/>
      <c r="R161" s="79"/>
      <c r="S161" s="73"/>
      <c r="T161" s="79"/>
      <c r="V161" s="73"/>
      <c r="W161" s="73"/>
      <c r="X161" s="79"/>
      <c r="Y161" s="79"/>
      <c r="Z161" s="79"/>
      <c r="AA161" s="79"/>
      <c r="AB161" s="79"/>
      <c r="AC161" s="73"/>
      <c r="AD161" s="79"/>
      <c r="AF161" s="52"/>
      <c r="AG161" s="52"/>
    </row>
    <row r="162" customFormat="false" ht="14.25" hidden="false" customHeight="true" outlineLevel="0" collapsed="false">
      <c r="B162" s="73"/>
      <c r="C162" s="73"/>
      <c r="D162" s="79"/>
      <c r="E162" s="79"/>
      <c r="F162" s="79"/>
      <c r="G162" s="79"/>
      <c r="H162" s="79"/>
      <c r="I162" s="73"/>
      <c r="J162" s="79"/>
      <c r="L162" s="73"/>
      <c r="M162" s="73"/>
      <c r="N162" s="79"/>
      <c r="O162" s="79"/>
      <c r="P162" s="79"/>
      <c r="Q162" s="79"/>
      <c r="R162" s="79"/>
      <c r="S162" s="73"/>
      <c r="T162" s="79"/>
      <c r="V162" s="73"/>
      <c r="W162" s="73"/>
      <c r="X162" s="79"/>
      <c r="Y162" s="79"/>
      <c r="Z162" s="79"/>
      <c r="AA162" s="79"/>
      <c r="AB162" s="79"/>
      <c r="AC162" s="73"/>
      <c r="AD162" s="79"/>
      <c r="AF162" s="52"/>
      <c r="AG162" s="52"/>
    </row>
    <row r="163" customFormat="false" ht="14.25" hidden="false" customHeight="true" outlineLevel="0" collapsed="false">
      <c r="B163" s="73"/>
      <c r="C163" s="73"/>
      <c r="D163" s="79"/>
      <c r="E163" s="79"/>
      <c r="F163" s="79"/>
      <c r="G163" s="79"/>
      <c r="H163" s="79"/>
      <c r="I163" s="73"/>
      <c r="J163" s="79"/>
      <c r="L163" s="73"/>
      <c r="M163" s="73"/>
      <c r="N163" s="79"/>
      <c r="O163" s="79"/>
      <c r="P163" s="79"/>
      <c r="Q163" s="79"/>
      <c r="R163" s="79"/>
      <c r="S163" s="73"/>
      <c r="T163" s="79"/>
      <c r="V163" s="73"/>
      <c r="W163" s="73"/>
      <c r="X163" s="79"/>
      <c r="Y163" s="79"/>
      <c r="Z163" s="79"/>
      <c r="AA163" s="79"/>
      <c r="AB163" s="79"/>
      <c r="AC163" s="73"/>
      <c r="AD163" s="79"/>
      <c r="AF163" s="52"/>
      <c r="AG163" s="52"/>
    </row>
    <row r="164" customFormat="false" ht="14.25" hidden="false" customHeight="true" outlineLevel="0" collapsed="false">
      <c r="B164" s="73"/>
      <c r="C164" s="73"/>
      <c r="D164" s="79"/>
      <c r="E164" s="79"/>
      <c r="F164" s="79"/>
      <c r="G164" s="79"/>
      <c r="H164" s="79"/>
      <c r="I164" s="73"/>
      <c r="J164" s="79"/>
      <c r="L164" s="73"/>
      <c r="M164" s="73"/>
      <c r="N164" s="79"/>
      <c r="O164" s="79"/>
      <c r="P164" s="79"/>
      <c r="Q164" s="79"/>
      <c r="R164" s="79"/>
      <c r="S164" s="73"/>
      <c r="T164" s="79"/>
      <c r="V164" s="73"/>
      <c r="W164" s="73"/>
      <c r="X164" s="79"/>
      <c r="Y164" s="79"/>
      <c r="Z164" s="79"/>
      <c r="AA164" s="79"/>
      <c r="AB164" s="79"/>
      <c r="AC164" s="73"/>
      <c r="AD164" s="79"/>
      <c r="AF164" s="52"/>
      <c r="AG164" s="52"/>
    </row>
    <row r="165" customFormat="false" ht="14.25" hidden="false" customHeight="true" outlineLevel="0" collapsed="false">
      <c r="B165" s="73"/>
      <c r="C165" s="73"/>
      <c r="D165" s="79"/>
      <c r="E165" s="79"/>
      <c r="F165" s="79"/>
      <c r="G165" s="79"/>
      <c r="H165" s="79"/>
      <c r="I165" s="73"/>
      <c r="J165" s="79"/>
      <c r="L165" s="73"/>
      <c r="M165" s="73"/>
      <c r="N165" s="79"/>
      <c r="O165" s="79"/>
      <c r="P165" s="79"/>
      <c r="Q165" s="79"/>
      <c r="R165" s="79"/>
      <c r="S165" s="73"/>
      <c r="T165" s="79"/>
      <c r="V165" s="73"/>
      <c r="W165" s="73"/>
      <c r="X165" s="79"/>
      <c r="Y165" s="79"/>
      <c r="Z165" s="79"/>
      <c r="AA165" s="79"/>
      <c r="AB165" s="79"/>
      <c r="AC165" s="73"/>
      <c r="AD165" s="79"/>
      <c r="AF165" s="52"/>
      <c r="AG165" s="52"/>
    </row>
    <row r="166" customFormat="false" ht="14.25" hidden="false" customHeight="true" outlineLevel="0" collapsed="false">
      <c r="B166" s="73"/>
      <c r="C166" s="73"/>
      <c r="D166" s="79"/>
      <c r="E166" s="79"/>
      <c r="F166" s="79"/>
      <c r="G166" s="79"/>
      <c r="H166" s="79"/>
      <c r="I166" s="73"/>
      <c r="J166" s="79"/>
      <c r="L166" s="73"/>
      <c r="M166" s="73"/>
      <c r="N166" s="79"/>
      <c r="O166" s="79"/>
      <c r="P166" s="79"/>
      <c r="Q166" s="79"/>
      <c r="R166" s="79"/>
      <c r="S166" s="73"/>
      <c r="T166" s="79"/>
      <c r="V166" s="73"/>
      <c r="W166" s="73"/>
      <c r="X166" s="79"/>
      <c r="Y166" s="79"/>
      <c r="Z166" s="79"/>
      <c r="AA166" s="79"/>
      <c r="AB166" s="79"/>
      <c r="AC166" s="73"/>
      <c r="AD166" s="79"/>
      <c r="AF166" s="52"/>
      <c r="AG166" s="52"/>
    </row>
    <row r="167" customFormat="false" ht="14.25" hidden="false" customHeight="true" outlineLevel="0" collapsed="false">
      <c r="B167" s="73"/>
      <c r="C167" s="73"/>
      <c r="D167" s="79"/>
      <c r="E167" s="79"/>
      <c r="F167" s="79"/>
      <c r="G167" s="79"/>
      <c r="H167" s="79"/>
      <c r="I167" s="73"/>
      <c r="J167" s="79"/>
      <c r="L167" s="73"/>
      <c r="M167" s="73"/>
      <c r="N167" s="79"/>
      <c r="O167" s="79"/>
      <c r="P167" s="79"/>
      <c r="Q167" s="79"/>
      <c r="R167" s="79"/>
      <c r="S167" s="73"/>
      <c r="T167" s="79"/>
      <c r="V167" s="73"/>
      <c r="W167" s="73"/>
      <c r="X167" s="79"/>
      <c r="Y167" s="79"/>
      <c r="Z167" s="79"/>
      <c r="AA167" s="79"/>
      <c r="AB167" s="79"/>
      <c r="AC167" s="73"/>
      <c r="AD167" s="79"/>
      <c r="AF167" s="52"/>
      <c r="AG167" s="52"/>
    </row>
    <row r="168" customFormat="false" ht="14.25" hidden="false" customHeight="true" outlineLevel="0" collapsed="false">
      <c r="B168" s="73"/>
      <c r="C168" s="73"/>
      <c r="D168" s="79"/>
      <c r="E168" s="79"/>
      <c r="F168" s="79"/>
      <c r="G168" s="79"/>
      <c r="H168" s="79"/>
      <c r="I168" s="73"/>
      <c r="J168" s="79"/>
      <c r="L168" s="73"/>
      <c r="M168" s="73"/>
      <c r="N168" s="79"/>
      <c r="O168" s="79"/>
      <c r="P168" s="79"/>
      <c r="Q168" s="79"/>
      <c r="R168" s="79"/>
      <c r="S168" s="73"/>
      <c r="T168" s="79"/>
      <c r="V168" s="73"/>
      <c r="W168" s="73"/>
      <c r="X168" s="79"/>
      <c r="Y168" s="79"/>
      <c r="Z168" s="79"/>
      <c r="AA168" s="79"/>
      <c r="AB168" s="79"/>
      <c r="AC168" s="73"/>
      <c r="AD168" s="79"/>
      <c r="AF168" s="52"/>
      <c r="AG168" s="52"/>
    </row>
    <row r="169" customFormat="false" ht="14.25" hidden="false" customHeight="true" outlineLevel="0" collapsed="false">
      <c r="B169" s="73"/>
      <c r="C169" s="73"/>
      <c r="D169" s="79"/>
      <c r="E169" s="79"/>
      <c r="F169" s="79"/>
      <c r="G169" s="79"/>
      <c r="H169" s="79"/>
      <c r="I169" s="73"/>
      <c r="J169" s="79"/>
      <c r="L169" s="73"/>
      <c r="M169" s="73"/>
      <c r="N169" s="79"/>
      <c r="O169" s="79"/>
      <c r="P169" s="79"/>
      <c r="Q169" s="79"/>
      <c r="R169" s="79"/>
      <c r="S169" s="73"/>
      <c r="T169" s="79"/>
      <c r="V169" s="73"/>
      <c r="W169" s="73"/>
      <c r="X169" s="79"/>
      <c r="Y169" s="79"/>
      <c r="Z169" s="79"/>
      <c r="AA169" s="79"/>
      <c r="AB169" s="79"/>
      <c r="AC169" s="73"/>
      <c r="AD169" s="79"/>
      <c r="AF169" s="52"/>
      <c r="AG169" s="52"/>
    </row>
    <row r="170" customFormat="false" ht="14.25" hidden="false" customHeight="true" outlineLevel="0" collapsed="false">
      <c r="B170" s="73"/>
      <c r="C170" s="73"/>
      <c r="D170" s="79"/>
      <c r="E170" s="79"/>
      <c r="F170" s="79"/>
      <c r="G170" s="79"/>
      <c r="H170" s="79"/>
      <c r="I170" s="73"/>
      <c r="J170" s="79"/>
      <c r="L170" s="73"/>
      <c r="M170" s="73"/>
      <c r="N170" s="79"/>
      <c r="O170" s="79"/>
      <c r="P170" s="79"/>
      <c r="Q170" s="79"/>
      <c r="R170" s="79"/>
      <c r="S170" s="73"/>
      <c r="T170" s="79"/>
      <c r="V170" s="73"/>
      <c r="W170" s="73"/>
      <c r="X170" s="79"/>
      <c r="Y170" s="79"/>
      <c r="Z170" s="79"/>
      <c r="AA170" s="79"/>
      <c r="AB170" s="79"/>
      <c r="AC170" s="73"/>
      <c r="AD170" s="79"/>
      <c r="AF170" s="52"/>
      <c r="AG170" s="52"/>
    </row>
    <row r="171" customFormat="false" ht="14.25" hidden="false" customHeight="true" outlineLevel="0" collapsed="false">
      <c r="B171" s="73"/>
      <c r="C171" s="73"/>
      <c r="D171" s="79"/>
      <c r="E171" s="79"/>
      <c r="F171" s="79"/>
      <c r="G171" s="79"/>
      <c r="H171" s="79"/>
      <c r="I171" s="73"/>
      <c r="J171" s="79"/>
      <c r="L171" s="73"/>
      <c r="M171" s="73"/>
      <c r="N171" s="79"/>
      <c r="O171" s="79"/>
      <c r="P171" s="79"/>
      <c r="Q171" s="79"/>
      <c r="R171" s="79"/>
      <c r="S171" s="73"/>
      <c r="T171" s="79"/>
      <c r="V171" s="73"/>
      <c r="W171" s="73"/>
      <c r="X171" s="79"/>
      <c r="Y171" s="79"/>
      <c r="Z171" s="79"/>
      <c r="AA171" s="79"/>
      <c r="AB171" s="79"/>
      <c r="AC171" s="73"/>
      <c r="AD171" s="79"/>
      <c r="AF171" s="52"/>
      <c r="AG171" s="52"/>
    </row>
    <row r="172" customFormat="false" ht="14.25" hidden="false" customHeight="true" outlineLevel="0" collapsed="false">
      <c r="B172" s="73"/>
      <c r="C172" s="73"/>
      <c r="D172" s="79"/>
      <c r="E172" s="79"/>
      <c r="F172" s="79"/>
      <c r="G172" s="79"/>
      <c r="H172" s="79"/>
      <c r="I172" s="73"/>
      <c r="J172" s="79"/>
      <c r="L172" s="73"/>
      <c r="M172" s="73"/>
      <c r="N172" s="79"/>
      <c r="O172" s="79"/>
      <c r="P172" s="79"/>
      <c r="Q172" s="79"/>
      <c r="R172" s="79"/>
      <c r="S172" s="73"/>
      <c r="T172" s="79"/>
      <c r="V172" s="73"/>
      <c r="W172" s="73"/>
      <c r="X172" s="79"/>
      <c r="Y172" s="79"/>
      <c r="Z172" s="79"/>
      <c r="AA172" s="79"/>
      <c r="AB172" s="79"/>
      <c r="AC172" s="73"/>
      <c r="AD172" s="79"/>
      <c r="AF172" s="52"/>
      <c r="AG172" s="52"/>
    </row>
    <row r="173" customFormat="false" ht="14.25" hidden="false" customHeight="true" outlineLevel="0" collapsed="false">
      <c r="B173" s="73"/>
      <c r="C173" s="73"/>
      <c r="D173" s="79"/>
      <c r="E173" s="79"/>
      <c r="F173" s="79"/>
      <c r="G173" s="79"/>
      <c r="H173" s="79"/>
      <c r="I173" s="73"/>
      <c r="J173" s="79"/>
      <c r="L173" s="73"/>
      <c r="M173" s="73"/>
      <c r="N173" s="79"/>
      <c r="O173" s="79"/>
      <c r="P173" s="79"/>
      <c r="Q173" s="79"/>
      <c r="R173" s="79"/>
      <c r="S173" s="73"/>
      <c r="T173" s="79"/>
      <c r="V173" s="73"/>
      <c r="W173" s="73"/>
      <c r="X173" s="79"/>
      <c r="Y173" s="79"/>
      <c r="Z173" s="79"/>
      <c r="AA173" s="79"/>
      <c r="AB173" s="79"/>
      <c r="AC173" s="73"/>
      <c r="AD173" s="79"/>
      <c r="AF173" s="52"/>
      <c r="AG173" s="52"/>
    </row>
    <row r="174" customFormat="false" ht="14.25" hidden="false" customHeight="true" outlineLevel="0" collapsed="false">
      <c r="B174" s="73"/>
      <c r="C174" s="73"/>
      <c r="D174" s="79"/>
      <c r="E174" s="79"/>
      <c r="F174" s="79"/>
      <c r="G174" s="79"/>
      <c r="H174" s="79"/>
      <c r="I174" s="73"/>
      <c r="J174" s="79"/>
      <c r="L174" s="73"/>
      <c r="M174" s="73"/>
      <c r="N174" s="79"/>
      <c r="O174" s="79"/>
      <c r="P174" s="79"/>
      <c r="Q174" s="79"/>
      <c r="R174" s="79"/>
      <c r="S174" s="73"/>
      <c r="T174" s="79"/>
      <c r="V174" s="73"/>
      <c r="W174" s="73"/>
      <c r="X174" s="79"/>
      <c r="Y174" s="79"/>
      <c r="Z174" s="79"/>
      <c r="AA174" s="79"/>
      <c r="AB174" s="79"/>
      <c r="AC174" s="73"/>
      <c r="AD174" s="79"/>
      <c r="AF174" s="52"/>
      <c r="AG174" s="52"/>
    </row>
    <row r="175" customFormat="false" ht="14.25" hidden="false" customHeight="true" outlineLevel="0" collapsed="false">
      <c r="B175" s="73"/>
      <c r="C175" s="73"/>
      <c r="D175" s="79"/>
      <c r="E175" s="79"/>
      <c r="F175" s="79"/>
      <c r="G175" s="79"/>
      <c r="H175" s="79"/>
      <c r="I175" s="73"/>
      <c r="J175" s="79"/>
      <c r="L175" s="73"/>
      <c r="M175" s="73"/>
      <c r="N175" s="79"/>
      <c r="O175" s="79"/>
      <c r="P175" s="79"/>
      <c r="Q175" s="79"/>
      <c r="R175" s="79"/>
      <c r="S175" s="73"/>
      <c r="T175" s="79"/>
      <c r="V175" s="73"/>
      <c r="W175" s="73"/>
      <c r="X175" s="79"/>
      <c r="Y175" s="79"/>
      <c r="Z175" s="79"/>
      <c r="AA175" s="79"/>
      <c r="AB175" s="79"/>
      <c r="AC175" s="73"/>
      <c r="AD175" s="79"/>
      <c r="AF175" s="52"/>
      <c r="AG175" s="52"/>
    </row>
    <row r="176" customFormat="false" ht="14.25" hidden="false" customHeight="true" outlineLevel="0" collapsed="false">
      <c r="B176" s="73"/>
      <c r="C176" s="73"/>
      <c r="D176" s="79"/>
      <c r="E176" s="79"/>
      <c r="F176" s="79"/>
      <c r="G176" s="79"/>
      <c r="H176" s="79"/>
      <c r="I176" s="73"/>
      <c r="J176" s="79"/>
      <c r="L176" s="73"/>
      <c r="M176" s="73"/>
      <c r="N176" s="79"/>
      <c r="O176" s="79"/>
      <c r="P176" s="79"/>
      <c r="Q176" s="79"/>
      <c r="R176" s="79"/>
      <c r="S176" s="73"/>
      <c r="T176" s="79"/>
      <c r="V176" s="73"/>
      <c r="W176" s="73"/>
      <c r="X176" s="79"/>
      <c r="Y176" s="79"/>
      <c r="Z176" s="79"/>
      <c r="AA176" s="79"/>
      <c r="AB176" s="79"/>
      <c r="AC176" s="73"/>
      <c r="AD176" s="79"/>
      <c r="AF176" s="52"/>
      <c r="AG176" s="52"/>
    </row>
    <row r="177" customFormat="false" ht="14.25" hidden="false" customHeight="true" outlineLevel="0" collapsed="false">
      <c r="B177" s="73"/>
      <c r="C177" s="73"/>
      <c r="D177" s="79"/>
      <c r="E177" s="79"/>
      <c r="F177" s="79"/>
      <c r="G177" s="79"/>
      <c r="H177" s="79"/>
      <c r="I177" s="73"/>
      <c r="J177" s="79"/>
      <c r="L177" s="73"/>
      <c r="M177" s="73"/>
      <c r="N177" s="79"/>
      <c r="O177" s="79"/>
      <c r="P177" s="79"/>
      <c r="Q177" s="79"/>
      <c r="R177" s="79"/>
      <c r="S177" s="73"/>
      <c r="T177" s="79"/>
      <c r="V177" s="73"/>
      <c r="W177" s="73"/>
      <c r="X177" s="79"/>
      <c r="Y177" s="79"/>
      <c r="Z177" s="79"/>
      <c r="AA177" s="79"/>
      <c r="AB177" s="79"/>
      <c r="AC177" s="73"/>
      <c r="AD177" s="79"/>
      <c r="AF177" s="52"/>
      <c r="AG177" s="52"/>
    </row>
    <row r="178" customFormat="false" ht="14.25" hidden="false" customHeight="true" outlineLevel="0" collapsed="false">
      <c r="B178" s="73"/>
      <c r="C178" s="73"/>
      <c r="D178" s="79"/>
      <c r="E178" s="79"/>
      <c r="F178" s="79"/>
      <c r="G178" s="79"/>
      <c r="H178" s="79"/>
      <c r="I178" s="73"/>
      <c r="J178" s="79"/>
      <c r="L178" s="73"/>
      <c r="M178" s="73"/>
      <c r="N178" s="79"/>
      <c r="O178" s="79"/>
      <c r="P178" s="79"/>
      <c r="Q178" s="79"/>
      <c r="R178" s="79"/>
      <c r="S178" s="73"/>
      <c r="T178" s="79"/>
      <c r="V178" s="73"/>
      <c r="W178" s="73"/>
      <c r="X178" s="79"/>
      <c r="Y178" s="79"/>
      <c r="Z178" s="79"/>
      <c r="AA178" s="79"/>
      <c r="AB178" s="79"/>
      <c r="AC178" s="73"/>
      <c r="AD178" s="79"/>
      <c r="AF178" s="52"/>
      <c r="AG178" s="52"/>
    </row>
    <row r="179" customFormat="false" ht="14.25" hidden="false" customHeight="true" outlineLevel="0" collapsed="false">
      <c r="B179" s="73"/>
      <c r="C179" s="73"/>
      <c r="D179" s="79"/>
      <c r="E179" s="79"/>
      <c r="F179" s="79"/>
      <c r="G179" s="79"/>
      <c r="H179" s="79"/>
      <c r="I179" s="73"/>
      <c r="J179" s="79"/>
      <c r="L179" s="73"/>
      <c r="M179" s="73"/>
      <c r="N179" s="79"/>
      <c r="O179" s="79"/>
      <c r="P179" s="79"/>
      <c r="Q179" s="79"/>
      <c r="R179" s="79"/>
      <c r="S179" s="73"/>
      <c r="T179" s="79"/>
      <c r="V179" s="73"/>
      <c r="W179" s="73"/>
      <c r="X179" s="79"/>
      <c r="Y179" s="79"/>
      <c r="Z179" s="79"/>
      <c r="AA179" s="79"/>
      <c r="AB179" s="79"/>
      <c r="AC179" s="73"/>
      <c r="AD179" s="79"/>
      <c r="AF179" s="52"/>
      <c r="AG179" s="52"/>
    </row>
    <row r="180" customFormat="false" ht="14.25" hidden="false" customHeight="true" outlineLevel="0" collapsed="false">
      <c r="B180" s="73"/>
      <c r="C180" s="73"/>
      <c r="D180" s="79"/>
      <c r="E180" s="79"/>
      <c r="F180" s="79"/>
      <c r="G180" s="79"/>
      <c r="H180" s="79"/>
      <c r="I180" s="73"/>
      <c r="J180" s="79"/>
      <c r="L180" s="73"/>
      <c r="M180" s="73"/>
      <c r="N180" s="79"/>
      <c r="O180" s="79"/>
      <c r="P180" s="79"/>
      <c r="Q180" s="79"/>
      <c r="R180" s="79"/>
      <c r="S180" s="73"/>
      <c r="T180" s="79"/>
      <c r="V180" s="73"/>
      <c r="W180" s="73"/>
      <c r="X180" s="79"/>
      <c r="Y180" s="79"/>
      <c r="Z180" s="79"/>
      <c r="AA180" s="79"/>
      <c r="AB180" s="79"/>
      <c r="AC180" s="73"/>
      <c r="AD180" s="79"/>
      <c r="AF180" s="52"/>
      <c r="AG180" s="52"/>
    </row>
    <row r="181" customFormat="false" ht="14.25" hidden="false" customHeight="true" outlineLevel="0" collapsed="false">
      <c r="B181" s="73"/>
      <c r="C181" s="73"/>
      <c r="D181" s="79"/>
      <c r="E181" s="79"/>
      <c r="F181" s="79"/>
      <c r="G181" s="79"/>
      <c r="H181" s="79"/>
      <c r="I181" s="73"/>
      <c r="J181" s="79"/>
      <c r="L181" s="73"/>
      <c r="M181" s="73"/>
      <c r="N181" s="79"/>
      <c r="O181" s="79"/>
      <c r="P181" s="79"/>
      <c r="Q181" s="79"/>
      <c r="R181" s="79"/>
      <c r="S181" s="73"/>
      <c r="T181" s="79"/>
      <c r="V181" s="73"/>
      <c r="W181" s="73"/>
      <c r="X181" s="79"/>
      <c r="Y181" s="79"/>
      <c r="Z181" s="79"/>
      <c r="AA181" s="79"/>
      <c r="AB181" s="79"/>
      <c r="AC181" s="73"/>
      <c r="AD181" s="79"/>
      <c r="AF181" s="52"/>
      <c r="AG181" s="52"/>
    </row>
    <row r="182" customFormat="false" ht="14.25" hidden="false" customHeight="true" outlineLevel="0" collapsed="false">
      <c r="B182" s="73"/>
      <c r="C182" s="73"/>
      <c r="D182" s="79"/>
      <c r="E182" s="79"/>
      <c r="F182" s="79"/>
      <c r="G182" s="79"/>
      <c r="H182" s="79"/>
      <c r="I182" s="73"/>
      <c r="J182" s="79"/>
      <c r="L182" s="73"/>
      <c r="M182" s="73"/>
      <c r="N182" s="79"/>
      <c r="O182" s="79"/>
      <c r="P182" s="79"/>
      <c r="Q182" s="79"/>
      <c r="R182" s="79"/>
      <c r="S182" s="73"/>
      <c r="T182" s="79"/>
      <c r="V182" s="73"/>
      <c r="W182" s="73"/>
      <c r="X182" s="79"/>
      <c r="Y182" s="79"/>
      <c r="Z182" s="79"/>
      <c r="AA182" s="79"/>
      <c r="AB182" s="79"/>
      <c r="AC182" s="73"/>
      <c r="AD182" s="79"/>
      <c r="AF182" s="52"/>
      <c r="AG182" s="52"/>
    </row>
    <row r="183" customFormat="false" ht="14.25" hidden="false" customHeight="true" outlineLevel="0" collapsed="false">
      <c r="B183" s="73"/>
      <c r="C183" s="73"/>
      <c r="D183" s="79"/>
      <c r="E183" s="79"/>
      <c r="F183" s="79"/>
      <c r="G183" s="79"/>
      <c r="H183" s="79"/>
      <c r="I183" s="73"/>
      <c r="J183" s="79"/>
      <c r="L183" s="73"/>
      <c r="M183" s="73"/>
      <c r="N183" s="79"/>
      <c r="O183" s="79"/>
      <c r="P183" s="79"/>
      <c r="Q183" s="79"/>
      <c r="R183" s="79"/>
      <c r="S183" s="73"/>
      <c r="T183" s="79"/>
      <c r="V183" s="73"/>
      <c r="W183" s="73"/>
      <c r="X183" s="79"/>
      <c r="Y183" s="79"/>
      <c r="Z183" s="79"/>
      <c r="AA183" s="79"/>
      <c r="AB183" s="79"/>
      <c r="AC183" s="73"/>
      <c r="AD183" s="79"/>
      <c r="AF183" s="52"/>
      <c r="AG183" s="52"/>
    </row>
    <row r="184" customFormat="false" ht="14.25" hidden="false" customHeight="true" outlineLevel="0" collapsed="false">
      <c r="B184" s="73"/>
      <c r="C184" s="73"/>
      <c r="D184" s="79"/>
      <c r="E184" s="79"/>
      <c r="F184" s="79"/>
      <c r="G184" s="79"/>
      <c r="H184" s="79"/>
      <c r="I184" s="73"/>
      <c r="J184" s="79"/>
      <c r="L184" s="73"/>
      <c r="M184" s="73"/>
      <c r="N184" s="79"/>
      <c r="O184" s="79"/>
      <c r="P184" s="79"/>
      <c r="Q184" s="79"/>
      <c r="R184" s="79"/>
      <c r="S184" s="73"/>
      <c r="T184" s="79"/>
      <c r="V184" s="73"/>
      <c r="W184" s="73"/>
      <c r="X184" s="79"/>
      <c r="Y184" s="79"/>
      <c r="Z184" s="79"/>
      <c r="AA184" s="79"/>
      <c r="AB184" s="79"/>
      <c r="AC184" s="73"/>
      <c r="AD184" s="79"/>
      <c r="AF184" s="52"/>
      <c r="AG184" s="52"/>
    </row>
    <row r="185" customFormat="false" ht="14.25" hidden="false" customHeight="true" outlineLevel="0" collapsed="false">
      <c r="B185" s="73"/>
      <c r="C185" s="73"/>
      <c r="D185" s="79"/>
      <c r="E185" s="79"/>
      <c r="F185" s="79"/>
      <c r="G185" s="79"/>
      <c r="H185" s="79"/>
      <c r="I185" s="73"/>
      <c r="J185" s="79"/>
      <c r="L185" s="73"/>
      <c r="M185" s="73"/>
      <c r="N185" s="79"/>
      <c r="O185" s="79"/>
      <c r="P185" s="79"/>
      <c r="Q185" s="79"/>
      <c r="R185" s="79"/>
      <c r="S185" s="73"/>
      <c r="T185" s="79"/>
      <c r="V185" s="73"/>
      <c r="W185" s="73"/>
      <c r="X185" s="79"/>
      <c r="Y185" s="79"/>
      <c r="Z185" s="79"/>
      <c r="AA185" s="79"/>
      <c r="AB185" s="79"/>
      <c r="AC185" s="73"/>
      <c r="AD185" s="79"/>
      <c r="AF185" s="52"/>
      <c r="AG185" s="52"/>
    </row>
    <row r="186" customFormat="false" ht="14.25" hidden="false" customHeight="true" outlineLevel="0" collapsed="false">
      <c r="B186" s="73"/>
      <c r="C186" s="73"/>
      <c r="D186" s="79"/>
      <c r="E186" s="79"/>
      <c r="F186" s="79"/>
      <c r="G186" s="79"/>
      <c r="H186" s="79"/>
      <c r="I186" s="73"/>
      <c r="J186" s="79"/>
      <c r="L186" s="73"/>
      <c r="M186" s="73"/>
      <c r="N186" s="79"/>
      <c r="O186" s="79"/>
      <c r="P186" s="79"/>
      <c r="Q186" s="79"/>
      <c r="R186" s="79"/>
      <c r="S186" s="73"/>
      <c r="T186" s="79"/>
      <c r="V186" s="73"/>
      <c r="W186" s="73"/>
      <c r="X186" s="79"/>
      <c r="Y186" s="79"/>
      <c r="Z186" s="79"/>
      <c r="AA186" s="79"/>
      <c r="AB186" s="79"/>
      <c r="AC186" s="73"/>
      <c r="AD186" s="79"/>
      <c r="AF186" s="52"/>
      <c r="AG186" s="52"/>
    </row>
    <row r="187" customFormat="false" ht="14.25" hidden="false" customHeight="true" outlineLevel="0" collapsed="false">
      <c r="B187" s="73"/>
      <c r="C187" s="73"/>
      <c r="D187" s="79"/>
      <c r="E187" s="79"/>
      <c r="F187" s="79"/>
      <c r="G187" s="79"/>
      <c r="H187" s="79"/>
      <c r="I187" s="73"/>
      <c r="J187" s="79"/>
      <c r="L187" s="73"/>
      <c r="M187" s="73"/>
      <c r="N187" s="79"/>
      <c r="O187" s="79"/>
      <c r="P187" s="79"/>
      <c r="Q187" s="79"/>
      <c r="R187" s="79"/>
      <c r="S187" s="73"/>
      <c r="T187" s="79"/>
      <c r="V187" s="73"/>
      <c r="W187" s="73"/>
      <c r="X187" s="79"/>
      <c r="Y187" s="79"/>
      <c r="Z187" s="79"/>
      <c r="AA187" s="79"/>
      <c r="AB187" s="79"/>
      <c r="AC187" s="73"/>
      <c r="AD187" s="79"/>
      <c r="AF187" s="52"/>
      <c r="AG187" s="52"/>
    </row>
    <row r="188" customFormat="false" ht="14.25" hidden="false" customHeight="true" outlineLevel="0" collapsed="false">
      <c r="B188" s="73"/>
      <c r="C188" s="73"/>
      <c r="D188" s="79"/>
      <c r="E188" s="79"/>
      <c r="F188" s="79"/>
      <c r="G188" s="79"/>
      <c r="H188" s="79"/>
      <c r="I188" s="73"/>
      <c r="J188" s="79"/>
      <c r="L188" s="73"/>
      <c r="M188" s="73"/>
      <c r="N188" s="79"/>
      <c r="O188" s="79"/>
      <c r="P188" s="79"/>
      <c r="Q188" s="79"/>
      <c r="R188" s="79"/>
      <c r="S188" s="73"/>
      <c r="T188" s="79"/>
      <c r="V188" s="73"/>
      <c r="W188" s="73"/>
      <c r="X188" s="79"/>
      <c r="Y188" s="79"/>
      <c r="Z188" s="79"/>
      <c r="AA188" s="79"/>
      <c r="AB188" s="79"/>
      <c r="AC188" s="73"/>
      <c r="AD188" s="79"/>
      <c r="AF188" s="52"/>
      <c r="AG188" s="52"/>
    </row>
    <row r="189" customFormat="false" ht="14.25" hidden="false" customHeight="true" outlineLevel="0" collapsed="false">
      <c r="B189" s="73"/>
      <c r="C189" s="73"/>
      <c r="D189" s="79"/>
      <c r="E189" s="79"/>
      <c r="F189" s="79"/>
      <c r="G189" s="79"/>
      <c r="H189" s="79"/>
      <c r="I189" s="73"/>
      <c r="J189" s="79"/>
      <c r="L189" s="73"/>
      <c r="M189" s="73"/>
      <c r="N189" s="79"/>
      <c r="O189" s="79"/>
      <c r="P189" s="79"/>
      <c r="Q189" s="79"/>
      <c r="R189" s="79"/>
      <c r="S189" s="73"/>
      <c r="T189" s="79"/>
      <c r="V189" s="73"/>
      <c r="W189" s="73"/>
      <c r="X189" s="79"/>
      <c r="Y189" s="79"/>
      <c r="Z189" s="79"/>
      <c r="AA189" s="79"/>
      <c r="AB189" s="79"/>
      <c r="AC189" s="73"/>
      <c r="AD189" s="79"/>
      <c r="AF189" s="52"/>
      <c r="AG189" s="52"/>
    </row>
    <row r="190" customFormat="false" ht="14.25" hidden="false" customHeight="true" outlineLevel="0" collapsed="false">
      <c r="B190" s="73"/>
      <c r="C190" s="73"/>
      <c r="D190" s="79"/>
      <c r="E190" s="79"/>
      <c r="F190" s="79"/>
      <c r="G190" s="79"/>
      <c r="H190" s="79"/>
      <c r="I190" s="73"/>
      <c r="J190" s="79"/>
      <c r="L190" s="73"/>
      <c r="M190" s="73"/>
      <c r="N190" s="79"/>
      <c r="O190" s="79"/>
      <c r="P190" s="79"/>
      <c r="Q190" s="79"/>
      <c r="R190" s="79"/>
      <c r="S190" s="73"/>
      <c r="T190" s="79"/>
      <c r="V190" s="73"/>
      <c r="W190" s="73"/>
      <c r="X190" s="79"/>
      <c r="Y190" s="79"/>
      <c r="Z190" s="79"/>
      <c r="AA190" s="79"/>
      <c r="AB190" s="79"/>
      <c r="AC190" s="73"/>
      <c r="AD190" s="79"/>
      <c r="AF190" s="52"/>
      <c r="AG190" s="52"/>
    </row>
    <row r="191" customFormat="false" ht="14.25" hidden="false" customHeight="true" outlineLevel="0" collapsed="false">
      <c r="B191" s="73"/>
      <c r="C191" s="73"/>
      <c r="D191" s="79"/>
      <c r="E191" s="79"/>
      <c r="F191" s="79"/>
      <c r="G191" s="79"/>
      <c r="H191" s="79"/>
      <c r="I191" s="73"/>
      <c r="J191" s="79"/>
      <c r="L191" s="73"/>
      <c r="M191" s="73"/>
      <c r="N191" s="79"/>
      <c r="O191" s="79"/>
      <c r="P191" s="79"/>
      <c r="Q191" s="79"/>
      <c r="R191" s="79"/>
      <c r="S191" s="73"/>
      <c r="T191" s="79"/>
      <c r="V191" s="73"/>
      <c r="W191" s="73"/>
      <c r="X191" s="79"/>
      <c r="Y191" s="79"/>
      <c r="Z191" s="79"/>
      <c r="AA191" s="79"/>
      <c r="AB191" s="79"/>
      <c r="AC191" s="73"/>
      <c r="AD191" s="79"/>
      <c r="AF191" s="52"/>
      <c r="AG191" s="52"/>
    </row>
    <row r="192" customFormat="false" ht="14.25" hidden="false" customHeight="true" outlineLevel="0" collapsed="false">
      <c r="B192" s="73"/>
      <c r="C192" s="73"/>
      <c r="D192" s="79"/>
      <c r="E192" s="79"/>
      <c r="F192" s="79"/>
      <c r="G192" s="79"/>
      <c r="H192" s="79"/>
      <c r="I192" s="73"/>
      <c r="J192" s="79"/>
      <c r="L192" s="73"/>
      <c r="M192" s="73"/>
      <c r="N192" s="79"/>
      <c r="O192" s="79"/>
      <c r="P192" s="79"/>
      <c r="Q192" s="79"/>
      <c r="R192" s="79"/>
      <c r="S192" s="73"/>
      <c r="T192" s="79"/>
      <c r="V192" s="73"/>
      <c r="W192" s="73"/>
      <c r="X192" s="79"/>
      <c r="Y192" s="79"/>
      <c r="Z192" s="79"/>
      <c r="AA192" s="79"/>
      <c r="AB192" s="79"/>
      <c r="AC192" s="73"/>
      <c r="AD192" s="79"/>
      <c r="AF192" s="52"/>
      <c r="AG192" s="52"/>
    </row>
    <row r="193" customFormat="false" ht="14.25" hidden="false" customHeight="true" outlineLevel="0" collapsed="false">
      <c r="B193" s="73"/>
      <c r="C193" s="73"/>
      <c r="D193" s="79"/>
      <c r="E193" s="79"/>
      <c r="F193" s="79"/>
      <c r="G193" s="79"/>
      <c r="H193" s="79"/>
      <c r="I193" s="73"/>
      <c r="J193" s="79"/>
      <c r="L193" s="73"/>
      <c r="M193" s="73"/>
      <c r="N193" s="79"/>
      <c r="O193" s="79"/>
      <c r="P193" s="79"/>
      <c r="Q193" s="79"/>
      <c r="R193" s="79"/>
      <c r="S193" s="73"/>
      <c r="T193" s="79"/>
      <c r="V193" s="73"/>
      <c r="W193" s="73"/>
      <c r="X193" s="79"/>
      <c r="Y193" s="79"/>
      <c r="Z193" s="79"/>
      <c r="AA193" s="79"/>
      <c r="AB193" s="79"/>
      <c r="AC193" s="73"/>
      <c r="AD193" s="79"/>
      <c r="AF193" s="52"/>
      <c r="AG193" s="52"/>
    </row>
    <row r="194" customFormat="false" ht="14.25" hidden="false" customHeight="true" outlineLevel="0" collapsed="false">
      <c r="B194" s="73"/>
      <c r="C194" s="73"/>
      <c r="D194" s="79"/>
      <c r="E194" s="79"/>
      <c r="F194" s="79"/>
      <c r="G194" s="79"/>
      <c r="H194" s="79"/>
      <c r="I194" s="73"/>
      <c r="J194" s="79"/>
      <c r="L194" s="73"/>
      <c r="M194" s="73"/>
      <c r="N194" s="79"/>
      <c r="O194" s="79"/>
      <c r="P194" s="79"/>
      <c r="Q194" s="79"/>
      <c r="R194" s="79"/>
      <c r="S194" s="73"/>
      <c r="T194" s="79"/>
      <c r="V194" s="73"/>
      <c r="W194" s="73"/>
      <c r="X194" s="79"/>
      <c r="Y194" s="79"/>
      <c r="Z194" s="79"/>
      <c r="AA194" s="79"/>
      <c r="AB194" s="79"/>
      <c r="AC194" s="73"/>
      <c r="AD194" s="79"/>
      <c r="AF194" s="52"/>
      <c r="AG194" s="52"/>
    </row>
    <row r="195" customFormat="false" ht="14.25" hidden="false" customHeight="true" outlineLevel="0" collapsed="false">
      <c r="B195" s="73"/>
      <c r="C195" s="73"/>
      <c r="D195" s="79"/>
      <c r="E195" s="79"/>
      <c r="F195" s="79"/>
      <c r="G195" s="79"/>
      <c r="H195" s="79"/>
      <c r="I195" s="73"/>
      <c r="J195" s="79"/>
      <c r="L195" s="73"/>
      <c r="M195" s="73"/>
      <c r="N195" s="79"/>
      <c r="O195" s="79"/>
      <c r="P195" s="79"/>
      <c r="Q195" s="79"/>
      <c r="R195" s="79"/>
      <c r="S195" s="73"/>
      <c r="T195" s="79"/>
      <c r="V195" s="73"/>
      <c r="W195" s="73"/>
      <c r="X195" s="79"/>
      <c r="Y195" s="79"/>
      <c r="Z195" s="79"/>
      <c r="AA195" s="79"/>
      <c r="AB195" s="79"/>
      <c r="AC195" s="73"/>
      <c r="AD195" s="79"/>
      <c r="AF195" s="52"/>
      <c r="AG195" s="52"/>
    </row>
    <row r="196" customFormat="false" ht="14.25" hidden="false" customHeight="true" outlineLevel="0" collapsed="false">
      <c r="B196" s="73"/>
      <c r="C196" s="73"/>
      <c r="D196" s="79"/>
      <c r="E196" s="79"/>
      <c r="F196" s="79"/>
      <c r="G196" s="79"/>
      <c r="H196" s="79"/>
      <c r="I196" s="73"/>
      <c r="J196" s="79"/>
      <c r="L196" s="73"/>
      <c r="M196" s="73"/>
      <c r="N196" s="79"/>
      <c r="O196" s="79"/>
      <c r="P196" s="79"/>
      <c r="Q196" s="79"/>
      <c r="R196" s="79"/>
      <c r="S196" s="73"/>
      <c r="T196" s="79"/>
      <c r="V196" s="73"/>
      <c r="W196" s="73"/>
      <c r="X196" s="79"/>
      <c r="Y196" s="79"/>
      <c r="Z196" s="79"/>
      <c r="AA196" s="79"/>
      <c r="AB196" s="79"/>
      <c r="AC196" s="73"/>
      <c r="AD196" s="79"/>
      <c r="AF196" s="52"/>
      <c r="AG196" s="52"/>
    </row>
    <row r="197" customFormat="false" ht="14.25" hidden="false" customHeight="true" outlineLevel="0" collapsed="false">
      <c r="B197" s="73"/>
      <c r="C197" s="73"/>
      <c r="D197" s="79"/>
      <c r="E197" s="79"/>
      <c r="F197" s="79"/>
      <c r="G197" s="79"/>
      <c r="H197" s="79"/>
      <c r="I197" s="73"/>
      <c r="J197" s="79"/>
      <c r="L197" s="73"/>
      <c r="M197" s="73"/>
      <c r="N197" s="79"/>
      <c r="O197" s="79"/>
      <c r="P197" s="79"/>
      <c r="Q197" s="79"/>
      <c r="R197" s="79"/>
      <c r="S197" s="73"/>
      <c r="T197" s="79"/>
      <c r="V197" s="73"/>
      <c r="W197" s="73"/>
      <c r="X197" s="79"/>
      <c r="Y197" s="79"/>
      <c r="Z197" s="79"/>
      <c r="AA197" s="79"/>
      <c r="AB197" s="79"/>
      <c r="AC197" s="73"/>
      <c r="AD197" s="79"/>
      <c r="AF197" s="52"/>
      <c r="AG197" s="52"/>
    </row>
    <row r="198" customFormat="false" ht="14.25" hidden="false" customHeight="true" outlineLevel="0" collapsed="false">
      <c r="B198" s="73"/>
      <c r="C198" s="73"/>
      <c r="D198" s="79"/>
      <c r="E198" s="79"/>
      <c r="F198" s="79"/>
      <c r="G198" s="79"/>
      <c r="H198" s="79"/>
      <c r="I198" s="73"/>
      <c r="J198" s="79"/>
      <c r="L198" s="73"/>
      <c r="M198" s="73"/>
      <c r="N198" s="79"/>
      <c r="O198" s="79"/>
      <c r="P198" s="79"/>
      <c r="Q198" s="79"/>
      <c r="R198" s="79"/>
      <c r="S198" s="73"/>
      <c r="T198" s="79"/>
      <c r="V198" s="73"/>
      <c r="W198" s="73"/>
      <c r="X198" s="79"/>
      <c r="Y198" s="79"/>
      <c r="Z198" s="79"/>
      <c r="AA198" s="79"/>
      <c r="AB198" s="79"/>
      <c r="AC198" s="73"/>
      <c r="AD198" s="79"/>
      <c r="AF198" s="52"/>
      <c r="AG198" s="52"/>
    </row>
    <row r="199" customFormat="false" ht="14.25" hidden="false" customHeight="true" outlineLevel="0" collapsed="false">
      <c r="B199" s="73"/>
      <c r="C199" s="73"/>
      <c r="D199" s="79"/>
      <c r="E199" s="79"/>
      <c r="F199" s="79"/>
      <c r="G199" s="79"/>
      <c r="H199" s="79"/>
      <c r="I199" s="73"/>
      <c r="J199" s="79"/>
      <c r="L199" s="73"/>
      <c r="M199" s="73"/>
      <c r="N199" s="79"/>
      <c r="O199" s="79"/>
      <c r="P199" s="79"/>
      <c r="Q199" s="79"/>
      <c r="R199" s="79"/>
      <c r="S199" s="73"/>
      <c r="T199" s="79"/>
      <c r="V199" s="73"/>
      <c r="W199" s="73"/>
      <c r="X199" s="79"/>
      <c r="Y199" s="79"/>
      <c r="Z199" s="79"/>
      <c r="AA199" s="79"/>
      <c r="AB199" s="79"/>
      <c r="AC199" s="73"/>
      <c r="AD199" s="79"/>
      <c r="AF199" s="52"/>
      <c r="AG199" s="52"/>
    </row>
    <row r="200" customFormat="false" ht="14.25" hidden="false" customHeight="true" outlineLevel="0" collapsed="false">
      <c r="B200" s="73"/>
      <c r="C200" s="73"/>
      <c r="D200" s="79"/>
      <c r="E200" s="79"/>
      <c r="F200" s="79"/>
      <c r="G200" s="79"/>
      <c r="H200" s="79"/>
      <c r="I200" s="73"/>
      <c r="J200" s="79"/>
      <c r="L200" s="73"/>
      <c r="M200" s="73"/>
      <c r="N200" s="79"/>
      <c r="O200" s="79"/>
      <c r="P200" s="79"/>
      <c r="Q200" s="79"/>
      <c r="R200" s="79"/>
      <c r="S200" s="73"/>
      <c r="T200" s="79"/>
      <c r="V200" s="73"/>
      <c r="W200" s="73"/>
      <c r="X200" s="79"/>
      <c r="Y200" s="79"/>
      <c r="Z200" s="79"/>
      <c r="AA200" s="79"/>
      <c r="AB200" s="79"/>
      <c r="AC200" s="73"/>
      <c r="AD200" s="79"/>
      <c r="AF200" s="52"/>
      <c r="AG200" s="52"/>
    </row>
    <row r="201" customFormat="false" ht="14.25" hidden="false" customHeight="true" outlineLevel="0" collapsed="false">
      <c r="B201" s="73"/>
      <c r="C201" s="73"/>
      <c r="D201" s="79"/>
      <c r="E201" s="79"/>
      <c r="F201" s="79"/>
      <c r="G201" s="79"/>
      <c r="H201" s="79"/>
      <c r="I201" s="73"/>
      <c r="J201" s="79"/>
      <c r="L201" s="73"/>
      <c r="M201" s="73"/>
      <c r="N201" s="79"/>
      <c r="O201" s="79"/>
      <c r="P201" s="79"/>
      <c r="Q201" s="79"/>
      <c r="R201" s="79"/>
      <c r="S201" s="73"/>
      <c r="T201" s="79"/>
      <c r="V201" s="73"/>
      <c r="W201" s="73"/>
      <c r="X201" s="79"/>
      <c r="Y201" s="79"/>
      <c r="Z201" s="79"/>
      <c r="AA201" s="79"/>
      <c r="AB201" s="79"/>
      <c r="AC201" s="73"/>
      <c r="AD201" s="79"/>
      <c r="AF201" s="52"/>
      <c r="AG201" s="52"/>
    </row>
    <row r="202" customFormat="false" ht="14.25" hidden="false" customHeight="true" outlineLevel="0" collapsed="false">
      <c r="B202" s="73"/>
      <c r="C202" s="73"/>
      <c r="D202" s="79"/>
      <c r="E202" s="79"/>
      <c r="F202" s="79"/>
      <c r="G202" s="79"/>
      <c r="H202" s="79"/>
      <c r="I202" s="73"/>
      <c r="J202" s="79"/>
      <c r="L202" s="73"/>
      <c r="M202" s="73"/>
      <c r="N202" s="79"/>
      <c r="O202" s="79"/>
      <c r="P202" s="79"/>
      <c r="Q202" s="79"/>
      <c r="R202" s="79"/>
      <c r="S202" s="73"/>
      <c r="T202" s="79"/>
      <c r="V202" s="73"/>
      <c r="W202" s="73"/>
      <c r="X202" s="79"/>
      <c r="Y202" s="79"/>
      <c r="Z202" s="79"/>
      <c r="AA202" s="79"/>
      <c r="AB202" s="79"/>
      <c r="AC202" s="73"/>
      <c r="AD202" s="79"/>
      <c r="AF202" s="52"/>
      <c r="AG202" s="52"/>
    </row>
    <row r="203" customFormat="false" ht="14.25" hidden="false" customHeight="true" outlineLevel="0" collapsed="false">
      <c r="B203" s="73"/>
      <c r="C203" s="73"/>
      <c r="D203" s="79"/>
      <c r="E203" s="79"/>
      <c r="F203" s="79"/>
      <c r="G203" s="79"/>
      <c r="H203" s="79"/>
      <c r="I203" s="73"/>
      <c r="J203" s="79"/>
      <c r="L203" s="73"/>
      <c r="M203" s="73"/>
      <c r="N203" s="79"/>
      <c r="O203" s="79"/>
      <c r="P203" s="79"/>
      <c r="Q203" s="79"/>
      <c r="R203" s="79"/>
      <c r="S203" s="73"/>
      <c r="T203" s="79"/>
      <c r="V203" s="73"/>
      <c r="W203" s="73"/>
      <c r="X203" s="79"/>
      <c r="Y203" s="79"/>
      <c r="Z203" s="79"/>
      <c r="AA203" s="79"/>
      <c r="AB203" s="79"/>
      <c r="AC203" s="73"/>
      <c r="AD203" s="79"/>
      <c r="AF203" s="52"/>
      <c r="AG203" s="52"/>
    </row>
    <row r="204" customFormat="false" ht="14.25" hidden="false" customHeight="true" outlineLevel="0" collapsed="false">
      <c r="B204" s="73"/>
      <c r="C204" s="73"/>
      <c r="D204" s="79"/>
      <c r="E204" s="79"/>
      <c r="F204" s="79"/>
      <c r="G204" s="79"/>
      <c r="H204" s="79"/>
      <c r="I204" s="73"/>
      <c r="J204" s="79"/>
      <c r="L204" s="73"/>
      <c r="M204" s="73"/>
      <c r="N204" s="79"/>
      <c r="O204" s="79"/>
      <c r="P204" s="79"/>
      <c r="Q204" s="79"/>
      <c r="R204" s="79"/>
      <c r="S204" s="73"/>
      <c r="T204" s="79"/>
      <c r="V204" s="73"/>
      <c r="W204" s="73"/>
      <c r="X204" s="79"/>
      <c r="Y204" s="79"/>
      <c r="Z204" s="79"/>
      <c r="AA204" s="79"/>
      <c r="AB204" s="79"/>
      <c r="AC204" s="73"/>
      <c r="AD204" s="79"/>
      <c r="AF204" s="52"/>
      <c r="AG204" s="52"/>
    </row>
    <row r="205" customFormat="false" ht="14.25" hidden="false" customHeight="true" outlineLevel="0" collapsed="false">
      <c r="B205" s="73"/>
      <c r="C205" s="73"/>
      <c r="D205" s="79"/>
      <c r="E205" s="79"/>
      <c r="F205" s="79"/>
      <c r="G205" s="79"/>
      <c r="H205" s="79"/>
      <c r="I205" s="73"/>
      <c r="J205" s="79"/>
      <c r="L205" s="73"/>
      <c r="M205" s="73"/>
      <c r="N205" s="79"/>
      <c r="O205" s="79"/>
      <c r="P205" s="79"/>
      <c r="Q205" s="79"/>
      <c r="R205" s="79"/>
      <c r="S205" s="73"/>
      <c r="T205" s="79"/>
      <c r="V205" s="73"/>
      <c r="W205" s="73"/>
      <c r="X205" s="79"/>
      <c r="Y205" s="79"/>
      <c r="Z205" s="79"/>
      <c r="AA205" s="79"/>
      <c r="AB205" s="79"/>
      <c r="AC205" s="73"/>
      <c r="AD205" s="79"/>
      <c r="AF205" s="52"/>
      <c r="AG205" s="52"/>
    </row>
    <row r="206" customFormat="false" ht="14.25" hidden="false" customHeight="true" outlineLevel="0" collapsed="false">
      <c r="B206" s="73"/>
      <c r="C206" s="73"/>
      <c r="D206" s="79"/>
      <c r="E206" s="79"/>
      <c r="F206" s="79"/>
      <c r="G206" s="79"/>
      <c r="H206" s="79"/>
      <c r="I206" s="73"/>
      <c r="J206" s="79"/>
      <c r="L206" s="73"/>
      <c r="M206" s="73"/>
      <c r="N206" s="79"/>
      <c r="O206" s="79"/>
      <c r="P206" s="79"/>
      <c r="Q206" s="79"/>
      <c r="R206" s="79"/>
      <c r="S206" s="73"/>
      <c r="T206" s="79"/>
      <c r="V206" s="73"/>
      <c r="W206" s="73"/>
      <c r="X206" s="79"/>
      <c r="Y206" s="79"/>
      <c r="Z206" s="79"/>
      <c r="AA206" s="79"/>
      <c r="AB206" s="79"/>
      <c r="AC206" s="73"/>
      <c r="AD206" s="79"/>
      <c r="AF206" s="52"/>
      <c r="AG206" s="52"/>
    </row>
    <row r="207" customFormat="false" ht="14.25" hidden="false" customHeight="true" outlineLevel="0" collapsed="false">
      <c r="B207" s="73"/>
      <c r="C207" s="73"/>
      <c r="D207" s="79"/>
      <c r="E207" s="79"/>
      <c r="F207" s="79"/>
      <c r="G207" s="79"/>
      <c r="H207" s="79"/>
      <c r="I207" s="73"/>
      <c r="J207" s="79"/>
      <c r="L207" s="73"/>
      <c r="M207" s="73"/>
      <c r="N207" s="79"/>
      <c r="O207" s="79"/>
      <c r="P207" s="79"/>
      <c r="Q207" s="79"/>
      <c r="R207" s="79"/>
      <c r="S207" s="73"/>
      <c r="T207" s="79"/>
      <c r="V207" s="73"/>
      <c r="W207" s="73"/>
      <c r="X207" s="79"/>
      <c r="Y207" s="79"/>
      <c r="Z207" s="79"/>
      <c r="AA207" s="79"/>
      <c r="AB207" s="79"/>
      <c r="AC207" s="73"/>
      <c r="AD207" s="79"/>
      <c r="AF207" s="52"/>
      <c r="AG207" s="52"/>
    </row>
    <row r="208" customFormat="false" ht="14.25" hidden="false" customHeight="true" outlineLevel="0" collapsed="false">
      <c r="B208" s="73"/>
      <c r="C208" s="73"/>
      <c r="D208" s="79"/>
      <c r="E208" s="79"/>
      <c r="F208" s="79"/>
      <c r="G208" s="79"/>
      <c r="H208" s="79"/>
      <c r="I208" s="73"/>
      <c r="J208" s="79"/>
      <c r="L208" s="73"/>
      <c r="M208" s="73"/>
      <c r="N208" s="79"/>
      <c r="O208" s="79"/>
      <c r="P208" s="79"/>
      <c r="Q208" s="79"/>
      <c r="R208" s="79"/>
      <c r="S208" s="73"/>
      <c r="T208" s="79"/>
      <c r="V208" s="73"/>
      <c r="W208" s="73"/>
      <c r="X208" s="79"/>
      <c r="Y208" s="79"/>
      <c r="Z208" s="79"/>
      <c r="AA208" s="79"/>
      <c r="AB208" s="79"/>
      <c r="AC208" s="73"/>
      <c r="AD208" s="79"/>
      <c r="AF208" s="52"/>
      <c r="AG208" s="52"/>
    </row>
    <row r="209" customFormat="false" ht="14.25" hidden="false" customHeight="true" outlineLevel="0" collapsed="false">
      <c r="B209" s="73"/>
      <c r="C209" s="73"/>
      <c r="D209" s="79"/>
      <c r="E209" s="79"/>
      <c r="F209" s="79"/>
      <c r="G209" s="79"/>
      <c r="H209" s="79"/>
      <c r="I209" s="73"/>
      <c r="J209" s="79"/>
      <c r="L209" s="73"/>
      <c r="M209" s="73"/>
      <c r="N209" s="79"/>
      <c r="O209" s="79"/>
      <c r="P209" s="79"/>
      <c r="Q209" s="79"/>
      <c r="R209" s="79"/>
      <c r="S209" s="73"/>
      <c r="T209" s="79"/>
      <c r="V209" s="73"/>
      <c r="W209" s="73"/>
      <c r="X209" s="79"/>
      <c r="Y209" s="79"/>
      <c r="Z209" s="79"/>
      <c r="AA209" s="79"/>
      <c r="AB209" s="79"/>
      <c r="AC209" s="73"/>
      <c r="AD209" s="79"/>
      <c r="AF209" s="52"/>
      <c r="AG209" s="52"/>
    </row>
    <row r="210" customFormat="false" ht="14.25" hidden="false" customHeight="true" outlineLevel="0" collapsed="false">
      <c r="B210" s="73"/>
      <c r="C210" s="73"/>
      <c r="D210" s="79"/>
      <c r="E210" s="79"/>
      <c r="F210" s="79"/>
      <c r="G210" s="79"/>
      <c r="H210" s="79"/>
      <c r="I210" s="73"/>
      <c r="J210" s="79"/>
      <c r="L210" s="73"/>
      <c r="M210" s="73"/>
      <c r="N210" s="79"/>
      <c r="O210" s="79"/>
      <c r="P210" s="79"/>
      <c r="Q210" s="79"/>
      <c r="R210" s="79"/>
      <c r="S210" s="73"/>
      <c r="T210" s="79"/>
      <c r="V210" s="73"/>
      <c r="W210" s="73"/>
      <c r="X210" s="79"/>
      <c r="Y210" s="79"/>
      <c r="Z210" s="79"/>
      <c r="AA210" s="79"/>
      <c r="AB210" s="79"/>
      <c r="AC210" s="73"/>
      <c r="AD210" s="79"/>
      <c r="AF210" s="52"/>
      <c r="AG210" s="52"/>
    </row>
    <row r="211" customFormat="false" ht="14.25" hidden="false" customHeight="true" outlineLevel="0" collapsed="false">
      <c r="B211" s="73"/>
      <c r="C211" s="73"/>
      <c r="D211" s="79"/>
      <c r="E211" s="79"/>
      <c r="F211" s="79"/>
      <c r="G211" s="79"/>
      <c r="H211" s="79"/>
      <c r="I211" s="73"/>
      <c r="J211" s="79"/>
      <c r="L211" s="73"/>
      <c r="M211" s="73"/>
      <c r="N211" s="79"/>
      <c r="O211" s="79"/>
      <c r="P211" s="79"/>
      <c r="Q211" s="79"/>
      <c r="R211" s="79"/>
      <c r="S211" s="73"/>
      <c r="T211" s="79"/>
      <c r="V211" s="73"/>
      <c r="W211" s="73"/>
      <c r="X211" s="79"/>
      <c r="Y211" s="79"/>
      <c r="Z211" s="79"/>
      <c r="AA211" s="79"/>
      <c r="AB211" s="79"/>
      <c r="AC211" s="73"/>
      <c r="AD211" s="79"/>
      <c r="AF211" s="52"/>
      <c r="AG211" s="52"/>
    </row>
    <row r="212" customFormat="false" ht="14.25" hidden="false" customHeight="true" outlineLevel="0" collapsed="false">
      <c r="B212" s="73"/>
      <c r="C212" s="73"/>
      <c r="D212" s="79"/>
      <c r="E212" s="79"/>
      <c r="F212" s="79"/>
      <c r="G212" s="79"/>
      <c r="H212" s="79"/>
      <c r="I212" s="73"/>
      <c r="J212" s="79"/>
      <c r="L212" s="73"/>
      <c r="M212" s="73"/>
      <c r="N212" s="79"/>
      <c r="O212" s="79"/>
      <c r="P212" s="79"/>
      <c r="Q212" s="79"/>
      <c r="R212" s="79"/>
      <c r="S212" s="73"/>
      <c r="T212" s="79"/>
      <c r="V212" s="73"/>
      <c r="W212" s="73"/>
      <c r="X212" s="79"/>
      <c r="Y212" s="79"/>
      <c r="Z212" s="79"/>
      <c r="AA212" s="79"/>
      <c r="AB212" s="79"/>
      <c r="AC212" s="73"/>
      <c r="AD212" s="79"/>
      <c r="AF212" s="52"/>
      <c r="AG212" s="52"/>
    </row>
    <row r="213" customFormat="false" ht="14.25" hidden="false" customHeight="true" outlineLevel="0" collapsed="false">
      <c r="B213" s="73"/>
      <c r="C213" s="73"/>
      <c r="D213" s="79"/>
      <c r="E213" s="79"/>
      <c r="F213" s="79"/>
      <c r="G213" s="79"/>
      <c r="H213" s="79"/>
      <c r="I213" s="73"/>
      <c r="J213" s="79"/>
      <c r="L213" s="73"/>
      <c r="M213" s="73"/>
      <c r="N213" s="79"/>
      <c r="O213" s="79"/>
      <c r="P213" s="79"/>
      <c r="Q213" s="79"/>
      <c r="R213" s="79"/>
      <c r="S213" s="73"/>
      <c r="T213" s="79"/>
      <c r="V213" s="73"/>
      <c r="W213" s="73"/>
      <c r="X213" s="79"/>
      <c r="Y213" s="79"/>
      <c r="Z213" s="79"/>
      <c r="AA213" s="79"/>
      <c r="AB213" s="79"/>
      <c r="AC213" s="73"/>
      <c r="AD213" s="79"/>
      <c r="AF213" s="52"/>
      <c r="AG213" s="52"/>
    </row>
    <row r="214" customFormat="false" ht="14.25" hidden="false" customHeight="true" outlineLevel="0" collapsed="false">
      <c r="B214" s="73"/>
      <c r="C214" s="73"/>
      <c r="D214" s="79"/>
      <c r="E214" s="79"/>
      <c r="F214" s="79"/>
      <c r="G214" s="79"/>
      <c r="H214" s="79"/>
      <c r="I214" s="73"/>
      <c r="J214" s="79"/>
      <c r="L214" s="73"/>
      <c r="M214" s="73"/>
      <c r="N214" s="79"/>
      <c r="O214" s="79"/>
      <c r="P214" s="79"/>
      <c r="Q214" s="79"/>
      <c r="R214" s="79"/>
      <c r="S214" s="73"/>
      <c r="T214" s="79"/>
      <c r="V214" s="73"/>
      <c r="W214" s="73"/>
      <c r="X214" s="79"/>
      <c r="Y214" s="79"/>
      <c r="Z214" s="79"/>
      <c r="AA214" s="79"/>
      <c r="AB214" s="79"/>
      <c r="AC214" s="73"/>
      <c r="AD214" s="79"/>
      <c r="AF214" s="52"/>
      <c r="AG214" s="52"/>
    </row>
    <row r="215" customFormat="false" ht="14.25" hidden="false" customHeight="true" outlineLevel="0" collapsed="false">
      <c r="B215" s="73"/>
      <c r="C215" s="73"/>
      <c r="D215" s="79"/>
      <c r="E215" s="79"/>
      <c r="F215" s="79"/>
      <c r="G215" s="79"/>
      <c r="H215" s="79"/>
      <c r="I215" s="73"/>
      <c r="J215" s="79"/>
      <c r="L215" s="73"/>
      <c r="M215" s="73"/>
      <c r="N215" s="79"/>
      <c r="O215" s="79"/>
      <c r="P215" s="79"/>
      <c r="Q215" s="79"/>
      <c r="R215" s="79"/>
      <c r="S215" s="73"/>
      <c r="T215" s="79"/>
      <c r="V215" s="73"/>
      <c r="W215" s="73"/>
      <c r="X215" s="79"/>
      <c r="Y215" s="79"/>
      <c r="Z215" s="79"/>
      <c r="AA215" s="79"/>
      <c r="AB215" s="79"/>
      <c r="AC215" s="73"/>
      <c r="AD215" s="79"/>
      <c r="AF215" s="52"/>
      <c r="AG215" s="52"/>
    </row>
    <row r="216" customFormat="false" ht="14.25" hidden="false" customHeight="true" outlineLevel="0" collapsed="false">
      <c r="B216" s="73"/>
      <c r="C216" s="73"/>
      <c r="D216" s="79"/>
      <c r="E216" s="79"/>
      <c r="F216" s="79"/>
      <c r="G216" s="79"/>
      <c r="H216" s="79"/>
      <c r="I216" s="73"/>
      <c r="J216" s="79"/>
      <c r="L216" s="73"/>
      <c r="M216" s="73"/>
      <c r="N216" s="79"/>
      <c r="O216" s="79"/>
      <c r="P216" s="79"/>
      <c r="Q216" s="79"/>
      <c r="R216" s="79"/>
      <c r="S216" s="73"/>
      <c r="T216" s="79"/>
      <c r="V216" s="73"/>
      <c r="W216" s="73"/>
      <c r="X216" s="79"/>
      <c r="Y216" s="79"/>
      <c r="Z216" s="79"/>
      <c r="AA216" s="79"/>
      <c r="AB216" s="79"/>
      <c r="AC216" s="73"/>
      <c r="AD216" s="79"/>
      <c r="AF216" s="52"/>
      <c r="AG216" s="52"/>
    </row>
    <row r="217" customFormat="false" ht="14.25" hidden="false" customHeight="true" outlineLevel="0" collapsed="false">
      <c r="B217" s="73"/>
      <c r="C217" s="73"/>
      <c r="D217" s="79"/>
      <c r="E217" s="79"/>
      <c r="F217" s="79"/>
      <c r="G217" s="79"/>
      <c r="H217" s="79"/>
      <c r="I217" s="73"/>
      <c r="J217" s="79"/>
      <c r="L217" s="73"/>
      <c r="M217" s="73"/>
      <c r="N217" s="79"/>
      <c r="O217" s="79"/>
      <c r="P217" s="79"/>
      <c r="Q217" s="79"/>
      <c r="R217" s="79"/>
      <c r="S217" s="73"/>
      <c r="T217" s="79"/>
      <c r="V217" s="73"/>
      <c r="W217" s="73"/>
      <c r="X217" s="79"/>
      <c r="Y217" s="79"/>
      <c r="Z217" s="79"/>
      <c r="AA217" s="79"/>
      <c r="AB217" s="79"/>
      <c r="AC217" s="73"/>
      <c r="AD217" s="79"/>
      <c r="AF217" s="52"/>
      <c r="AG217" s="52"/>
    </row>
    <row r="218" customFormat="false" ht="14.25" hidden="false" customHeight="true" outlineLevel="0" collapsed="false">
      <c r="B218" s="73"/>
      <c r="C218" s="73"/>
      <c r="D218" s="79"/>
      <c r="E218" s="79"/>
      <c r="F218" s="79"/>
      <c r="G218" s="79"/>
      <c r="H218" s="79"/>
      <c r="I218" s="73"/>
      <c r="J218" s="79"/>
      <c r="L218" s="73"/>
      <c r="M218" s="73"/>
      <c r="N218" s="79"/>
      <c r="O218" s="79"/>
      <c r="P218" s="79"/>
      <c r="Q218" s="79"/>
      <c r="R218" s="79"/>
      <c r="S218" s="73"/>
      <c r="T218" s="79"/>
      <c r="V218" s="73"/>
      <c r="W218" s="73"/>
      <c r="X218" s="79"/>
      <c r="Y218" s="79"/>
      <c r="Z218" s="79"/>
      <c r="AA218" s="79"/>
      <c r="AB218" s="79"/>
      <c r="AC218" s="73"/>
      <c r="AD218" s="79"/>
      <c r="AF218" s="52"/>
      <c r="AG218" s="52"/>
    </row>
    <row r="219" customFormat="false" ht="14.25" hidden="false" customHeight="true" outlineLevel="0" collapsed="false">
      <c r="B219" s="73"/>
      <c r="C219" s="73"/>
      <c r="D219" s="79"/>
      <c r="E219" s="79"/>
      <c r="F219" s="79"/>
      <c r="G219" s="79"/>
      <c r="H219" s="79"/>
      <c r="I219" s="73"/>
      <c r="J219" s="79"/>
      <c r="L219" s="73"/>
      <c r="M219" s="73"/>
      <c r="N219" s="79"/>
      <c r="O219" s="79"/>
      <c r="P219" s="79"/>
      <c r="Q219" s="79"/>
      <c r="R219" s="79"/>
      <c r="S219" s="73"/>
      <c r="T219" s="79"/>
      <c r="V219" s="73"/>
      <c r="W219" s="73"/>
      <c r="X219" s="79"/>
      <c r="Y219" s="79"/>
      <c r="Z219" s="79"/>
      <c r="AA219" s="79"/>
      <c r="AB219" s="79"/>
      <c r="AC219" s="73"/>
      <c r="AD219" s="79"/>
      <c r="AF219" s="52"/>
      <c r="AG219" s="52"/>
    </row>
    <row r="220" customFormat="false" ht="14.25" hidden="false" customHeight="true" outlineLevel="0" collapsed="false">
      <c r="B220" s="73"/>
      <c r="C220" s="73"/>
      <c r="D220" s="79"/>
      <c r="E220" s="79"/>
      <c r="F220" s="79"/>
      <c r="G220" s="79"/>
      <c r="H220" s="79"/>
      <c r="I220" s="73"/>
      <c r="J220" s="79"/>
      <c r="L220" s="73"/>
      <c r="M220" s="73"/>
      <c r="N220" s="79"/>
      <c r="O220" s="79"/>
      <c r="P220" s="79"/>
      <c r="Q220" s="79"/>
      <c r="R220" s="79"/>
      <c r="S220" s="73"/>
      <c r="T220" s="79"/>
      <c r="V220" s="73"/>
      <c r="W220" s="73"/>
      <c r="X220" s="79"/>
      <c r="Y220" s="79"/>
      <c r="Z220" s="79"/>
      <c r="AA220" s="79"/>
      <c r="AB220" s="79"/>
      <c r="AC220" s="73"/>
      <c r="AD220" s="79"/>
      <c r="AF220" s="52"/>
      <c r="AG220" s="52"/>
    </row>
    <row r="221" customFormat="false" ht="14.25" hidden="false" customHeight="true" outlineLevel="0" collapsed="false">
      <c r="B221" s="73"/>
      <c r="C221" s="73"/>
      <c r="D221" s="79"/>
      <c r="E221" s="79"/>
      <c r="F221" s="79"/>
      <c r="G221" s="79"/>
      <c r="H221" s="79"/>
      <c r="I221" s="73"/>
      <c r="J221" s="79"/>
      <c r="L221" s="73"/>
      <c r="M221" s="73"/>
      <c r="N221" s="79"/>
      <c r="O221" s="79"/>
      <c r="P221" s="79"/>
      <c r="Q221" s="79"/>
      <c r="R221" s="79"/>
      <c r="S221" s="73"/>
      <c r="T221" s="79"/>
      <c r="V221" s="73"/>
      <c r="W221" s="73"/>
      <c r="X221" s="79"/>
      <c r="Y221" s="79"/>
      <c r="Z221" s="79"/>
      <c r="AA221" s="79"/>
      <c r="AB221" s="79"/>
      <c r="AC221" s="73"/>
      <c r="AD221" s="79"/>
      <c r="AF221" s="52"/>
      <c r="AG221" s="52"/>
    </row>
    <row r="222" customFormat="false" ht="14.25" hidden="false" customHeight="true" outlineLevel="0" collapsed="false">
      <c r="B222" s="73"/>
      <c r="C222" s="73"/>
      <c r="D222" s="79"/>
      <c r="E222" s="79"/>
      <c r="F222" s="79"/>
      <c r="G222" s="79"/>
      <c r="H222" s="79"/>
      <c r="I222" s="73"/>
      <c r="J222" s="79"/>
      <c r="L222" s="73"/>
      <c r="M222" s="73"/>
      <c r="N222" s="79"/>
      <c r="O222" s="79"/>
      <c r="P222" s="79"/>
      <c r="Q222" s="79"/>
      <c r="R222" s="79"/>
      <c r="S222" s="73"/>
      <c r="T222" s="79"/>
      <c r="V222" s="73"/>
      <c r="W222" s="73"/>
      <c r="X222" s="79"/>
      <c r="Y222" s="79"/>
      <c r="Z222" s="79"/>
      <c r="AA222" s="79"/>
      <c r="AB222" s="79"/>
      <c r="AC222" s="73"/>
      <c r="AD222" s="79"/>
      <c r="AF222" s="52"/>
      <c r="AG222" s="52"/>
    </row>
    <row r="223" customFormat="false" ht="14.25" hidden="false" customHeight="true" outlineLevel="0" collapsed="false">
      <c r="B223" s="73"/>
      <c r="C223" s="73"/>
      <c r="D223" s="79"/>
      <c r="E223" s="79"/>
      <c r="F223" s="79"/>
      <c r="G223" s="79"/>
      <c r="H223" s="79"/>
      <c r="I223" s="73"/>
      <c r="J223" s="79"/>
      <c r="L223" s="73"/>
      <c r="M223" s="73"/>
      <c r="N223" s="79"/>
      <c r="O223" s="79"/>
      <c r="P223" s="79"/>
      <c r="Q223" s="79"/>
      <c r="R223" s="79"/>
      <c r="S223" s="73"/>
      <c r="T223" s="79"/>
      <c r="V223" s="73"/>
      <c r="W223" s="73"/>
      <c r="X223" s="79"/>
      <c r="Y223" s="79"/>
      <c r="Z223" s="79"/>
      <c r="AA223" s="79"/>
      <c r="AB223" s="79"/>
      <c r="AC223" s="73"/>
      <c r="AD223" s="79"/>
      <c r="AF223" s="52"/>
      <c r="AG223" s="52"/>
    </row>
    <row r="224" customFormat="false" ht="14.25" hidden="false" customHeight="true" outlineLevel="0" collapsed="false">
      <c r="B224" s="73"/>
      <c r="C224" s="73"/>
      <c r="D224" s="79"/>
      <c r="E224" s="79"/>
      <c r="F224" s="79"/>
      <c r="G224" s="79"/>
      <c r="H224" s="79"/>
      <c r="I224" s="73"/>
      <c r="J224" s="79"/>
      <c r="L224" s="73"/>
      <c r="M224" s="73"/>
      <c r="N224" s="79"/>
      <c r="O224" s="79"/>
      <c r="P224" s="79"/>
      <c r="Q224" s="79"/>
      <c r="R224" s="79"/>
      <c r="S224" s="73"/>
      <c r="T224" s="79"/>
      <c r="V224" s="73"/>
      <c r="W224" s="73"/>
      <c r="X224" s="79"/>
      <c r="Y224" s="79"/>
      <c r="Z224" s="79"/>
      <c r="AA224" s="79"/>
      <c r="AB224" s="79"/>
      <c r="AC224" s="73"/>
      <c r="AD224" s="79"/>
      <c r="AF224" s="52"/>
      <c r="AG224" s="52"/>
    </row>
    <row r="225" customFormat="false" ht="14.25" hidden="false" customHeight="true" outlineLevel="0" collapsed="false">
      <c r="B225" s="73"/>
      <c r="C225" s="73"/>
      <c r="D225" s="79"/>
      <c r="E225" s="79"/>
      <c r="F225" s="79"/>
      <c r="G225" s="79"/>
      <c r="H225" s="79"/>
      <c r="I225" s="73"/>
      <c r="J225" s="79"/>
      <c r="L225" s="73"/>
      <c r="M225" s="73"/>
      <c r="N225" s="79"/>
      <c r="O225" s="79"/>
      <c r="P225" s="79"/>
      <c r="Q225" s="79"/>
      <c r="R225" s="79"/>
      <c r="S225" s="73"/>
      <c r="T225" s="79"/>
      <c r="V225" s="73"/>
      <c r="W225" s="73"/>
      <c r="X225" s="79"/>
      <c r="Y225" s="79"/>
      <c r="Z225" s="79"/>
      <c r="AA225" s="79"/>
      <c r="AB225" s="79"/>
      <c r="AC225" s="73"/>
      <c r="AD225" s="79"/>
    </row>
    <row r="226" customFormat="false" ht="14.25" hidden="false" customHeight="true" outlineLevel="0" collapsed="false">
      <c r="B226" s="73"/>
      <c r="C226" s="73"/>
      <c r="D226" s="79"/>
      <c r="E226" s="79"/>
      <c r="F226" s="79"/>
      <c r="G226" s="79"/>
      <c r="H226" s="79"/>
      <c r="I226" s="73"/>
      <c r="J226" s="79"/>
      <c r="L226" s="73"/>
      <c r="M226" s="73"/>
      <c r="N226" s="79"/>
      <c r="O226" s="79"/>
      <c r="P226" s="79"/>
      <c r="Q226" s="79"/>
      <c r="R226" s="79"/>
      <c r="S226" s="73"/>
      <c r="T226" s="79"/>
      <c r="V226" s="73"/>
      <c r="W226" s="73"/>
      <c r="X226" s="79"/>
      <c r="Y226" s="79"/>
      <c r="Z226" s="79"/>
      <c r="AA226" s="79"/>
      <c r="AB226" s="79"/>
      <c r="AC226" s="73"/>
      <c r="AD226" s="79"/>
    </row>
    <row r="227" customFormat="false" ht="14.25" hidden="false" customHeight="true" outlineLevel="0" collapsed="false">
      <c r="B227" s="73"/>
      <c r="C227" s="73"/>
      <c r="D227" s="79"/>
      <c r="E227" s="79"/>
      <c r="F227" s="79"/>
      <c r="G227" s="79"/>
      <c r="H227" s="79"/>
      <c r="I227" s="73"/>
      <c r="J227" s="79"/>
      <c r="L227" s="73"/>
      <c r="M227" s="73"/>
      <c r="N227" s="79"/>
      <c r="O227" s="79"/>
      <c r="P227" s="79"/>
      <c r="Q227" s="79"/>
      <c r="R227" s="79"/>
      <c r="S227" s="73"/>
      <c r="T227" s="79"/>
      <c r="V227" s="73"/>
      <c r="W227" s="73"/>
      <c r="X227" s="79"/>
      <c r="Y227" s="79"/>
      <c r="Z227" s="79"/>
      <c r="AA227" s="79"/>
      <c r="AB227" s="79"/>
      <c r="AC227" s="73"/>
      <c r="AD227" s="79"/>
    </row>
    <row r="228" customFormat="false" ht="14.25" hidden="false" customHeight="true" outlineLevel="0" collapsed="false">
      <c r="B228" s="73"/>
      <c r="C228" s="73"/>
      <c r="D228" s="79"/>
      <c r="E228" s="79"/>
      <c r="F228" s="79"/>
      <c r="G228" s="79"/>
      <c r="H228" s="79"/>
      <c r="I228" s="73"/>
      <c r="J228" s="79"/>
      <c r="L228" s="73"/>
      <c r="M228" s="73"/>
      <c r="N228" s="79"/>
      <c r="O228" s="79"/>
      <c r="P228" s="79"/>
      <c r="Q228" s="79"/>
      <c r="R228" s="79"/>
      <c r="S228" s="73"/>
      <c r="T228" s="79"/>
      <c r="V228" s="73"/>
      <c r="W228" s="73"/>
      <c r="X228" s="79"/>
      <c r="Y228" s="79"/>
      <c r="Z228" s="79"/>
      <c r="AA228" s="79"/>
      <c r="AB228" s="79"/>
      <c r="AC228" s="73"/>
      <c r="AD228" s="79"/>
    </row>
    <row r="229" customFormat="false" ht="14.25" hidden="false" customHeight="true" outlineLevel="0" collapsed="false">
      <c r="B229" s="73"/>
      <c r="C229" s="73"/>
      <c r="D229" s="79"/>
      <c r="E229" s="79"/>
      <c r="F229" s="79"/>
      <c r="G229" s="79"/>
      <c r="H229" s="79"/>
      <c r="I229" s="73"/>
      <c r="J229" s="79"/>
      <c r="L229" s="73"/>
      <c r="M229" s="73"/>
      <c r="N229" s="79"/>
      <c r="O229" s="79"/>
      <c r="P229" s="79"/>
      <c r="Q229" s="79"/>
      <c r="R229" s="79"/>
      <c r="S229" s="73"/>
      <c r="T229" s="79"/>
      <c r="V229" s="73"/>
      <c r="W229" s="73"/>
      <c r="X229" s="79"/>
      <c r="Y229" s="79"/>
      <c r="Z229" s="79"/>
      <c r="AA229" s="79"/>
      <c r="AB229" s="79"/>
      <c r="AC229" s="73"/>
      <c r="AD229" s="79"/>
    </row>
    <row r="230" customFormat="false" ht="14.25" hidden="false" customHeight="true" outlineLevel="0" collapsed="false">
      <c r="B230" s="73"/>
      <c r="C230" s="73"/>
      <c r="D230" s="79"/>
      <c r="E230" s="79"/>
      <c r="F230" s="79"/>
      <c r="G230" s="79"/>
      <c r="H230" s="79"/>
      <c r="I230" s="73"/>
      <c r="J230" s="79"/>
      <c r="L230" s="73"/>
      <c r="M230" s="73"/>
      <c r="N230" s="79"/>
      <c r="O230" s="79"/>
      <c r="P230" s="79"/>
      <c r="Q230" s="79"/>
      <c r="R230" s="79"/>
      <c r="S230" s="73"/>
      <c r="T230" s="79"/>
      <c r="V230" s="73"/>
      <c r="W230" s="73"/>
      <c r="X230" s="79"/>
      <c r="Y230" s="79"/>
      <c r="Z230" s="79"/>
      <c r="AA230" s="79"/>
      <c r="AB230" s="79"/>
      <c r="AC230" s="73"/>
      <c r="AD230" s="79"/>
    </row>
    <row r="231" customFormat="false" ht="14.25" hidden="false" customHeight="true" outlineLevel="0" collapsed="false">
      <c r="B231" s="73"/>
      <c r="C231" s="73"/>
      <c r="D231" s="79"/>
      <c r="E231" s="79"/>
      <c r="F231" s="79"/>
      <c r="G231" s="79"/>
      <c r="H231" s="79"/>
      <c r="I231" s="73"/>
      <c r="J231" s="79"/>
      <c r="L231" s="73"/>
      <c r="M231" s="73"/>
      <c r="N231" s="79"/>
      <c r="O231" s="79"/>
      <c r="P231" s="79"/>
      <c r="Q231" s="79"/>
      <c r="R231" s="79"/>
      <c r="S231" s="73"/>
      <c r="T231" s="79"/>
      <c r="V231" s="73"/>
      <c r="W231" s="73"/>
      <c r="X231" s="79"/>
      <c r="Y231" s="79"/>
      <c r="Z231" s="79"/>
      <c r="AA231" s="79"/>
      <c r="AB231" s="79"/>
      <c r="AC231" s="73"/>
      <c r="AD231" s="79"/>
    </row>
    <row r="232" customFormat="false" ht="14.25" hidden="false" customHeight="true" outlineLevel="0" collapsed="false">
      <c r="B232" s="73"/>
      <c r="C232" s="73"/>
      <c r="D232" s="79"/>
      <c r="E232" s="79"/>
      <c r="F232" s="79"/>
      <c r="G232" s="79"/>
      <c r="H232" s="79"/>
      <c r="I232" s="73"/>
      <c r="J232" s="79"/>
      <c r="L232" s="73"/>
      <c r="M232" s="73"/>
      <c r="N232" s="79"/>
      <c r="O232" s="79"/>
      <c r="P232" s="79"/>
      <c r="Q232" s="79"/>
      <c r="R232" s="79"/>
      <c r="S232" s="73"/>
      <c r="T232" s="79"/>
      <c r="V232" s="73"/>
      <c r="W232" s="73"/>
      <c r="X232" s="79"/>
      <c r="Y232" s="79"/>
      <c r="Z232" s="79"/>
      <c r="AA232" s="79"/>
      <c r="AB232" s="79"/>
      <c r="AC232" s="73"/>
      <c r="AD232" s="79"/>
    </row>
    <row r="233" customFormat="false" ht="14.25" hidden="false" customHeight="true" outlineLevel="0" collapsed="false">
      <c r="B233" s="73"/>
      <c r="C233" s="73"/>
      <c r="D233" s="79"/>
      <c r="E233" s="79"/>
      <c r="F233" s="79"/>
      <c r="G233" s="79"/>
      <c r="H233" s="79"/>
      <c r="I233" s="73"/>
      <c r="J233" s="79"/>
      <c r="L233" s="73"/>
      <c r="M233" s="73"/>
      <c r="N233" s="79"/>
      <c r="O233" s="79"/>
      <c r="P233" s="79"/>
      <c r="Q233" s="79"/>
      <c r="R233" s="79"/>
      <c r="S233" s="73"/>
      <c r="T233" s="79"/>
      <c r="V233" s="73"/>
      <c r="W233" s="73"/>
      <c r="X233" s="79"/>
      <c r="Y233" s="79"/>
      <c r="Z233" s="79"/>
      <c r="AA233" s="79"/>
      <c r="AB233" s="79"/>
      <c r="AC233" s="73"/>
      <c r="AD233" s="79"/>
    </row>
    <row r="234" customFormat="false" ht="14.25" hidden="false" customHeight="true" outlineLevel="0" collapsed="false">
      <c r="B234" s="73"/>
      <c r="C234" s="73"/>
      <c r="D234" s="79"/>
      <c r="E234" s="79"/>
      <c r="F234" s="79"/>
      <c r="G234" s="79"/>
      <c r="H234" s="79"/>
      <c r="I234" s="73"/>
      <c r="J234" s="79"/>
      <c r="L234" s="73"/>
      <c r="M234" s="73"/>
      <c r="N234" s="79"/>
      <c r="O234" s="79"/>
      <c r="P234" s="79"/>
      <c r="Q234" s="79"/>
      <c r="R234" s="79"/>
      <c r="S234" s="73"/>
      <c r="T234" s="79"/>
      <c r="V234" s="73"/>
      <c r="W234" s="73"/>
      <c r="X234" s="79"/>
      <c r="Y234" s="79"/>
      <c r="Z234" s="79"/>
      <c r="AA234" s="79"/>
      <c r="AB234" s="79"/>
      <c r="AC234" s="73"/>
      <c r="AD234" s="79"/>
    </row>
    <row r="235" customFormat="false" ht="14.25" hidden="false" customHeight="true" outlineLevel="0" collapsed="false">
      <c r="B235" s="73"/>
      <c r="C235" s="73"/>
      <c r="D235" s="79"/>
      <c r="E235" s="79"/>
      <c r="F235" s="79"/>
      <c r="G235" s="79"/>
      <c r="H235" s="79"/>
      <c r="I235" s="73"/>
      <c r="J235" s="79"/>
      <c r="L235" s="73"/>
      <c r="M235" s="73"/>
      <c r="N235" s="79"/>
      <c r="O235" s="79"/>
      <c r="P235" s="79"/>
      <c r="Q235" s="79"/>
      <c r="R235" s="79"/>
      <c r="S235" s="73"/>
      <c r="T235" s="79"/>
      <c r="V235" s="73"/>
      <c r="W235" s="73"/>
      <c r="X235" s="79"/>
      <c r="Y235" s="79"/>
      <c r="Z235" s="79"/>
      <c r="AA235" s="79"/>
      <c r="AB235" s="79"/>
      <c r="AC235" s="73"/>
      <c r="AD235" s="79"/>
    </row>
    <row r="236" customFormat="false" ht="14.25" hidden="false" customHeight="true" outlineLevel="0" collapsed="false">
      <c r="B236" s="73"/>
      <c r="C236" s="73"/>
      <c r="D236" s="79"/>
      <c r="E236" s="79"/>
      <c r="F236" s="79"/>
      <c r="G236" s="79"/>
      <c r="H236" s="79"/>
      <c r="I236" s="73"/>
      <c r="J236" s="79"/>
      <c r="L236" s="73"/>
      <c r="M236" s="73"/>
      <c r="N236" s="79"/>
      <c r="O236" s="79"/>
      <c r="P236" s="79"/>
      <c r="Q236" s="79"/>
      <c r="R236" s="79"/>
      <c r="S236" s="73"/>
      <c r="T236" s="79"/>
      <c r="V236" s="73"/>
      <c r="W236" s="73"/>
      <c r="X236" s="79"/>
      <c r="Y236" s="79"/>
      <c r="Z236" s="79"/>
      <c r="AA236" s="79"/>
      <c r="AB236" s="79"/>
      <c r="AC236" s="73"/>
      <c r="AD236" s="79"/>
    </row>
    <row r="237" customFormat="false" ht="14.25" hidden="false" customHeight="true" outlineLevel="0" collapsed="false">
      <c r="B237" s="73"/>
      <c r="C237" s="73"/>
      <c r="D237" s="79"/>
      <c r="E237" s="79"/>
      <c r="F237" s="79"/>
      <c r="G237" s="79"/>
      <c r="H237" s="79"/>
      <c r="I237" s="73"/>
      <c r="J237" s="79"/>
      <c r="L237" s="73"/>
      <c r="M237" s="73"/>
      <c r="N237" s="79"/>
      <c r="O237" s="79"/>
      <c r="P237" s="79"/>
      <c r="Q237" s="79"/>
      <c r="R237" s="79"/>
      <c r="S237" s="73"/>
      <c r="T237" s="79"/>
      <c r="V237" s="73"/>
      <c r="W237" s="73"/>
      <c r="X237" s="79"/>
      <c r="Y237" s="79"/>
      <c r="Z237" s="79"/>
      <c r="AA237" s="79"/>
      <c r="AB237" s="79"/>
      <c r="AC237" s="73"/>
      <c r="AD237" s="79"/>
    </row>
    <row r="238" customFormat="false" ht="14.25" hidden="false" customHeight="true" outlineLevel="0" collapsed="false">
      <c r="B238" s="73"/>
      <c r="C238" s="73"/>
      <c r="D238" s="79"/>
      <c r="E238" s="79"/>
      <c r="F238" s="79"/>
      <c r="G238" s="79"/>
      <c r="H238" s="79"/>
      <c r="I238" s="73"/>
      <c r="J238" s="79"/>
      <c r="L238" s="73"/>
      <c r="M238" s="73"/>
      <c r="N238" s="79"/>
      <c r="O238" s="79"/>
      <c r="P238" s="79"/>
      <c r="Q238" s="79"/>
      <c r="R238" s="79"/>
      <c r="S238" s="73"/>
      <c r="T238" s="79"/>
      <c r="V238" s="73"/>
      <c r="W238" s="73"/>
      <c r="X238" s="79"/>
      <c r="Y238" s="79"/>
      <c r="Z238" s="79"/>
      <c r="AA238" s="79"/>
      <c r="AB238" s="79"/>
      <c r="AC238" s="73"/>
      <c r="AD238" s="79"/>
    </row>
    <row r="239" customFormat="false" ht="14.25" hidden="false" customHeight="true" outlineLevel="0" collapsed="false">
      <c r="B239" s="73"/>
      <c r="C239" s="73"/>
      <c r="D239" s="79"/>
      <c r="E239" s="79"/>
      <c r="F239" s="79"/>
      <c r="G239" s="79"/>
      <c r="H239" s="79"/>
      <c r="I239" s="73"/>
      <c r="J239" s="79"/>
      <c r="L239" s="73"/>
      <c r="M239" s="73"/>
      <c r="N239" s="79"/>
      <c r="O239" s="79"/>
      <c r="P239" s="79"/>
      <c r="Q239" s="79"/>
      <c r="R239" s="79"/>
      <c r="S239" s="73"/>
      <c r="T239" s="79"/>
      <c r="V239" s="73"/>
      <c r="W239" s="73"/>
      <c r="X239" s="79"/>
      <c r="Y239" s="79"/>
      <c r="Z239" s="79"/>
      <c r="AA239" s="79"/>
      <c r="AB239" s="79"/>
      <c r="AC239" s="73"/>
      <c r="AD239" s="79"/>
    </row>
    <row r="240" customFormat="false" ht="14.25" hidden="false" customHeight="true" outlineLevel="0" collapsed="false">
      <c r="B240" s="73"/>
      <c r="C240" s="73"/>
      <c r="D240" s="79"/>
      <c r="E240" s="79"/>
      <c r="F240" s="79"/>
      <c r="G240" s="79"/>
      <c r="H240" s="79"/>
      <c r="I240" s="73"/>
      <c r="J240" s="79"/>
      <c r="L240" s="73"/>
      <c r="M240" s="73"/>
      <c r="N240" s="79"/>
      <c r="O240" s="79"/>
      <c r="P240" s="79"/>
      <c r="Q240" s="79"/>
      <c r="R240" s="79"/>
      <c r="S240" s="73"/>
      <c r="T240" s="79"/>
      <c r="V240" s="73"/>
      <c r="W240" s="73"/>
      <c r="X240" s="79"/>
      <c r="Y240" s="79"/>
      <c r="Z240" s="79"/>
      <c r="AA240" s="79"/>
      <c r="AB240" s="79"/>
      <c r="AC240" s="73"/>
      <c r="AD240" s="79"/>
    </row>
    <row r="241" customFormat="false" ht="14.25" hidden="false" customHeight="true" outlineLevel="0" collapsed="false">
      <c r="B241" s="73"/>
      <c r="C241" s="73"/>
      <c r="D241" s="79"/>
      <c r="E241" s="79"/>
      <c r="F241" s="79"/>
      <c r="G241" s="79"/>
      <c r="H241" s="79"/>
      <c r="I241" s="73"/>
      <c r="J241" s="79"/>
      <c r="L241" s="73"/>
      <c r="M241" s="73"/>
      <c r="N241" s="79"/>
      <c r="O241" s="79"/>
      <c r="P241" s="79"/>
      <c r="Q241" s="79"/>
      <c r="R241" s="79"/>
      <c r="S241" s="73"/>
      <c r="T241" s="79"/>
      <c r="V241" s="73"/>
      <c r="W241" s="73"/>
      <c r="X241" s="79"/>
      <c r="Y241" s="79"/>
      <c r="Z241" s="79"/>
      <c r="AA241" s="79"/>
      <c r="AB241" s="79"/>
      <c r="AC241" s="73"/>
      <c r="AD241" s="79"/>
    </row>
    <row r="242" customFormat="false" ht="14.25" hidden="false" customHeight="true" outlineLevel="0" collapsed="false">
      <c r="B242" s="73"/>
      <c r="C242" s="73"/>
      <c r="D242" s="79"/>
      <c r="E242" s="79"/>
      <c r="F242" s="79"/>
      <c r="G242" s="79"/>
      <c r="H242" s="79"/>
      <c r="I242" s="73"/>
      <c r="J242" s="79"/>
      <c r="L242" s="73"/>
      <c r="M242" s="73"/>
      <c r="N242" s="79"/>
      <c r="O242" s="79"/>
      <c r="P242" s="79"/>
      <c r="Q242" s="79"/>
      <c r="R242" s="79"/>
      <c r="S242" s="73"/>
      <c r="T242" s="79"/>
      <c r="V242" s="73"/>
      <c r="W242" s="73"/>
      <c r="X242" s="79"/>
      <c r="Y242" s="79"/>
      <c r="Z242" s="79"/>
      <c r="AA242" s="79"/>
      <c r="AB242" s="79"/>
      <c r="AC242" s="73"/>
      <c r="AD242" s="79"/>
    </row>
    <row r="243" customFormat="false" ht="14.25" hidden="false" customHeight="true" outlineLevel="0" collapsed="false">
      <c r="B243" s="73"/>
      <c r="C243" s="73"/>
      <c r="D243" s="79"/>
      <c r="E243" s="79"/>
      <c r="F243" s="79"/>
      <c r="G243" s="79"/>
      <c r="H243" s="79"/>
      <c r="I243" s="73"/>
      <c r="J243" s="79"/>
      <c r="L243" s="73"/>
      <c r="M243" s="73"/>
      <c r="N243" s="79"/>
      <c r="O243" s="79"/>
      <c r="P243" s="79"/>
      <c r="Q243" s="79"/>
      <c r="R243" s="79"/>
      <c r="S243" s="73"/>
      <c r="T243" s="79"/>
      <c r="V243" s="73"/>
      <c r="W243" s="73"/>
      <c r="X243" s="79"/>
      <c r="Y243" s="79"/>
      <c r="Z243" s="79"/>
      <c r="AA243" s="79"/>
      <c r="AB243" s="79"/>
      <c r="AC243" s="73"/>
      <c r="AD243" s="79"/>
    </row>
    <row r="244" customFormat="false" ht="14.25" hidden="false" customHeight="true" outlineLevel="0" collapsed="false">
      <c r="B244" s="73"/>
      <c r="C244" s="73"/>
      <c r="D244" s="79"/>
      <c r="E244" s="79"/>
      <c r="F244" s="79"/>
      <c r="G244" s="79"/>
      <c r="H244" s="79"/>
      <c r="I244" s="73"/>
      <c r="J244" s="79"/>
      <c r="L244" s="73"/>
      <c r="M244" s="73"/>
      <c r="N244" s="79"/>
      <c r="O244" s="79"/>
      <c r="P244" s="79"/>
      <c r="Q244" s="79"/>
      <c r="R244" s="79"/>
      <c r="S244" s="73"/>
      <c r="T244" s="79"/>
      <c r="V244" s="73"/>
      <c r="W244" s="73"/>
      <c r="X244" s="79"/>
      <c r="Y244" s="79"/>
      <c r="Z244" s="79"/>
      <c r="AA244" s="79"/>
      <c r="AB244" s="79"/>
      <c r="AC244" s="73"/>
      <c r="AD244" s="79"/>
    </row>
    <row r="245" customFormat="false" ht="14.25" hidden="false" customHeight="true" outlineLevel="0" collapsed="false">
      <c r="B245" s="73"/>
      <c r="C245" s="73"/>
      <c r="D245" s="79"/>
      <c r="E245" s="79"/>
      <c r="F245" s="79"/>
      <c r="G245" s="79"/>
      <c r="H245" s="79"/>
      <c r="I245" s="73"/>
      <c r="J245" s="79"/>
      <c r="L245" s="73"/>
      <c r="M245" s="73"/>
      <c r="N245" s="79"/>
      <c r="O245" s="79"/>
      <c r="P245" s="79"/>
      <c r="Q245" s="79"/>
      <c r="R245" s="79"/>
      <c r="S245" s="73"/>
      <c r="T245" s="79"/>
      <c r="V245" s="73"/>
      <c r="W245" s="73"/>
      <c r="X245" s="79"/>
      <c r="Y245" s="79"/>
      <c r="Z245" s="79"/>
      <c r="AA245" s="79"/>
      <c r="AB245" s="79"/>
      <c r="AC245" s="73"/>
      <c r="AD245" s="79"/>
    </row>
    <row r="246" customFormat="false" ht="14.25" hidden="false" customHeight="true" outlineLevel="0" collapsed="false">
      <c r="B246" s="73"/>
      <c r="C246" s="73"/>
      <c r="D246" s="79"/>
      <c r="E246" s="79"/>
      <c r="F246" s="79"/>
      <c r="G246" s="79"/>
      <c r="H246" s="79"/>
      <c r="I246" s="73"/>
      <c r="J246" s="79"/>
      <c r="L246" s="73"/>
      <c r="M246" s="73"/>
      <c r="N246" s="79"/>
      <c r="O246" s="79"/>
      <c r="P246" s="79"/>
      <c r="Q246" s="79"/>
      <c r="R246" s="79"/>
      <c r="S246" s="73"/>
      <c r="T246" s="79"/>
      <c r="V246" s="73"/>
      <c r="W246" s="73"/>
      <c r="X246" s="79"/>
      <c r="Y246" s="79"/>
      <c r="Z246" s="79"/>
      <c r="AA246" s="79"/>
      <c r="AB246" s="79"/>
      <c r="AC246" s="73"/>
      <c r="AD246" s="79"/>
    </row>
    <row r="247" customFormat="false" ht="14.25" hidden="false" customHeight="true" outlineLevel="0" collapsed="false">
      <c r="B247" s="73"/>
      <c r="C247" s="73"/>
      <c r="D247" s="79"/>
      <c r="E247" s="79"/>
      <c r="F247" s="79"/>
      <c r="G247" s="79"/>
      <c r="H247" s="79"/>
      <c r="I247" s="73"/>
      <c r="J247" s="79"/>
      <c r="L247" s="73"/>
      <c r="M247" s="73"/>
      <c r="N247" s="79"/>
      <c r="O247" s="79"/>
      <c r="P247" s="79"/>
      <c r="Q247" s="79"/>
      <c r="R247" s="79"/>
      <c r="S247" s="73"/>
      <c r="T247" s="79"/>
      <c r="V247" s="73"/>
      <c r="W247" s="73"/>
      <c r="X247" s="79"/>
      <c r="Y247" s="79"/>
      <c r="Z247" s="79"/>
      <c r="AA247" s="79"/>
      <c r="AB247" s="79"/>
      <c r="AC247" s="73"/>
      <c r="AD247" s="79"/>
    </row>
    <row r="248" customFormat="false" ht="14.25" hidden="false" customHeight="true" outlineLevel="0" collapsed="false">
      <c r="B248" s="73"/>
      <c r="C248" s="73"/>
      <c r="D248" s="79"/>
      <c r="E248" s="79"/>
      <c r="F248" s="79"/>
      <c r="G248" s="79"/>
      <c r="H248" s="79"/>
      <c r="I248" s="73"/>
      <c r="J248" s="79"/>
      <c r="L248" s="73"/>
      <c r="M248" s="73"/>
      <c r="N248" s="79"/>
      <c r="O248" s="79"/>
      <c r="P248" s="79"/>
      <c r="Q248" s="79"/>
      <c r="R248" s="79"/>
      <c r="S248" s="73"/>
      <c r="T248" s="79"/>
      <c r="V248" s="73"/>
      <c r="W248" s="73"/>
      <c r="X248" s="79"/>
      <c r="Y248" s="79"/>
      <c r="Z248" s="79"/>
      <c r="AA248" s="79"/>
      <c r="AB248" s="79"/>
      <c r="AC248" s="73"/>
      <c r="AD248" s="79"/>
    </row>
    <row r="249" customFormat="false" ht="14.25" hidden="false" customHeight="true" outlineLevel="0" collapsed="false">
      <c r="B249" s="73"/>
      <c r="C249" s="73"/>
      <c r="D249" s="79"/>
      <c r="E249" s="79"/>
      <c r="F249" s="79"/>
      <c r="G249" s="79"/>
      <c r="H249" s="79"/>
      <c r="I249" s="73"/>
      <c r="J249" s="79"/>
      <c r="L249" s="73"/>
      <c r="M249" s="73"/>
      <c r="N249" s="79"/>
      <c r="O249" s="79"/>
      <c r="P249" s="79"/>
      <c r="Q249" s="79"/>
      <c r="R249" s="79"/>
      <c r="S249" s="73"/>
      <c r="T249" s="79"/>
      <c r="V249" s="73"/>
      <c r="W249" s="73"/>
      <c r="X249" s="79"/>
      <c r="Y249" s="79"/>
      <c r="Z249" s="79"/>
      <c r="AA249" s="79"/>
      <c r="AB249" s="79"/>
      <c r="AC249" s="73"/>
      <c r="AD249" s="79"/>
    </row>
    <row r="250" customFormat="false" ht="14.25" hidden="false" customHeight="true" outlineLevel="0" collapsed="false">
      <c r="B250" s="73"/>
      <c r="C250" s="73"/>
      <c r="D250" s="79"/>
      <c r="E250" s="79"/>
      <c r="F250" s="79"/>
      <c r="G250" s="79"/>
      <c r="H250" s="79"/>
      <c r="I250" s="73"/>
      <c r="J250" s="79"/>
      <c r="L250" s="73"/>
      <c r="M250" s="73"/>
      <c r="N250" s="79"/>
      <c r="O250" s="79"/>
      <c r="P250" s="79"/>
      <c r="Q250" s="79"/>
      <c r="R250" s="79"/>
      <c r="S250" s="73"/>
      <c r="T250" s="79"/>
      <c r="V250" s="73"/>
      <c r="W250" s="73"/>
      <c r="X250" s="79"/>
      <c r="Y250" s="79"/>
      <c r="Z250" s="79"/>
      <c r="AA250" s="79"/>
      <c r="AB250" s="79"/>
      <c r="AC250" s="73"/>
      <c r="AD250" s="79"/>
    </row>
    <row r="251" customFormat="false" ht="14.25" hidden="false" customHeight="true" outlineLevel="0" collapsed="false">
      <c r="B251" s="73"/>
      <c r="C251" s="73"/>
      <c r="D251" s="79"/>
      <c r="E251" s="79"/>
      <c r="F251" s="79"/>
      <c r="G251" s="79"/>
      <c r="H251" s="79"/>
      <c r="I251" s="73"/>
      <c r="J251" s="79"/>
      <c r="L251" s="73"/>
      <c r="M251" s="73"/>
      <c r="N251" s="79"/>
      <c r="O251" s="79"/>
      <c r="P251" s="79"/>
      <c r="Q251" s="79"/>
      <c r="R251" s="79"/>
      <c r="S251" s="73"/>
      <c r="T251" s="79"/>
      <c r="V251" s="73"/>
      <c r="W251" s="73"/>
      <c r="X251" s="79"/>
      <c r="Y251" s="79"/>
      <c r="Z251" s="79"/>
      <c r="AA251" s="79"/>
      <c r="AB251" s="79"/>
      <c r="AC251" s="73"/>
      <c r="AD251" s="79"/>
    </row>
    <row r="252" customFormat="false" ht="14.25" hidden="false" customHeight="true" outlineLevel="0" collapsed="false">
      <c r="B252" s="73"/>
      <c r="C252" s="73"/>
      <c r="D252" s="79"/>
      <c r="E252" s="79"/>
      <c r="F252" s="79"/>
      <c r="G252" s="79"/>
      <c r="H252" s="79"/>
      <c r="I252" s="73"/>
      <c r="J252" s="79"/>
      <c r="L252" s="73"/>
      <c r="M252" s="73"/>
      <c r="N252" s="79"/>
      <c r="O252" s="79"/>
      <c r="P252" s="79"/>
      <c r="Q252" s="79"/>
      <c r="R252" s="79"/>
      <c r="S252" s="73"/>
      <c r="T252" s="79"/>
      <c r="V252" s="73"/>
      <c r="W252" s="73"/>
      <c r="X252" s="79"/>
      <c r="Y252" s="79"/>
      <c r="Z252" s="79"/>
      <c r="AA252" s="79"/>
      <c r="AB252" s="79"/>
      <c r="AC252" s="73"/>
      <c r="AD252" s="79"/>
    </row>
    <row r="253" customFormat="false" ht="14.25" hidden="false" customHeight="true" outlineLevel="0" collapsed="false">
      <c r="B253" s="73"/>
      <c r="C253" s="73"/>
      <c r="D253" s="79"/>
      <c r="E253" s="79"/>
      <c r="F253" s="79"/>
      <c r="G253" s="79"/>
      <c r="H253" s="79"/>
      <c r="I253" s="73"/>
      <c r="J253" s="79"/>
      <c r="L253" s="73"/>
      <c r="M253" s="73"/>
      <c r="N253" s="79"/>
      <c r="O253" s="79"/>
      <c r="P253" s="79"/>
      <c r="Q253" s="79"/>
      <c r="R253" s="79"/>
      <c r="S253" s="73"/>
      <c r="T253" s="79"/>
      <c r="V253" s="73"/>
      <c r="W253" s="73"/>
      <c r="X253" s="79"/>
      <c r="Y253" s="79"/>
      <c r="Z253" s="79"/>
      <c r="AA253" s="79"/>
      <c r="AB253" s="79"/>
      <c r="AC253" s="73"/>
      <c r="AD253" s="79"/>
    </row>
    <row r="254" customFormat="false" ht="14.25" hidden="false" customHeight="true" outlineLevel="0" collapsed="false">
      <c r="B254" s="73"/>
      <c r="C254" s="73"/>
      <c r="D254" s="79"/>
      <c r="E254" s="79"/>
      <c r="F254" s="79"/>
      <c r="G254" s="79"/>
      <c r="H254" s="79"/>
      <c r="I254" s="73"/>
      <c r="J254" s="79"/>
      <c r="L254" s="73"/>
      <c r="M254" s="73"/>
      <c r="N254" s="79"/>
      <c r="O254" s="79"/>
      <c r="P254" s="79"/>
      <c r="Q254" s="79"/>
      <c r="R254" s="79"/>
      <c r="S254" s="73"/>
      <c r="T254" s="79"/>
      <c r="V254" s="73"/>
      <c r="W254" s="73"/>
      <c r="X254" s="79"/>
      <c r="Y254" s="79"/>
      <c r="Z254" s="79"/>
      <c r="AA254" s="79"/>
      <c r="AB254" s="79"/>
      <c r="AC254" s="73"/>
      <c r="AD254" s="79"/>
    </row>
    <row r="255" customFormat="false" ht="14.25" hidden="false" customHeight="true" outlineLevel="0" collapsed="false">
      <c r="B255" s="73"/>
      <c r="C255" s="73"/>
      <c r="D255" s="79"/>
      <c r="E255" s="79"/>
      <c r="F255" s="79"/>
      <c r="G255" s="79"/>
      <c r="H255" s="79"/>
      <c r="I255" s="73"/>
      <c r="J255" s="79"/>
      <c r="L255" s="73"/>
      <c r="M255" s="73"/>
      <c r="N255" s="79"/>
      <c r="O255" s="79"/>
      <c r="P255" s="79"/>
      <c r="Q255" s="79"/>
      <c r="R255" s="79"/>
      <c r="S255" s="73"/>
      <c r="T255" s="79"/>
      <c r="V255" s="73"/>
      <c r="W255" s="73"/>
      <c r="X255" s="79"/>
      <c r="Y255" s="79"/>
      <c r="Z255" s="79"/>
      <c r="AA255" s="79"/>
      <c r="AB255" s="79"/>
      <c r="AC255" s="73"/>
      <c r="AD255" s="79"/>
    </row>
    <row r="256" customFormat="false" ht="14.25" hidden="false" customHeight="true" outlineLevel="0" collapsed="false">
      <c r="B256" s="73"/>
      <c r="C256" s="73"/>
      <c r="D256" s="79"/>
      <c r="E256" s="79"/>
      <c r="F256" s="79"/>
      <c r="G256" s="79"/>
      <c r="H256" s="79"/>
      <c r="I256" s="73"/>
      <c r="J256" s="79"/>
      <c r="L256" s="73"/>
      <c r="M256" s="73"/>
      <c r="N256" s="79"/>
      <c r="O256" s="79"/>
      <c r="P256" s="79"/>
      <c r="Q256" s="79"/>
      <c r="R256" s="79"/>
      <c r="S256" s="73"/>
      <c r="T256" s="79"/>
      <c r="V256" s="73"/>
      <c r="W256" s="73"/>
      <c r="X256" s="79"/>
      <c r="Y256" s="79"/>
      <c r="Z256" s="79"/>
      <c r="AA256" s="79"/>
      <c r="AB256" s="79"/>
      <c r="AC256" s="73"/>
      <c r="AD256" s="79"/>
    </row>
    <row r="257" customFormat="false" ht="14.25" hidden="false" customHeight="true" outlineLevel="0" collapsed="false">
      <c r="B257" s="73"/>
      <c r="C257" s="73"/>
      <c r="D257" s="79"/>
      <c r="E257" s="79"/>
      <c r="F257" s="79"/>
      <c r="G257" s="79"/>
      <c r="H257" s="79"/>
      <c r="I257" s="73"/>
      <c r="J257" s="79"/>
      <c r="L257" s="73"/>
      <c r="M257" s="73"/>
      <c r="N257" s="79"/>
      <c r="O257" s="79"/>
      <c r="P257" s="79"/>
      <c r="Q257" s="79"/>
      <c r="R257" s="79"/>
      <c r="S257" s="73"/>
      <c r="T257" s="79"/>
      <c r="V257" s="73"/>
      <c r="W257" s="73"/>
      <c r="X257" s="79"/>
      <c r="Y257" s="79"/>
      <c r="Z257" s="79"/>
      <c r="AA257" s="79"/>
      <c r="AB257" s="79"/>
      <c r="AC257" s="73"/>
      <c r="AD257" s="79"/>
    </row>
    <row r="258" customFormat="false" ht="14.25" hidden="false" customHeight="true" outlineLevel="0" collapsed="false">
      <c r="B258" s="73"/>
      <c r="C258" s="73"/>
      <c r="D258" s="79"/>
      <c r="E258" s="79"/>
      <c r="F258" s="79"/>
      <c r="G258" s="79"/>
      <c r="H258" s="79"/>
      <c r="I258" s="73"/>
      <c r="J258" s="79"/>
      <c r="L258" s="73"/>
      <c r="M258" s="73"/>
      <c r="N258" s="79"/>
      <c r="O258" s="79"/>
      <c r="P258" s="79"/>
      <c r="Q258" s="79"/>
      <c r="R258" s="79"/>
      <c r="S258" s="73"/>
      <c r="T258" s="79"/>
      <c r="V258" s="73"/>
      <c r="W258" s="73"/>
      <c r="X258" s="79"/>
      <c r="Y258" s="79"/>
      <c r="Z258" s="79"/>
      <c r="AA258" s="79"/>
      <c r="AB258" s="79"/>
      <c r="AC258" s="73"/>
      <c r="AD258" s="79"/>
    </row>
    <row r="259" customFormat="false" ht="14.25" hidden="false" customHeight="true" outlineLevel="0" collapsed="false">
      <c r="B259" s="73"/>
      <c r="C259" s="73"/>
      <c r="D259" s="79"/>
      <c r="E259" s="79"/>
      <c r="F259" s="79"/>
      <c r="G259" s="79"/>
      <c r="H259" s="79"/>
      <c r="I259" s="73"/>
      <c r="J259" s="79"/>
      <c r="L259" s="73"/>
      <c r="M259" s="73"/>
      <c r="N259" s="79"/>
      <c r="O259" s="79"/>
      <c r="P259" s="79"/>
      <c r="Q259" s="79"/>
      <c r="R259" s="79"/>
      <c r="S259" s="73"/>
      <c r="T259" s="79"/>
      <c r="V259" s="73"/>
      <c r="W259" s="73"/>
      <c r="X259" s="79"/>
      <c r="Y259" s="79"/>
      <c r="Z259" s="79"/>
      <c r="AA259" s="79"/>
      <c r="AB259" s="79"/>
      <c r="AC259" s="73"/>
      <c r="AD259" s="79"/>
    </row>
    <row r="260" customFormat="false" ht="14.25" hidden="false" customHeight="true" outlineLevel="0" collapsed="false">
      <c r="B260" s="73"/>
      <c r="C260" s="73"/>
      <c r="D260" s="79"/>
      <c r="E260" s="79"/>
      <c r="F260" s="79"/>
      <c r="G260" s="79"/>
      <c r="H260" s="79"/>
      <c r="I260" s="73"/>
      <c r="J260" s="79"/>
      <c r="L260" s="73"/>
      <c r="M260" s="73"/>
      <c r="N260" s="79"/>
      <c r="O260" s="79"/>
      <c r="P260" s="79"/>
      <c r="Q260" s="79"/>
      <c r="R260" s="79"/>
      <c r="S260" s="73"/>
      <c r="T260" s="79"/>
      <c r="V260" s="73"/>
      <c r="W260" s="73"/>
      <c r="X260" s="79"/>
      <c r="Y260" s="79"/>
      <c r="Z260" s="79"/>
      <c r="AA260" s="79"/>
      <c r="AB260" s="79"/>
      <c r="AC260" s="73"/>
      <c r="AD260" s="79"/>
    </row>
    <row r="261" customFormat="false" ht="14.25" hidden="false" customHeight="true" outlineLevel="0" collapsed="false">
      <c r="B261" s="73"/>
      <c r="C261" s="73"/>
      <c r="D261" s="79"/>
      <c r="E261" s="79"/>
      <c r="F261" s="79"/>
      <c r="G261" s="79"/>
      <c r="H261" s="79"/>
      <c r="I261" s="73"/>
      <c r="J261" s="79"/>
      <c r="L261" s="73"/>
      <c r="M261" s="73"/>
      <c r="N261" s="79"/>
      <c r="O261" s="79"/>
      <c r="P261" s="79"/>
      <c r="Q261" s="79"/>
      <c r="R261" s="79"/>
      <c r="S261" s="73"/>
      <c r="T261" s="79"/>
      <c r="V261" s="73"/>
      <c r="W261" s="73"/>
      <c r="X261" s="79"/>
      <c r="Y261" s="79"/>
      <c r="Z261" s="79"/>
      <c r="AA261" s="79"/>
      <c r="AB261" s="79"/>
      <c r="AC261" s="73"/>
      <c r="AD261" s="79"/>
    </row>
    <row r="262" customFormat="false" ht="14.25" hidden="false" customHeight="true" outlineLevel="0" collapsed="false">
      <c r="B262" s="73"/>
      <c r="C262" s="73"/>
      <c r="D262" s="79"/>
      <c r="E262" s="79"/>
      <c r="F262" s="79"/>
      <c r="G262" s="79"/>
      <c r="H262" s="79"/>
      <c r="I262" s="73"/>
      <c r="J262" s="79"/>
      <c r="L262" s="73"/>
      <c r="M262" s="73"/>
      <c r="N262" s="79"/>
      <c r="O262" s="79"/>
      <c r="P262" s="79"/>
      <c r="Q262" s="79"/>
      <c r="R262" s="79"/>
      <c r="S262" s="73"/>
      <c r="T262" s="79"/>
      <c r="V262" s="73"/>
      <c r="W262" s="73"/>
      <c r="X262" s="79"/>
      <c r="Y262" s="79"/>
      <c r="Z262" s="79"/>
      <c r="AA262" s="79"/>
      <c r="AB262" s="79"/>
      <c r="AC262" s="73"/>
      <c r="AD262" s="79"/>
    </row>
    <row r="263" customFormat="false" ht="14.25" hidden="false" customHeight="true" outlineLevel="0" collapsed="false">
      <c r="B263" s="73"/>
      <c r="C263" s="73"/>
      <c r="D263" s="79"/>
      <c r="E263" s="79"/>
      <c r="F263" s="79"/>
      <c r="G263" s="79"/>
      <c r="H263" s="79"/>
      <c r="I263" s="73"/>
      <c r="J263" s="79"/>
      <c r="L263" s="73"/>
      <c r="M263" s="73"/>
      <c r="N263" s="79"/>
      <c r="O263" s="79"/>
      <c r="P263" s="79"/>
      <c r="Q263" s="79"/>
      <c r="R263" s="79"/>
      <c r="S263" s="73"/>
      <c r="T263" s="79"/>
      <c r="V263" s="73"/>
      <c r="W263" s="73"/>
      <c r="X263" s="79"/>
      <c r="Y263" s="79"/>
      <c r="Z263" s="79"/>
      <c r="AA263" s="79"/>
      <c r="AB263" s="79"/>
      <c r="AC263" s="73"/>
      <c r="AD263" s="79"/>
    </row>
    <row r="264" customFormat="false" ht="14.25" hidden="false" customHeight="true" outlineLevel="0" collapsed="false">
      <c r="B264" s="73"/>
      <c r="C264" s="73"/>
      <c r="D264" s="79"/>
      <c r="E264" s="79"/>
      <c r="F264" s="79"/>
      <c r="G264" s="79"/>
      <c r="H264" s="79"/>
      <c r="I264" s="73"/>
      <c r="J264" s="79"/>
      <c r="L264" s="73"/>
      <c r="M264" s="73"/>
      <c r="N264" s="79"/>
      <c r="O264" s="79"/>
      <c r="P264" s="79"/>
      <c r="Q264" s="79"/>
      <c r="R264" s="79"/>
      <c r="S264" s="73"/>
      <c r="T264" s="79"/>
      <c r="V264" s="73"/>
      <c r="W264" s="73"/>
      <c r="X264" s="79"/>
      <c r="Y264" s="79"/>
      <c r="Z264" s="79"/>
      <c r="AA264" s="79"/>
      <c r="AB264" s="79"/>
      <c r="AC264" s="73"/>
      <c r="AD264" s="79"/>
    </row>
    <row r="265" customFormat="false" ht="14.25" hidden="false" customHeight="true" outlineLevel="0" collapsed="false">
      <c r="B265" s="73"/>
      <c r="C265" s="73"/>
      <c r="D265" s="79"/>
      <c r="E265" s="79"/>
      <c r="F265" s="79"/>
      <c r="G265" s="79"/>
      <c r="H265" s="79"/>
      <c r="I265" s="73"/>
      <c r="J265" s="79"/>
      <c r="L265" s="73"/>
      <c r="M265" s="73"/>
      <c r="N265" s="79"/>
      <c r="O265" s="79"/>
      <c r="P265" s="79"/>
      <c r="Q265" s="79"/>
      <c r="R265" s="79"/>
      <c r="S265" s="73"/>
      <c r="T265" s="79"/>
      <c r="V265" s="73"/>
      <c r="W265" s="73"/>
      <c r="X265" s="79"/>
      <c r="Y265" s="79"/>
      <c r="Z265" s="79"/>
      <c r="AA265" s="79"/>
      <c r="AB265" s="79"/>
      <c r="AC265" s="73"/>
      <c r="AD265" s="79"/>
    </row>
    <row r="266" customFormat="false" ht="14.25" hidden="false" customHeight="true" outlineLevel="0" collapsed="false">
      <c r="B266" s="73"/>
      <c r="C266" s="73"/>
      <c r="D266" s="79"/>
      <c r="E266" s="79"/>
      <c r="F266" s="79"/>
      <c r="G266" s="79"/>
      <c r="H266" s="79"/>
      <c r="I266" s="73"/>
      <c r="J266" s="79"/>
      <c r="L266" s="73"/>
      <c r="M266" s="73"/>
      <c r="N266" s="79"/>
      <c r="O266" s="79"/>
      <c r="P266" s="79"/>
      <c r="Q266" s="79"/>
      <c r="R266" s="79"/>
      <c r="S266" s="73"/>
      <c r="T266" s="79"/>
      <c r="V266" s="73"/>
      <c r="W266" s="73"/>
      <c r="X266" s="79"/>
      <c r="Y266" s="79"/>
      <c r="Z266" s="79"/>
      <c r="AA266" s="79"/>
      <c r="AB266" s="79"/>
      <c r="AC266" s="73"/>
      <c r="AD266" s="79"/>
    </row>
    <row r="267" customFormat="false" ht="14.25" hidden="false" customHeight="true" outlineLevel="0" collapsed="false">
      <c r="B267" s="73"/>
      <c r="C267" s="73"/>
      <c r="D267" s="79"/>
      <c r="E267" s="79"/>
      <c r="F267" s="79"/>
      <c r="G267" s="79"/>
      <c r="H267" s="79"/>
      <c r="I267" s="73"/>
      <c r="J267" s="79"/>
      <c r="L267" s="73"/>
      <c r="M267" s="73"/>
      <c r="N267" s="79"/>
      <c r="O267" s="79"/>
      <c r="P267" s="79"/>
      <c r="Q267" s="79"/>
      <c r="R267" s="79"/>
      <c r="S267" s="73"/>
      <c r="T267" s="79"/>
      <c r="V267" s="73"/>
      <c r="W267" s="73"/>
      <c r="X267" s="79"/>
      <c r="Y267" s="79"/>
      <c r="Z267" s="79"/>
      <c r="AA267" s="79"/>
      <c r="AB267" s="79"/>
      <c r="AC267" s="73"/>
      <c r="AD267" s="79"/>
    </row>
    <row r="268" customFormat="false" ht="14.25" hidden="false" customHeight="true" outlineLevel="0" collapsed="false">
      <c r="B268" s="73"/>
      <c r="C268" s="73"/>
      <c r="D268" s="79"/>
      <c r="E268" s="79"/>
      <c r="F268" s="79"/>
      <c r="G268" s="79"/>
      <c r="H268" s="79"/>
      <c r="I268" s="73"/>
      <c r="J268" s="79"/>
      <c r="L268" s="73"/>
      <c r="M268" s="73"/>
      <c r="N268" s="79"/>
      <c r="O268" s="79"/>
      <c r="P268" s="79"/>
      <c r="Q268" s="79"/>
      <c r="R268" s="79"/>
      <c r="S268" s="73"/>
      <c r="T268" s="79"/>
      <c r="V268" s="73"/>
      <c r="W268" s="73"/>
      <c r="X268" s="79"/>
      <c r="Y268" s="79"/>
      <c r="Z268" s="79"/>
      <c r="AA268" s="79"/>
      <c r="AB268" s="79"/>
      <c r="AC268" s="73"/>
      <c r="AD268" s="79"/>
    </row>
    <row r="269" customFormat="false" ht="14.25" hidden="false" customHeight="true" outlineLevel="0" collapsed="false">
      <c r="B269" s="73"/>
      <c r="C269" s="73"/>
      <c r="D269" s="79"/>
      <c r="E269" s="79"/>
      <c r="F269" s="79"/>
      <c r="G269" s="79"/>
      <c r="H269" s="79"/>
      <c r="I269" s="73"/>
      <c r="J269" s="79"/>
      <c r="L269" s="73"/>
      <c r="M269" s="73"/>
      <c r="N269" s="79"/>
      <c r="O269" s="79"/>
      <c r="P269" s="79"/>
      <c r="Q269" s="79"/>
      <c r="R269" s="79"/>
      <c r="S269" s="73"/>
      <c r="T269" s="79"/>
      <c r="V269" s="73"/>
      <c r="W269" s="73"/>
      <c r="X269" s="79"/>
      <c r="Y269" s="79"/>
      <c r="Z269" s="79"/>
      <c r="AA269" s="79"/>
      <c r="AB269" s="79"/>
      <c r="AC269" s="73"/>
      <c r="AD269" s="79"/>
    </row>
    <row r="270" customFormat="false" ht="14.25" hidden="false" customHeight="true" outlineLevel="0" collapsed="false">
      <c r="B270" s="73"/>
      <c r="C270" s="73"/>
      <c r="D270" s="79"/>
      <c r="E270" s="79"/>
      <c r="F270" s="79"/>
      <c r="G270" s="79"/>
      <c r="H270" s="79"/>
      <c r="I270" s="73"/>
      <c r="J270" s="79"/>
      <c r="L270" s="73"/>
      <c r="M270" s="73"/>
      <c r="N270" s="79"/>
      <c r="O270" s="79"/>
      <c r="P270" s="79"/>
      <c r="Q270" s="79"/>
      <c r="R270" s="79"/>
      <c r="S270" s="73"/>
      <c r="T270" s="79"/>
      <c r="V270" s="73"/>
      <c r="W270" s="73"/>
      <c r="X270" s="79"/>
      <c r="Y270" s="79"/>
      <c r="Z270" s="79"/>
      <c r="AA270" s="79"/>
      <c r="AB270" s="79"/>
      <c r="AC270" s="73"/>
      <c r="AD270" s="79"/>
    </row>
    <row r="271" customFormat="false" ht="14.25" hidden="false" customHeight="true" outlineLevel="0" collapsed="false">
      <c r="B271" s="73"/>
      <c r="C271" s="73"/>
      <c r="D271" s="79"/>
      <c r="E271" s="79"/>
      <c r="F271" s="79"/>
      <c r="G271" s="79"/>
      <c r="H271" s="79"/>
      <c r="I271" s="73"/>
      <c r="J271" s="79"/>
      <c r="L271" s="73"/>
      <c r="M271" s="73"/>
      <c r="N271" s="79"/>
      <c r="O271" s="79"/>
      <c r="P271" s="79"/>
      <c r="Q271" s="79"/>
      <c r="R271" s="79"/>
      <c r="S271" s="73"/>
      <c r="T271" s="79"/>
      <c r="V271" s="73"/>
      <c r="W271" s="73"/>
      <c r="X271" s="79"/>
      <c r="Y271" s="79"/>
      <c r="Z271" s="79"/>
      <c r="AA271" s="79"/>
      <c r="AB271" s="79"/>
      <c r="AC271" s="73"/>
      <c r="AD271" s="79"/>
    </row>
    <row r="272" customFormat="false" ht="14.25" hidden="false" customHeight="true" outlineLevel="0" collapsed="false">
      <c r="B272" s="73"/>
      <c r="C272" s="73"/>
      <c r="D272" s="79"/>
      <c r="E272" s="79"/>
      <c r="F272" s="79"/>
      <c r="G272" s="79"/>
      <c r="H272" s="79"/>
      <c r="I272" s="73"/>
      <c r="J272" s="79"/>
      <c r="L272" s="73"/>
      <c r="M272" s="73"/>
      <c r="N272" s="79"/>
      <c r="O272" s="79"/>
      <c r="P272" s="79"/>
      <c r="Q272" s="79"/>
      <c r="R272" s="79"/>
      <c r="S272" s="73"/>
      <c r="T272" s="79"/>
      <c r="V272" s="73"/>
      <c r="W272" s="73"/>
      <c r="X272" s="79"/>
      <c r="Y272" s="79"/>
      <c r="Z272" s="79"/>
      <c r="AA272" s="79"/>
      <c r="AB272" s="79"/>
      <c r="AC272" s="73"/>
      <c r="AD272" s="79"/>
    </row>
    <row r="273" customFormat="false" ht="14.25" hidden="false" customHeight="true" outlineLevel="0" collapsed="false">
      <c r="B273" s="73"/>
      <c r="C273" s="73"/>
      <c r="D273" s="79"/>
      <c r="E273" s="79"/>
      <c r="F273" s="79"/>
      <c r="G273" s="79"/>
      <c r="H273" s="79"/>
      <c r="I273" s="73"/>
      <c r="J273" s="79"/>
      <c r="L273" s="73"/>
      <c r="M273" s="73"/>
      <c r="N273" s="79"/>
      <c r="O273" s="79"/>
      <c r="P273" s="79"/>
      <c r="Q273" s="79"/>
      <c r="R273" s="79"/>
      <c r="S273" s="73"/>
      <c r="T273" s="79"/>
      <c r="V273" s="73"/>
      <c r="W273" s="73"/>
      <c r="X273" s="79"/>
      <c r="Y273" s="79"/>
      <c r="Z273" s="79"/>
      <c r="AA273" s="79"/>
      <c r="AB273" s="79"/>
      <c r="AC273" s="73"/>
      <c r="AD273" s="79"/>
    </row>
    <row r="274" customFormat="false" ht="14.25" hidden="false" customHeight="true" outlineLevel="0" collapsed="false">
      <c r="B274" s="73"/>
      <c r="C274" s="73"/>
      <c r="D274" s="79"/>
      <c r="E274" s="79"/>
      <c r="F274" s="79"/>
      <c r="G274" s="79"/>
      <c r="H274" s="79"/>
      <c r="I274" s="73"/>
      <c r="J274" s="79"/>
      <c r="L274" s="73"/>
      <c r="M274" s="73"/>
      <c r="N274" s="79"/>
      <c r="O274" s="79"/>
      <c r="P274" s="79"/>
      <c r="Q274" s="79"/>
      <c r="R274" s="79"/>
      <c r="S274" s="73"/>
      <c r="T274" s="79"/>
      <c r="V274" s="73"/>
      <c r="W274" s="73"/>
      <c r="X274" s="79"/>
      <c r="Y274" s="79"/>
      <c r="Z274" s="79"/>
      <c r="AA274" s="79"/>
      <c r="AB274" s="79"/>
      <c r="AC274" s="73"/>
      <c r="AD274" s="79"/>
    </row>
    <row r="275" customFormat="false" ht="14.25" hidden="false" customHeight="true" outlineLevel="0" collapsed="false">
      <c r="B275" s="73"/>
      <c r="C275" s="73"/>
      <c r="D275" s="79"/>
      <c r="E275" s="79"/>
      <c r="F275" s="79"/>
      <c r="G275" s="79"/>
      <c r="H275" s="79"/>
      <c r="I275" s="73"/>
      <c r="J275" s="79"/>
      <c r="L275" s="73"/>
      <c r="M275" s="73"/>
      <c r="N275" s="79"/>
      <c r="O275" s="79"/>
      <c r="P275" s="79"/>
      <c r="Q275" s="79"/>
      <c r="R275" s="79"/>
      <c r="S275" s="73"/>
      <c r="T275" s="79"/>
      <c r="V275" s="73"/>
      <c r="W275" s="73"/>
      <c r="X275" s="79"/>
      <c r="Y275" s="79"/>
      <c r="Z275" s="79"/>
      <c r="AA275" s="79"/>
      <c r="AB275" s="79"/>
      <c r="AC275" s="73"/>
      <c r="AD275" s="79"/>
    </row>
    <row r="276" customFormat="false" ht="14.25" hidden="false" customHeight="true" outlineLevel="0" collapsed="false">
      <c r="B276" s="73"/>
      <c r="C276" s="73"/>
      <c r="D276" s="79"/>
      <c r="E276" s="79"/>
      <c r="F276" s="79"/>
      <c r="G276" s="79"/>
      <c r="H276" s="79"/>
      <c r="I276" s="73"/>
      <c r="J276" s="79"/>
      <c r="L276" s="73"/>
      <c r="M276" s="73"/>
      <c r="N276" s="79"/>
      <c r="O276" s="79"/>
      <c r="P276" s="79"/>
      <c r="Q276" s="79"/>
      <c r="R276" s="79"/>
      <c r="S276" s="73"/>
      <c r="T276" s="79"/>
      <c r="V276" s="73"/>
      <c r="W276" s="73"/>
      <c r="X276" s="79"/>
      <c r="Y276" s="79"/>
      <c r="Z276" s="79"/>
      <c r="AA276" s="79"/>
      <c r="AB276" s="79"/>
      <c r="AC276" s="73"/>
      <c r="AD276" s="79"/>
    </row>
    <row r="277" customFormat="false" ht="14.25" hidden="false" customHeight="true" outlineLevel="0" collapsed="false">
      <c r="B277" s="73"/>
      <c r="C277" s="73"/>
      <c r="D277" s="79"/>
      <c r="E277" s="79"/>
      <c r="F277" s="79"/>
      <c r="G277" s="79"/>
      <c r="H277" s="79"/>
      <c r="I277" s="73"/>
      <c r="J277" s="79"/>
      <c r="L277" s="73"/>
      <c r="M277" s="73"/>
      <c r="N277" s="79"/>
      <c r="O277" s="79"/>
      <c r="P277" s="79"/>
      <c r="Q277" s="79"/>
      <c r="R277" s="79"/>
      <c r="S277" s="73"/>
      <c r="T277" s="79"/>
      <c r="V277" s="73"/>
      <c r="W277" s="73"/>
      <c r="X277" s="79"/>
      <c r="Y277" s="79"/>
      <c r="Z277" s="79"/>
      <c r="AA277" s="79"/>
      <c r="AB277" s="79"/>
      <c r="AC277" s="73"/>
      <c r="AD277" s="79"/>
    </row>
    <row r="278" customFormat="false" ht="14.25" hidden="false" customHeight="true" outlineLevel="0" collapsed="false">
      <c r="B278" s="73"/>
      <c r="C278" s="73"/>
      <c r="D278" s="79"/>
      <c r="E278" s="79"/>
      <c r="F278" s="79"/>
      <c r="G278" s="79"/>
      <c r="H278" s="79"/>
      <c r="I278" s="73"/>
      <c r="J278" s="79"/>
      <c r="L278" s="73"/>
      <c r="M278" s="73"/>
      <c r="N278" s="79"/>
      <c r="O278" s="79"/>
      <c r="P278" s="79"/>
      <c r="Q278" s="79"/>
      <c r="R278" s="79"/>
      <c r="S278" s="73"/>
      <c r="T278" s="79"/>
      <c r="V278" s="73"/>
      <c r="W278" s="73"/>
      <c r="X278" s="79"/>
      <c r="Y278" s="79"/>
      <c r="Z278" s="79"/>
      <c r="AA278" s="79"/>
      <c r="AB278" s="79"/>
      <c r="AC278" s="73"/>
      <c r="AD278" s="79"/>
    </row>
    <row r="279" customFormat="false" ht="14.25" hidden="false" customHeight="true" outlineLevel="0" collapsed="false">
      <c r="B279" s="73"/>
      <c r="C279" s="73"/>
      <c r="D279" s="79"/>
      <c r="E279" s="79"/>
      <c r="F279" s="79"/>
      <c r="G279" s="79"/>
      <c r="H279" s="79"/>
      <c r="I279" s="73"/>
      <c r="J279" s="79"/>
      <c r="L279" s="73"/>
      <c r="M279" s="73"/>
      <c r="N279" s="79"/>
      <c r="O279" s="79"/>
      <c r="P279" s="79"/>
      <c r="Q279" s="79"/>
      <c r="R279" s="79"/>
      <c r="S279" s="73"/>
      <c r="T279" s="79"/>
      <c r="V279" s="73"/>
      <c r="W279" s="73"/>
      <c r="X279" s="79"/>
      <c r="Y279" s="79"/>
      <c r="Z279" s="79"/>
      <c r="AA279" s="79"/>
      <c r="AB279" s="79"/>
      <c r="AC279" s="73"/>
      <c r="AD279" s="79"/>
    </row>
    <row r="280" customFormat="false" ht="14.25" hidden="false" customHeight="true" outlineLevel="0" collapsed="false">
      <c r="B280" s="73"/>
      <c r="C280" s="73"/>
      <c r="D280" s="79"/>
      <c r="E280" s="79"/>
      <c r="F280" s="79"/>
      <c r="G280" s="79"/>
      <c r="H280" s="79"/>
      <c r="I280" s="73"/>
      <c r="J280" s="79"/>
      <c r="L280" s="73"/>
      <c r="M280" s="73"/>
      <c r="N280" s="79"/>
      <c r="O280" s="79"/>
      <c r="P280" s="79"/>
      <c r="Q280" s="79"/>
      <c r="R280" s="79"/>
      <c r="S280" s="73"/>
      <c r="T280" s="79"/>
      <c r="V280" s="73"/>
      <c r="W280" s="73"/>
      <c r="X280" s="79"/>
      <c r="Y280" s="79"/>
      <c r="Z280" s="79"/>
      <c r="AA280" s="79"/>
      <c r="AB280" s="79"/>
      <c r="AC280" s="73"/>
      <c r="AD280" s="79"/>
    </row>
    <row r="281" customFormat="false" ht="14.25" hidden="false" customHeight="true" outlineLevel="0" collapsed="false">
      <c r="B281" s="73"/>
      <c r="C281" s="73"/>
      <c r="D281" s="79"/>
      <c r="E281" s="79"/>
      <c r="F281" s="79"/>
      <c r="G281" s="79"/>
      <c r="H281" s="79"/>
      <c r="I281" s="73"/>
      <c r="J281" s="79"/>
      <c r="L281" s="73"/>
      <c r="M281" s="73"/>
      <c r="N281" s="79"/>
      <c r="O281" s="79"/>
      <c r="P281" s="79"/>
      <c r="Q281" s="79"/>
      <c r="R281" s="79"/>
      <c r="S281" s="73"/>
      <c r="T281" s="79"/>
      <c r="V281" s="73"/>
      <c r="W281" s="73"/>
      <c r="X281" s="79"/>
      <c r="Y281" s="79"/>
      <c r="Z281" s="79"/>
      <c r="AA281" s="79"/>
      <c r="AB281" s="79"/>
      <c r="AC281" s="73"/>
      <c r="AD281" s="79"/>
    </row>
    <row r="282" customFormat="false" ht="14.25" hidden="false" customHeight="true" outlineLevel="0" collapsed="false">
      <c r="B282" s="73"/>
      <c r="C282" s="73"/>
      <c r="D282" s="79"/>
      <c r="E282" s="79"/>
      <c r="F282" s="79"/>
      <c r="G282" s="79"/>
      <c r="H282" s="79"/>
      <c r="I282" s="73"/>
      <c r="J282" s="79"/>
      <c r="L282" s="73"/>
      <c r="M282" s="73"/>
      <c r="N282" s="79"/>
      <c r="O282" s="79"/>
      <c r="P282" s="79"/>
      <c r="Q282" s="79"/>
      <c r="R282" s="79"/>
      <c r="S282" s="73"/>
      <c r="T282" s="79"/>
      <c r="V282" s="73"/>
      <c r="W282" s="73"/>
      <c r="X282" s="79"/>
      <c r="Y282" s="79"/>
      <c r="Z282" s="79"/>
      <c r="AA282" s="79"/>
      <c r="AB282" s="79"/>
      <c r="AC282" s="73"/>
      <c r="AD282" s="79"/>
    </row>
    <row r="283" customFormat="false" ht="14.25" hidden="false" customHeight="true" outlineLevel="0" collapsed="false">
      <c r="B283" s="73"/>
      <c r="C283" s="73"/>
      <c r="D283" s="79"/>
      <c r="E283" s="79"/>
      <c r="F283" s="79"/>
      <c r="G283" s="79"/>
      <c r="H283" s="79"/>
      <c r="I283" s="73"/>
      <c r="J283" s="79"/>
      <c r="L283" s="73"/>
      <c r="M283" s="73"/>
      <c r="N283" s="79"/>
      <c r="O283" s="79"/>
      <c r="P283" s="79"/>
      <c r="Q283" s="79"/>
      <c r="R283" s="79"/>
      <c r="S283" s="73"/>
      <c r="T283" s="79"/>
      <c r="V283" s="73"/>
      <c r="W283" s="73"/>
      <c r="X283" s="79"/>
      <c r="Y283" s="79"/>
      <c r="Z283" s="79"/>
      <c r="AA283" s="79"/>
      <c r="AB283" s="79"/>
      <c r="AC283" s="73"/>
      <c r="AD283" s="79"/>
    </row>
    <row r="284" customFormat="false" ht="14.25" hidden="false" customHeight="true" outlineLevel="0" collapsed="false">
      <c r="B284" s="73"/>
      <c r="C284" s="73"/>
      <c r="D284" s="79"/>
      <c r="E284" s="79"/>
      <c r="F284" s="79"/>
      <c r="G284" s="79"/>
      <c r="H284" s="79"/>
      <c r="I284" s="73"/>
      <c r="J284" s="79"/>
      <c r="L284" s="73"/>
      <c r="M284" s="73"/>
      <c r="N284" s="79"/>
      <c r="O284" s="79"/>
      <c r="P284" s="79"/>
      <c r="Q284" s="79"/>
      <c r="R284" s="79"/>
      <c r="S284" s="73"/>
      <c r="T284" s="79"/>
      <c r="V284" s="73"/>
      <c r="W284" s="73"/>
      <c r="X284" s="79"/>
      <c r="Y284" s="79"/>
      <c r="Z284" s="79"/>
      <c r="AA284" s="79"/>
      <c r="AB284" s="79"/>
      <c r="AC284" s="73"/>
      <c r="AD284" s="79"/>
    </row>
    <row r="285" customFormat="false" ht="14.25" hidden="false" customHeight="true" outlineLevel="0" collapsed="false">
      <c r="B285" s="73"/>
      <c r="C285" s="73"/>
      <c r="D285" s="79"/>
      <c r="E285" s="79"/>
      <c r="F285" s="79"/>
      <c r="G285" s="79"/>
      <c r="H285" s="79"/>
      <c r="I285" s="73"/>
      <c r="J285" s="79"/>
      <c r="L285" s="73"/>
      <c r="M285" s="73"/>
      <c r="N285" s="79"/>
      <c r="O285" s="79"/>
      <c r="P285" s="79"/>
      <c r="Q285" s="79"/>
      <c r="R285" s="79"/>
      <c r="S285" s="73"/>
      <c r="T285" s="79"/>
      <c r="V285" s="73"/>
      <c r="W285" s="73"/>
      <c r="X285" s="79"/>
      <c r="Y285" s="79"/>
      <c r="Z285" s="79"/>
      <c r="AA285" s="79"/>
      <c r="AB285" s="79"/>
      <c r="AC285" s="73"/>
      <c r="AD285" s="79"/>
    </row>
    <row r="286" customFormat="false" ht="14.25" hidden="false" customHeight="true" outlineLevel="0" collapsed="false">
      <c r="B286" s="73"/>
      <c r="C286" s="73"/>
      <c r="D286" s="79"/>
      <c r="E286" s="79"/>
      <c r="F286" s="79"/>
      <c r="G286" s="79"/>
      <c r="H286" s="79"/>
      <c r="I286" s="73"/>
      <c r="J286" s="79"/>
      <c r="L286" s="73"/>
      <c r="M286" s="73"/>
      <c r="N286" s="79"/>
      <c r="O286" s="79"/>
      <c r="P286" s="79"/>
      <c r="Q286" s="79"/>
      <c r="R286" s="79"/>
      <c r="S286" s="73"/>
      <c r="T286" s="79"/>
      <c r="V286" s="73"/>
      <c r="W286" s="73"/>
      <c r="X286" s="79"/>
      <c r="Y286" s="79"/>
      <c r="Z286" s="79"/>
      <c r="AA286" s="79"/>
      <c r="AB286" s="79"/>
      <c r="AC286" s="73"/>
      <c r="AD286" s="79"/>
    </row>
    <row r="287" customFormat="false" ht="14.25" hidden="false" customHeight="true" outlineLevel="0" collapsed="false">
      <c r="B287" s="73"/>
      <c r="C287" s="73"/>
      <c r="D287" s="79"/>
      <c r="E287" s="79"/>
      <c r="F287" s="79"/>
      <c r="G287" s="79"/>
      <c r="H287" s="79"/>
      <c r="I287" s="73"/>
      <c r="J287" s="79"/>
      <c r="L287" s="73"/>
      <c r="M287" s="73"/>
      <c r="N287" s="79"/>
      <c r="O287" s="79"/>
      <c r="P287" s="79"/>
      <c r="Q287" s="79"/>
      <c r="R287" s="79"/>
      <c r="S287" s="73"/>
      <c r="T287" s="79"/>
      <c r="V287" s="73"/>
      <c r="W287" s="73"/>
      <c r="X287" s="79"/>
      <c r="Y287" s="79"/>
      <c r="Z287" s="79"/>
      <c r="AA287" s="79"/>
      <c r="AB287" s="79"/>
      <c r="AC287" s="73"/>
      <c r="AD287" s="79"/>
    </row>
    <row r="288" customFormat="false" ht="14.25" hidden="false" customHeight="true" outlineLevel="0" collapsed="false">
      <c r="B288" s="73"/>
      <c r="C288" s="73"/>
      <c r="D288" s="79"/>
      <c r="E288" s="79"/>
      <c r="F288" s="79"/>
      <c r="G288" s="79"/>
      <c r="H288" s="79"/>
      <c r="I288" s="73"/>
      <c r="J288" s="79"/>
      <c r="L288" s="73"/>
      <c r="M288" s="73"/>
      <c r="N288" s="79"/>
      <c r="O288" s="79"/>
      <c r="P288" s="79"/>
      <c r="Q288" s="79"/>
      <c r="R288" s="79"/>
      <c r="S288" s="73"/>
      <c r="T288" s="79"/>
      <c r="V288" s="73"/>
      <c r="W288" s="73"/>
      <c r="X288" s="79"/>
      <c r="Y288" s="79"/>
      <c r="Z288" s="79"/>
      <c r="AA288" s="79"/>
      <c r="AB288" s="79"/>
      <c r="AC288" s="73"/>
      <c r="AD288" s="79"/>
    </row>
    <row r="289" customFormat="false" ht="14.25" hidden="false" customHeight="true" outlineLevel="0" collapsed="false">
      <c r="B289" s="73"/>
      <c r="C289" s="73"/>
      <c r="D289" s="79"/>
      <c r="E289" s="79"/>
      <c r="F289" s="79"/>
      <c r="G289" s="79"/>
      <c r="H289" s="79"/>
      <c r="I289" s="73"/>
      <c r="J289" s="79"/>
      <c r="L289" s="73"/>
      <c r="M289" s="73"/>
      <c r="N289" s="79"/>
      <c r="O289" s="79"/>
      <c r="P289" s="79"/>
      <c r="Q289" s="79"/>
      <c r="R289" s="79"/>
      <c r="S289" s="73"/>
      <c r="T289" s="79"/>
      <c r="V289" s="73"/>
      <c r="W289" s="73"/>
      <c r="X289" s="79"/>
      <c r="Y289" s="79"/>
      <c r="Z289" s="79"/>
      <c r="AA289" s="79"/>
      <c r="AB289" s="79"/>
      <c r="AC289" s="73"/>
      <c r="AD289" s="79"/>
    </row>
    <row r="290" customFormat="false" ht="14.25" hidden="false" customHeight="true" outlineLevel="0" collapsed="false">
      <c r="B290" s="73"/>
      <c r="C290" s="73"/>
      <c r="D290" s="79"/>
      <c r="E290" s="79"/>
      <c r="F290" s="79"/>
      <c r="G290" s="79"/>
      <c r="H290" s="79"/>
      <c r="I290" s="73"/>
      <c r="J290" s="79"/>
      <c r="L290" s="73"/>
      <c r="M290" s="73"/>
      <c r="N290" s="79"/>
      <c r="O290" s="79"/>
      <c r="P290" s="79"/>
      <c r="Q290" s="79"/>
      <c r="R290" s="79"/>
      <c r="S290" s="73"/>
      <c r="T290" s="79"/>
      <c r="V290" s="73"/>
      <c r="W290" s="73"/>
      <c r="X290" s="79"/>
      <c r="Y290" s="79"/>
      <c r="Z290" s="79"/>
      <c r="AA290" s="79"/>
      <c r="AB290" s="79"/>
      <c r="AC290" s="73"/>
      <c r="AD290" s="79"/>
    </row>
    <row r="291" customFormat="false" ht="14.25" hidden="false" customHeight="true" outlineLevel="0" collapsed="false">
      <c r="B291" s="73"/>
      <c r="C291" s="73"/>
      <c r="D291" s="79"/>
      <c r="E291" s="79"/>
      <c r="F291" s="79"/>
      <c r="G291" s="79"/>
      <c r="H291" s="79"/>
      <c r="I291" s="73"/>
      <c r="J291" s="79"/>
    </row>
    <row r="292" customFormat="false" ht="14.25" hidden="false" customHeight="true" outlineLevel="0" collapsed="false">
      <c r="B292" s="73"/>
      <c r="C292" s="73"/>
      <c r="D292" s="79"/>
      <c r="E292" s="79"/>
      <c r="F292" s="79"/>
      <c r="G292" s="79"/>
      <c r="H292" s="79"/>
      <c r="I292" s="73"/>
      <c r="J292" s="79"/>
    </row>
    <row r="293" customFormat="false" ht="14.25" hidden="false" customHeight="true" outlineLevel="0" collapsed="false">
      <c r="B293" s="73"/>
      <c r="C293" s="73"/>
      <c r="D293" s="79"/>
      <c r="E293" s="79"/>
      <c r="F293" s="79"/>
      <c r="G293" s="79"/>
      <c r="H293" s="79"/>
      <c r="I293" s="73"/>
      <c r="J293" s="79"/>
    </row>
  </sheetData>
  <mergeCells count="7">
    <mergeCell ref="B1:AD1"/>
    <mergeCell ref="AF1:AG1"/>
    <mergeCell ref="B2:AD2"/>
    <mergeCell ref="B3:I3"/>
    <mergeCell ref="L3:S3"/>
    <mergeCell ref="V3:AC3"/>
    <mergeCell ref="B46:I46"/>
  </mergeCells>
  <conditionalFormatting sqref="G48:G84">
    <cfRule type="expression" priority="2" aboveAverage="0" equalAverage="0" bottom="0" percent="0" rank="0" text="" dxfId="54">
      <formula>OR($I48="x",$I48="o")</formula>
    </cfRule>
    <cfRule type="colorScale" priority="3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B48:I84">
    <cfRule type="expression" priority="4" aboveAverage="0" equalAverage="0" bottom="0" percent="0" rank="0" text="" dxfId="55">
      <formula>$I48="x"</formula>
    </cfRule>
    <cfRule type="expression" priority="5" aboveAverage="0" equalAverage="0" bottom="0" percent="0" rank="0" text="" dxfId="56">
      <formula>$I48="o"</formula>
    </cfRule>
  </conditionalFormatting>
  <conditionalFormatting sqref="C48:C84">
    <cfRule type="expression" priority="6" aboveAverage="0" equalAverage="0" bottom="0" percent="0" rank="0" text="" dxfId="57">
      <formula>$C48=$AG$5</formula>
    </cfRule>
  </conditionalFormatting>
  <conditionalFormatting sqref="F48:F84">
    <cfRule type="colorScale" priority="7">
      <colorScale>
        <cfvo type="percentile" val="10"/>
        <cfvo type="num" val="0"/>
        <cfvo type="percentile" val="90"/>
        <color rgb="FFF8696B"/>
        <color rgb="FFFFEB84"/>
        <color rgb="FF63BE7B"/>
      </colorScale>
    </cfRule>
  </conditionalFormatting>
  <conditionalFormatting sqref="B48:E84">
    <cfRule type="expression" priority="8" aboveAverage="0" equalAverage="0" bottom="0" percent="0" rank="0" text="" dxfId="58">
      <formula>ISEVEN($B48)</formula>
    </cfRule>
  </conditionalFormatting>
  <conditionalFormatting sqref="H48:H84">
    <cfRule type="expression" priority="9" aboveAverage="0" equalAverage="0" bottom="0" percent="0" rank="0" text="" dxfId="58">
      <formula>ISEVEN($B48)</formula>
    </cfRule>
  </conditionalFormatting>
  <conditionalFormatting sqref="AA5:AA84">
    <cfRule type="expression" priority="10" aboveAverage="0" equalAverage="0" bottom="0" percent="0" rank="0" text="" dxfId="54">
      <formula>OR($AC5="x",$AC5="o")</formula>
    </cfRule>
    <cfRule type="colorScale" priority="11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V5:AC84">
    <cfRule type="expression" priority="12" aboveAverage="0" equalAverage="0" bottom="0" percent="0" rank="0" text="" dxfId="55">
      <formula>$AC5="x"</formula>
    </cfRule>
    <cfRule type="expression" priority="13" aboveAverage="0" equalAverage="0" bottom="0" percent="0" rank="0" text="" dxfId="56">
      <formula>$AC5="o"</formula>
    </cfRule>
  </conditionalFormatting>
  <conditionalFormatting sqref="W5:W84">
    <cfRule type="expression" priority="14" aboveAverage="0" equalAverage="0" bottom="0" percent="0" rank="0" text="" dxfId="57">
      <formula>$W5=$AG$5</formula>
    </cfRule>
  </conditionalFormatting>
  <conditionalFormatting sqref="Z5:Z84">
    <cfRule type="colorScale" priority="15">
      <colorScale>
        <cfvo type="percentile" val="10"/>
        <cfvo type="num" val="0"/>
        <cfvo type="percentile" val="90"/>
        <color rgb="FFF8696B"/>
        <color rgb="FFFFEB84"/>
        <color rgb="FF63BE7B"/>
      </colorScale>
    </cfRule>
  </conditionalFormatting>
  <conditionalFormatting sqref="V5:Y84">
    <cfRule type="expression" priority="16" aboveAverage="0" equalAverage="0" bottom="0" percent="0" rank="0" text="" dxfId="58">
      <formula>ISEVEN($V5)</formula>
    </cfRule>
  </conditionalFormatting>
  <conditionalFormatting sqref="AB5:AB84">
    <cfRule type="expression" priority="17" aboveAverage="0" equalAverage="0" bottom="0" percent="0" rank="0" text="" dxfId="58">
      <formula>ISEVEN($V5)</formula>
    </cfRule>
  </conditionalFormatting>
  <conditionalFormatting sqref="Q5:Q84">
    <cfRule type="expression" priority="18" aboveAverage="0" equalAverage="0" bottom="0" percent="0" rank="0" text="" dxfId="54">
      <formula>OR($S5="x",$S5="o")</formula>
    </cfRule>
    <cfRule type="colorScale" priority="19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L5:S84">
    <cfRule type="expression" priority="20" aboveAverage="0" equalAverage="0" bottom="0" percent="0" rank="0" text="" dxfId="55">
      <formula>$S5="x"</formula>
    </cfRule>
    <cfRule type="expression" priority="21" aboveAverage="0" equalAverage="0" bottom="0" percent="0" rank="0" text="" dxfId="56">
      <formula>$S5="o"</formula>
    </cfRule>
  </conditionalFormatting>
  <conditionalFormatting sqref="M5:M84">
    <cfRule type="expression" priority="22" aboveAverage="0" equalAverage="0" bottom="0" percent="0" rank="0" text="" dxfId="57">
      <formula>$M5=$AG$5</formula>
    </cfRule>
  </conditionalFormatting>
  <conditionalFormatting sqref="P5:P84">
    <cfRule type="colorScale" priority="23">
      <colorScale>
        <cfvo type="percentile" val="10"/>
        <cfvo type="num" val="0"/>
        <cfvo type="percentile" val="90"/>
        <color rgb="FFF8696B"/>
        <color rgb="FFFFEB84"/>
        <color rgb="FF63BE7B"/>
      </colorScale>
    </cfRule>
  </conditionalFormatting>
  <conditionalFormatting sqref="L5:O84">
    <cfRule type="expression" priority="24" aboveAverage="0" equalAverage="0" bottom="0" percent="0" rank="0" text="" dxfId="58">
      <formula>ISEVEN($L5)</formula>
    </cfRule>
  </conditionalFormatting>
  <conditionalFormatting sqref="R5:R84">
    <cfRule type="expression" priority="25" aboveAverage="0" equalAverage="0" bottom="0" percent="0" rank="0" text="" dxfId="58">
      <formula>ISEVEN($L5)</formula>
    </cfRule>
  </conditionalFormatting>
  <conditionalFormatting sqref="G5:G44">
    <cfRule type="expression" priority="26" aboveAverage="0" equalAverage="0" bottom="0" percent="0" rank="0" text="" dxfId="54">
      <formula>OR($I5="x",$I5="o")</formula>
    </cfRule>
    <cfRule type="colorScale" priority="27">
      <colorScale>
        <cfvo type="percentile" val="10"/>
        <cfvo type="percentile" val="50"/>
        <cfvo type="percentile" val="90"/>
        <color rgb="FFF8696B"/>
        <color rgb="FFFFFFFF"/>
        <color rgb="FF00B0F0"/>
      </colorScale>
    </cfRule>
  </conditionalFormatting>
  <conditionalFormatting sqref="B5:I44">
    <cfRule type="expression" priority="28" aboveAverage="0" equalAverage="0" bottom="0" percent="0" rank="0" text="" dxfId="55">
      <formula>$I5="x"</formula>
    </cfRule>
    <cfRule type="expression" priority="29" aboveAverage="0" equalAverage="0" bottom="0" percent="0" rank="0" text="" dxfId="56">
      <formula>$I5="o"</formula>
    </cfRule>
  </conditionalFormatting>
  <conditionalFormatting sqref="C5:C44">
    <cfRule type="expression" priority="30" aboveAverage="0" equalAverage="0" bottom="0" percent="0" rank="0" text="" dxfId="57">
      <formula>$C5=$AG$5</formula>
    </cfRule>
  </conditionalFormatting>
  <conditionalFormatting sqref="F5:F44">
    <cfRule type="colorScale" priority="31">
      <colorScale>
        <cfvo type="percentile" val="10"/>
        <cfvo type="num" val="0"/>
        <cfvo type="percentile" val="90"/>
        <color rgb="FFF8696B"/>
        <color rgb="FFFFEB84"/>
        <color rgb="FF63BE7B"/>
      </colorScale>
    </cfRule>
  </conditionalFormatting>
  <conditionalFormatting sqref="B5:E44">
    <cfRule type="expression" priority="32" aboveAverage="0" equalAverage="0" bottom="0" percent="0" rank="0" text="" dxfId="58">
      <formula>ISEVEN($B5)</formula>
    </cfRule>
  </conditionalFormatting>
  <conditionalFormatting sqref="H5:H44">
    <cfRule type="expression" priority="33" aboveAverage="0" equalAverage="0" bottom="0" percent="0" rank="0" text="" dxfId="58">
      <formula>ISEVEN($B5)</formula>
    </cfRule>
  </conditionalFormatting>
  <dataValidations count="1">
    <dataValidation allowBlank="true" error="Only &quot;x&quot; (drafted by someone else) or &quot;o&quot; (drafted by you) allowed." errorStyle="stop" errorTitle="Invalid entry" operator="between" showDropDown="false" showErrorMessage="true" showInputMessage="false" sqref="J5:J44 T5:T84 AD5:AD84 J48:J84" type="list">
      <formula1>"x,o"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G832"/>
  <sheetViews>
    <sheetView showFormulas="false" showGridLines="true" showRowColHeaders="true" showZeros="true" rightToLeft="false" tabSelected="false" showOutlineSymbols="true" defaultGridColor="true" view="normal" topLeftCell="M1" colorId="64" zoomScale="70" zoomScaleNormal="70" zoomScalePageLayoutView="100" workbookViewId="0">
      <selection pane="topLeft" activeCell="W18" activeCellId="0" sqref="W18"/>
    </sheetView>
  </sheetViews>
  <sheetFormatPr defaultColWidth="11" defaultRowHeight="14.25" zeroHeight="false" outlineLevelRow="0" outlineLevelCol="0"/>
  <cols>
    <col collapsed="false" customWidth="true" hidden="false" outlineLevel="0" max="1" min="1" style="0" width="8.56"/>
    <col collapsed="false" customWidth="true" hidden="false" outlineLevel="0" max="2" min="2" style="0" width="20.78"/>
    <col collapsed="false" customWidth="true" hidden="false" outlineLevel="0" max="3" min="3" style="0" width="12"/>
    <col collapsed="false" customWidth="true" hidden="false" outlineLevel="0" max="4" min="4" style="0" width="10.56"/>
    <col collapsed="false" customWidth="true" hidden="false" outlineLevel="0" max="5" min="5" style="0" width="16"/>
    <col collapsed="false" customWidth="true" hidden="false" outlineLevel="0" max="6" min="6" style="0" width="11.56"/>
    <col collapsed="false" customWidth="true" hidden="false" outlineLevel="0" max="7" min="7" style="0" width="10.89"/>
    <col collapsed="false" customWidth="true" hidden="false" outlineLevel="0" max="8" min="8" style="0" width="11.89"/>
    <col collapsed="false" customWidth="true" hidden="false" outlineLevel="0" max="9" min="9" style="0" width="22.33"/>
    <col collapsed="false" customWidth="true" hidden="false" outlineLevel="0" max="10" min="10" style="0" width="10.89"/>
    <col collapsed="false" customWidth="true" hidden="false" outlineLevel="0" max="12" min="11" style="0" width="10.56"/>
    <col collapsed="false" customWidth="true" hidden="false" outlineLevel="0" max="13" min="13" style="0" width="19.78"/>
    <col collapsed="false" customWidth="true" hidden="false" outlineLevel="0" max="14" min="14" style="0" width="5"/>
    <col collapsed="false" customWidth="true" hidden="false" outlineLevel="0" max="15" min="15" style="0" width="8.56"/>
    <col collapsed="false" customWidth="true" hidden="false" outlineLevel="0" max="16" min="16" style="0" width="20.11"/>
    <col collapsed="false" customWidth="true" hidden="false" outlineLevel="0" max="17" min="17" style="0" width="12"/>
    <col collapsed="false" customWidth="true" hidden="false" outlineLevel="0" max="18" min="18" style="0" width="10.56"/>
    <col collapsed="false" customWidth="true" hidden="false" outlineLevel="0" max="19" min="19" style="0" width="16"/>
    <col collapsed="false" customWidth="true" hidden="false" outlineLevel="0" max="20" min="20" style="0" width="11.56"/>
    <col collapsed="false" customWidth="true" hidden="false" outlineLevel="0" max="21" min="21" style="0" width="10.89"/>
    <col collapsed="false" customWidth="true" hidden="false" outlineLevel="0" max="22" min="22" style="0" width="11.89"/>
    <col collapsed="false" customWidth="true" hidden="false" outlineLevel="0" max="23" min="23" style="0" width="22.33"/>
    <col collapsed="false" customWidth="true" hidden="false" outlineLevel="0" max="24" min="24" style="0" width="10.89"/>
    <col collapsed="false" customWidth="true" hidden="false" outlineLevel="0" max="25" min="25" style="0" width="13.89"/>
    <col collapsed="false" customWidth="true" hidden="false" outlineLevel="0" max="26" min="26" style="0" width="10.56"/>
    <col collapsed="false" customWidth="true" hidden="false" outlineLevel="0" max="27" min="27" style="80" width="19.78"/>
    <col collapsed="false" customWidth="true" hidden="false" outlineLevel="0" max="28" min="28" style="0" width="4.44"/>
    <col collapsed="false" customWidth="true" hidden="false" outlineLevel="0" max="29" min="29" style="0" width="8.56"/>
    <col collapsed="false" customWidth="true" hidden="false" outlineLevel="0" max="30" min="30" style="0" width="20.22"/>
    <col collapsed="false" customWidth="true" hidden="false" outlineLevel="0" max="31" min="31" style="0" width="12"/>
    <col collapsed="false" customWidth="true" hidden="false" outlineLevel="0" max="32" min="32" style="80" width="10.56"/>
    <col collapsed="false" customWidth="true" hidden="false" outlineLevel="0" max="33" min="33" style="80" width="16"/>
    <col collapsed="false" customWidth="true" hidden="false" outlineLevel="0" max="34" min="34" style="80" width="11.56"/>
    <col collapsed="false" customWidth="true" hidden="false" outlineLevel="0" max="35" min="35" style="80" width="10.89"/>
    <col collapsed="false" customWidth="true" hidden="false" outlineLevel="0" max="36" min="36" style="80" width="11.89"/>
    <col collapsed="false" customWidth="true" hidden="false" outlineLevel="0" max="37" min="37" style="80" width="22.33"/>
    <col collapsed="false" customWidth="true" hidden="false" outlineLevel="0" max="38" min="38" style="80" width="10.89"/>
    <col collapsed="false" customWidth="true" hidden="false" outlineLevel="0" max="39" min="39" style="80" width="13.89"/>
    <col collapsed="false" customWidth="true" hidden="false" outlineLevel="0" max="40" min="40" style="0" width="10.56"/>
    <col collapsed="false" customWidth="true" hidden="false" outlineLevel="0" max="41" min="41" style="0" width="19.78"/>
    <col collapsed="false" customWidth="true" hidden="false" outlineLevel="0" max="42" min="42" style="0" width="7.67"/>
    <col collapsed="false" customWidth="true" hidden="false" outlineLevel="0" max="43" min="43" style="0" width="8.56"/>
    <col collapsed="false" customWidth="true" hidden="false" outlineLevel="0" max="44" min="44" style="0" width="16.66"/>
    <col collapsed="false" customWidth="true" hidden="false" outlineLevel="0" max="45" min="45" style="0" width="12"/>
    <col collapsed="false" customWidth="true" hidden="false" outlineLevel="0" max="46" min="46" style="80" width="10.56"/>
    <col collapsed="false" customWidth="true" hidden="false" outlineLevel="0" max="47" min="47" style="80" width="16"/>
    <col collapsed="false" customWidth="true" hidden="false" outlineLevel="0" max="48" min="48" style="80" width="11.56"/>
    <col collapsed="false" customWidth="true" hidden="false" outlineLevel="0" max="49" min="49" style="80" width="10.89"/>
    <col collapsed="false" customWidth="true" hidden="false" outlineLevel="0" max="50" min="50" style="80" width="11.89"/>
    <col collapsed="false" customWidth="true" hidden="false" outlineLevel="0" max="51" min="51" style="80" width="22.33"/>
    <col collapsed="false" customWidth="true" hidden="false" outlineLevel="0" max="52" min="52" style="80" width="10.89"/>
    <col collapsed="false" customWidth="true" hidden="false" outlineLevel="0" max="53" min="53" style="80" width="13.89"/>
    <col collapsed="false" customWidth="true" hidden="false" outlineLevel="0" max="54" min="54" style="0" width="10.56"/>
    <col collapsed="false" customWidth="true" hidden="false" outlineLevel="0" max="55" min="55" style="80" width="19.78"/>
    <col collapsed="false" customWidth="true" hidden="false" outlineLevel="0" max="56" min="56" style="80" width="10.44"/>
    <col collapsed="false" customWidth="true" hidden="false" outlineLevel="0" max="57" min="57" style="80" width="3.89"/>
    <col collapsed="false" customWidth="true" hidden="false" outlineLevel="0" max="58" min="58" style="80" width="7.78"/>
    <col collapsed="false" customWidth="true" hidden="false" outlineLevel="0" max="59" min="59" style="80" width="6.33"/>
    <col collapsed="false" customWidth="true" hidden="false" outlineLevel="0" max="60" min="60" style="81" width="5"/>
    <col collapsed="false" customWidth="true" hidden="false" outlineLevel="0" max="61" min="61" style="81" width="6.67"/>
    <col collapsed="false" customWidth="true" hidden="false" outlineLevel="0" max="62" min="62" style="81" width="4.11"/>
    <col collapsed="false" customWidth="true" hidden="false" outlineLevel="0" max="63" min="63" style="81" width="7.44"/>
    <col collapsed="false" customWidth="true" hidden="false" outlineLevel="0" max="64" min="64" style="81" width="6"/>
    <col collapsed="false" customWidth="true" hidden="false" outlineLevel="0" max="66" min="65" style="81" width="6.67"/>
    <col collapsed="false" customWidth="true" hidden="false" outlineLevel="0" max="67" min="67" style="81" width="4.11"/>
    <col collapsed="false" customWidth="true" hidden="false" outlineLevel="0" max="68" min="68" style="81" width="8"/>
    <col collapsed="false" customWidth="true" hidden="false" outlineLevel="0" max="69" min="69" style="81" width="6.67"/>
    <col collapsed="false" customWidth="true" hidden="false" outlineLevel="0" max="70" min="70" style="81" width="6"/>
    <col collapsed="false" customWidth="true" hidden="false" outlineLevel="0" max="71" min="71" style="81" width="6.88"/>
    <col collapsed="false" customWidth="true" hidden="false" outlineLevel="0" max="72" min="72" style="81" width="4.89"/>
    <col collapsed="false" customWidth="true" hidden="false" outlineLevel="0" max="73" min="73" style="81" width="7.22"/>
    <col collapsed="false" customWidth="true" hidden="false" outlineLevel="0" max="74" min="74" style="81" width="5.78"/>
    <col collapsed="false" customWidth="true" hidden="false" outlineLevel="0" max="75" min="75" style="81" width="6.67"/>
    <col collapsed="false" customWidth="true" hidden="false" outlineLevel="0" max="76" min="76" style="81" width="6.11"/>
    <col collapsed="false" customWidth="true" hidden="false" outlineLevel="0" max="77" min="77" style="81" width="6"/>
    <col collapsed="false" customWidth="true" hidden="false" outlineLevel="0" max="78" min="78" style="81" width="13.33"/>
    <col collapsed="false" customWidth="true" hidden="false" outlineLevel="0" max="79" min="79" style="81" width="4.44"/>
    <col collapsed="false" customWidth="true" hidden="false" outlineLevel="0" max="80" min="80" style="81" width="13.33"/>
    <col collapsed="false" customWidth="true" hidden="false" outlineLevel="0" max="81" min="81" style="81" width="6"/>
    <col collapsed="false" customWidth="true" hidden="false" outlineLevel="0" max="82" min="82" style="81" width="13.33"/>
    <col collapsed="false" customWidth="false" hidden="false" outlineLevel="0" max="85" min="83" style="81" width="11"/>
    <col collapsed="false" customWidth="false" hidden="false" outlineLevel="0" max="16384" min="86" style="80" width="11"/>
  </cols>
  <sheetData>
    <row r="1" customFormat="false" ht="14.25" hidden="false" customHeight="true" outlineLevel="0" collapsed="false">
      <c r="A1" s="80" t="s">
        <v>101</v>
      </c>
      <c r="B1" s="80" t="n">
        <f aca="false">Scoring!B43</f>
        <v>12</v>
      </c>
      <c r="C1" s="81" t="n">
        <f aca="false">MAX(LARGE(I3:I50, $B$1),Q1,AE1,AS1)</f>
        <v>268.379365788235</v>
      </c>
      <c r="D1" s="80"/>
      <c r="E1" s="80"/>
      <c r="F1" s="80"/>
      <c r="G1" s="80"/>
      <c r="H1" s="80"/>
      <c r="I1" s="82"/>
      <c r="J1" s="82" t="n">
        <f aca="false">SUMIF(Table2[VBD],"&gt;0")</f>
        <v>138.9584124</v>
      </c>
      <c r="K1" s="82"/>
      <c r="L1" s="82"/>
      <c r="M1" s="82"/>
      <c r="N1" s="82"/>
      <c r="O1" s="80" t="s">
        <v>101</v>
      </c>
      <c r="P1" s="82" t="n">
        <f aca="false">Scoring!C43</f>
        <v>31</v>
      </c>
      <c r="Q1" s="82" t="n">
        <f aca="false">LARGE($W$3:$W$102,P1)</f>
        <v>127.545738392157</v>
      </c>
      <c r="R1" s="80"/>
      <c r="S1" s="80"/>
      <c r="T1" s="80"/>
      <c r="U1" s="80"/>
      <c r="V1" s="80"/>
      <c r="W1" s="82"/>
      <c r="X1" s="82" t="n">
        <f aca="false">SUMIF(Table4[VBD],"&gt;0")</f>
        <v>1851.31608146055</v>
      </c>
      <c r="Y1" s="82"/>
      <c r="Z1" s="82"/>
      <c r="AA1" s="82"/>
      <c r="AB1" s="80"/>
      <c r="AC1" s="80" t="s">
        <v>101</v>
      </c>
      <c r="AD1" s="82" t="n">
        <f aca="false">Scoring!D43</f>
        <v>33</v>
      </c>
      <c r="AE1" s="82" t="n">
        <f aca="false">LARGE(Table6[Zscore Projection],AD1)</f>
        <v>125.677878745098</v>
      </c>
      <c r="AI1" s="82"/>
      <c r="AK1" s="82"/>
      <c r="AL1" s="82" t="n">
        <f aca="false">SUMIF(Table6[VBD],"&gt;0")</f>
        <v>1394.03110708392</v>
      </c>
      <c r="AM1" s="82"/>
      <c r="AN1" s="82"/>
      <c r="AO1" s="82"/>
      <c r="AP1" s="80"/>
      <c r="AQ1" s="80" t="s">
        <v>101</v>
      </c>
      <c r="AR1" s="82" t="n">
        <f aca="false">Scoring!E43</f>
        <v>12</v>
      </c>
      <c r="AS1" s="82" t="n">
        <f aca="false">IF(AR1=0,AE1,LARGE($AY$3:$AY$202,AR1))</f>
        <v>112.573597441176</v>
      </c>
      <c r="AZ1" s="82" t="n">
        <f aca="false">SUMIF(Table7[VBD],"&gt;0")</f>
        <v>237.155076490196</v>
      </c>
      <c r="BA1" s="82"/>
      <c r="BB1" s="82"/>
      <c r="BC1" s="82"/>
      <c r="BD1" s="82"/>
    </row>
    <row r="2" customFormat="false" ht="14.25" hidden="false" customHeight="true" outlineLevel="0" collapsed="false">
      <c r="A2" s="83"/>
      <c r="B2" s="84" t="s">
        <v>102</v>
      </c>
      <c r="C2" s="83" t="s">
        <v>103</v>
      </c>
      <c r="D2" s="83" t="s">
        <v>104</v>
      </c>
      <c r="E2" s="83" t="s">
        <v>105</v>
      </c>
      <c r="F2" s="83" t="s">
        <v>106</v>
      </c>
      <c r="G2" s="83" t="s">
        <v>107</v>
      </c>
      <c r="H2" s="83" t="s">
        <v>108</v>
      </c>
      <c r="I2" s="83" t="s">
        <v>109</v>
      </c>
      <c r="J2" s="83" t="s">
        <v>110</v>
      </c>
      <c r="K2" s="83" t="s">
        <v>111</v>
      </c>
      <c r="L2" s="83" t="s">
        <v>112</v>
      </c>
      <c r="M2" s="83" t="s">
        <v>113</v>
      </c>
      <c r="N2" s="80"/>
      <c r="O2" s="83"/>
      <c r="P2" s="84" t="s">
        <v>102</v>
      </c>
      <c r="Q2" s="83" t="s">
        <v>103</v>
      </c>
      <c r="R2" s="83" t="s">
        <v>104</v>
      </c>
      <c r="S2" s="83" t="s">
        <v>105</v>
      </c>
      <c r="T2" s="83" t="s">
        <v>106</v>
      </c>
      <c r="U2" s="83" t="s">
        <v>107</v>
      </c>
      <c r="V2" s="83" t="s">
        <v>108</v>
      </c>
      <c r="W2" s="83" t="s">
        <v>109</v>
      </c>
      <c r="X2" s="83" t="s">
        <v>110</v>
      </c>
      <c r="Y2" s="83" t="s">
        <v>114</v>
      </c>
      <c r="Z2" s="83" t="s">
        <v>112</v>
      </c>
      <c r="AA2" s="83" t="s">
        <v>113</v>
      </c>
      <c r="AB2" s="80"/>
      <c r="AC2" s="85"/>
      <c r="AD2" s="85" t="s">
        <v>102</v>
      </c>
      <c r="AE2" s="85" t="s">
        <v>103</v>
      </c>
      <c r="AF2" s="85" t="s">
        <v>104</v>
      </c>
      <c r="AG2" s="85" t="s">
        <v>105</v>
      </c>
      <c r="AH2" s="85" t="s">
        <v>106</v>
      </c>
      <c r="AI2" s="85" t="s">
        <v>107</v>
      </c>
      <c r="AJ2" s="86" t="s">
        <v>108</v>
      </c>
      <c r="AK2" s="83" t="s">
        <v>109</v>
      </c>
      <c r="AL2" s="83" t="s">
        <v>110</v>
      </c>
      <c r="AM2" s="83" t="s">
        <v>114</v>
      </c>
      <c r="AN2" s="87" t="s">
        <v>112</v>
      </c>
      <c r="AO2" s="87" t="s">
        <v>113</v>
      </c>
      <c r="AP2" s="80"/>
      <c r="AQ2" s="85"/>
      <c r="AR2" s="85" t="s">
        <v>102</v>
      </c>
      <c r="AS2" s="85" t="s">
        <v>103</v>
      </c>
      <c r="AT2" s="85" t="s">
        <v>104</v>
      </c>
      <c r="AU2" s="85" t="s">
        <v>105</v>
      </c>
      <c r="AV2" s="85" t="s">
        <v>106</v>
      </c>
      <c r="AW2" s="85" t="s">
        <v>107</v>
      </c>
      <c r="AX2" s="86" t="s">
        <v>108</v>
      </c>
      <c r="AY2" s="83" t="s">
        <v>109</v>
      </c>
      <c r="AZ2" s="83" t="s">
        <v>110</v>
      </c>
      <c r="BA2" s="83" t="s">
        <v>114</v>
      </c>
      <c r="BB2" s="87" t="s">
        <v>112</v>
      </c>
      <c r="BC2" s="87" t="s">
        <v>113</v>
      </c>
      <c r="BD2" s="87" t="s">
        <v>115</v>
      </c>
      <c r="BF2" s="88" t="s">
        <v>116</v>
      </c>
      <c r="BG2" s="89" t="s">
        <v>117</v>
      </c>
      <c r="BH2" s="90" t="s">
        <v>118</v>
      </c>
      <c r="BI2" s="90" t="s">
        <v>119</v>
      </c>
      <c r="BJ2" s="91" t="s">
        <v>112</v>
      </c>
      <c r="BK2" s="92" t="s">
        <v>120</v>
      </c>
      <c r="BL2" s="90" t="s">
        <v>121</v>
      </c>
      <c r="BM2" s="90" t="s">
        <v>122</v>
      </c>
      <c r="BN2" s="90" t="s">
        <v>123</v>
      </c>
      <c r="BO2" s="91" t="s">
        <v>112</v>
      </c>
      <c r="BP2" s="92" t="s">
        <v>124</v>
      </c>
      <c r="BQ2" s="90" t="s">
        <v>125</v>
      </c>
      <c r="BR2" s="90" t="s">
        <v>126</v>
      </c>
      <c r="BS2" s="90" t="s">
        <v>127</v>
      </c>
      <c r="BT2" s="91" t="s">
        <v>112</v>
      </c>
      <c r="BU2" s="92" t="s">
        <v>128</v>
      </c>
      <c r="BV2" s="90" t="s">
        <v>129</v>
      </c>
      <c r="BW2" s="90" t="s">
        <v>130</v>
      </c>
      <c r="BX2" s="90" t="s">
        <v>131</v>
      </c>
      <c r="BY2" s="91" t="s">
        <v>112</v>
      </c>
    </row>
    <row r="3" s="107" customFormat="true" ht="14.25" hidden="false" customHeight="true" outlineLevel="0" collapsed="false">
      <c r="A3" s="93" t="s">
        <v>132</v>
      </c>
      <c r="B3" s="93" t="str">
        <f aca="false">VLOOKUP(A3,ECR!E:L,8,FALSE())</f>
        <v>Josh Allen</v>
      </c>
      <c r="C3" s="94" t="str">
        <f aca="false">IFERROR(VLOOKUP(Table2[[#This Row],[PLAYER]],ECR!C:F,2,FALSE()),"-")</f>
        <v>BUF</v>
      </c>
      <c r="D3" s="94" t="n">
        <f aca="false">IFERROR(VLOOKUP(Table2[[#This Row],[PLAYER]],ECR!C:F,4,FALSE()),"-")</f>
        <v>7</v>
      </c>
      <c r="E3" s="94" t="str">
        <f aca="false">Table2[[#This Row],[Team]] &amp; "/" &amp; Table2[[#This Row],[Bye]]</f>
        <v>BUF/7</v>
      </c>
      <c r="F3" s="95" t="n">
        <f aca="false">IFERROR(VLOOKUP(Table2[[#This Row],[PLAYER]],QB!A:Q,15,FALSE())/17*(17-Table2[[#This Row],[Missed Games]]),0)</f>
        <v>304.170571764706</v>
      </c>
      <c r="G3" s="95" t="n">
        <f aca="false">IFERROR(VLOOKUP(Table2[[#This Row],[PLAYER]],QB!A:Q,16,FALSE())/17*(17-Table2[[#This Row],[Missed Games]]),0)</f>
        <v>324.546656</v>
      </c>
      <c r="H3" s="95" t="n">
        <f aca="false">IFERROR(VLOOKUP(Table2[[#This Row],[PLAYER]],QB!A:Q,17,FALSE())/17*(17-Table2[[#This Row],[Missed Games]]),0)</f>
        <v>347.510457411765</v>
      </c>
      <c r="I3" s="96" t="n">
        <f aca="false">AVERAGE(AVERAGE(Table2[[#This Row],[LOW]],Table2[[#This Row],[HIGH]]),Table2[[#This Row],[AVG]],VLOOKUP(Table2[[#This Row],[PLAYER]],ECR!L:N,3,FALSE()))</f>
        <v>324.977942196078</v>
      </c>
      <c r="J3" s="96" t="n">
        <f aca="false">Table2[[#This Row],[Zscore Projection]]-$C$1</f>
        <v>56.5985764078432</v>
      </c>
      <c r="K3" s="97" t="e">
        <f aca="false">MAX(Table2[[#This Row],[VBD]]*Scoring!$B$48+1,1)</f>
        <v>#VALUE!</v>
      </c>
      <c r="L3" s="98" t="n">
        <f aca="false">VLOOKUP(Table2[[#This Row],[VBD]],BH:BJ,3,FALSE())</f>
        <v>1</v>
      </c>
      <c r="M3" s="99" t="n">
        <f aca="false">VLOOKUP(INDEX(ECR!$E:$E,MATCH(B3,ECR!$C:$C,0)),RISK!A:B,2,FALSE())</f>
        <v>2.118</v>
      </c>
      <c r="N3" s="100"/>
      <c r="O3" s="98" t="s">
        <v>133</v>
      </c>
      <c r="P3" s="93" t="str">
        <f aca="false">VLOOKUP(O3,ECR!E:L,8,FALSE())</f>
        <v>Jahmyr Gibbs</v>
      </c>
      <c r="Q3" s="94" t="str">
        <f aca="false">IFERROR(VLOOKUP(Table4[[#This Row],[PLAYER]],ECR!C:F,2,FALSE()),"-")</f>
        <v>DET</v>
      </c>
      <c r="R3" s="94" t="n">
        <f aca="false">IFERROR(VLOOKUP(Table4[[#This Row],[PLAYER]],ECR!C:F,4,FALSE()),"-")</f>
        <v>6</v>
      </c>
      <c r="S3" s="94" t="str">
        <f aca="false">Table4[[#This Row],[Team]] &amp; "/" &amp; Table4[[#This Row],[Bye]]</f>
        <v>DET/6</v>
      </c>
      <c r="T3" s="95" t="n">
        <f aca="false">IFERROR(VLOOKUP(Table4[[#This Row],[PLAYER]],RB!A:Q,13,FALSE())/17*(17-Table4[[#This Row],[Missed Games]]),0)</f>
        <v>269.755362</v>
      </c>
      <c r="U3" s="95" t="n">
        <f aca="false">IFERROR(VLOOKUP(Table4[[#This Row],[PLAYER]],RB!A:Q,14,FALSE())/17*(17-Table4[[#This Row],[Missed Games]]),0)</f>
        <v>291.334771058824</v>
      </c>
      <c r="V3" s="95" t="n">
        <f aca="false">IFERROR(VLOOKUP(Table4[[#This Row],[PLAYER]],RB!A:Q,15,FALSE())/17*(17-Table4[[#This Row],[Missed Games]]),0)</f>
        <v>313.024669411765</v>
      </c>
      <c r="W3" s="96" t="n">
        <f aca="false">AVERAGE(AVERAGE(Table4[[#This Row],[LOW]],Table4[[#This Row],[HIGH]]),Table4[[#This Row],[AVG]],VLOOKUP(Table4[[#This Row],[PLAYER]],ECR!L:N,3,FALSE()))</f>
        <v>291.353185941176</v>
      </c>
      <c r="X3" s="96" t="n">
        <f aca="false">Table4[[#This Row],[Zscore Projection]]-$Q$1</f>
        <v>163.80744754902</v>
      </c>
      <c r="Y3" s="97" t="e">
        <f aca="false">MAX(Table4[[#This Row],[VBD]]*Scoring!$B$48+1,1)</f>
        <v>#VALUE!</v>
      </c>
      <c r="Z3" s="98" t="n">
        <f aca="false">VLOOKUP(Table4[[#This Row],[VBD]],BM:BO,3,FALSE())</f>
        <v>1</v>
      </c>
      <c r="AA3" s="99" t="n">
        <f aca="false">VLOOKUP(INDEX(ECR!$E:$E,MATCH(P3,ECR!$C:$C,0)),RISK!A:B,2,FALSE())</f>
        <v>2.5514</v>
      </c>
      <c r="AB3" s="100"/>
      <c r="AC3" s="94" t="s">
        <v>134</v>
      </c>
      <c r="AD3" s="94" t="str">
        <f aca="false">VLOOKUP(AC3,ECR!E:L,8,FALSE())</f>
        <v>Ja'Marr Chase</v>
      </c>
      <c r="AE3" s="94" t="str">
        <f aca="false">IFERROR(VLOOKUP(Table6[[#This Row],[PLAYER]],ECR!C:F,2,FALSE()),"-")</f>
        <v>CIN</v>
      </c>
      <c r="AF3" s="94" t="n">
        <f aca="false">IFERROR(VLOOKUP(Table6[[#This Row],[PLAYER]],ECR!C:F,4,FALSE()),"-")</f>
        <v>6</v>
      </c>
      <c r="AG3" s="94" t="str">
        <f aca="false">Table6[[#This Row],[Team]] &amp; "/" &amp; Table6[[#This Row],[Bye]]</f>
        <v>CIN/6</v>
      </c>
      <c r="AH3" s="95" t="n">
        <f aca="false">IFERROR(VLOOKUP(Table6[[#This Row],[PLAYER]],WR!A:Q,13,FALSE())/17*(17-Table6[[#This Row],[Missed Games]]),0)</f>
        <v>235.994679411765</v>
      </c>
      <c r="AI3" s="95" t="n">
        <f aca="false">IFERROR(VLOOKUP(Table6[[#This Row],[PLAYER]],WR!A:Q,14,FALSE())/17*(17-Table6[[#This Row],[Missed Games]]),0)</f>
        <v>245.443388882353</v>
      </c>
      <c r="AJ3" s="95" t="n">
        <f aca="false">IFERROR(VLOOKUP(Table6[[#This Row],[PLAYER]],WR!A:Q,15,FALSE())/17*(17-Table6[[#This Row],[Missed Games]]),0)</f>
        <v>255.168689470588</v>
      </c>
      <c r="AK3" s="96" t="n">
        <f aca="false">AVERAGE(AVERAGE(Table6[[#This Row],[LOW]],Table6[[#This Row],[HIGH]]),Table6[[#This Row],[AVG]],VLOOKUP(Table6[[#This Row],[PLAYER]],ECR!L:N,3,FALSE()))</f>
        <v>246.791945617647</v>
      </c>
      <c r="AL3" s="96" t="n">
        <f aca="false">Table6[[#This Row],[Zscore Projection]]-$AE$1</f>
        <v>121.114066872549</v>
      </c>
      <c r="AM3" s="97" t="e">
        <f aca="false">MAX(Table6[[#This Row],[VBD]]*Scoring!$B$48+1,1)</f>
        <v>#VALUE!</v>
      </c>
      <c r="AN3" s="98" t="n">
        <f aca="false">VLOOKUP(Table6[[#This Row],[VBD]],BR:BT,3,FALSE())</f>
        <v>1</v>
      </c>
      <c r="AO3" s="99" t="n">
        <f aca="false">VLOOKUP(INDEX(ECR!$E:$E,MATCH(AD3,ECR!$C:$C,0)),RISK!A:B,2,FALSE())</f>
        <v>1.8321</v>
      </c>
      <c r="AP3" s="100"/>
      <c r="AQ3" s="101" t="s">
        <v>135</v>
      </c>
      <c r="AR3" s="101" t="str">
        <f aca="false">VLOOKUP(AQ3,ECR!E:L,8,FALSE())</f>
        <v>Brock Bowers</v>
      </c>
      <c r="AS3" s="101" t="str">
        <f aca="false">IFERROR(VLOOKUP(Table7[[#This Row],[PLAYER]],ECR!C:F,2,FALSE()),"-")</f>
        <v>LV</v>
      </c>
      <c r="AT3" s="101" t="n">
        <f aca="false">IFERROR(VLOOKUP(Table7[[#This Row],[PLAYER]],ECR!C:F,4,FALSE()),"-")</f>
        <v>13</v>
      </c>
      <c r="AU3" s="101" t="str">
        <f aca="false">Table7[[#This Row],[Team]] &amp; "/" &amp; Table7[[#This Row],[Bye]]</f>
        <v>LV/13</v>
      </c>
      <c r="AV3" s="95" t="n">
        <f aca="false">IFERROR(VLOOKUP(Table7[[#This Row],[PLAYER]],TE!A:K,9,FALSE())/17*(17-Table7[[#This Row],[Missed Games]]),0)</f>
        <v>160.959800588235</v>
      </c>
      <c r="AW3" s="95" t="n">
        <f aca="false">IFERROR(VLOOKUP(Table7[[#This Row],[PLAYER]],TE!A:K,10,FALSE())/17*(17-Table7[[#This Row],[Missed Games]]),0)</f>
        <v>173.582391764706</v>
      </c>
      <c r="AX3" s="95" t="n">
        <f aca="false">IFERROR(VLOOKUP(Table7[[#This Row],[PLAYER]],TE!A:K,11,FALSE())/17*(17-Table7[[#This Row],[Missed Games]]),0)</f>
        <v>186.553192352941</v>
      </c>
      <c r="AY3" s="96" t="n">
        <f aca="false">AVERAGE(AVERAGE(Table7[[#This Row],[LOW]],Table7[[#This Row],[HIGH]]),Table7[[#This Row],[AVG]],VLOOKUP(Table7[[#This Row],[PLAYER]],ECR!L:N,3,FALSE()))</f>
        <v>173.640426666667</v>
      </c>
      <c r="AZ3" s="96" t="n">
        <f aca="false">Table7[[#This Row],[Zscore Projection]]-$AS$1</f>
        <v>61.0668292254902</v>
      </c>
      <c r="BA3" s="97" t="e">
        <f aca="false">MAX(Table7[[#This Row],[VBD]]*Scoring!$B$48+1,1)</f>
        <v>#VALUE!</v>
      </c>
      <c r="BB3" s="95" t="n">
        <f aca="false">VLOOKUP(Table7[[#This Row],[VBD]],BW:BY,3,FALSE())</f>
        <v>1</v>
      </c>
      <c r="BC3" s="99" t="n">
        <f aca="false">VLOOKUP(INDEX(ECR!$E:$E,MATCH(AR3,ECR!$C:$C,0)),RISK!A:B,2,FALSE())</f>
        <v>2.2011</v>
      </c>
      <c r="BD3" s="95"/>
      <c r="BE3" s="100"/>
      <c r="BF3" s="102" t="n">
        <v>1</v>
      </c>
      <c r="BG3" s="100" t="n">
        <f aca="false">IFERROR(LARGE($G$3:$G$52,BF3),"")</f>
        <v>324.546656</v>
      </c>
      <c r="BH3" s="100" t="n">
        <f aca="false">IFERROR(LARGE($J$3:$J$52,1),"")</f>
        <v>56.5985764078432</v>
      </c>
      <c r="BI3" s="100" t="n">
        <f aca="false">BH3</f>
        <v>56.5985764078432</v>
      </c>
      <c r="BJ3" s="103" t="n">
        <v>1</v>
      </c>
      <c r="BK3" s="102" t="n">
        <v>1</v>
      </c>
      <c r="BL3" s="100" t="n">
        <f aca="false">IFERROR(LARGE($U$3:$U$102,BK3),"")</f>
        <v>291.334771058824</v>
      </c>
      <c r="BM3" s="104" t="n">
        <f aca="false">IFERROR(LARGE($X$3:$X$102,1),"")</f>
        <v>163.80744754902</v>
      </c>
      <c r="BN3" s="104" t="n">
        <f aca="false">BM3</f>
        <v>163.80744754902</v>
      </c>
      <c r="BO3" s="103" t="n">
        <v>1</v>
      </c>
      <c r="BP3" s="105" t="n">
        <v>1</v>
      </c>
      <c r="BQ3" s="100" t="n">
        <f aca="false">IFERROR(LARGE($AI$3:$AI$102,BP3),"")</f>
        <v>249.350763529412</v>
      </c>
      <c r="BR3" s="104" t="n">
        <f aca="false">IFERROR(LARGE($AL$3:$AL$102,1),"")</f>
        <v>122.755364215686</v>
      </c>
      <c r="BS3" s="104" t="n">
        <f aca="false">BR3</f>
        <v>122.755364215686</v>
      </c>
      <c r="BT3" s="103" t="n">
        <v>1</v>
      </c>
      <c r="BU3" s="102" t="n">
        <v>1</v>
      </c>
      <c r="BV3" s="100" t="n">
        <f aca="false">IFERROR(LARGE($AW$3:$AW$52,BU3),"")</f>
        <v>173.582391764706</v>
      </c>
      <c r="BW3" s="104" t="n">
        <f aca="false">IFERROR(LARGE($AZ$3:$AZ$52,1),"")</f>
        <v>61.0668292254902</v>
      </c>
      <c r="BX3" s="104" t="n">
        <f aca="false">BW3</f>
        <v>61.0668292254902</v>
      </c>
      <c r="BY3" s="106" t="n">
        <v>1</v>
      </c>
      <c r="BZ3" s="104"/>
      <c r="CA3" s="104"/>
      <c r="CB3" s="104"/>
      <c r="CC3" s="104"/>
      <c r="CD3" s="104"/>
      <c r="CE3" s="104"/>
      <c r="CF3" s="104"/>
      <c r="CG3" s="104"/>
    </row>
    <row r="4" s="107" customFormat="true" ht="14.25" hidden="false" customHeight="true" outlineLevel="0" collapsed="false">
      <c r="A4" s="93" t="s">
        <v>136</v>
      </c>
      <c r="B4" s="93" t="str">
        <f aca="false">VLOOKUP(A4,ECR!E:L,8,FALSE())</f>
        <v>Lamar Jackson</v>
      </c>
      <c r="C4" s="94" t="str">
        <f aca="false">IFERROR(VLOOKUP(Table2[[#This Row],[PLAYER]],ECR!C:F,2,FALSE()),"-")</f>
        <v>BAL</v>
      </c>
      <c r="D4" s="94" t="n">
        <f aca="false">IFERROR(VLOOKUP(Table2[[#This Row],[PLAYER]],ECR!C:F,4,FALSE()),"-")</f>
        <v>13</v>
      </c>
      <c r="E4" s="94" t="str">
        <f aca="false">Table2[[#This Row],[Team]] &amp; "/" &amp; Table2[[#This Row],[Bye]]</f>
        <v>BAL/13</v>
      </c>
      <c r="F4" s="95" t="n">
        <f aca="false">IFERROR(VLOOKUP(Table2[[#This Row],[PLAYER]],QB!A:Q,15,FALSE())/17*(17-Table2[[#This Row],[Missed Games]]),0)</f>
        <v>261.354951529412</v>
      </c>
      <c r="G4" s="95" t="n">
        <f aca="false">IFERROR(VLOOKUP(Table2[[#This Row],[PLAYER]],QB!A:Q,16,FALSE())/17*(17-Table2[[#This Row],[Missed Games]]),0)</f>
        <v>285.192955952941</v>
      </c>
      <c r="H4" s="95" t="n">
        <f aca="false">IFERROR(VLOOKUP(Table2[[#This Row],[PLAYER]],QB!A:Q,17,FALSE())/17*(17-Table2[[#This Row],[Missed Games]]),0)</f>
        <v>317.036142305882</v>
      </c>
      <c r="I4" s="96" t="n">
        <f aca="false">AVERAGE(AVERAGE(Table2[[#This Row],[LOW]],Table2[[#This Row],[HIGH]]),Table2[[#This Row],[AVG]],VLOOKUP(Table2[[#This Row],[PLAYER]],ECR!L:N,3,FALSE()))</f>
        <v>286.786313035294</v>
      </c>
      <c r="J4" s="96" t="n">
        <f aca="false">Table2[[#This Row],[Zscore Projection]]-$C$1</f>
        <v>18.4069472470588</v>
      </c>
      <c r="K4" s="97" t="e">
        <f aca="false">MAX(Table2[[#This Row],[VBD]]*Scoring!$B$48+1,1)</f>
        <v>#VALUE!</v>
      </c>
      <c r="L4" s="98" t="n">
        <f aca="false">VLOOKUP(Table2[[#This Row],[VBD]],BH:BJ,3,FALSE())</f>
        <v>2</v>
      </c>
      <c r="M4" s="99" t="n">
        <f aca="false">VLOOKUP(INDEX(ECR!$E:$E,MATCH(B4,ECR!$C:$C,0)),RISK!A:B,2,FALSE())</f>
        <v>2.0584</v>
      </c>
      <c r="N4" s="100"/>
      <c r="O4" s="98" t="s">
        <v>137</v>
      </c>
      <c r="P4" s="93" t="str">
        <f aca="false">VLOOKUP(O4,ECR!E:L,8,FALSE())</f>
        <v>Bijan Robinson</v>
      </c>
      <c r="Q4" s="94" t="str">
        <f aca="false">IFERROR(VLOOKUP(Table4[[#This Row],[PLAYER]],ECR!C:F,2,FALSE()),"-")</f>
        <v>ATL</v>
      </c>
      <c r="R4" s="94" t="n">
        <f aca="false">IFERROR(VLOOKUP(Table4[[#This Row],[PLAYER]],ECR!C:F,4,FALSE()),"-")</f>
        <v>11</v>
      </c>
      <c r="S4" s="94" t="str">
        <f aca="false">Table4[[#This Row],[Team]] &amp; "/" &amp; Table4[[#This Row],[Bye]]</f>
        <v>ATL/11</v>
      </c>
      <c r="T4" s="95" t="n">
        <f aca="false">IFERROR(VLOOKUP(Table4[[#This Row],[PLAYER]],RB!A:Q,13,FALSE())/17*(17-Table4[[#This Row],[Missed Games]]),0)</f>
        <v>261.154</v>
      </c>
      <c r="U4" s="95" t="n">
        <f aca="false">IFERROR(VLOOKUP(Table4[[#This Row],[PLAYER]],RB!A:Q,14,FALSE())/17*(17-Table4[[#This Row],[Missed Games]]),0)</f>
        <v>270.572</v>
      </c>
      <c r="V4" s="95" t="n">
        <f aca="false">IFERROR(VLOOKUP(Table4[[#This Row],[PLAYER]],RB!A:Q,15,FALSE())/17*(17-Table4[[#This Row],[Missed Games]]),0)</f>
        <v>278.6045</v>
      </c>
      <c r="W4" s="96" t="n">
        <f aca="false">AVERAGE(AVERAGE(Table4[[#This Row],[LOW]],Table4[[#This Row],[HIGH]]),Table4[[#This Row],[AVG]],VLOOKUP(Table4[[#This Row],[PLAYER]],ECR!L:N,3,FALSE()))</f>
        <v>270.341083333333</v>
      </c>
      <c r="X4" s="96" t="n">
        <f aca="false">Table4[[#This Row],[Zscore Projection]]-$Q$1</f>
        <v>142.795344941176</v>
      </c>
      <c r="Y4" s="97" t="e">
        <f aca="false">MAX(Table4[[#This Row],[VBD]]*Scoring!$B$48+1,1)</f>
        <v>#VALUE!</v>
      </c>
      <c r="Z4" s="98" t="n">
        <f aca="false">VLOOKUP(Table4[[#This Row],[VBD]],BM:BO,3,FALSE())</f>
        <v>1</v>
      </c>
      <c r="AA4" s="99" t="n">
        <f aca="false">VLOOKUP(INDEX(ECR!$E:$E,MATCH(P4,ECR!$C:$C,0)),RISK!A:B,2,FALSE())</f>
        <v>2.55</v>
      </c>
      <c r="AB4" s="100"/>
      <c r="AC4" s="94" t="s">
        <v>138</v>
      </c>
      <c r="AD4" s="94" t="str">
        <f aca="false">VLOOKUP(AC4,ECR!E:L,8,FALSE())</f>
        <v>Puka Nacua</v>
      </c>
      <c r="AE4" s="94" t="str">
        <f aca="false">IFERROR(VLOOKUP(Table6[[#This Row],[PLAYER]],ECR!C:F,2,FALSE()),"-")</f>
        <v>LAR</v>
      </c>
      <c r="AF4" s="94" t="n">
        <f aca="false">IFERROR(VLOOKUP(Table6[[#This Row],[PLAYER]],ECR!C:F,4,FALSE()),"-")</f>
        <v>11</v>
      </c>
      <c r="AG4" s="94" t="str">
        <f aca="false">Table6[[#This Row],[Team]] &amp; "/" &amp; Table6[[#This Row],[Bye]]</f>
        <v>LAR/11</v>
      </c>
      <c r="AH4" s="95" t="n">
        <f aca="false">IFERROR(VLOOKUP(Table6[[#This Row],[PLAYER]],WR!A:Q,13,FALSE())/17*(17-Table6[[#This Row],[Missed Games]]),0)</f>
        <v>247.751791764706</v>
      </c>
      <c r="AI4" s="95" t="n">
        <f aca="false">IFERROR(VLOOKUP(Table6[[#This Row],[PLAYER]],WR!A:Q,14,FALSE())/17*(17-Table6[[#This Row],[Missed Games]]),0)</f>
        <v>249.350763529412</v>
      </c>
      <c r="AJ4" s="95" t="n">
        <f aca="false">IFERROR(VLOOKUP(Table6[[#This Row],[PLAYER]],WR!A:Q,15,FALSE())/17*(17-Table6[[#This Row],[Missed Games]]),0)</f>
        <v>253.259361176471</v>
      </c>
      <c r="AK4" s="96" t="n">
        <f aca="false">AVERAGE(AVERAGE(Table6[[#This Row],[LOW]],Table6[[#This Row],[HIGH]]),Table6[[#This Row],[AVG]],VLOOKUP(Table6[[#This Row],[PLAYER]],ECR!L:N,3,FALSE()))</f>
        <v>248.433242960784</v>
      </c>
      <c r="AL4" s="96" t="n">
        <f aca="false">Table6[[#This Row],[Zscore Projection]]-$AE$1</f>
        <v>122.755364215686</v>
      </c>
      <c r="AM4" s="97" t="e">
        <f aca="false">MAX(Table6[[#This Row],[VBD]]*Scoring!$B$48+1,1)</f>
        <v>#VALUE!</v>
      </c>
      <c r="AN4" s="98" t="n">
        <f aca="false">VLOOKUP(Table6[[#This Row],[VBD]],BR:BT,3,FALSE())</f>
        <v>1</v>
      </c>
      <c r="AO4" s="99" t="n">
        <f aca="false">VLOOKUP(INDEX(ECR!$E:$E,MATCH(AD4,ECR!$C:$C,0)),RISK!A:B,2,FALSE())</f>
        <v>1.8986</v>
      </c>
      <c r="AP4" s="100"/>
      <c r="AQ4" s="101" t="s">
        <v>139</v>
      </c>
      <c r="AR4" s="101" t="str">
        <f aca="false">VLOOKUP(AQ4,ECR!E:L,8,FALSE())</f>
        <v>Trey McBride</v>
      </c>
      <c r="AS4" s="101" t="str">
        <f aca="false">IFERROR(VLOOKUP(Table7[[#This Row],[PLAYER]],ECR!C:F,2,FALSE()),"-")</f>
        <v>ARI</v>
      </c>
      <c r="AT4" s="101" t="n">
        <f aca="false">IFERROR(VLOOKUP(Table7[[#This Row],[PLAYER]],ECR!C:F,4,FALSE()),"-")</f>
        <v>14</v>
      </c>
      <c r="AU4" s="101" t="str">
        <f aca="false">Table7[[#This Row],[Team]] &amp; "/" &amp; Table7[[#This Row],[Bye]]</f>
        <v>ARI/14</v>
      </c>
      <c r="AV4" s="95" t="n">
        <f aca="false">IFERROR(VLOOKUP(Table7[[#This Row],[PLAYER]],TE!A:K,9,FALSE())/17*(16-Table7[[#This Row],[Missed Games]]),0)</f>
        <v>151.127618352941</v>
      </c>
      <c r="AW4" s="95" t="n">
        <f aca="false">IFERROR(VLOOKUP(Table7[[#This Row],[PLAYER]],TE!A:K,10,FALSE())/17*(16-Table7[[#This Row],[Missed Games]]),0)</f>
        <v>164.731390352941</v>
      </c>
      <c r="AX4" s="95" t="n">
        <f aca="false">IFERROR(VLOOKUP(Table7[[#This Row],[PLAYER]],TE!A:K,11,FALSE())/17*(16-Table7[[#This Row],[Missed Games]]),0)</f>
        <v>178.825094117647</v>
      </c>
      <c r="AY4" s="96" t="n">
        <f aca="false">AVERAGE(AVERAGE(Table7[[#This Row],[LOW]],Table7[[#This Row],[HIGH]]),Table7[[#This Row],[AVG]],VLOOKUP(Table7[[#This Row],[PLAYER]],ECR!L:N,3,FALSE()))</f>
        <v>164.813045647059</v>
      </c>
      <c r="AZ4" s="96" t="n">
        <f aca="false">Table7[[#This Row],[Zscore Projection]]-$AS$1</f>
        <v>52.2394482058824</v>
      </c>
      <c r="BA4" s="97" t="e">
        <f aca="false">MAX(Table7[[#This Row],[VBD]]*Scoring!$B$48+1,1)</f>
        <v>#VALUE!</v>
      </c>
      <c r="BB4" s="95" t="n">
        <f aca="false">VLOOKUP(Table7[[#This Row],[VBD]],BW:BY,3,FALSE())</f>
        <v>1</v>
      </c>
      <c r="BC4" s="99" t="n">
        <f aca="false">VLOOKUP(INDEX(ECR!$E:$E,MATCH(AR4,ECR!$C:$C,0)),RISK!A:B,2,FALSE())</f>
        <v>2.1186</v>
      </c>
      <c r="BD4" s="95"/>
      <c r="BE4" s="100"/>
      <c r="BF4" s="102" t="n">
        <v>2</v>
      </c>
      <c r="BG4" s="100" t="n">
        <f aca="false">IFERROR(LARGE($G$3:$G$52,BF4),"")</f>
        <v>285.970436235294</v>
      </c>
      <c r="BH4" s="100" t="n">
        <f aca="false">IFERROR(LARGE($J$3:$J$52,2),"")</f>
        <v>18.4069472470588</v>
      </c>
      <c r="BI4" s="100" t="n">
        <f aca="false">IF(BH4="",BI3,IF((BI3-BH4)&gt;0.2*LARGE($J$3:$J$52,2),BH4,BI3))</f>
        <v>18.4069472470588</v>
      </c>
      <c r="BJ4" s="103" t="n">
        <f aca="false">MIN(IF(BH4="",BJ3,IF((BI3-BH4)&gt;0.2*LARGE($J$3:$J$52,2),BJ3+1,BJ3)),15)</f>
        <v>2</v>
      </c>
      <c r="BK4" s="102" t="n">
        <v>2</v>
      </c>
      <c r="BL4" s="100" t="n">
        <f aca="false">IFERROR(LARGE($U$3:$U$102,BK4),"")</f>
        <v>270.572</v>
      </c>
      <c r="BM4" s="104" t="n">
        <f aca="false">IFERROR(LARGE($X$3:$X$102,2),"")</f>
        <v>142.795344941176</v>
      </c>
      <c r="BN4" s="104" t="n">
        <f aca="false">IF(BM4="",BN3,IF((BN3-BM4)&gt;0.15*LARGE($X$3:$X$102,2),BM4,BN3))</f>
        <v>163.80744754902</v>
      </c>
      <c r="BO4" s="103" t="n">
        <f aca="false">IF(BM4="",BO3,IF((BN3-BM4)&gt;0.15*LARGE($X$3:$X$102,2),BO3+1,BO3))</f>
        <v>1</v>
      </c>
      <c r="BP4" s="105" t="n">
        <v>2</v>
      </c>
      <c r="BQ4" s="100" t="n">
        <f aca="false">IFERROR(LARGE($AI$3:$AI$102,BP4),"")</f>
        <v>245.443388882353</v>
      </c>
      <c r="BR4" s="104" t="n">
        <f aca="false">IFERROR(LARGE($AL$3:$AL$102,2),"")</f>
        <v>121.114066872549</v>
      </c>
      <c r="BS4" s="104" t="n">
        <f aca="false">IF(BR4="",BS3,IF((BS3-BR4)&gt;0.15*LARGE($AL$3:$AL$102,2),BR4,BS3))</f>
        <v>122.755364215686</v>
      </c>
      <c r="BT4" s="103" t="n">
        <f aca="false">IF(BR4="",BT3,IF((BS3-BR4)&gt;0.15*LARGE($AL$3:$AL$102,2),BT3+1,BT3))</f>
        <v>1</v>
      </c>
      <c r="BU4" s="102" t="n">
        <v>2</v>
      </c>
      <c r="BV4" s="100" t="n">
        <f aca="false">IFERROR(LARGE($AW$3:$AW$52,BU4),"")</f>
        <v>164.731390352941</v>
      </c>
      <c r="BW4" s="104" t="n">
        <f aca="false">IFERROR(LARGE($AZ$3:$AZ$52,2),"")</f>
        <v>52.2394482058824</v>
      </c>
      <c r="BX4" s="104" t="n">
        <f aca="false">IF(BW4="",BX3,IF((BX3-BW4)&gt;0.2*LARGE($AZ$3:$AZ$52,2),BW4,BX3))</f>
        <v>61.0668292254902</v>
      </c>
      <c r="BY4" s="106" t="n">
        <f aca="false">IF(BW4="",BY3,IF((BX3-BW4)&gt;0.2*LARGE($AZ$3:$AZ$52,2),BY3+1,BY3))</f>
        <v>1</v>
      </c>
      <c r="BZ4" s="104"/>
      <c r="CA4" s="104"/>
      <c r="CB4" s="104"/>
      <c r="CC4" s="104"/>
      <c r="CD4" s="104"/>
      <c r="CE4" s="104"/>
      <c r="CF4" s="104"/>
      <c r="CG4" s="104"/>
    </row>
    <row r="5" s="107" customFormat="true" ht="14.25" hidden="false" customHeight="true" outlineLevel="0" collapsed="false">
      <c r="A5" s="93" t="s">
        <v>140</v>
      </c>
      <c r="B5" s="93" t="str">
        <f aca="false">VLOOKUP(A5,ECR!E:L,8,FALSE())</f>
        <v>Drake Maye</v>
      </c>
      <c r="C5" s="94" t="str">
        <f aca="false">IFERROR(VLOOKUP(Table2[[#This Row],[PLAYER]],ECR!C:F,2,FALSE()),"-")</f>
        <v>NE</v>
      </c>
      <c r="D5" s="94" t="n">
        <f aca="false">IFERROR(VLOOKUP(Table2[[#This Row],[PLAYER]],ECR!C:F,4,FALSE()),"-")</f>
        <v>11</v>
      </c>
      <c r="E5" s="94" t="str">
        <f aca="false">Table2[[#This Row],[Team]] &amp; "/" &amp; Table2[[#This Row],[Bye]]</f>
        <v>NE/11</v>
      </c>
      <c r="F5" s="95" t="n">
        <f aca="false">IFERROR(VLOOKUP(Table2[[#This Row],[PLAYER]],QB!A:Q,15,FALSE())/17*(17-Table2[[#This Row],[Missed Games]]),0)</f>
        <v>265.407704941177</v>
      </c>
      <c r="G5" s="95" t="n">
        <f aca="false">IFERROR(VLOOKUP(Table2[[#This Row],[PLAYER]],QB!A:Q,16,FALSE())/17*(17-Table2[[#This Row],[Missed Games]]),0)</f>
        <v>283.026304</v>
      </c>
      <c r="H5" s="95" t="n">
        <f aca="false">IFERROR(VLOOKUP(Table2[[#This Row],[PLAYER]],QB!A:Q,17,FALSE())/17*(17-Table2[[#This Row],[Missed Games]]),0)</f>
        <v>295.093016188235</v>
      </c>
      <c r="I5" s="96" t="n">
        <f aca="false">AVERAGE(AVERAGE(Table2[[#This Row],[LOW]],Table2[[#This Row],[HIGH]]),Table2[[#This Row],[AVG]],VLOOKUP(Table2[[#This Row],[PLAYER]],ECR!L:N,3,FALSE()))</f>
        <v>282.823206839216</v>
      </c>
      <c r="J5" s="96" t="n">
        <f aca="false">Table2[[#This Row],[Zscore Projection]]-$C$1</f>
        <v>14.4438410509805</v>
      </c>
      <c r="K5" s="97" t="e">
        <f aca="false">MAX(Table2[[#This Row],[VBD]]*Scoring!$B$48+1,1)</f>
        <v>#VALUE!</v>
      </c>
      <c r="L5" s="98" t="n">
        <f aca="false">VLOOKUP(Table2[[#This Row],[VBD]],BH:BJ,3,FALSE())</f>
        <v>3</v>
      </c>
      <c r="M5" s="99" t="n">
        <f aca="false">VLOOKUP(INDEX(ECR!$E:$E,MATCH(B5,ECR!$C:$C,0)),RISK!A:B,2,FALSE())</f>
        <v>2.0092</v>
      </c>
      <c r="N5" s="100"/>
      <c r="O5" s="98" t="s">
        <v>141</v>
      </c>
      <c r="P5" s="93" t="str">
        <f aca="false">VLOOKUP(O5,ECR!E:L,8,FALSE())</f>
        <v>Jonathan Taylor</v>
      </c>
      <c r="Q5" s="94" t="str">
        <f aca="false">IFERROR(VLOOKUP(Table4[[#This Row],[PLAYER]],ECR!C:F,2,FALSE()),"-")</f>
        <v>IND</v>
      </c>
      <c r="R5" s="94" t="n">
        <f aca="false">IFERROR(VLOOKUP(Table4[[#This Row],[PLAYER]],ECR!C:F,4,FALSE()),"-")</f>
        <v>13</v>
      </c>
      <c r="S5" s="94" t="str">
        <f aca="false">Table4[[#This Row],[Team]] &amp; "/" &amp; Table4[[#This Row],[Bye]]</f>
        <v>IND/13</v>
      </c>
      <c r="T5" s="95" t="n">
        <f aca="false">IFERROR(VLOOKUP(Table4[[#This Row],[PLAYER]],RB!A:Q,13,FALSE())/17*(17-Table4[[#This Row],[Missed Games]]),0)</f>
        <v>225.848125882353</v>
      </c>
      <c r="U5" s="95" t="n">
        <f aca="false">IFERROR(VLOOKUP(Table4[[#This Row],[PLAYER]],RB!A:Q,14,FALSE())/17*(17-Table4[[#This Row],[Missed Games]]),0)</f>
        <v>246.826416235294</v>
      </c>
      <c r="V5" s="95" t="n">
        <f aca="false">IFERROR(VLOOKUP(Table4[[#This Row],[PLAYER]],RB!A:Q,15,FALSE())/17*(17-Table4[[#This Row],[Missed Games]]),0)</f>
        <v>273.227781647059</v>
      </c>
      <c r="W5" s="96" t="n">
        <f aca="false">AVERAGE(AVERAGE(Table4[[#This Row],[LOW]],Table4[[#This Row],[HIGH]]),Table4[[#This Row],[AVG]],VLOOKUP(Table4[[#This Row],[PLAYER]],ECR!L:N,3,FALSE()))</f>
        <v>249.192153764706</v>
      </c>
      <c r="X5" s="96" t="n">
        <f aca="false">Table4[[#This Row],[Zscore Projection]]-$Q$1</f>
        <v>121.646415372549</v>
      </c>
      <c r="Y5" s="97" t="e">
        <f aca="false">MAX(Table4[[#This Row],[VBD]]*Scoring!$B$48+1,1)</f>
        <v>#VALUE!</v>
      </c>
      <c r="Z5" s="98" t="n">
        <f aca="false">VLOOKUP(Table4[[#This Row],[VBD]],BM:BO,3,FALSE())</f>
        <v>2</v>
      </c>
      <c r="AA5" s="99" t="n">
        <f aca="false">VLOOKUP(INDEX(ECR!$E:$E,MATCH(P5,ECR!$C:$C,0)),RISK!A:B,2,FALSE())</f>
        <v>2.5498</v>
      </c>
      <c r="AB5" s="100"/>
      <c r="AC5" s="94" t="s">
        <v>142</v>
      </c>
      <c r="AD5" s="94" t="str">
        <f aca="false">VLOOKUP(AC5,ECR!E:L,8,FALSE())</f>
        <v>Jaxon Smith-Njigba</v>
      </c>
      <c r="AE5" s="94" t="str">
        <f aca="false">IFERROR(VLOOKUP(Table6[[#This Row],[PLAYER]],ECR!C:F,2,FALSE()),"-")</f>
        <v>SEA</v>
      </c>
      <c r="AF5" s="94" t="n">
        <f aca="false">IFERROR(VLOOKUP(Table6[[#This Row],[PLAYER]],ECR!C:F,4,FALSE()),"-")</f>
        <v>11</v>
      </c>
      <c r="AG5" s="94" t="str">
        <f aca="false">Table6[[#This Row],[Team]] &amp; "/" &amp; Table6[[#This Row],[Bye]]</f>
        <v>SEA/11</v>
      </c>
      <c r="AH5" s="95" t="n">
        <f aca="false">IFERROR(VLOOKUP(Table6[[#This Row],[PLAYER]],WR!A:Q,13,FALSE())/17*(17-Table6[[#This Row],[Missed Games]]),0)</f>
        <v>223.515974117647</v>
      </c>
      <c r="AI5" s="95" t="n">
        <f aca="false">IFERROR(VLOOKUP(Table6[[#This Row],[PLAYER]],WR!A:Q,14,FALSE())/17*(17-Table6[[#This Row],[Missed Games]]),0)</f>
        <v>239.223649411765</v>
      </c>
      <c r="AJ5" s="95" t="n">
        <f aca="false">IFERROR(VLOOKUP(Table6[[#This Row],[PLAYER]],WR!A:Q,15,FALSE())/17*(17-Table6[[#This Row],[Missed Games]]),0)</f>
        <v>259.981483823529</v>
      </c>
      <c r="AK5" s="96" t="n">
        <f aca="false">AVERAGE(AVERAGE(Table6[[#This Row],[LOW]],Table6[[#This Row],[HIGH]]),Table6[[#This Row],[AVG]],VLOOKUP(Table6[[#This Row],[PLAYER]],ECR!L:N,3,FALSE()))</f>
        <v>240.065342598039</v>
      </c>
      <c r="AL5" s="96" t="n">
        <f aca="false">Table6[[#This Row],[Zscore Projection]]-$AE$1</f>
        <v>114.387463852941</v>
      </c>
      <c r="AM5" s="97" t="e">
        <f aca="false">MAX(Table6[[#This Row],[VBD]]*Scoring!$B$48+1,1)</f>
        <v>#VALUE!</v>
      </c>
      <c r="AN5" s="98" t="n">
        <f aca="false">VLOOKUP(Table6[[#This Row],[VBD]],BR:BT,3,FALSE())</f>
        <v>1</v>
      </c>
      <c r="AO5" s="99" t="n">
        <f aca="false">VLOOKUP(INDEX(ECR!$E:$E,MATCH(AD5,ECR!$C:$C,0)),RISK!A:B,2,FALSE())</f>
        <v>1.9645</v>
      </c>
      <c r="AP5" s="100"/>
      <c r="AQ5" s="101" t="s">
        <v>143</v>
      </c>
      <c r="AR5" s="101" t="str">
        <f aca="false">VLOOKUP(AQ5,ECR!E:L,8,FALSE())</f>
        <v>Colston Loveland</v>
      </c>
      <c r="AS5" s="101" t="str">
        <f aca="false">IFERROR(VLOOKUP(Table7[[#This Row],[PLAYER]],ECR!C:F,2,FALSE()),"-")</f>
        <v>CHI</v>
      </c>
      <c r="AT5" s="101" t="n">
        <f aca="false">IFERROR(VLOOKUP(Table7[[#This Row],[PLAYER]],ECR!C:F,4,FALSE()),"-")</f>
        <v>10</v>
      </c>
      <c r="AU5" s="101" t="str">
        <f aca="false">Table7[[#This Row],[Team]] &amp; "/" &amp; Table7[[#This Row],[Bye]]</f>
        <v>CHI/10</v>
      </c>
      <c r="AV5" s="95" t="n">
        <f aca="false">IFERROR(VLOOKUP(Table7[[#This Row],[PLAYER]],TE!A:K,9,FALSE())/17*(16-Table7[[#This Row],[Missed Games]]),0)</f>
        <v>128.435867647059</v>
      </c>
      <c r="AW5" s="95" t="n">
        <f aca="false">IFERROR(VLOOKUP(Table7[[#This Row],[PLAYER]],TE!A:K,10,FALSE())/17*(16-Table7[[#This Row],[Missed Games]]),0)</f>
        <v>141.386142352941</v>
      </c>
      <c r="AX5" s="95" t="n">
        <f aca="false">IFERROR(VLOOKUP(Table7[[#This Row],[PLAYER]],TE!A:K,11,FALSE())/17*(16-Table7[[#This Row],[Missed Games]]),0)</f>
        <v>158.882964705882</v>
      </c>
      <c r="AY5" s="96" t="n">
        <f aca="false">AVERAGE(AVERAGE(Table7[[#This Row],[LOW]],Table7[[#This Row],[HIGH]]),Table7[[#This Row],[AVG]],VLOOKUP(Table7[[#This Row],[PLAYER]],ECR!L:N,3,FALSE()))</f>
        <v>142.143900294118</v>
      </c>
      <c r="AZ5" s="96" t="n">
        <f aca="false">Table7[[#This Row],[Zscore Projection]]-$AS$1</f>
        <v>29.5703028529412</v>
      </c>
      <c r="BA5" s="97" t="e">
        <f aca="false">MAX(Table7[[#This Row],[VBD]]*Scoring!$B$48+1,1)</f>
        <v>#VALUE!</v>
      </c>
      <c r="BB5" s="95" t="n">
        <f aca="false">VLOOKUP(Table7[[#This Row],[VBD]],BW:BY,3,FALSE())</f>
        <v>2</v>
      </c>
      <c r="BC5" s="99" t="n">
        <f aca="false">VLOOKUP(INDEX(ECR!$E:$E,MATCH(AR5,ECR!$C:$C,0)),RISK!A:B,2,FALSE())</f>
        <v>2.0485</v>
      </c>
      <c r="BD5" s="95"/>
      <c r="BE5" s="100"/>
      <c r="BF5" s="102" t="n">
        <v>3</v>
      </c>
      <c r="BG5" s="100" t="n">
        <f aca="false">IFERROR(LARGE($G$3:$G$52,BF5),"")</f>
        <v>285.192955952941</v>
      </c>
      <c r="BH5" s="100" t="n">
        <f aca="false">IFERROR(LARGE($J$3:$J$52,3),"")</f>
        <v>15.9332825254903</v>
      </c>
      <c r="BI5" s="100" t="n">
        <f aca="false">IF(BH5="",BI4,IF((BI4-BH5)&gt;0.2*LARGE($J$3:$J$52,2),BH5,BI4))</f>
        <v>18.4069472470588</v>
      </c>
      <c r="BJ5" s="103" t="n">
        <f aca="false">MIN(IF(BH5="",BJ4,IF((BI4-BH5)&gt;0.2*LARGE($J$3:$J$52,2),BJ4+1,BJ4)),15)</f>
        <v>2</v>
      </c>
      <c r="BK5" s="102" t="n">
        <v>3</v>
      </c>
      <c r="BL5" s="100" t="n">
        <f aca="false">IFERROR(LARGE($U$3:$U$102,BK5),"")</f>
        <v>251.212091294118</v>
      </c>
      <c r="BM5" s="104" t="n">
        <f aca="false">IFERROR(LARGE($X$3:$X$102,3),"")</f>
        <v>121.646415372549</v>
      </c>
      <c r="BN5" s="104" t="n">
        <f aca="false">IF(BM5="",BN4,IF((BN4-BM5)&gt;0.15*LARGE($X$3:$X$102,2),BM5,BN4))</f>
        <v>121.646415372549</v>
      </c>
      <c r="BO5" s="103" t="n">
        <f aca="false">IF(BM5="",BO4,IF((BN4-BM5)&gt;0.15*LARGE($X$3:$X$102,2),BO4+1,BO4))</f>
        <v>2</v>
      </c>
      <c r="BP5" s="105" t="n">
        <v>3</v>
      </c>
      <c r="BQ5" s="100" t="n">
        <f aca="false">IFERROR(LARGE($AI$3:$AI$102,BP5),"")</f>
        <v>239.223649411765</v>
      </c>
      <c r="BR5" s="104" t="n">
        <f aca="false">IFERROR(LARGE($AL$3:$AL$102,3),"")</f>
        <v>114.387463852941</v>
      </c>
      <c r="BS5" s="104" t="n">
        <f aca="false">IF(BR5="",BS4,IF((BS4-BR5)&gt;0.15*LARGE($AL$3:$AL$102,2),BR5,BS4))</f>
        <v>122.755364215686</v>
      </c>
      <c r="BT5" s="103" t="n">
        <f aca="false">IF(BR5="",BT4,IF((BS4-BR5)&gt;0.15*LARGE($AL$3:$AL$102,2),BT4+1,BT4))</f>
        <v>1</v>
      </c>
      <c r="BU5" s="102" t="n">
        <v>3</v>
      </c>
      <c r="BV5" s="100" t="n">
        <f aca="false">IFERROR(LARGE($AW$3:$AW$52,BU5),"")</f>
        <v>141.386142352941</v>
      </c>
      <c r="BW5" s="104" t="n">
        <f aca="false">IFERROR(LARGE($AZ$3:$AZ$52,3),"")</f>
        <v>29.5703028529412</v>
      </c>
      <c r="BX5" s="104" t="n">
        <f aca="false">IF(BW5="",BX4,IF((BX4-BW5)&gt;0.2*LARGE($AZ$3:$AZ$52,2),BW5,BX4))</f>
        <v>29.5703028529412</v>
      </c>
      <c r="BY5" s="106" t="n">
        <f aca="false">IF(BW5="",BY4,IF((BX4-BW5)&gt;0.2*LARGE($AZ$3:$AZ$52,2),BY4+1,BY4))</f>
        <v>2</v>
      </c>
      <c r="BZ5" s="104"/>
      <c r="CA5" s="104"/>
      <c r="CB5" s="104"/>
      <c r="CC5" s="104"/>
      <c r="CD5" s="104"/>
      <c r="CE5" s="104"/>
      <c r="CF5" s="104"/>
      <c r="CG5" s="104"/>
    </row>
    <row r="6" s="107" customFormat="true" ht="14.25" hidden="false" customHeight="true" outlineLevel="0" collapsed="false">
      <c r="A6" s="93" t="s">
        <v>144</v>
      </c>
      <c r="B6" s="93" t="str">
        <f aca="false">VLOOKUP(A6,ECR!E:L,8,FALSE())</f>
        <v>Joe Burrow</v>
      </c>
      <c r="C6" s="94" t="str">
        <f aca="false">IFERROR(VLOOKUP(Table2[[#This Row],[PLAYER]],ECR!C:F,2,FALSE()),"-")</f>
        <v>CIN</v>
      </c>
      <c r="D6" s="94" t="n">
        <f aca="false">IFERROR(VLOOKUP(Table2[[#This Row],[PLAYER]],ECR!C:F,4,FALSE()),"-")</f>
        <v>6</v>
      </c>
      <c r="E6" s="94" t="str">
        <f aca="false">Table2[[#This Row],[Team]] &amp; "/" &amp; Table2[[#This Row],[Bye]]</f>
        <v>CIN/6</v>
      </c>
      <c r="F6" s="95" t="n">
        <f aca="false">IFERROR(VLOOKUP(Table2[[#This Row],[PLAYER]],QB!A:Q,15,FALSE())/17*(17-Table2[[#This Row],[Missed Games]]),0)</f>
        <v>264.803870117647</v>
      </c>
      <c r="G6" s="95" t="n">
        <f aca="false">IFERROR(VLOOKUP(Table2[[#This Row],[PLAYER]],QB!A:Q,16,FALSE())/17*(17-Table2[[#This Row],[Missed Games]]),0)</f>
        <v>275.046984564706</v>
      </c>
      <c r="H6" s="95" t="n">
        <f aca="false">IFERROR(VLOOKUP(Table2[[#This Row],[PLAYER]],QB!A:Q,17,FALSE())/17*(17-Table2[[#This Row],[Missed Games]]),0)</f>
        <v>288.338455529412</v>
      </c>
      <c r="I6" s="96" t="n">
        <f aca="false">AVERAGE(AVERAGE(Table2[[#This Row],[LOW]],Table2[[#This Row],[HIGH]]),Table2[[#This Row],[AVG]],VLOOKUP(Table2[[#This Row],[PLAYER]],ECR!L:N,3,FALSE()))</f>
        <v>278.522579717647</v>
      </c>
      <c r="J6" s="96" t="n">
        <f aca="false">Table2[[#This Row],[Zscore Projection]]-$C$1</f>
        <v>10.1432139294118</v>
      </c>
      <c r="K6" s="97" t="e">
        <f aca="false">MAX(Table2[[#This Row],[VBD]]*Scoring!$B$48+1,1)</f>
        <v>#VALUE!</v>
      </c>
      <c r="L6" s="98" t="n">
        <f aca="false">VLOOKUP(Table2[[#This Row],[VBD]],BH:BJ,3,FALSE())</f>
        <v>4</v>
      </c>
      <c r="M6" s="99" t="n">
        <f aca="false">VLOOKUP(INDEX(ECR!$E:$E,MATCH(B6,ECR!$C:$C,0)),RISK!A:B,2,FALSE())</f>
        <v>1.9704</v>
      </c>
      <c r="N6" s="100"/>
      <c r="O6" s="98" t="s">
        <v>145</v>
      </c>
      <c r="P6" s="93" t="str">
        <f aca="false">VLOOKUP(O6,ECR!E:L,8,FALSE())</f>
        <v>Christian McCaffrey</v>
      </c>
      <c r="Q6" s="94" t="str">
        <f aca="false">IFERROR(VLOOKUP(Table4[[#This Row],[PLAYER]],ECR!C:F,2,FALSE()),"-")</f>
        <v>SF</v>
      </c>
      <c r="R6" s="94" t="n">
        <f aca="false">IFERROR(VLOOKUP(Table4[[#This Row],[PLAYER]],ECR!C:F,4,FALSE()),"-")</f>
        <v>8</v>
      </c>
      <c r="S6" s="94" t="str">
        <f aca="false">Table4[[#This Row],[Team]] &amp; "/" &amp; Table4[[#This Row],[Bye]]</f>
        <v>SF/8</v>
      </c>
      <c r="T6" s="95" t="n">
        <f aca="false">IFERROR(VLOOKUP(Table4[[#This Row],[PLAYER]],RB!A:Q,13,FALSE())/17*(17-Table4[[#This Row],[Missed Games]]),0)</f>
        <v>234.247030588235</v>
      </c>
      <c r="U6" s="95" t="n">
        <f aca="false">IFERROR(VLOOKUP(Table4[[#This Row],[PLAYER]],RB!A:Q,14,FALSE())/17*(17-Table4[[#This Row],[Missed Games]]),0)</f>
        <v>251.212091294118</v>
      </c>
      <c r="V6" s="95" t="n">
        <f aca="false">IFERROR(VLOOKUP(Table4[[#This Row],[PLAYER]],RB!A:Q,15,FALSE())/17*(17-Table4[[#This Row],[Missed Games]]),0)</f>
        <v>263.060435294118</v>
      </c>
      <c r="W6" s="96" t="n">
        <f aca="false">AVERAGE(AVERAGE(Table4[[#This Row],[LOW]],Table4[[#This Row],[HIGH]]),Table4[[#This Row],[AVG]],VLOOKUP(Table4[[#This Row],[PLAYER]],ECR!L:N,3,FALSE()))</f>
        <v>248.897413490196</v>
      </c>
      <c r="X6" s="96" t="n">
        <f aca="false">Table4[[#This Row],[Zscore Projection]]-$Q$1</f>
        <v>121.351675098039</v>
      </c>
      <c r="Y6" s="97" t="e">
        <f aca="false">MAX(Table4[[#This Row],[VBD]]*Scoring!$B$48+1,1)</f>
        <v>#VALUE!</v>
      </c>
      <c r="Z6" s="98" t="n">
        <f aca="false">VLOOKUP(Table4[[#This Row],[VBD]],BM:BO,3,FALSE())</f>
        <v>2</v>
      </c>
      <c r="AA6" s="99" t="n">
        <f aca="false">VLOOKUP(INDEX(ECR!$E:$E,MATCH(P6,ECR!$C:$C,0)),RISK!A:B,2,FALSE())</f>
        <v>2.5508</v>
      </c>
      <c r="AB6" s="100"/>
      <c r="AC6" s="94" t="s">
        <v>146</v>
      </c>
      <c r="AD6" s="94" t="str">
        <f aca="false">VLOOKUP(AC6,ECR!E:L,8,FALSE())</f>
        <v>Amon-Ra St. Brown</v>
      </c>
      <c r="AE6" s="94" t="str">
        <f aca="false">IFERROR(VLOOKUP(Table6[[#This Row],[PLAYER]],ECR!C:F,2,FALSE()),"-")</f>
        <v>DET</v>
      </c>
      <c r="AF6" s="94" t="n">
        <f aca="false">IFERROR(VLOOKUP(Table6[[#This Row],[PLAYER]],ECR!C:F,4,FALSE()),"-")</f>
        <v>6</v>
      </c>
      <c r="AG6" s="94" t="str">
        <f aca="false">Table6[[#This Row],[Team]] &amp; "/" &amp; Table6[[#This Row],[Bye]]</f>
        <v>DET/6</v>
      </c>
      <c r="AH6" s="95" t="n">
        <f aca="false">IFERROR(VLOOKUP(Table6[[#This Row],[PLAYER]],WR!A:Q,13,FALSE())/17*(17-Table6[[#This Row],[Missed Games]]),0)</f>
        <v>223.40822</v>
      </c>
      <c r="AI6" s="95" t="n">
        <f aca="false">IFERROR(VLOOKUP(Table6[[#This Row],[PLAYER]],WR!A:Q,14,FALSE())/17*(17-Table6[[#This Row],[Missed Games]]),0)</f>
        <v>230.047944</v>
      </c>
      <c r="AJ6" s="95" t="n">
        <f aca="false">IFERROR(VLOOKUP(Table6[[#This Row],[PLAYER]],WR!A:Q,15,FALSE())/17*(17-Table6[[#This Row],[Missed Games]]),0)</f>
        <v>237.867672</v>
      </c>
      <c r="AK6" s="96" t="n">
        <f aca="false">AVERAGE(AVERAGE(Table6[[#This Row],[LOW]],Table6[[#This Row],[HIGH]]),Table6[[#This Row],[AVG]],VLOOKUP(Table6[[#This Row],[PLAYER]],ECR!L:N,3,FALSE()))</f>
        <v>230.244611333333</v>
      </c>
      <c r="AL6" s="96" t="n">
        <f aca="false">Table6[[#This Row],[Zscore Projection]]-$AE$1</f>
        <v>104.566732588235</v>
      </c>
      <c r="AM6" s="97" t="e">
        <f aca="false">MAX(Table6[[#This Row],[VBD]]*Scoring!$B$48+1,1)</f>
        <v>#VALUE!</v>
      </c>
      <c r="AN6" s="98" t="n">
        <f aca="false">VLOOKUP(Table6[[#This Row],[VBD]],BR:BT,3,FALSE())</f>
        <v>2</v>
      </c>
      <c r="AO6" s="99" t="n">
        <f aca="false">VLOOKUP(INDEX(ECR!$E:$E,MATCH(AD6,ECR!$C:$C,0)),RISK!A:B,2,FALSE())</f>
        <v>2.0298</v>
      </c>
      <c r="AP6" s="100"/>
      <c r="AQ6" s="101" t="s">
        <v>147</v>
      </c>
      <c r="AR6" s="101" t="str">
        <f aca="false">VLOOKUP(AQ6,ECR!E:L,8,FALSE())</f>
        <v>Tyler Warren</v>
      </c>
      <c r="AS6" s="101" t="str">
        <f aca="false">IFERROR(VLOOKUP(Table7[[#This Row],[PLAYER]],ECR!C:F,2,FALSE()),"-")</f>
        <v>IND</v>
      </c>
      <c r="AT6" s="101" t="n">
        <f aca="false">IFERROR(VLOOKUP(Table7[[#This Row],[PLAYER]],ECR!C:F,4,FALSE()),"-")</f>
        <v>13</v>
      </c>
      <c r="AU6" s="101" t="str">
        <f aca="false">Table7[[#This Row],[Team]] &amp; "/" &amp; Table7[[#This Row],[Bye]]</f>
        <v>IND/13</v>
      </c>
      <c r="AV6" s="95" t="n">
        <f aca="false">IFERROR(VLOOKUP(Table7[[#This Row],[PLAYER]],TE!A:K,9,FALSE())/17*(16-Table7[[#This Row],[Missed Games]]),0)</f>
        <v>123.116145882353</v>
      </c>
      <c r="AW6" s="95" t="n">
        <f aca="false">IFERROR(VLOOKUP(Table7[[#This Row],[PLAYER]],TE!A:K,10,FALSE())/17*(16-Table7[[#This Row],[Missed Games]]),0)</f>
        <v>131.546388</v>
      </c>
      <c r="AX6" s="95" t="n">
        <f aca="false">IFERROR(VLOOKUP(Table7[[#This Row],[PLAYER]],TE!A:K,11,FALSE())/17*(16-Table7[[#This Row],[Missed Games]]),0)</f>
        <v>139.020708235294</v>
      </c>
      <c r="AY6" s="96" t="n">
        <f aca="false">AVERAGE(AVERAGE(Table7[[#This Row],[LOW]],Table7[[#This Row],[HIGH]]),Table7[[#This Row],[AVG]],VLOOKUP(Table7[[#This Row],[PLAYER]],ECR!L:N,3,FALSE()))</f>
        <v>131.387067686275</v>
      </c>
      <c r="AZ6" s="96" t="n">
        <f aca="false">Table7[[#This Row],[Zscore Projection]]-$AS$1</f>
        <v>18.813470245098</v>
      </c>
      <c r="BA6" s="97" t="e">
        <f aca="false">MAX(Table7[[#This Row],[VBD]]*Scoring!$B$48+1,1)</f>
        <v>#VALUE!</v>
      </c>
      <c r="BB6" s="95" t="n">
        <f aca="false">VLOOKUP(Table7[[#This Row],[VBD]],BW:BY,3,FALSE())</f>
        <v>3</v>
      </c>
      <c r="BC6" s="99" t="n">
        <f aca="false">VLOOKUP(INDEX(ECR!$E:$E,MATCH(AR6,ECR!$C:$C,0)),RISK!A:B,2,FALSE())</f>
        <v>1.9908</v>
      </c>
      <c r="BD6" s="95"/>
      <c r="BE6" s="100"/>
      <c r="BF6" s="102" t="n">
        <v>4</v>
      </c>
      <c r="BG6" s="100" t="n">
        <f aca="false">IFERROR(LARGE($G$3:$G$52,BF6),"")</f>
        <v>283.949591764706</v>
      </c>
      <c r="BH6" s="100" t="n">
        <f aca="false">IFERROR(LARGE($J$3:$J$52,4),"")</f>
        <v>14.4438410509805</v>
      </c>
      <c r="BI6" s="100" t="n">
        <f aca="false">IF(BH6="",BI5,IF((BI5-BH6)&gt;0.2*LARGE($J$3:$J$52,2),BH6,BI5))</f>
        <v>14.4438410509805</v>
      </c>
      <c r="BJ6" s="103" t="n">
        <f aca="false">MIN(IF(BH6="",BJ5,IF((BI5-BH6)&gt;0.2*LARGE($J$3:$J$52,2),BJ5+1,BJ5)),15)</f>
        <v>3</v>
      </c>
      <c r="BK6" s="102" t="n">
        <v>4</v>
      </c>
      <c r="BL6" s="100" t="n">
        <f aca="false">IFERROR(LARGE($U$3:$U$102,BK6),"")</f>
        <v>246.826416235294</v>
      </c>
      <c r="BM6" s="104" t="n">
        <f aca="false">IFERROR(LARGE($X$3:$X$102,4),"")</f>
        <v>121.351675098039</v>
      </c>
      <c r="BN6" s="104" t="n">
        <f aca="false">IF(BM6="",BN5,IF((BN5-BM6)&gt;0.15*LARGE($X$3:$X$102,2),BM6,BN5))</f>
        <v>121.646415372549</v>
      </c>
      <c r="BO6" s="103" t="n">
        <f aca="false">IF(BM6="",BO5,IF((BN5-BM6)&gt;0.15*LARGE($X$3:$X$102,2),BO5+1,BO5))</f>
        <v>2</v>
      </c>
      <c r="BP6" s="105" t="n">
        <v>4</v>
      </c>
      <c r="BQ6" s="100" t="n">
        <f aca="false">IFERROR(LARGE($AI$3:$AI$102,BP6),"")</f>
        <v>230.047944</v>
      </c>
      <c r="BR6" s="104" t="n">
        <f aca="false">IFERROR(LARGE($AL$3:$AL$102,4),"")</f>
        <v>104.566732588235</v>
      </c>
      <c r="BS6" s="104" t="n">
        <f aca="false">IF(BR6="",BS5,IF((BS5-BR6)&gt;0.15*LARGE($AL$3:$AL$102,2),BR6,BS5))</f>
        <v>104.566732588235</v>
      </c>
      <c r="BT6" s="103" t="n">
        <f aca="false">IF(BR6="",BT5,IF((BS5-BR6)&gt;0.15*LARGE($AL$3:$AL$102,2),BT5+1,BT5))</f>
        <v>2</v>
      </c>
      <c r="BU6" s="102" t="n">
        <v>4</v>
      </c>
      <c r="BV6" s="100" t="n">
        <f aca="false">IFERROR(LARGE($AW$3:$AW$52,BU6),"")</f>
        <v>131.546388</v>
      </c>
      <c r="BW6" s="104" t="n">
        <f aca="false">IFERROR(LARGE($AZ$3:$AZ$52,4),"")</f>
        <v>18.813470245098</v>
      </c>
      <c r="BX6" s="104" t="n">
        <f aca="false">IF(BW6="",BX5,IF((BX5-BW6)&gt;0.2*LARGE($AZ$3:$AZ$52,2),BW6,BX5))</f>
        <v>18.813470245098</v>
      </c>
      <c r="BY6" s="106" t="n">
        <f aca="false">IF(BW6="",BY5,IF((BX5-BW6)&gt;0.2*LARGE($AZ$3:$AZ$52,2),BY5+1,BY5))</f>
        <v>3</v>
      </c>
      <c r="BZ6" s="104"/>
      <c r="CA6" s="104"/>
      <c r="CB6" s="104"/>
      <c r="CC6" s="104"/>
      <c r="CD6" s="104"/>
      <c r="CE6" s="104"/>
      <c r="CF6" s="104"/>
      <c r="CG6" s="104"/>
    </row>
    <row r="7" s="107" customFormat="true" ht="14.25" hidden="false" customHeight="true" outlineLevel="0" collapsed="false">
      <c r="A7" s="93" t="s">
        <v>148</v>
      </c>
      <c r="B7" s="93" t="str">
        <f aca="false">VLOOKUP(A7,ECR!E:L,8,FALSE())</f>
        <v>Jalen Hurts</v>
      </c>
      <c r="C7" s="94" t="str">
        <f aca="false">IFERROR(VLOOKUP(Table2[[#This Row],[PLAYER]],ECR!C:F,2,FALSE()),"-")</f>
        <v>PHI</v>
      </c>
      <c r="D7" s="94" t="n">
        <f aca="false">IFERROR(VLOOKUP(Table2[[#This Row],[PLAYER]],ECR!C:F,4,FALSE()),"-")</f>
        <v>10</v>
      </c>
      <c r="E7" s="94" t="str">
        <f aca="false">Table2[[#This Row],[Team]] &amp; "/" &amp; Table2[[#This Row],[Bye]]</f>
        <v>PHI/10</v>
      </c>
      <c r="F7" s="95" t="n">
        <f aca="false">IFERROR(VLOOKUP(Table2[[#This Row],[PLAYER]],QB!A:Q,15,FALSE())/17*(17-Table2[[#This Row],[Missed Games]]),0)</f>
        <v>266.632891764706</v>
      </c>
      <c r="G7" s="95" t="n">
        <f aca="false">IFERROR(VLOOKUP(Table2[[#This Row],[PLAYER]],QB!A:Q,16,FALSE())/17*(17-Table2[[#This Row],[Missed Games]]),0)</f>
        <v>283.949591764706</v>
      </c>
      <c r="H7" s="95" t="n">
        <f aca="false">IFERROR(VLOOKUP(Table2[[#This Row],[PLAYER]],QB!A:Q,17,FALSE())/17*(17-Table2[[#This Row],[Missed Games]]),0)</f>
        <v>305.291206588235</v>
      </c>
      <c r="I7" s="96" t="n">
        <f aca="false">AVERAGE(AVERAGE(Table2[[#This Row],[LOW]],Table2[[#This Row],[HIGH]]),Table2[[#This Row],[AVG]],VLOOKUP(Table2[[#This Row],[PLAYER]],ECR!L:N,3,FALSE()))</f>
        <v>284.312648313726</v>
      </c>
      <c r="J7" s="96" t="n">
        <f aca="false">Table2[[#This Row],[Zscore Projection]]-$C$1</f>
        <v>15.9332825254903</v>
      </c>
      <c r="K7" s="97" t="e">
        <f aca="false">MAX(Table2[[#This Row],[VBD]]*Scoring!$B$48+1,1)</f>
        <v>#VALUE!</v>
      </c>
      <c r="L7" s="98" t="n">
        <f aca="false">VLOOKUP(Table2[[#This Row],[VBD]],BH:BJ,3,FALSE())</f>
        <v>2</v>
      </c>
      <c r="M7" s="99" t="n">
        <f aca="false">VLOOKUP(INDEX(ECR!$E:$E,MATCH(B7,ECR!$C:$C,0)),RISK!A:B,2,FALSE())</f>
        <v>1.942</v>
      </c>
      <c r="N7" s="100"/>
      <c r="O7" s="98" t="s">
        <v>149</v>
      </c>
      <c r="P7" s="93" t="str">
        <f aca="false">VLOOKUP(O7,ECR!E:L,8,FALSE())</f>
        <v>James Cook III</v>
      </c>
      <c r="Q7" s="94" t="str">
        <f aca="false">IFERROR(VLOOKUP(Table4[[#This Row],[PLAYER]],ECR!C:F,2,FALSE()),"-")</f>
        <v>BUF</v>
      </c>
      <c r="R7" s="94" t="n">
        <f aca="false">IFERROR(VLOOKUP(Table4[[#This Row],[PLAYER]],ECR!C:F,4,FALSE()),"-")</f>
        <v>7</v>
      </c>
      <c r="S7" s="94" t="str">
        <f aca="false">Table4[[#This Row],[Team]] &amp; "/" &amp; Table4[[#This Row],[Bye]]</f>
        <v>BUF/7</v>
      </c>
      <c r="T7" s="95" t="n">
        <f aca="false">IFERROR(VLOOKUP(Table4[[#This Row],[PLAYER]],RB!A:Q,13,FALSE())/17*(17-Table4[[#This Row],[Missed Games]]),0)</f>
        <v>202.767894117647</v>
      </c>
      <c r="U7" s="95" t="n">
        <f aca="false">IFERROR(VLOOKUP(Table4[[#This Row],[PLAYER]],RB!A:Q,14,FALSE())/17*(17-Table4[[#This Row],[Missed Games]]),0)</f>
        <v>215.821183529412</v>
      </c>
      <c r="V7" s="95" t="n">
        <f aca="false">IFERROR(VLOOKUP(Table4[[#This Row],[PLAYER]],RB!A:Q,15,FALSE())/17*(17-Table4[[#This Row],[Missed Games]]),0)</f>
        <v>226.129542941176</v>
      </c>
      <c r="W7" s="96" t="n">
        <f aca="false">AVERAGE(AVERAGE(Table4[[#This Row],[LOW]],Table4[[#This Row],[HIGH]]),Table4[[#This Row],[AVG]],VLOOKUP(Table4[[#This Row],[PLAYER]],ECR!L:N,3,FALSE()))</f>
        <v>218.435602372549</v>
      </c>
      <c r="X7" s="96" t="n">
        <f aca="false">Table4[[#This Row],[Zscore Projection]]-$Q$1</f>
        <v>90.8898639803922</v>
      </c>
      <c r="Y7" s="97" t="e">
        <f aca="false">MAX(Table4[[#This Row],[VBD]]*Scoring!$B$48+1,1)</f>
        <v>#VALUE!</v>
      </c>
      <c r="Z7" s="98" t="n">
        <f aca="false">VLOOKUP(Table4[[#This Row],[VBD]],BM:BO,3,FALSE())</f>
        <v>3</v>
      </c>
      <c r="AA7" s="99" t="n">
        <f aca="false">VLOOKUP(INDEX(ECR!$E:$E,MATCH(P7,ECR!$C:$C,0)),RISK!A:B,2,FALSE())</f>
        <v>2.553</v>
      </c>
      <c r="AB7" s="100"/>
      <c r="AC7" s="94" t="s">
        <v>150</v>
      </c>
      <c r="AD7" s="94" t="str">
        <f aca="false">VLOOKUP(AC7,ECR!E:L,8,FALSE())</f>
        <v>CeeDee Lamb</v>
      </c>
      <c r="AE7" s="94" t="str">
        <f aca="false">IFERROR(VLOOKUP(Table6[[#This Row],[PLAYER]],ECR!C:F,2,FALSE()),"-")</f>
        <v>DAL</v>
      </c>
      <c r="AF7" s="94" t="n">
        <f aca="false">IFERROR(VLOOKUP(Table6[[#This Row],[PLAYER]],ECR!C:F,4,FALSE()),"-")</f>
        <v>14</v>
      </c>
      <c r="AG7" s="94" t="str">
        <f aca="false">Table6[[#This Row],[Team]] &amp; "/" &amp; Table6[[#This Row],[Bye]]</f>
        <v>DAL/14</v>
      </c>
      <c r="AH7" s="95" t="n">
        <f aca="false">IFERROR(VLOOKUP(Table6[[#This Row],[PLAYER]],WR!A:Q,13,FALSE())/17*(17-Table6[[#This Row],[Missed Games]]),0)</f>
        <v>171.676288235294</v>
      </c>
      <c r="AI7" s="95" t="n">
        <f aca="false">IFERROR(VLOOKUP(Table6[[#This Row],[PLAYER]],WR!A:Q,14,FALSE())/17*(17-Table6[[#This Row],[Missed Games]]),0)</f>
        <v>196.15638</v>
      </c>
      <c r="AJ7" s="95" t="n">
        <f aca="false">IFERROR(VLOOKUP(Table6[[#This Row],[PLAYER]],WR!A:Q,15,FALSE())/17*(17-Table6[[#This Row],[Missed Games]]),0)</f>
        <v>213.964068529412</v>
      </c>
      <c r="AK7" s="96" t="n">
        <f aca="false">AVERAGE(AVERAGE(Table6[[#This Row],[LOW]],Table6[[#This Row],[HIGH]]),Table6[[#This Row],[AVG]],VLOOKUP(Table6[[#This Row],[PLAYER]],ECR!L:N,3,FALSE()))</f>
        <v>195.044312794118</v>
      </c>
      <c r="AL7" s="96" t="n">
        <f aca="false">Table6[[#This Row],[Zscore Projection]]-$AE$1</f>
        <v>69.3664340490196</v>
      </c>
      <c r="AM7" s="97" t="e">
        <f aca="false">MAX(Table6[[#This Row],[VBD]]*Scoring!$B$48+1,1)</f>
        <v>#VALUE!</v>
      </c>
      <c r="AN7" s="98" t="n">
        <f aca="false">VLOOKUP(Table6[[#This Row],[VBD]],BR:BT,3,FALSE())</f>
        <v>3</v>
      </c>
      <c r="AO7" s="99" t="n">
        <f aca="false">VLOOKUP(INDEX(ECR!$E:$E,MATCH(AD7,ECR!$C:$C,0)),RISK!A:B,2,FALSE())</f>
        <v>2.0945</v>
      </c>
      <c r="AP7" s="100"/>
      <c r="AQ7" s="101" t="s">
        <v>151</v>
      </c>
      <c r="AR7" s="101" t="str">
        <f aca="false">VLOOKUP(AQ7,ECR!E:L,8,FALSE())</f>
        <v>Tucker Kraft</v>
      </c>
      <c r="AS7" s="101" t="str">
        <f aca="false">IFERROR(VLOOKUP(Table7[[#This Row],[PLAYER]],ECR!C:F,2,FALSE()),"-")</f>
        <v>GB</v>
      </c>
      <c r="AT7" s="101" t="n">
        <f aca="false">IFERROR(VLOOKUP(Table7[[#This Row],[PLAYER]],ECR!C:F,4,FALSE()),"-")</f>
        <v>11</v>
      </c>
      <c r="AU7" s="101" t="str">
        <f aca="false">Table7[[#This Row],[Team]] &amp; "/" &amp; Table7[[#This Row],[Bye]]</f>
        <v>GB/11</v>
      </c>
      <c r="AV7" s="95" t="n">
        <f aca="false">IFERROR(VLOOKUP(Table7[[#This Row],[PLAYER]],TE!A:K,9,FALSE())/17*(16-Table7[[#This Row],[Missed Games]]),0)</f>
        <v>102.763197058824</v>
      </c>
      <c r="AW7" s="95" t="n">
        <f aca="false">IFERROR(VLOOKUP(Table7[[#This Row],[PLAYER]],TE!A:K,10,FALSE())/17*(16-Table7[[#This Row],[Missed Games]]),0)</f>
        <v>119.116021176471</v>
      </c>
      <c r="AX7" s="95" t="n">
        <f aca="false">IFERROR(VLOOKUP(Table7[[#This Row],[PLAYER]],TE!A:K,11,FALSE())/17*(16-Table7[[#This Row],[Missed Games]]),0)</f>
        <v>142.281144117647</v>
      </c>
      <c r="AY7" s="96" t="n">
        <f aca="false">AVERAGE(AVERAGE(Table7[[#This Row],[LOW]],Table7[[#This Row],[HIGH]]),Table7[[#This Row],[AVG]],VLOOKUP(Table7[[#This Row],[PLAYER]],ECR!L:N,3,FALSE()))</f>
        <v>124.004311803922</v>
      </c>
      <c r="AZ7" s="96" t="n">
        <f aca="false">Table7[[#This Row],[Zscore Projection]]-$AS$1</f>
        <v>11.4307143627451</v>
      </c>
      <c r="BA7" s="97" t="e">
        <f aca="false">MAX(Table7[[#This Row],[VBD]]*Scoring!$B$48+1,1)</f>
        <v>#VALUE!</v>
      </c>
      <c r="BB7" s="95" t="n">
        <f aca="false">VLOOKUP(Table7[[#This Row],[VBD]],BW:BY,3,FALSE())</f>
        <v>3</v>
      </c>
      <c r="BC7" s="99" t="n">
        <f aca="false">VLOOKUP(INDEX(ECR!$E:$E,MATCH(AR7,ECR!$C:$C,0)),RISK!A:B,2,FALSE())</f>
        <v>1.9455</v>
      </c>
      <c r="BD7" s="95"/>
      <c r="BE7" s="100"/>
      <c r="BF7" s="102" t="n">
        <v>5</v>
      </c>
      <c r="BG7" s="100" t="n">
        <f aca="false">IFERROR(LARGE($G$3:$G$52,BF7),"")</f>
        <v>283.026304</v>
      </c>
      <c r="BH7" s="100" t="n">
        <f aca="false">IFERROR(LARGE($J$3:$J$52,5),"")</f>
        <v>13.7808322039215</v>
      </c>
      <c r="BI7" s="100" t="n">
        <f aca="false">IF(BH7="",BI6,IF((BI6-BH7)&gt;0.2*LARGE($J$3:$J$52,2),BH7,BI6))</f>
        <v>14.4438410509805</v>
      </c>
      <c r="BJ7" s="103" t="n">
        <f aca="false">MIN(IF(BH7="",BJ6,IF((BI6-BH7)&gt;0.2*LARGE($J$3:$J$52,2),BJ6+1,BJ6)),15)</f>
        <v>3</v>
      </c>
      <c r="BK7" s="102" t="n">
        <v>5</v>
      </c>
      <c r="BL7" s="100" t="n">
        <f aca="false">IFERROR(LARGE($U$3:$U$102,BK7),"")</f>
        <v>225.036905058824</v>
      </c>
      <c r="BM7" s="104" t="n">
        <f aca="false">IFERROR(LARGE($X$3:$X$102,5),"")</f>
        <v>90.8898639803922</v>
      </c>
      <c r="BN7" s="104" t="n">
        <f aca="false">IF(BM7="",BN6,IF((BN6-BM7)&gt;0.15*LARGE($X$3:$X$102,2),BM7,BN6))</f>
        <v>90.8898639803922</v>
      </c>
      <c r="BO7" s="103" t="n">
        <f aca="false">IF(BM7="",BO6,IF((BN6-BM7)&gt;0.15*LARGE($X$3:$X$102,2),BO6+1,BO6))</f>
        <v>3</v>
      </c>
      <c r="BP7" s="105" t="n">
        <v>5</v>
      </c>
      <c r="BQ7" s="100" t="n">
        <f aca="false">IFERROR(LARGE($AI$3:$AI$102,BP7),"")</f>
        <v>196.15638</v>
      </c>
      <c r="BR7" s="104" t="n">
        <f aca="false">IFERROR(LARGE($AL$3:$AL$102,5),"")</f>
        <v>70.1747648039216</v>
      </c>
      <c r="BS7" s="104" t="n">
        <f aca="false">IF(BR7="",BS6,IF((BS6-BR7)&gt;0.15*LARGE($AL$3:$AL$102,2),BR7,BS6))</f>
        <v>70.1747648039216</v>
      </c>
      <c r="BT7" s="103" t="n">
        <f aca="false">IF(BR7="",BT6,IF((BS6-BR7)&gt;0.15*LARGE($AL$3:$AL$102,2),BT6+1,BT6))</f>
        <v>3</v>
      </c>
      <c r="BU7" s="102" t="n">
        <v>5</v>
      </c>
      <c r="BV7" s="100" t="n">
        <f aca="false">IFERROR(LARGE($AW$3:$AW$52,BU7),"")</f>
        <v>130.374743647059</v>
      </c>
      <c r="BW7" s="104" t="n">
        <f aca="false">IFERROR(LARGE($AZ$3:$AZ$52,5),"")</f>
        <v>16.9783767941176</v>
      </c>
      <c r="BX7" s="104" t="n">
        <f aca="false">IF(BW7="",BX6,IF((BX6-BW7)&gt;0.2*LARGE($AZ$3:$AZ$52,2),BW7,BX6))</f>
        <v>18.813470245098</v>
      </c>
      <c r="BY7" s="106" t="n">
        <f aca="false">IF(BW7="",BY6,IF((BX6-BW7)&gt;0.2*LARGE($AZ$3:$AZ$52,2),BY6+1,BY6))</f>
        <v>3</v>
      </c>
      <c r="BZ7" s="104"/>
      <c r="CA7" s="104"/>
      <c r="CB7" s="104"/>
      <c r="CC7" s="104"/>
      <c r="CD7" s="104"/>
      <c r="CE7" s="104"/>
      <c r="CF7" s="104"/>
      <c r="CG7" s="104"/>
    </row>
    <row r="8" s="107" customFormat="true" ht="14.25" hidden="false" customHeight="true" outlineLevel="0" collapsed="false">
      <c r="A8" s="93" t="s">
        <v>152</v>
      </c>
      <c r="B8" s="93" t="str">
        <f aca="false">VLOOKUP(A8,ECR!E:L,8,FALSE())</f>
        <v>Jayden Daniels</v>
      </c>
      <c r="C8" s="94" t="str">
        <f aca="false">IFERROR(VLOOKUP(Table2[[#This Row],[PLAYER]],ECR!C:F,2,FALSE()),"-")</f>
        <v>WAS</v>
      </c>
      <c r="D8" s="94" t="n">
        <f aca="false">IFERROR(VLOOKUP(Table2[[#This Row],[PLAYER]],ECR!C:F,4,FALSE()),"-")</f>
        <v>7</v>
      </c>
      <c r="E8" s="94" t="str">
        <f aca="false">Table2[[#This Row],[Team]] &amp; "/" &amp; Table2[[#This Row],[Bye]]</f>
        <v>WAS/7</v>
      </c>
      <c r="F8" s="95" t="n">
        <f aca="false">IFERROR(VLOOKUP(Table2[[#This Row],[PLAYER]],QB!A:Q,15,FALSE())/17*(17-Table2[[#This Row],[Missed Games]]),0)</f>
        <v>261.293684705882</v>
      </c>
      <c r="G8" s="95" t="n">
        <f aca="false">IFERROR(VLOOKUP(Table2[[#This Row],[PLAYER]],QB!A:Q,16,FALSE())/17*(17-Table2[[#This Row],[Missed Games]]),0)</f>
        <v>285.970436235294</v>
      </c>
      <c r="H8" s="95" t="n">
        <f aca="false">IFERROR(VLOOKUP(Table2[[#This Row],[PLAYER]],QB!A:Q,17,FALSE())/17*(17-Table2[[#This Row],[Missed Games]]),0)</f>
        <v>309.632661647059</v>
      </c>
      <c r="I8" s="96" t="n">
        <f aca="false">AVERAGE(AVERAGE(Table2[[#This Row],[LOW]],Table2[[#This Row],[HIGH]]),Table2[[#This Row],[AVG]],VLOOKUP(Table2[[#This Row],[PLAYER]],ECR!L:N,3,FALSE()))</f>
        <v>282.160197992157</v>
      </c>
      <c r="J8" s="96" t="n">
        <f aca="false">Table2[[#This Row],[Zscore Projection]]-$C$1</f>
        <v>13.7808322039215</v>
      </c>
      <c r="K8" s="97" t="e">
        <f aca="false">MAX(Table2[[#This Row],[VBD]]*Scoring!$B$48+1,1)</f>
        <v>#VALUE!</v>
      </c>
      <c r="L8" s="98" t="n">
        <f aca="false">VLOOKUP(Table2[[#This Row],[VBD]],BH:BJ,3,FALSE())</f>
        <v>3</v>
      </c>
      <c r="M8" s="99" t="n">
        <f aca="false">VLOOKUP(INDEX(ECR!$E:$E,MATCH(B8,ECR!$C:$C,0)),RISK!A:B,2,FALSE())</f>
        <v>1.924</v>
      </c>
      <c r="N8" s="100"/>
      <c r="O8" s="98" t="s">
        <v>153</v>
      </c>
      <c r="P8" s="93" t="str">
        <f aca="false">VLOOKUP(O8,ECR!E:L,8,FALSE())</f>
        <v>Chase Brown</v>
      </c>
      <c r="Q8" s="94" t="str">
        <f aca="false">IFERROR(VLOOKUP(Table4[[#This Row],[PLAYER]],ECR!C:F,2,FALSE()),"-")</f>
        <v>CIN</v>
      </c>
      <c r="R8" s="94" t="n">
        <f aca="false">IFERROR(VLOOKUP(Table4[[#This Row],[PLAYER]],ECR!C:F,4,FALSE()),"-")</f>
        <v>6</v>
      </c>
      <c r="S8" s="94" t="str">
        <f aca="false">Table4[[#This Row],[Team]] &amp; "/" &amp; Table4[[#This Row],[Bye]]</f>
        <v>CIN/6</v>
      </c>
      <c r="T8" s="95" t="n">
        <f aca="false">IFERROR(VLOOKUP(Table4[[#This Row],[PLAYER]],RB!A:Q,13,FALSE())/17*(17-Table4[[#This Row],[Missed Games]]),0)</f>
        <v>188.956272941176</v>
      </c>
      <c r="U8" s="95" t="n">
        <f aca="false">IFERROR(VLOOKUP(Table4[[#This Row],[PLAYER]],RB!A:Q,14,FALSE())/17*(17-Table4[[#This Row],[Missed Games]]),0)</f>
        <v>209.415207529412</v>
      </c>
      <c r="V8" s="95" t="n">
        <f aca="false">IFERROR(VLOOKUP(Table4[[#This Row],[PLAYER]],RB!A:Q,15,FALSE())/17*(17-Table4[[#This Row],[Missed Games]]),0)</f>
        <v>231.352487058824</v>
      </c>
      <c r="W8" s="96" t="n">
        <f aca="false">AVERAGE(AVERAGE(Table4[[#This Row],[LOW]],Table4[[#This Row],[HIGH]]),Table4[[#This Row],[AVG]],VLOOKUP(Table4[[#This Row],[PLAYER]],ECR!L:N,3,FALSE()))</f>
        <v>213.431888705882</v>
      </c>
      <c r="X8" s="96" t="n">
        <f aca="false">Table4[[#This Row],[Zscore Projection]]-$Q$1</f>
        <v>85.8861503137255</v>
      </c>
      <c r="Y8" s="97" t="e">
        <f aca="false">MAX(Table4[[#This Row],[VBD]]*Scoring!$B$48+1,1)</f>
        <v>#VALUE!</v>
      </c>
      <c r="Z8" s="98" t="n">
        <f aca="false">VLOOKUP(Table4[[#This Row],[VBD]],BM:BO,3,FALSE())</f>
        <v>3</v>
      </c>
      <c r="AA8" s="99" t="n">
        <f aca="false">VLOOKUP(INDEX(ECR!$E:$E,MATCH(P8,ECR!$C:$C,0)),RISK!A:B,2,FALSE())</f>
        <v>2.5564</v>
      </c>
      <c r="AB8" s="100"/>
      <c r="AC8" s="94" t="s">
        <v>154</v>
      </c>
      <c r="AD8" s="94" t="str">
        <f aca="false">VLOOKUP(AC8,ECR!E:L,8,FALSE())</f>
        <v>Justin Jefferson</v>
      </c>
      <c r="AE8" s="94" t="str">
        <f aca="false">IFERROR(VLOOKUP(Table6[[#This Row],[PLAYER]],ECR!C:F,2,FALSE()),"-")</f>
        <v>MIN</v>
      </c>
      <c r="AF8" s="94" t="n">
        <f aca="false">IFERROR(VLOOKUP(Table6[[#This Row],[PLAYER]],ECR!C:F,4,FALSE()),"-")</f>
        <v>6</v>
      </c>
      <c r="AG8" s="94" t="str">
        <f aca="false">Table6[[#This Row],[Team]] &amp; "/" &amp; Table6[[#This Row],[Bye]]</f>
        <v>MIN/6</v>
      </c>
      <c r="AH8" s="95" t="n">
        <f aca="false">IFERROR(VLOOKUP(Table6[[#This Row],[PLAYER]],WR!A:Q,13,FALSE())/17*(17-Table6[[#This Row],[Missed Games]]),0)</f>
        <v>186.390523529412</v>
      </c>
      <c r="AI8" s="95" t="n">
        <f aca="false">IFERROR(VLOOKUP(Table6[[#This Row],[PLAYER]],WR!A:Q,14,FALSE())/17*(17-Table6[[#This Row],[Missed Games]]),0)</f>
        <v>194.981075058824</v>
      </c>
      <c r="AJ8" s="95" t="n">
        <f aca="false">IFERROR(VLOOKUP(Table6[[#This Row],[PLAYER]],WR!A:Q,15,FALSE())/17*(17-Table6[[#This Row],[Missed Games]]),0)</f>
        <v>208.801037529412</v>
      </c>
      <c r="AK8" s="96" t="n">
        <f aca="false">AVERAGE(AVERAGE(Table6[[#This Row],[LOW]],Table6[[#This Row],[HIGH]]),Table6[[#This Row],[AVG]],VLOOKUP(Table6[[#This Row],[PLAYER]],ECR!L:N,3,FALSE()))</f>
        <v>195.85264354902</v>
      </c>
      <c r="AL8" s="96" t="n">
        <f aca="false">Table6[[#This Row],[Zscore Projection]]-$AE$1</f>
        <v>70.1747648039216</v>
      </c>
      <c r="AM8" s="97" t="e">
        <f aca="false">MAX(Table6[[#This Row],[VBD]]*Scoring!$B$48+1,1)</f>
        <v>#VALUE!</v>
      </c>
      <c r="AN8" s="98" t="n">
        <f aca="false">VLOOKUP(Table6[[#This Row],[VBD]],BR:BT,3,FALSE())</f>
        <v>3</v>
      </c>
      <c r="AO8" s="99" t="n">
        <f aca="false">VLOOKUP(INDEX(ECR!$E:$E,MATCH(AD8,ECR!$C:$C,0)),RISK!A:B,2,FALSE())</f>
        <v>2.1586</v>
      </c>
      <c r="AP8" s="100"/>
      <c r="AQ8" s="101" t="s">
        <v>155</v>
      </c>
      <c r="AR8" s="101" t="str">
        <f aca="false">VLOOKUP(AQ8,ECR!E:L,8,FALSE())</f>
        <v>Harold Fannin Jr.</v>
      </c>
      <c r="AS8" s="101" t="str">
        <f aca="false">IFERROR(VLOOKUP(Table7[[#This Row],[PLAYER]],ECR!C:F,2,FALSE()),"-")</f>
        <v>CLE</v>
      </c>
      <c r="AT8" s="101" t="n">
        <f aca="false">IFERROR(VLOOKUP(Table7[[#This Row],[PLAYER]],ECR!C:F,4,FALSE()),"-")</f>
        <v>11</v>
      </c>
      <c r="AU8" s="101" t="str">
        <f aca="false">Table7[[#This Row],[Team]] &amp; "/" &amp; Table7[[#This Row],[Bye]]</f>
        <v>CLE/11</v>
      </c>
      <c r="AV8" s="95" t="n">
        <f aca="false">IFERROR(VLOOKUP(Table7[[#This Row],[PLAYER]],TE!A:K,9,FALSE())/17*(16-Table7[[#This Row],[Missed Games]]),0)</f>
        <v>112.533465882353</v>
      </c>
      <c r="AW8" s="95" t="n">
        <f aca="false">IFERROR(VLOOKUP(Table7[[#This Row],[PLAYER]],TE!A:K,10,FALSE())/17*(16-Table7[[#This Row],[Missed Games]]),0)</f>
        <v>130.374743647059</v>
      </c>
      <c r="AX8" s="95" t="n">
        <f aca="false">IFERROR(VLOOKUP(Table7[[#This Row],[PLAYER]],TE!A:K,11,FALSE())/17*(16-Table7[[#This Row],[Missed Games]]),0)</f>
        <v>152.475388235294</v>
      </c>
      <c r="AY8" s="96" t="n">
        <f aca="false">AVERAGE(AVERAGE(Table7[[#This Row],[LOW]],Table7[[#This Row],[HIGH]]),Table7[[#This Row],[AVG]],VLOOKUP(Table7[[#This Row],[PLAYER]],ECR!L:N,3,FALSE()))</f>
        <v>129.551974235294</v>
      </c>
      <c r="AZ8" s="96" t="n">
        <f aca="false">Table7[[#This Row],[Zscore Projection]]-$AS$1</f>
        <v>16.9783767941176</v>
      </c>
      <c r="BA8" s="97" t="e">
        <f aca="false">MAX(Table7[[#This Row],[VBD]]*Scoring!$B$48+1,1)</f>
        <v>#VALUE!</v>
      </c>
      <c r="BB8" s="95" t="n">
        <f aca="false">VLOOKUP(Table7[[#This Row],[VBD]],BW:BY,3,FALSE())</f>
        <v>3</v>
      </c>
      <c r="BC8" s="99" t="n">
        <f aca="false">VLOOKUP(INDEX(ECR!$E:$E,MATCH(AR8,ECR!$C:$C,0)),RISK!A:B,2,FALSE())</f>
        <v>1.9126</v>
      </c>
      <c r="BD8" s="95"/>
      <c r="BE8" s="100"/>
      <c r="BF8" s="102" t="n">
        <v>6</v>
      </c>
      <c r="BG8" s="100" t="n">
        <f aca="false">IFERROR(LARGE($G$3:$G$52,BF8),"")</f>
        <v>275.046984564706</v>
      </c>
      <c r="BH8" s="100" t="n">
        <f aca="false">IFERROR(LARGE($J$3:$J$52,6),"")</f>
        <v>10.1432139294118</v>
      </c>
      <c r="BI8" s="100" t="n">
        <f aca="false">IF(BH8="",BI7,IF((BI7-BH8)&gt;0.2*LARGE($J$3:$J$52,2),BH8,BI7))</f>
        <v>10.1432139294118</v>
      </c>
      <c r="BJ8" s="103" t="n">
        <f aca="false">MIN(IF(BH8="",BJ7,IF((BI7-BH8)&gt;0.2*LARGE($J$3:$J$52,2),BJ7+1,BJ7)),15)</f>
        <v>4</v>
      </c>
      <c r="BK8" s="102" t="n">
        <v>6</v>
      </c>
      <c r="BL8" s="100" t="n">
        <f aca="false">IFERROR(LARGE($U$3:$U$102,BK8),"")</f>
        <v>220.726078588235</v>
      </c>
      <c r="BM8" s="104" t="n">
        <f aca="false">IFERROR(LARGE($X$3:$X$102,6),"")</f>
        <v>90.5972512941177</v>
      </c>
      <c r="BN8" s="104" t="n">
        <f aca="false">IF(BM8="",BN7,IF((BN7-BM8)&gt;0.15*LARGE($X$3:$X$102,2),BM8,BN7))</f>
        <v>90.8898639803922</v>
      </c>
      <c r="BO8" s="103" t="n">
        <f aca="false">IF(BM8="",BO7,IF((BN7-BM8)&gt;0.15*LARGE($X$3:$X$102,2),BO7+1,BO7))</f>
        <v>3</v>
      </c>
      <c r="BP8" s="105" t="n">
        <v>6</v>
      </c>
      <c r="BQ8" s="100" t="n">
        <f aca="false">IFERROR(LARGE($AI$3:$AI$102,BP8),"")</f>
        <v>194.981075058824</v>
      </c>
      <c r="BR8" s="104" t="n">
        <f aca="false">IFERROR(LARGE($AL$3:$AL$102,6),"")</f>
        <v>69.3664340490196</v>
      </c>
      <c r="BS8" s="104" t="n">
        <f aca="false">IF(BR8="",BS7,IF((BS7-BR8)&gt;0.15*LARGE($AL$3:$AL$102,2),BR8,BS7))</f>
        <v>70.1747648039216</v>
      </c>
      <c r="BT8" s="103" t="n">
        <f aca="false">IF(BR8="",BT7,IF((BS7-BR8)&gt;0.15*LARGE($AL$3:$AL$102,2),BT7+1,BT7))</f>
        <v>3</v>
      </c>
      <c r="BU8" s="102" t="n">
        <v>6</v>
      </c>
      <c r="BV8" s="100" t="n">
        <f aca="false">IFERROR(LARGE($AW$3:$AW$52,BU8),"")</f>
        <v>125.776752</v>
      </c>
      <c r="BW8" s="104" t="n">
        <f aca="false">IFERROR(LARGE($AZ$3:$AZ$52,6),"")</f>
        <v>11.5551756470588</v>
      </c>
      <c r="BX8" s="104" t="n">
        <f aca="false">IF(BW8="",BX7,IF((BX7-BW8)&gt;0.2*LARGE($AZ$3:$AZ$52,2),BW8,BX7))</f>
        <v>18.813470245098</v>
      </c>
      <c r="BY8" s="106" t="n">
        <f aca="false">IF(BW8="",BY7,IF((BX7-BW8)&gt;0.2*LARGE($AZ$3:$AZ$52,2),BY7+1,BY7))</f>
        <v>3</v>
      </c>
      <c r="BZ8" s="104"/>
      <c r="CA8" s="104"/>
      <c r="CB8" s="104"/>
      <c r="CC8" s="104"/>
      <c r="CD8" s="104"/>
      <c r="CE8" s="104"/>
      <c r="CF8" s="104"/>
      <c r="CG8" s="104"/>
    </row>
    <row r="9" s="107" customFormat="true" ht="14.25" hidden="false" customHeight="true" outlineLevel="0" collapsed="false">
      <c r="A9" s="93" t="s">
        <v>156</v>
      </c>
      <c r="B9" s="93" t="str">
        <f aca="false">VLOOKUP(A9,ECR!E:L,8,FALSE())</f>
        <v>Caleb Williams</v>
      </c>
      <c r="C9" s="94" t="str">
        <f aca="false">IFERROR(VLOOKUP(Table2[[#This Row],[PLAYER]],ECR!C:F,2,FALSE()),"-")</f>
        <v>CHI</v>
      </c>
      <c r="D9" s="94" t="n">
        <f aca="false">IFERROR(VLOOKUP(Table2[[#This Row],[PLAYER]],ECR!C:F,4,FALSE()),"-")</f>
        <v>10</v>
      </c>
      <c r="E9" s="94" t="str">
        <f aca="false">Table2[[#This Row],[Team]] &amp; "/" &amp; Table2[[#This Row],[Bye]]</f>
        <v>CHI/10</v>
      </c>
      <c r="F9" s="95" t="n">
        <f aca="false">IFERROR(VLOOKUP(Table2[[#This Row],[PLAYER]],QB!A:Q,15,FALSE())/17*(17-Table2[[#This Row],[Missed Games]]),0)</f>
        <v>253.935067811765</v>
      </c>
      <c r="G9" s="95" t="n">
        <f aca="false">IFERROR(VLOOKUP(Table2[[#This Row],[PLAYER]],QB!A:Q,16,FALSE())/17*(17-Table2[[#This Row],[Missed Games]]),0)</f>
        <v>267.650496564706</v>
      </c>
      <c r="H9" s="95" t="n">
        <f aca="false">IFERROR(VLOOKUP(Table2[[#This Row],[PLAYER]],QB!A:Q,17,FALSE())/17*(17-Table2[[#This Row],[Missed Games]]),0)</f>
        <v>283.323244235294</v>
      </c>
      <c r="I9" s="96" t="n">
        <f aca="false">AVERAGE(AVERAGE(Table2[[#This Row],[LOW]],Table2[[#This Row],[HIGH]]),Table2[[#This Row],[AVG]],VLOOKUP(Table2[[#This Row],[PLAYER]],ECR!L:N,3,FALSE()))</f>
        <v>269.325744447059</v>
      </c>
      <c r="J9" s="96" t="n">
        <f aca="false">Table2[[#This Row],[Zscore Projection]]-$C$1</f>
        <v>0.946378658823562</v>
      </c>
      <c r="K9" s="97" t="e">
        <f aca="false">MAX(Table2[[#This Row],[VBD]]*Scoring!$B$48+1,1)</f>
        <v>#VALUE!</v>
      </c>
      <c r="L9" s="98" t="n">
        <f aca="false">VLOOKUP(Table2[[#This Row],[VBD]],BH:BJ,3,FALSE())</f>
        <v>5</v>
      </c>
      <c r="M9" s="99" t="n">
        <f aca="false">VLOOKUP(INDEX(ECR!$E:$E,MATCH(B9,ECR!$C:$C,0)),RISK!A:B,2,FALSE())</f>
        <v>1.9164</v>
      </c>
      <c r="N9" s="100"/>
      <c r="O9" s="98" t="s">
        <v>157</v>
      </c>
      <c r="P9" s="93" t="str">
        <f aca="false">VLOOKUP(O9,ECR!E:L,8,FALSE())</f>
        <v>Saquon Barkley</v>
      </c>
      <c r="Q9" s="94" t="str">
        <f aca="false">IFERROR(VLOOKUP(Table4[[#This Row],[PLAYER]],ECR!C:F,2,FALSE()),"-")</f>
        <v>PHI</v>
      </c>
      <c r="R9" s="94" t="n">
        <f aca="false">IFERROR(VLOOKUP(Table4[[#This Row],[PLAYER]],ECR!C:F,4,FALSE()),"-")</f>
        <v>10</v>
      </c>
      <c r="S9" s="94" t="str">
        <f aca="false">Table4[[#This Row],[Team]] &amp; "/" &amp; Table4[[#This Row],[Bye]]</f>
        <v>PHI/10</v>
      </c>
      <c r="T9" s="95" t="n">
        <f aca="false">IFERROR(VLOOKUP(Table4[[#This Row],[PLAYER]],RB!A:Q,13,FALSE())/17*(17-Table4[[#This Row],[Missed Games]]),0)</f>
        <v>192.633247058824</v>
      </c>
      <c r="U9" s="95" t="n">
        <f aca="false">IFERROR(VLOOKUP(Table4[[#This Row],[PLAYER]],RB!A:Q,14,FALSE())/17*(17-Table4[[#This Row],[Missed Games]]),0)</f>
        <v>206.995805294118</v>
      </c>
      <c r="V9" s="95" t="n">
        <f aca="false">IFERROR(VLOOKUP(Table4[[#This Row],[PLAYER]],RB!A:Q,15,FALSE())/17*(17-Table4[[#This Row],[Missed Games]]),0)</f>
        <v>222.437041764706</v>
      </c>
      <c r="W9" s="96" t="n">
        <f aca="false">AVERAGE(AVERAGE(Table4[[#This Row],[LOW]],Table4[[#This Row],[HIGH]]),Table4[[#This Row],[AVG]],VLOOKUP(Table4[[#This Row],[PLAYER]],ECR!L:N,3,FALSE()))</f>
        <v>210.117377745098</v>
      </c>
      <c r="X9" s="96" t="n">
        <f aca="false">Table4[[#This Row],[Zscore Projection]]-$Q$1</f>
        <v>82.5716393529412</v>
      </c>
      <c r="Y9" s="97" t="e">
        <f aca="false">MAX(Table4[[#This Row],[VBD]]*Scoring!$B$48+1,1)</f>
        <v>#VALUE!</v>
      </c>
      <c r="Z9" s="98" t="n">
        <f aca="false">VLOOKUP(Table4[[#This Row],[VBD]],BM:BO,3,FALSE())</f>
        <v>3</v>
      </c>
      <c r="AA9" s="99" t="n">
        <f aca="false">VLOOKUP(INDEX(ECR!$E:$E,MATCH(P9,ECR!$C:$C,0)),RISK!A:B,2,FALSE())</f>
        <v>2.561</v>
      </c>
      <c r="AB9" s="100"/>
      <c r="AC9" s="94" t="s">
        <v>158</v>
      </c>
      <c r="AD9" s="94" t="str">
        <f aca="false">VLOOKUP(AC9,ECR!E:L,8,FALSE())</f>
        <v>A.J. Brown</v>
      </c>
      <c r="AE9" s="94" t="str">
        <f aca="false">IFERROR(VLOOKUP(Table6[[#This Row],[PLAYER]],ECR!C:F,2,FALSE()),"-")</f>
        <v>NE</v>
      </c>
      <c r="AF9" s="94" t="n">
        <f aca="false">IFERROR(VLOOKUP(Table6[[#This Row],[PLAYER]],ECR!C:F,4,FALSE()),"-")</f>
        <v>11</v>
      </c>
      <c r="AG9" s="94" t="str">
        <f aca="false">Table6[[#This Row],[Team]] &amp; "/" &amp; Table6[[#This Row],[Bye]]</f>
        <v>NE/11</v>
      </c>
      <c r="AH9" s="95" t="n">
        <f aca="false">IFERROR(VLOOKUP(Table6[[#This Row],[PLAYER]],WR!A:Q,13,FALSE())/17*(17-Table6[[#This Row],[Missed Games]]),0)</f>
        <v>173.249145294118</v>
      </c>
      <c r="AI9" s="95" t="n">
        <f aca="false">IFERROR(VLOOKUP(Table6[[#This Row],[PLAYER]],WR!A:Q,14,FALSE())/17*(17-Table6[[#This Row],[Missed Games]]),0)</f>
        <v>185.097543941176</v>
      </c>
      <c r="AJ9" s="95" t="n">
        <f aca="false">IFERROR(VLOOKUP(Table6[[#This Row],[PLAYER]],WR!A:Q,15,FALSE())/17*(17-Table6[[#This Row],[Missed Games]]),0)</f>
        <v>202.109514705882</v>
      </c>
      <c r="AK9" s="96" t="n">
        <f aca="false">AVERAGE(AVERAGE(Table6[[#This Row],[LOW]],Table6[[#This Row],[HIGH]]),Table6[[#This Row],[AVG]],VLOOKUP(Table6[[#This Row],[PLAYER]],ECR!L:N,3,FALSE()))</f>
        <v>188.453866803922</v>
      </c>
      <c r="AL9" s="96" t="n">
        <f aca="false">Table6[[#This Row],[Zscore Projection]]-$AE$1</f>
        <v>62.7759880588235</v>
      </c>
      <c r="AM9" s="97" t="e">
        <f aca="false">MAX(Table6[[#This Row],[VBD]]*Scoring!$B$48+1,1)</f>
        <v>#VALUE!</v>
      </c>
      <c r="AN9" s="98" t="n">
        <f aca="false">VLOOKUP(Table6[[#This Row],[VBD]],BR:BT,3,FALSE())</f>
        <v>3</v>
      </c>
      <c r="AO9" s="99" t="n">
        <f aca="false">VLOOKUP(INDEX(ECR!$E:$E,MATCH(AD9,ECR!$C:$C,0)),RISK!A:B,2,FALSE())</f>
        <v>2.2221</v>
      </c>
      <c r="AP9" s="100"/>
      <c r="AQ9" s="101" t="s">
        <v>159</v>
      </c>
      <c r="AR9" s="101" t="str">
        <f aca="false">VLOOKUP(AQ9,ECR!E:L,8,FALSE())</f>
        <v>Sam LaPorta</v>
      </c>
      <c r="AS9" s="101" t="str">
        <f aca="false">IFERROR(VLOOKUP(Table7[[#This Row],[PLAYER]],ECR!C:F,2,FALSE()),"-")</f>
        <v>DET</v>
      </c>
      <c r="AT9" s="101" t="n">
        <f aca="false">IFERROR(VLOOKUP(Table7[[#This Row],[PLAYER]],ECR!C:F,4,FALSE()),"-")</f>
        <v>6</v>
      </c>
      <c r="AU9" s="101" t="str">
        <f aca="false">Table7[[#This Row],[Team]] &amp; "/" &amp; Table7[[#This Row],[Bye]]</f>
        <v>DET/6</v>
      </c>
      <c r="AV9" s="95" t="n">
        <f aca="false">IFERROR(VLOOKUP(Table7[[#This Row],[PLAYER]],TE!A:K,9,FALSE())/17*(16-Table7[[#This Row],[Missed Games]]),0)</f>
        <v>111.369422352941</v>
      </c>
      <c r="AW9" s="95" t="n">
        <f aca="false">IFERROR(VLOOKUP(Table7[[#This Row],[PLAYER]],TE!A:K,10,FALSE())/17*(16-Table7[[#This Row],[Missed Games]]),0)</f>
        <v>123.859063235294</v>
      </c>
      <c r="AX9" s="95" t="n">
        <f aca="false">IFERROR(VLOOKUP(Table7[[#This Row],[PLAYER]],TE!A:K,11,FALSE())/17*(16-Table7[[#This Row],[Missed Games]]),0)</f>
        <v>137.966963235294</v>
      </c>
      <c r="AY9" s="96" t="n">
        <f aca="false">AVERAGE(AVERAGE(Table7[[#This Row],[LOW]],Table7[[#This Row],[HIGH]]),Table7[[#This Row],[AVG]],VLOOKUP(Table7[[#This Row],[PLAYER]],ECR!L:N,3,FALSE()))</f>
        <v>124.128773088235</v>
      </c>
      <c r="AZ9" s="96" t="n">
        <f aca="false">Table7[[#This Row],[Zscore Projection]]-$AS$1</f>
        <v>11.5551756470588</v>
      </c>
      <c r="BA9" s="97" t="e">
        <f aca="false">MAX(Table7[[#This Row],[VBD]]*Scoring!$B$48+1,1)</f>
        <v>#VALUE!</v>
      </c>
      <c r="BB9" s="95" t="n">
        <f aca="false">VLOOKUP(Table7[[#This Row],[VBD]],BW:BY,3,FALSE())</f>
        <v>3</v>
      </c>
      <c r="BC9" s="99" t="n">
        <f aca="false">VLOOKUP(INDEX(ECR!$E:$E,MATCH(AR9,ECR!$C:$C,0)),RISK!A:B,2,FALSE())</f>
        <v>1.8921</v>
      </c>
      <c r="BD9" s="95"/>
      <c r="BE9" s="100"/>
      <c r="BF9" s="102" t="n">
        <v>7</v>
      </c>
      <c r="BG9" s="100" t="n">
        <f aca="false">IFERROR(LARGE($G$3:$G$52,BF9),"")</f>
        <v>271.697580752941</v>
      </c>
      <c r="BH9" s="100" t="n">
        <f aca="false">IFERROR(LARGE($J$3:$J$52,7),"")</f>
        <v>3.69331111372549</v>
      </c>
      <c r="BI9" s="100" t="n">
        <f aca="false">IF(BH9="",BI8,IF((BI8-BH9)&gt;0.2*LARGE($J$3:$J$52,2),BH9,BI8))</f>
        <v>3.69331111372549</v>
      </c>
      <c r="BJ9" s="103" t="n">
        <f aca="false">MIN(IF(BH9="",BJ8,IF((BI8-BH9)&gt;0.2*LARGE($J$3:$J$52,2),BJ8+1,BJ8)),15)</f>
        <v>5</v>
      </c>
      <c r="BK9" s="102" t="n">
        <v>7</v>
      </c>
      <c r="BL9" s="100" t="n">
        <f aca="false">IFERROR(LARGE($U$3:$U$102,BK9),"")</f>
        <v>215.821183529412</v>
      </c>
      <c r="BM9" s="104" t="n">
        <f aca="false">IFERROR(LARGE($X$3:$X$102,7),"")</f>
        <v>88.0477795882353</v>
      </c>
      <c r="BN9" s="104" t="n">
        <f aca="false">IF(BM9="",BN8,IF((BN8-BM9)&gt;0.15*LARGE($X$3:$X$102,2),BM9,BN8))</f>
        <v>90.8898639803922</v>
      </c>
      <c r="BO9" s="103" t="n">
        <f aca="false">IF(BM9="",BO8,IF((BN8-BM9)&gt;0.15*LARGE($X$3:$X$102,2),BO8+1,BO8))</f>
        <v>3</v>
      </c>
      <c r="BP9" s="105" t="n">
        <v>7</v>
      </c>
      <c r="BQ9" s="100" t="n">
        <f aca="false">IFERROR(LARGE($AI$3:$AI$102,BP9),"")</f>
        <v>192.584726470588</v>
      </c>
      <c r="BR9" s="104" t="n">
        <f aca="false">IFERROR(LARGE($AL$3:$AL$102,7),"")</f>
        <v>64.7001406078431</v>
      </c>
      <c r="BS9" s="104" t="n">
        <f aca="false">IF(BR9="",BS8,IF((BS8-BR9)&gt;0.15*LARGE($AL$3:$AL$102,2),BR9,BS8))</f>
        <v>70.1747648039216</v>
      </c>
      <c r="BT9" s="103" t="n">
        <f aca="false">IF(BR9="",BT8,IF((BS8-BR9)&gt;0.15*LARGE($AL$3:$AL$102,2),BT8+1,BT8))</f>
        <v>3</v>
      </c>
      <c r="BU9" s="102" t="n">
        <v>7</v>
      </c>
      <c r="BV9" s="100" t="n">
        <f aca="false">IFERROR(LARGE($AW$3:$AW$52,BU9),"")</f>
        <v>123.859063235294</v>
      </c>
      <c r="BW9" s="104" t="n">
        <f aca="false">IFERROR(LARGE($AZ$3:$AZ$52,7),"")</f>
        <v>11.4354625588235</v>
      </c>
      <c r="BX9" s="104" t="n">
        <f aca="false">IF(BW9="",BX8,IF((BX8-BW9)&gt;0.2*LARGE($AZ$3:$AZ$52,2),BW9,BX8))</f>
        <v>18.813470245098</v>
      </c>
      <c r="BY9" s="106" t="n">
        <f aca="false">IF(BW9="",BY8,IF((BX8-BW9)&gt;0.2*LARGE($AZ$3:$AZ$52,2),BY8+1,BY8))</f>
        <v>3</v>
      </c>
      <c r="BZ9" s="104"/>
      <c r="CA9" s="104"/>
      <c r="CB9" s="104"/>
      <c r="CC9" s="104"/>
      <c r="CD9" s="104"/>
      <c r="CE9" s="104"/>
      <c r="CF9" s="104"/>
      <c r="CG9" s="104"/>
    </row>
    <row r="10" s="107" customFormat="true" ht="14.25" hidden="false" customHeight="true" outlineLevel="0" collapsed="false">
      <c r="A10" s="93" t="s">
        <v>160</v>
      </c>
      <c r="B10" s="93" t="str">
        <f aca="false">VLOOKUP(A10,ECR!E:L,8,FALSE())</f>
        <v>Justin Herbert</v>
      </c>
      <c r="C10" s="94" t="str">
        <f aca="false">IFERROR(VLOOKUP(Table2[[#This Row],[PLAYER]],ECR!C:F,2,FALSE()),"-")</f>
        <v>LAC</v>
      </c>
      <c r="D10" s="94" t="n">
        <f aca="false">IFERROR(VLOOKUP(Table2[[#This Row],[PLAYER]],ECR!C:F,4,FALSE()),"-")</f>
        <v>7</v>
      </c>
      <c r="E10" s="94" t="str">
        <f aca="false">Table2[[#This Row],[Team]] &amp; "/" &amp; Table2[[#This Row],[Bye]]</f>
        <v>LAC/7</v>
      </c>
      <c r="F10" s="95" t="n">
        <f aca="false">IFERROR(VLOOKUP(Table2[[#This Row],[PLAYER]],QB!A:Q,15,FALSE())/17*(17-Table2[[#This Row],[Missed Games]]),0)</f>
        <v>250.953383058824</v>
      </c>
      <c r="G10" s="95" t="n">
        <f aca="false">IFERROR(VLOOKUP(Table2[[#This Row],[PLAYER]],QB!A:Q,16,FALSE())/17*(17-Table2[[#This Row],[Missed Games]]),0)</f>
        <v>265.585307482353</v>
      </c>
      <c r="H10" s="95" t="n">
        <f aca="false">IFERROR(VLOOKUP(Table2[[#This Row],[PLAYER]],QB!A:Q,17,FALSE())/17*(17-Table2[[#This Row],[Missed Games]]),0)</f>
        <v>285.186799058824</v>
      </c>
      <c r="I10" s="96" t="n">
        <f aca="false">AVERAGE(AVERAGE(Table2[[#This Row],[LOW]],Table2[[#This Row],[HIGH]]),Table2[[#This Row],[AVG]],VLOOKUP(Table2[[#This Row],[PLAYER]],ECR!L:N,3,FALSE()))</f>
        <v>268.379365788235</v>
      </c>
      <c r="J10" s="96" t="n">
        <f aca="false">Table2[[#This Row],[Zscore Projection]]-$C$1</f>
        <v>0</v>
      </c>
      <c r="K10" s="97" t="e">
        <f aca="false">MAX(Table2[[#This Row],[VBD]]*Scoring!$B$48+1,1)</f>
        <v>#VALUE!</v>
      </c>
      <c r="L10" s="98" t="n">
        <f aca="false">VLOOKUP(Table2[[#This Row],[VBD]],BH:BJ,3,FALSE())</f>
        <v>6</v>
      </c>
      <c r="M10" s="99" t="n">
        <f aca="false">VLOOKUP(INDEX(ECR!$E:$E,MATCH(B10,ECR!$C:$C,0)),RISK!A:B,2,FALSE())</f>
        <v>1.9192</v>
      </c>
      <c r="N10" s="100"/>
      <c r="O10" s="98" t="s">
        <v>161</v>
      </c>
      <c r="P10" s="93" t="str">
        <f aca="false">VLOOKUP(O10,ECR!E:L,8,FALSE())</f>
        <v>De'Von Achane</v>
      </c>
      <c r="Q10" s="94" t="str">
        <f aca="false">IFERROR(VLOOKUP(Table4[[#This Row],[PLAYER]],ECR!C:F,2,FALSE()),"-")</f>
        <v>MIA</v>
      </c>
      <c r="R10" s="94" t="n">
        <f aca="false">IFERROR(VLOOKUP(Table4[[#This Row],[PLAYER]],ECR!C:F,4,FALSE()),"-")</f>
        <v>6</v>
      </c>
      <c r="S10" s="94" t="str">
        <f aca="false">Table4[[#This Row],[Team]] &amp; "/" &amp; Table4[[#This Row],[Bye]]</f>
        <v>MIA/6</v>
      </c>
      <c r="T10" s="95" t="n">
        <f aca="false">IFERROR(VLOOKUP(Table4[[#This Row],[PLAYER]],RB!A:Q,13,FALSE())/17*(17-Table4[[#This Row],[Missed Games]]),0)</f>
        <v>193.574682352941</v>
      </c>
      <c r="U10" s="95" t="n">
        <f aca="false">IFERROR(VLOOKUP(Table4[[#This Row],[PLAYER]],RB!A:Q,14,FALSE())/17*(17-Table4[[#This Row],[Missed Games]]),0)</f>
        <v>220.726078588235</v>
      </c>
      <c r="V10" s="95" t="n">
        <f aca="false">IFERROR(VLOOKUP(Table4[[#This Row],[PLAYER]],RB!A:Q,15,FALSE())/17*(17-Table4[[#This Row],[Missed Games]]),0)</f>
        <v>255.000683529412</v>
      </c>
      <c r="W10" s="96" t="n">
        <f aca="false">AVERAGE(AVERAGE(Table4[[#This Row],[LOW]],Table4[[#This Row],[HIGH]]),Table4[[#This Row],[AVG]],VLOOKUP(Table4[[#This Row],[PLAYER]],ECR!L:N,3,FALSE()))</f>
        <v>218.142989686275</v>
      </c>
      <c r="X10" s="96" t="n">
        <f aca="false">Table4[[#This Row],[Zscore Projection]]-$Q$1</f>
        <v>90.5972512941177</v>
      </c>
      <c r="Y10" s="97" t="e">
        <f aca="false">MAX(Table4[[#This Row],[VBD]]*Scoring!$B$48+1,1)</f>
        <v>#VALUE!</v>
      </c>
      <c r="Z10" s="98" t="n">
        <f aca="false">VLOOKUP(Table4[[#This Row],[VBD]],BM:BO,3,FALSE())</f>
        <v>3</v>
      </c>
      <c r="AA10" s="99" t="n">
        <f aca="false">VLOOKUP(INDEX(ECR!$E:$E,MATCH(P10,ECR!$C:$C,0)),RISK!A:B,2,FALSE())</f>
        <v>2.5668</v>
      </c>
      <c r="AB10" s="100"/>
      <c r="AC10" s="94" t="s">
        <v>162</v>
      </c>
      <c r="AD10" s="94" t="str">
        <f aca="false">VLOOKUP(AC10,ECR!E:L,8,FALSE())</f>
        <v>Drake London</v>
      </c>
      <c r="AE10" s="94" t="str">
        <f aca="false">IFERROR(VLOOKUP(Table6[[#This Row],[PLAYER]],ECR!C:F,2,FALSE()),"-")</f>
        <v>ATL</v>
      </c>
      <c r="AF10" s="94" t="n">
        <f aca="false">IFERROR(VLOOKUP(Table6[[#This Row],[PLAYER]],ECR!C:F,4,FALSE()),"-")</f>
        <v>11</v>
      </c>
      <c r="AG10" s="94" t="str">
        <f aca="false">Table6[[#This Row],[Team]] &amp; "/" &amp; Table6[[#This Row],[Bye]]</f>
        <v>ATL/11</v>
      </c>
      <c r="AH10" s="95" t="n">
        <f aca="false">IFERROR(VLOOKUP(Table6[[#This Row],[PLAYER]],WR!A:Q,13,FALSE())/17*(17-Table6[[#This Row],[Missed Games]]),0)</f>
        <v>183.487394117647</v>
      </c>
      <c r="AI10" s="95" t="n">
        <f aca="false">IFERROR(VLOOKUP(Table6[[#This Row],[PLAYER]],WR!A:Q,14,FALSE())/17*(17-Table6[[#This Row],[Missed Games]]),0)</f>
        <v>192.584726470588</v>
      </c>
      <c r="AJ10" s="95" t="n">
        <f aca="false">IFERROR(VLOOKUP(Table6[[#This Row],[PLAYER]],WR!A:Q,15,FALSE())/17*(17-Table6[[#This Row],[Missed Games]]),0)</f>
        <v>202.937161764706</v>
      </c>
      <c r="AK10" s="96" t="n">
        <f aca="false">AVERAGE(AVERAGE(Table6[[#This Row],[LOW]],Table6[[#This Row],[HIGH]]),Table6[[#This Row],[AVG]],VLOOKUP(Table6[[#This Row],[PLAYER]],ECR!L:N,3,FALSE()))</f>
        <v>190.378019352941</v>
      </c>
      <c r="AL10" s="96" t="n">
        <f aca="false">Table6[[#This Row],[Zscore Projection]]-$AE$1</f>
        <v>64.7001406078431</v>
      </c>
      <c r="AM10" s="97" t="e">
        <f aca="false">MAX(Table6[[#This Row],[VBD]]*Scoring!$B$48+1,1)</f>
        <v>#VALUE!</v>
      </c>
      <c r="AN10" s="98" t="n">
        <f aca="false">VLOOKUP(Table6[[#This Row],[VBD]],BR:BT,3,FALSE())</f>
        <v>3</v>
      </c>
      <c r="AO10" s="99" t="n">
        <f aca="false">VLOOKUP(INDEX(ECR!$E:$E,MATCH(AD10,ECR!$C:$C,0)),RISK!A:B,2,FALSE())</f>
        <v>2.285</v>
      </c>
      <c r="AP10" s="100"/>
      <c r="AQ10" s="101" t="s">
        <v>163</v>
      </c>
      <c r="AR10" s="101" t="str">
        <f aca="false">VLOOKUP(AQ10,ECR!E:L,8,FALSE())</f>
        <v>Kyle Pitts Sr.</v>
      </c>
      <c r="AS10" s="101" t="str">
        <f aca="false">IFERROR(VLOOKUP(Table7[[#This Row],[PLAYER]],ECR!C:F,2,FALSE()),"-")</f>
        <v>ATL</v>
      </c>
      <c r="AT10" s="101" t="n">
        <f aca="false">IFERROR(VLOOKUP(Table7[[#This Row],[PLAYER]],ECR!C:F,4,FALSE()),"-")</f>
        <v>11</v>
      </c>
      <c r="AU10" s="101" t="str">
        <f aca="false">Table7[[#This Row],[Team]] &amp; "/" &amp; Table7[[#This Row],[Bye]]</f>
        <v>ATL/11</v>
      </c>
      <c r="AV10" s="95" t="n">
        <f aca="false">IFERROR(VLOOKUP(Table7[[#This Row],[PLAYER]],TE!A:K,9,FALSE())/17*(16-Table7[[#This Row],[Missed Games]]),0)</f>
        <v>114.3396</v>
      </c>
      <c r="AW10" s="95" t="n">
        <f aca="false">IFERROR(VLOOKUP(Table7[[#This Row],[PLAYER]],TE!A:K,10,FALSE())/17*(16-Table7[[#This Row],[Missed Games]]),0)</f>
        <v>123.79732</v>
      </c>
      <c r="AX10" s="95" t="n">
        <f aca="false">IFERROR(VLOOKUP(Table7[[#This Row],[PLAYER]],TE!A:K,11,FALSE())/17*(16-Table7[[#This Row],[Missed Games]]),0)</f>
        <v>134.52548</v>
      </c>
      <c r="AY10" s="96" t="n">
        <f aca="false">AVERAGE(AVERAGE(Table7[[#This Row],[LOW]],Table7[[#This Row],[HIGH]]),Table7[[#This Row],[AVG]],VLOOKUP(Table7[[#This Row],[PLAYER]],ECR!L:N,3,FALSE()))</f>
        <v>124.00906</v>
      </c>
      <c r="AZ10" s="96" t="n">
        <f aca="false">Table7[[#This Row],[Zscore Projection]]-$AS$1</f>
        <v>11.4354625588235</v>
      </c>
      <c r="BA10" s="97" t="e">
        <f aca="false">MAX(Table7[[#This Row],[VBD]]*Scoring!$B$48+1,1)</f>
        <v>#VALUE!</v>
      </c>
      <c r="BB10" s="95" t="n">
        <f aca="false">VLOOKUP(Table7[[#This Row],[VBD]],BW:BY,3,FALSE())</f>
        <v>3</v>
      </c>
      <c r="BC10" s="99" t="n">
        <f aca="false">VLOOKUP(INDEX(ECR!$E:$E,MATCH(AR10,ECR!$C:$C,0)),RISK!A:B,2,FALSE())</f>
        <v>1.884</v>
      </c>
      <c r="BD10" s="95"/>
      <c r="BE10" s="100"/>
      <c r="BF10" s="102" t="n">
        <v>8</v>
      </c>
      <c r="BG10" s="100" t="n">
        <f aca="false">IFERROR(LARGE($G$3:$G$52,BF10),"")</f>
        <v>271.482698823529</v>
      </c>
      <c r="BH10" s="100" t="n">
        <f aca="false">IFERROR(LARGE($J$3:$J$52,8),"")</f>
        <v>2.02066338823533</v>
      </c>
      <c r="BI10" s="100" t="n">
        <f aca="false">IF(BH10="",BI9,IF((BI9-BH10)&gt;0.2*LARGE($J$3:$J$52,2),BH10,BI9))</f>
        <v>3.69331111372549</v>
      </c>
      <c r="BJ10" s="103" t="n">
        <f aca="false">MIN(IF(BH10="",BJ9,IF((BI9-BH10)&gt;0.2*LARGE($J$3:$J$52,2),BJ9+1,BJ9)),15)</f>
        <v>5</v>
      </c>
      <c r="BK10" s="102" t="n">
        <v>8</v>
      </c>
      <c r="BL10" s="100" t="n">
        <f aca="false">IFERROR(LARGE($U$3:$U$102,BK10),"")</f>
        <v>209.415207529412</v>
      </c>
      <c r="BM10" s="104" t="n">
        <f aca="false">IFERROR(LARGE($X$3:$X$102,8),"")</f>
        <v>85.8861503137255</v>
      </c>
      <c r="BN10" s="104" t="n">
        <f aca="false">IF(BM10="",BN9,IF((BN9-BM10)&gt;0.15*LARGE($X$3:$X$102,2),BM10,BN9))</f>
        <v>90.8898639803922</v>
      </c>
      <c r="BO10" s="103" t="n">
        <f aca="false">IF(BM10="",BO9,IF((BN9-BM10)&gt;0.15*LARGE($X$3:$X$102,2),BO9+1,BO9))</f>
        <v>3</v>
      </c>
      <c r="BP10" s="105" t="n">
        <v>8</v>
      </c>
      <c r="BQ10" s="100" t="n">
        <f aca="false">IFERROR(LARGE($AI$3:$AI$102,BP10),"")</f>
        <v>185.337053647059</v>
      </c>
      <c r="BR10" s="104" t="n">
        <f aca="false">IFERROR(LARGE($AL$3:$AL$102,8),"")</f>
        <v>62.7759880588235</v>
      </c>
      <c r="BS10" s="104" t="n">
        <f aca="false">IF(BR10="",BS9,IF((BS9-BR10)&gt;0.15*LARGE($AL$3:$AL$102,2),BR10,BS9))</f>
        <v>70.1747648039216</v>
      </c>
      <c r="BT10" s="103" t="n">
        <f aca="false">IF(BR10="",BT9,IF((BS9-BR10)&gt;0.15*LARGE($AL$3:$AL$102,2),BT9+1,BT9))</f>
        <v>3</v>
      </c>
      <c r="BU10" s="102" t="n">
        <v>8</v>
      </c>
      <c r="BV10" s="100" t="n">
        <f aca="false">IFERROR(LARGE($AW$3:$AW$52,BU10),"")</f>
        <v>123.79732</v>
      </c>
      <c r="BW10" s="104" t="n">
        <f aca="false">IFERROR(LARGE($AZ$3:$AZ$52,8),"")</f>
        <v>11.4307143627451</v>
      </c>
      <c r="BX10" s="104" t="n">
        <f aca="false">IF(BW10="",BX9,IF((BX9-BW10)&gt;0.2*LARGE($AZ$3:$AZ$52,2),BW10,BX9))</f>
        <v>18.813470245098</v>
      </c>
      <c r="BY10" s="106" t="n">
        <f aca="false">IF(BW10="",BY9,IF((BX9-BW10)&gt;0.2*LARGE($AZ$3:$AZ$52,2),BY9+1,BY9))</f>
        <v>3</v>
      </c>
      <c r="BZ10" s="104"/>
      <c r="CA10" s="104"/>
      <c r="CB10" s="104"/>
      <c r="CC10" s="104"/>
      <c r="CD10" s="104"/>
      <c r="CE10" s="104"/>
      <c r="CF10" s="104"/>
      <c r="CG10" s="104"/>
    </row>
    <row r="11" s="107" customFormat="true" ht="14.25" hidden="false" customHeight="true" outlineLevel="0" collapsed="false">
      <c r="A11" s="93" t="s">
        <v>164</v>
      </c>
      <c r="B11" s="93" t="str">
        <f aca="false">VLOOKUP(A11,ECR!E:L,8,FALSE())</f>
        <v>Trevor Lawrence</v>
      </c>
      <c r="C11" s="94" t="str">
        <f aca="false">IFERROR(VLOOKUP(Table2[[#This Row],[PLAYER]],ECR!C:F,2,FALSE()),"-")</f>
        <v>JAC</v>
      </c>
      <c r="D11" s="94" t="n">
        <f aca="false">IFERROR(VLOOKUP(Table2[[#This Row],[PLAYER]],ECR!C:F,4,FALSE()),"-")</f>
        <v>7</v>
      </c>
      <c r="E11" s="94" t="str">
        <f aca="false">Table2[[#This Row],[Team]] &amp; "/" &amp; Table2[[#This Row],[Bye]]</f>
        <v>JAC/7</v>
      </c>
      <c r="F11" s="95" t="n">
        <f aca="false">IFERROR(VLOOKUP(Table2[[#This Row],[PLAYER]],QB!A:Q,15,FALSE())/17*(17-Table2[[#This Row],[Missed Games]]),0)</f>
        <v>252.834328</v>
      </c>
      <c r="G11" s="95" t="n">
        <f aca="false">IFERROR(VLOOKUP(Table2[[#This Row],[PLAYER]],QB!A:Q,16,FALSE())/17*(17-Table2[[#This Row],[Missed Games]]),0)</f>
        <v>271.482698823529</v>
      </c>
      <c r="H11" s="95" t="n">
        <f aca="false">IFERROR(VLOOKUP(Table2[[#This Row],[PLAYER]],QB!A:Q,17,FALSE())/17*(17-Table2[[#This Row],[Missed Games]]),0)</f>
        <v>296.415145176471</v>
      </c>
      <c r="I11" s="96" t="n">
        <f aca="false">AVERAGE(AVERAGE(Table2[[#This Row],[LOW]],Table2[[#This Row],[HIGH]]),Table2[[#This Row],[AVG]],VLOOKUP(Table2[[#This Row],[PLAYER]],ECR!L:N,3,FALSE()))</f>
        <v>272.072676901961</v>
      </c>
      <c r="J11" s="96" t="n">
        <f aca="false">Table2[[#This Row],[Zscore Projection]]-$C$1</f>
        <v>3.69331111372549</v>
      </c>
      <c r="K11" s="97" t="e">
        <f aca="false">MAX(Table2[[#This Row],[VBD]]*Scoring!$B$48+1,1)</f>
        <v>#VALUE!</v>
      </c>
      <c r="L11" s="98" t="n">
        <f aca="false">VLOOKUP(Table2[[#This Row],[VBD]],BH:BJ,3,FALSE())</f>
        <v>5</v>
      </c>
      <c r="M11" s="99" t="n">
        <f aca="false">VLOOKUP(INDEX(ECR!$E:$E,MATCH(B11,ECR!$C:$C,0)),RISK!A:B,2,FALSE())</f>
        <v>1.9324</v>
      </c>
      <c r="N11" s="100"/>
      <c r="O11" s="98" t="s">
        <v>165</v>
      </c>
      <c r="P11" s="93" t="str">
        <f aca="false">VLOOKUP(O11,ECR!E:L,8,FALSE())</f>
        <v>Kenneth Walker III</v>
      </c>
      <c r="Q11" s="94" t="str">
        <f aca="false">IFERROR(VLOOKUP(Table4[[#This Row],[PLAYER]],ECR!C:F,2,FALSE()),"-")</f>
        <v>KC</v>
      </c>
      <c r="R11" s="94" t="n">
        <f aca="false">IFERROR(VLOOKUP(Table4[[#This Row],[PLAYER]],ECR!C:F,4,FALSE()),"-")</f>
        <v>5</v>
      </c>
      <c r="S11" s="94" t="str">
        <f aca="false">Table4[[#This Row],[Team]] &amp; "/" &amp; Table4[[#This Row],[Bye]]</f>
        <v>KC/5</v>
      </c>
      <c r="T11" s="95" t="n">
        <f aca="false">IFERROR(VLOOKUP(Table4[[#This Row],[PLAYER]],RB!A:Q,13,FALSE())/17*(17-Table4[[#This Row],[Missed Games]]),0)</f>
        <v>184.06134</v>
      </c>
      <c r="U11" s="95" t="n">
        <f aca="false">IFERROR(VLOOKUP(Table4[[#This Row],[PLAYER]],RB!A:Q,14,FALSE())/17*(17-Table4[[#This Row],[Missed Games]]),0)</f>
        <v>200.642984</v>
      </c>
      <c r="V11" s="95" t="n">
        <f aca="false">IFERROR(VLOOKUP(Table4[[#This Row],[PLAYER]],RB!A:Q,15,FALSE())/17*(17-Table4[[#This Row],[Missed Games]]),0)</f>
        <v>212.048168</v>
      </c>
      <c r="W11" s="96" t="n">
        <f aca="false">AVERAGE(AVERAGE(Table4[[#This Row],[LOW]],Table4[[#This Row],[HIGH]]),Table4[[#This Row],[AVG]],VLOOKUP(Table4[[#This Row],[PLAYER]],ECR!L:N,3,FALSE()))</f>
        <v>201.897847764706</v>
      </c>
      <c r="X11" s="96" t="n">
        <f aca="false">Table4[[#This Row],[Zscore Projection]]-$Q$1</f>
        <v>74.352109372549</v>
      </c>
      <c r="Y11" s="97" t="e">
        <f aca="false">MAX(Table4[[#This Row],[VBD]]*Scoring!$B$48+1,1)</f>
        <v>#VALUE!</v>
      </c>
      <c r="Z11" s="98" t="n">
        <f aca="false">VLOOKUP(Table4[[#This Row],[VBD]],BM:BO,3,FALSE())</f>
        <v>3</v>
      </c>
      <c r="AA11" s="99" t="n">
        <f aca="false">VLOOKUP(INDEX(ECR!$E:$E,MATCH(P11,ECR!$C:$C,0)),RISK!A:B,2,FALSE())</f>
        <v>2.5738</v>
      </c>
      <c r="AB11" s="100"/>
      <c r="AC11" s="94" t="s">
        <v>166</v>
      </c>
      <c r="AD11" s="94" t="str">
        <f aca="false">VLOOKUP(AC11,ECR!E:L,8,FALSE())</f>
        <v>Nico Collins</v>
      </c>
      <c r="AE11" s="94" t="str">
        <f aca="false">IFERROR(VLOOKUP(Table6[[#This Row],[PLAYER]],ECR!C:F,2,FALSE()),"-")</f>
        <v>HOU</v>
      </c>
      <c r="AF11" s="94" t="n">
        <f aca="false">IFERROR(VLOOKUP(Table6[[#This Row],[PLAYER]],ECR!C:F,4,FALSE()),"-")</f>
        <v>8</v>
      </c>
      <c r="AG11" s="94" t="str">
        <f aca="false">Table6[[#This Row],[Team]] &amp; "/" &amp; Table6[[#This Row],[Bye]]</f>
        <v>HOU/8</v>
      </c>
      <c r="AH11" s="95" t="n">
        <f aca="false">IFERROR(VLOOKUP(Table6[[#This Row],[PLAYER]],WR!A:Q,13,FALSE())/17*(17-Table6[[#This Row],[Missed Games]]),0)</f>
        <v>169.712742941176</v>
      </c>
      <c r="AI11" s="95" t="n">
        <f aca="false">IFERROR(VLOOKUP(Table6[[#This Row],[PLAYER]],WR!A:Q,14,FALSE())/17*(17-Table6[[#This Row],[Missed Games]]),0)</f>
        <v>180.572979411765</v>
      </c>
      <c r="AJ11" s="95" t="n">
        <f aca="false">IFERROR(VLOOKUP(Table6[[#This Row],[PLAYER]],WR!A:Q,15,FALSE())/17*(17-Table6[[#This Row],[Missed Games]]),0)</f>
        <v>196.518564705882</v>
      </c>
      <c r="AK11" s="96" t="n">
        <f aca="false">AVERAGE(AVERAGE(Table6[[#This Row],[LOW]],Table6[[#This Row],[HIGH]]),Table6[[#This Row],[AVG]],VLOOKUP(Table6[[#This Row],[PLAYER]],ECR!L:N,3,FALSE()))</f>
        <v>182.92872572549</v>
      </c>
      <c r="AL11" s="96" t="n">
        <f aca="false">Table6[[#This Row],[Zscore Projection]]-$AE$1</f>
        <v>57.2508469803922</v>
      </c>
      <c r="AM11" s="97" t="e">
        <f aca="false">MAX(Table6[[#This Row],[VBD]]*Scoring!$B$48+1,1)</f>
        <v>#VALUE!</v>
      </c>
      <c r="AN11" s="98" t="n">
        <f aca="false">VLOOKUP(Table6[[#This Row],[VBD]],BR:BT,3,FALSE())</f>
        <v>3</v>
      </c>
      <c r="AO11" s="99" t="n">
        <f aca="false">VLOOKUP(INDEX(ECR!$E:$E,MATCH(AD11,ECR!$C:$C,0)),RISK!A:B,2,FALSE())</f>
        <v>2.3473</v>
      </c>
      <c r="AP11" s="100"/>
      <c r="AQ11" s="101" t="s">
        <v>167</v>
      </c>
      <c r="AR11" s="101" t="str">
        <f aca="false">VLOOKUP(AQ11,ECR!E:L,8,FALSE())</f>
        <v>George Kittle</v>
      </c>
      <c r="AS11" s="101" t="str">
        <f aca="false">IFERROR(VLOOKUP(Table7[[#This Row],[PLAYER]],ECR!C:F,2,FALSE()),"-")</f>
        <v>SF</v>
      </c>
      <c r="AT11" s="101" t="n">
        <f aca="false">IFERROR(VLOOKUP(Table7[[#This Row],[PLAYER]],ECR!C:F,4,FALSE()),"-")</f>
        <v>8</v>
      </c>
      <c r="AU11" s="101" t="str">
        <f aca="false">Table7[[#This Row],[Team]] &amp; "/" &amp; Table7[[#This Row],[Bye]]</f>
        <v>SF/8</v>
      </c>
      <c r="AV11" s="95" t="n">
        <f aca="false">IFERROR(VLOOKUP(Table7[[#This Row],[PLAYER]],TE!A:K,9,FALSE())/17*(16-Table7[[#This Row],[Missed Games]]),0)</f>
        <v>102.26832</v>
      </c>
      <c r="AW11" s="95" t="n">
        <f aca="false">IFERROR(VLOOKUP(Table7[[#This Row],[PLAYER]],TE!A:K,10,FALSE())/17*(16-Table7[[#This Row],[Missed Games]]),0)</f>
        <v>125.776752</v>
      </c>
      <c r="AX11" s="95" t="n">
        <f aca="false">IFERROR(VLOOKUP(Table7[[#This Row],[PLAYER]],TE!A:K,11,FALSE())/17*(16-Table7[[#This Row],[Missed Games]]),0)</f>
        <v>146.9277</v>
      </c>
      <c r="AY11" s="96" t="n">
        <f aca="false">AVERAGE(AVERAGE(Table7[[#This Row],[LOW]],Table7[[#This Row],[HIGH]]),Table7[[#This Row],[AVG]],VLOOKUP(Table7[[#This Row],[PLAYER]],ECR!L:N,3,FALSE()))</f>
        <v>123.715208509804</v>
      </c>
      <c r="AZ11" s="96" t="n">
        <f aca="false">Table7[[#This Row],[Zscore Projection]]-$AS$1</f>
        <v>11.1416110686274</v>
      </c>
      <c r="BA11" s="97" t="e">
        <f aca="false">MAX(Table7[[#This Row],[VBD]]*Scoring!$B$48+1,1)</f>
        <v>#VALUE!</v>
      </c>
      <c r="BB11" s="95" t="n">
        <f aca="false">VLOOKUP(Table7[[#This Row],[VBD]],BW:BY,3,FALSE())</f>
        <v>3</v>
      </c>
      <c r="BC11" s="99" t="n">
        <f aca="false">VLOOKUP(INDEX(ECR!$E:$E,MATCH(AR11,ECR!$C:$C,0)),RISK!A:B,2,FALSE())</f>
        <v>1.8883</v>
      </c>
      <c r="BD11" s="95"/>
      <c r="BE11" s="100"/>
      <c r="BF11" s="102" t="n">
        <v>9</v>
      </c>
      <c r="BG11" s="100" t="n">
        <f aca="false">IFERROR(LARGE($G$3:$G$52,BF11),"")</f>
        <v>270.110595294118</v>
      </c>
      <c r="BH11" s="100" t="n">
        <f aca="false">IFERROR(LARGE($J$3:$J$52,9),"")</f>
        <v>1.49677692549028</v>
      </c>
      <c r="BI11" s="100" t="n">
        <f aca="false">IF(BH11="",BI10,IF((BI10-BH11)&gt;0.2*LARGE($J$3:$J$52,2),BH11,BI10))</f>
        <v>3.69331111372549</v>
      </c>
      <c r="BJ11" s="103" t="n">
        <f aca="false">MIN(IF(BH11="",BJ10,IF((BI10-BH11)&gt;0.2*LARGE($J$3:$J$52,2),BJ10+1,BJ10)),15)</f>
        <v>5</v>
      </c>
      <c r="BK11" s="102" t="n">
        <v>9</v>
      </c>
      <c r="BL11" s="100" t="n">
        <f aca="false">IFERROR(LARGE($U$3:$U$102,BK11),"")</f>
        <v>206.995805294118</v>
      </c>
      <c r="BM11" s="104" t="n">
        <f aca="false">IFERROR(LARGE($X$3:$X$102,9),"")</f>
        <v>82.5716393529412</v>
      </c>
      <c r="BN11" s="104" t="n">
        <f aca="false">IF(BM11="",BN10,IF((BN10-BM11)&gt;0.15*LARGE($X$3:$X$102,2),BM11,BN10))</f>
        <v>90.8898639803922</v>
      </c>
      <c r="BO11" s="103" t="n">
        <f aca="false">IF(BM11="",BO10,IF((BN10-BM11)&gt;0.15*LARGE($X$3:$X$102,2),BO10+1,BO10))</f>
        <v>3</v>
      </c>
      <c r="BP11" s="105" t="n">
        <v>9</v>
      </c>
      <c r="BQ11" s="100" t="n">
        <f aca="false">IFERROR(LARGE($AI$3:$AI$102,BP11),"")</f>
        <v>185.097543941176</v>
      </c>
      <c r="BR11" s="104" t="n">
        <f aca="false">IFERROR(LARGE($AL$3:$AL$102,9),"")</f>
        <v>58.657057</v>
      </c>
      <c r="BS11" s="104" t="n">
        <f aca="false">IF(BR11="",BS10,IF((BS10-BR11)&gt;0.15*LARGE($AL$3:$AL$102,2),BR11,BS10))</f>
        <v>70.1747648039216</v>
      </c>
      <c r="BT11" s="103" t="n">
        <f aca="false">IF(BR11="",BT10,IF((BS10-BR11)&gt;0.15*LARGE($AL$3:$AL$102,2),BT10+1,BT10))</f>
        <v>3</v>
      </c>
      <c r="BU11" s="102" t="n">
        <v>9</v>
      </c>
      <c r="BV11" s="100" t="n">
        <f aca="false">IFERROR(LARGE($AW$3:$AW$52,BU11),"")</f>
        <v>120.770863529412</v>
      </c>
      <c r="BW11" s="104" t="n">
        <f aca="false">IFERROR(LARGE($AZ$3:$AZ$52,9),"")</f>
        <v>11.1416110686274</v>
      </c>
      <c r="BX11" s="104" t="n">
        <f aca="false">IF(BW11="",BX10,IF((BX10-BW11)&gt;0.2*LARGE($AZ$3:$AZ$52,2),BW11,BX10))</f>
        <v>18.813470245098</v>
      </c>
      <c r="BY11" s="106" t="n">
        <f aca="false">IF(BW11="",BY10,IF((BX10-BW11)&gt;0.2*LARGE($AZ$3:$AZ$52,2),BY10+1,BY10))</f>
        <v>3</v>
      </c>
      <c r="BZ11" s="104"/>
      <c r="CA11" s="104"/>
      <c r="CB11" s="104"/>
      <c r="CC11" s="104"/>
      <c r="CD11" s="104"/>
      <c r="CE11" s="104"/>
      <c r="CF11" s="104"/>
      <c r="CG11" s="104"/>
    </row>
    <row r="12" s="107" customFormat="true" ht="14.25" hidden="false" customHeight="true" outlineLevel="0" collapsed="false">
      <c r="A12" s="93" t="s">
        <v>168</v>
      </c>
      <c r="B12" s="93" t="str">
        <f aca="false">VLOOKUP(A12,ECR!E:L,8,FALSE())</f>
        <v>Dak Prescott</v>
      </c>
      <c r="C12" s="94" t="str">
        <f aca="false">IFERROR(VLOOKUP(Table2[[#This Row],[PLAYER]],ECR!C:F,2,FALSE()),"-")</f>
        <v>DAL</v>
      </c>
      <c r="D12" s="94" t="n">
        <f aca="false">IFERROR(VLOOKUP(Table2[[#This Row],[PLAYER]],ECR!C:F,4,FALSE()),"-")</f>
        <v>14</v>
      </c>
      <c r="E12" s="94" t="str">
        <f aca="false">Table2[[#This Row],[Team]] &amp; "/" &amp; Table2[[#This Row],[Bye]]</f>
        <v>DAL/14</v>
      </c>
      <c r="F12" s="95" t="n">
        <f aca="false">IFERROR(VLOOKUP(Table2[[#This Row],[PLAYER]],QB!A:Q,15,FALSE())/17*(17-Table2[[#This Row],[Missed Games]]),0)</f>
        <v>253.114415058824</v>
      </c>
      <c r="G12" s="95" t="n">
        <f aca="false">IFERROR(VLOOKUP(Table2[[#This Row],[PLAYER]],QB!A:Q,16,FALSE())/17*(17-Table2[[#This Row],[Missed Games]]),0)</f>
        <v>270.110595294118</v>
      </c>
      <c r="H12" s="95" t="n">
        <f aca="false">IFERROR(VLOOKUP(Table2[[#This Row],[PLAYER]],QB!A:Q,17,FALSE())/17*(17-Table2[[#This Row],[Missed Games]]),0)</f>
        <v>289.304969411765</v>
      </c>
      <c r="I12" s="96" t="n">
        <f aca="false">AVERAGE(AVERAGE(Table2[[#This Row],[LOW]],Table2[[#This Row],[HIGH]]),Table2[[#This Row],[AVG]],VLOOKUP(Table2[[#This Row],[PLAYER]],ECR!L:N,3,FALSE()))</f>
        <v>270.400029176471</v>
      </c>
      <c r="J12" s="96" t="n">
        <f aca="false">Table2[[#This Row],[Zscore Projection]]-$C$1</f>
        <v>2.02066338823533</v>
      </c>
      <c r="K12" s="97" t="e">
        <f aca="false">MAX(Table2[[#This Row],[VBD]]*Scoring!$B$48+1,1)</f>
        <v>#VALUE!</v>
      </c>
      <c r="L12" s="98" t="n">
        <f aca="false">VLOOKUP(Table2[[#This Row],[VBD]],BH:BJ,3,FALSE())</f>
        <v>5</v>
      </c>
      <c r="M12" s="99" t="n">
        <f aca="false">VLOOKUP(INDEX(ECR!$E:$E,MATCH(B12,ECR!$C:$C,0)),RISK!A:B,2,FALSE())</f>
        <v>1.956</v>
      </c>
      <c r="N12" s="100"/>
      <c r="O12" s="98" t="s">
        <v>169</v>
      </c>
      <c r="P12" s="93" t="str">
        <f aca="false">VLOOKUP(O12,ECR!E:L,8,FALSE())</f>
        <v>Omarion Hampton</v>
      </c>
      <c r="Q12" s="94" t="str">
        <f aca="false">IFERROR(VLOOKUP(Table4[[#This Row],[PLAYER]],ECR!C:F,2,FALSE()),"-")</f>
        <v>LAC</v>
      </c>
      <c r="R12" s="94" t="n">
        <f aca="false">IFERROR(VLOOKUP(Table4[[#This Row],[PLAYER]],ECR!C:F,4,FALSE()),"-")</f>
        <v>7</v>
      </c>
      <c r="S12" s="94" t="str">
        <f aca="false">Table4[[#This Row],[Team]] &amp; "/" &amp; Table4[[#This Row],[Bye]]</f>
        <v>LAC/7</v>
      </c>
      <c r="T12" s="95" t="n">
        <f aca="false">IFERROR(VLOOKUP(Table4[[#This Row],[PLAYER]],RB!A:Q,13,FALSE())/17*(17-Table4[[#This Row],[Missed Games]]),0)</f>
        <v>173.864117647059</v>
      </c>
      <c r="U12" s="95" t="n">
        <f aca="false">IFERROR(VLOOKUP(Table4[[#This Row],[PLAYER]],RB!A:Q,14,FALSE())/17*(17-Table4[[#This Row],[Missed Games]]),0)</f>
        <v>194.430970588235</v>
      </c>
      <c r="V12" s="95" t="n">
        <f aca="false">IFERROR(VLOOKUP(Table4[[#This Row],[PLAYER]],RB!A:Q,15,FALSE())/17*(17-Table4[[#This Row],[Missed Games]]),0)</f>
        <v>208.212882352941</v>
      </c>
      <c r="W12" s="96" t="n">
        <f aca="false">AVERAGE(AVERAGE(Table4[[#This Row],[LOW]],Table4[[#This Row],[HIGH]]),Table4[[#This Row],[AVG]],VLOOKUP(Table4[[#This Row],[PLAYER]],ECR!L:N,3,FALSE()))</f>
        <v>195.370818196078</v>
      </c>
      <c r="X12" s="96" t="n">
        <f aca="false">Table4[[#This Row],[Zscore Projection]]-$Q$1</f>
        <v>67.8250798039216</v>
      </c>
      <c r="Y12" s="97" t="e">
        <f aca="false">MAX(Table4[[#This Row],[VBD]]*Scoring!$B$48+1,1)</f>
        <v>#VALUE!</v>
      </c>
      <c r="Z12" s="98" t="n">
        <f aca="false">VLOOKUP(Table4[[#This Row],[VBD]],BM:BO,3,FALSE())</f>
        <v>4</v>
      </c>
      <c r="AA12" s="99" t="n">
        <f aca="false">VLOOKUP(INDEX(ECR!$E:$E,MATCH(P12,ECR!$C:$C,0)),RISK!A:B,2,FALSE())</f>
        <v>2.582</v>
      </c>
      <c r="AB12" s="100"/>
      <c r="AC12" s="94" t="s">
        <v>170</v>
      </c>
      <c r="AD12" s="94" t="str">
        <f aca="false">VLOOKUP(AC12,ECR!E:L,8,FALSE())</f>
        <v>George Pickens</v>
      </c>
      <c r="AE12" s="94" t="str">
        <f aca="false">IFERROR(VLOOKUP(Table6[[#This Row],[PLAYER]],ECR!C:F,2,FALSE()),"-")</f>
        <v>DAL</v>
      </c>
      <c r="AF12" s="94" t="n">
        <f aca="false">IFERROR(VLOOKUP(Table6[[#This Row],[PLAYER]],ECR!C:F,4,FALSE()),"-")</f>
        <v>14</v>
      </c>
      <c r="AG12" s="94" t="str">
        <f aca="false">Table6[[#This Row],[Team]] &amp; "/" &amp; Table6[[#This Row],[Bye]]</f>
        <v>DAL/14</v>
      </c>
      <c r="AH12" s="95" t="n">
        <f aca="false">IFERROR(VLOOKUP(Table6[[#This Row],[PLAYER]],WR!A:Q,13,FALSE())/17*(17-Table6[[#This Row],[Missed Games]]),0)</f>
        <v>160.758488235294</v>
      </c>
      <c r="AI12" s="95" t="n">
        <f aca="false">IFERROR(VLOOKUP(Table6[[#This Row],[PLAYER]],WR!A:Q,14,FALSE())/17*(17-Table6[[#This Row],[Missed Games]]),0)</f>
        <v>180.894068235294</v>
      </c>
      <c r="AJ12" s="95" t="n">
        <f aca="false">IFERROR(VLOOKUP(Table6[[#This Row],[PLAYER]],WR!A:Q,15,FALSE())/17*(17-Table6[[#This Row],[Missed Games]]),0)</f>
        <v>210.196229411765</v>
      </c>
      <c r="AK12" s="96" t="n">
        <f aca="false">AVERAGE(AVERAGE(Table6[[#This Row],[LOW]],Table6[[#This Row],[HIGH]]),Table6[[#This Row],[AVG]],VLOOKUP(Table6[[#This Row],[PLAYER]],ECR!L:N,3,FALSE()))</f>
        <v>183.667907019608</v>
      </c>
      <c r="AL12" s="96" t="n">
        <f aca="false">Table6[[#This Row],[Zscore Projection]]-$AE$1</f>
        <v>57.9900282745098</v>
      </c>
      <c r="AM12" s="97" t="e">
        <f aca="false">MAX(Table6[[#This Row],[VBD]]*Scoring!$B$48+1,1)</f>
        <v>#VALUE!</v>
      </c>
      <c r="AN12" s="98" t="n">
        <f aca="false">VLOOKUP(Table6[[#This Row],[VBD]],BR:BT,3,FALSE())</f>
        <v>3</v>
      </c>
      <c r="AO12" s="99" t="n">
        <f aca="false">VLOOKUP(INDEX(ECR!$E:$E,MATCH(AD12,ECR!$C:$C,0)),RISK!A:B,2,FALSE())</f>
        <v>2.409</v>
      </c>
      <c r="AP12" s="100"/>
      <c r="AQ12" s="101" t="s">
        <v>171</v>
      </c>
      <c r="AR12" s="101" t="str">
        <f aca="false">VLOOKUP(AQ12,ECR!E:L,8,FALSE())</f>
        <v>Travis Kelce</v>
      </c>
      <c r="AS12" s="101" t="str">
        <f aca="false">IFERROR(VLOOKUP(Table7[[#This Row],[PLAYER]],ECR!C:F,2,FALSE()),"-")</f>
        <v>KC</v>
      </c>
      <c r="AT12" s="101" t="n">
        <f aca="false">IFERROR(VLOOKUP(Table7[[#This Row],[PLAYER]],ECR!C:F,4,FALSE()),"-")</f>
        <v>5</v>
      </c>
      <c r="AU12" s="101" t="str">
        <f aca="false">Table7[[#This Row],[Team]] &amp; "/" &amp; Table7[[#This Row],[Bye]]</f>
        <v>KC/5</v>
      </c>
      <c r="AV12" s="95" t="n">
        <f aca="false">IFERROR(VLOOKUP(Table7[[#This Row],[PLAYER]],TE!A:K,9,FALSE())/17*(16-Table7[[#This Row],[Missed Games]]),0)</f>
        <v>113.207723529412</v>
      </c>
      <c r="AW12" s="95" t="n">
        <f aca="false">IFERROR(VLOOKUP(Table7[[#This Row],[PLAYER]],TE!A:K,10,FALSE())/17*(16-Table7[[#This Row],[Missed Games]]),0)</f>
        <v>119.500726470588</v>
      </c>
      <c r="AX12" s="95" t="n">
        <f aca="false">IFERROR(VLOOKUP(Table7[[#This Row],[PLAYER]],TE!A:K,11,FALSE())/17*(16-Table7[[#This Row],[Missed Games]]),0)</f>
        <v>129.591088235294</v>
      </c>
      <c r="AY12" s="96" t="n">
        <f aca="false">AVERAGE(AVERAGE(Table7[[#This Row],[LOW]],Table7[[#This Row],[HIGH]]),Table7[[#This Row],[AVG]],VLOOKUP(Table7[[#This Row],[PLAYER]],ECR!L:N,3,FALSE()))</f>
        <v>120.133619607843</v>
      </c>
      <c r="AZ12" s="96" t="n">
        <f aca="false">Table7[[#This Row],[Zscore Projection]]-$AS$1</f>
        <v>7.56002216666667</v>
      </c>
      <c r="BA12" s="97" t="e">
        <f aca="false">MAX(Table7[[#This Row],[VBD]]*Scoring!$B$48+1,1)</f>
        <v>#VALUE!</v>
      </c>
      <c r="BB12" s="95" t="n">
        <f aca="false">VLOOKUP(Table7[[#This Row],[VBD]],BW:BY,3,FALSE())</f>
        <v>4</v>
      </c>
      <c r="BC12" s="99" t="n">
        <f aca="false">VLOOKUP(INDEX(ECR!$E:$E,MATCH(AR12,ECR!$C:$C,0)),RISK!A:B,2,FALSE())</f>
        <v>1.905</v>
      </c>
      <c r="BD12" s="95"/>
      <c r="BE12" s="100"/>
      <c r="BF12" s="102" t="n">
        <v>10</v>
      </c>
      <c r="BG12" s="100" t="n">
        <f aca="false">IFERROR(LARGE($G$3:$G$52,BF12),"")</f>
        <v>269.8798</v>
      </c>
      <c r="BH12" s="100" t="n">
        <f aca="false">IFERROR(LARGE($J$3:$J$52,10),"")</f>
        <v>1.49458894901966</v>
      </c>
      <c r="BI12" s="100" t="n">
        <f aca="false">IF(BH12="",BI11,IF((BI11-BH12)&gt;0.2*LARGE($J$3:$J$52,2),BH12,BI11))</f>
        <v>3.69331111372549</v>
      </c>
      <c r="BJ12" s="103" t="n">
        <f aca="false">MIN(IF(BH12="",BJ11,IF((BI11-BH12)&gt;0.2*LARGE($J$3:$J$52,2),BJ11+1,BJ11)),15)</f>
        <v>5</v>
      </c>
      <c r="BK12" s="102" t="n">
        <v>10</v>
      </c>
      <c r="BL12" s="100" t="n">
        <f aca="false">IFERROR(LARGE($U$3:$U$102,BK12),"")</f>
        <v>200.642984</v>
      </c>
      <c r="BM12" s="104" t="n">
        <f aca="false">IFERROR(LARGE($X$3:$X$102,10),"")</f>
        <v>74.352109372549</v>
      </c>
      <c r="BN12" s="104" t="n">
        <f aca="false">IF(BM12="",BN11,IF((BN11-BM12)&gt;0.15*LARGE($X$3:$X$102,2),BM12,BN11))</f>
        <v>90.8898639803922</v>
      </c>
      <c r="BO12" s="103" t="n">
        <f aca="false">IF(BM12="",BO11,IF((BN11-BM12)&gt;0.15*LARGE($X$3:$X$102,2),BO11+1,BO11))</f>
        <v>3</v>
      </c>
      <c r="BP12" s="105" t="n">
        <v>10</v>
      </c>
      <c r="BQ12" s="100" t="n">
        <f aca="false">IFERROR(LARGE($AI$3:$AI$102,BP12),"")</f>
        <v>184.632294</v>
      </c>
      <c r="BR12" s="104" t="n">
        <f aca="false">IFERROR(LARGE($AL$3:$AL$102,10),"")</f>
        <v>57.9900282745098</v>
      </c>
      <c r="BS12" s="104" t="n">
        <f aca="false">IF(BR12="",BS11,IF((BS11-BR12)&gt;0.15*LARGE($AL$3:$AL$102,2),BR12,BS11))</f>
        <v>70.1747648039216</v>
      </c>
      <c r="BT12" s="103" t="n">
        <f aca="false">IF(BR12="",BT11,IF((BS11-BR12)&gt;0.15*LARGE($AL$3:$AL$102,2),BT11+1,BT11))</f>
        <v>3</v>
      </c>
      <c r="BU12" s="102" t="n">
        <v>10</v>
      </c>
      <c r="BV12" s="100" t="n">
        <f aca="false">IFERROR(LARGE($AW$3:$AW$52,BU12),"")</f>
        <v>119.500726470588</v>
      </c>
      <c r="BW12" s="104" t="n">
        <f aca="false">IFERROR(LARGE($AZ$3:$AZ$52,10),"")</f>
        <v>7.56002216666667</v>
      </c>
      <c r="BX12" s="104" t="n">
        <f aca="false">IF(BW12="",BX11,IF((BX11-BW12)&gt;0.2*LARGE($AZ$3:$AZ$52,2),BW12,BX11))</f>
        <v>7.56002216666667</v>
      </c>
      <c r="BY12" s="106" t="n">
        <f aca="false">IF(BW12="",BY11,IF((BX11-BW12)&gt;0.2*LARGE($AZ$3:$AZ$52,2),BY11+1,BY11))</f>
        <v>4</v>
      </c>
      <c r="BZ12" s="104"/>
      <c r="CA12" s="104"/>
      <c r="CB12" s="104"/>
      <c r="CC12" s="104"/>
      <c r="CD12" s="104"/>
      <c r="CE12" s="104"/>
      <c r="CF12" s="104"/>
      <c r="CG12" s="104"/>
    </row>
    <row r="13" s="107" customFormat="true" ht="14.25" hidden="false" customHeight="true" outlineLevel="0" collapsed="false">
      <c r="A13" s="93" t="s">
        <v>172</v>
      </c>
      <c r="B13" s="93" t="str">
        <f aca="false">VLOOKUP(A13,ECR!E:L,8,FALSE())</f>
        <v>Brock Purdy</v>
      </c>
      <c r="C13" s="94" t="str">
        <f aca="false">IFERROR(VLOOKUP(Table2[[#This Row],[PLAYER]],ECR!C:F,2,FALSE()),"-")</f>
        <v>SF</v>
      </c>
      <c r="D13" s="94" t="n">
        <f aca="false">IFERROR(VLOOKUP(Table2[[#This Row],[PLAYER]],ECR!C:F,4,FALSE()),"-")</f>
        <v>8</v>
      </c>
      <c r="E13" s="94" t="str">
        <f aca="false">Table2[[#This Row],[Team]] &amp; "/" &amp; Table2[[#This Row],[Bye]]</f>
        <v>SF/8</v>
      </c>
      <c r="F13" s="95" t="n">
        <f aca="false">IFERROR(VLOOKUP(Table2[[#This Row],[PLAYER]],QB!A:Q,15,FALSE())/17*(17-Table2[[#This Row],[Missed Games]]),0)</f>
        <v>254.913947058823</v>
      </c>
      <c r="G13" s="95" t="n">
        <f aca="false">IFERROR(VLOOKUP(Table2[[#This Row],[PLAYER]],QB!A:Q,16,FALSE())/17*(17-Table2[[#This Row],[Missed Games]]),0)</f>
        <v>269.8798</v>
      </c>
      <c r="H13" s="95" t="n">
        <f aca="false">IFERROR(VLOOKUP(Table2[[#This Row],[PLAYER]],QB!A:Q,17,FALSE())/17*(17-Table2[[#This Row],[Missed Games]]),0)</f>
        <v>289.269188235294</v>
      </c>
      <c r="I13" s="96" t="n">
        <f aca="false">AVERAGE(AVERAGE(Table2[[#This Row],[LOW]],Table2[[#This Row],[HIGH]]),Table2[[#This Row],[AVG]],VLOOKUP(Table2[[#This Row],[PLAYER]],ECR!L:N,3,FALSE()))</f>
        <v>269.873954737255</v>
      </c>
      <c r="J13" s="96" t="n">
        <f aca="false">Table2[[#This Row],[Zscore Projection]]-$C$1</f>
        <v>1.49458894901966</v>
      </c>
      <c r="K13" s="97" t="e">
        <f aca="false">MAX(Table2[[#This Row],[VBD]]*Scoring!$B$48+1,1)</f>
        <v>#VALUE!</v>
      </c>
      <c r="L13" s="98" t="n">
        <f aca="false">VLOOKUP(Table2[[#This Row],[VBD]],BH:BJ,3,FALSE())</f>
        <v>5</v>
      </c>
      <c r="M13" s="99" t="n">
        <f aca="false">VLOOKUP(INDEX(ECR!$E:$E,MATCH(B13,ECR!$C:$C,0)),RISK!A:B,2,FALSE())</f>
        <v>1.99</v>
      </c>
      <c r="N13" s="100"/>
      <c r="O13" s="98" t="s">
        <v>173</v>
      </c>
      <c r="P13" s="93" t="str">
        <f aca="false">VLOOKUP(O13,ECR!E:L,8,FALSE())</f>
        <v>Derrick Henry</v>
      </c>
      <c r="Q13" s="94" t="str">
        <f aca="false">IFERROR(VLOOKUP(Table4[[#This Row],[PLAYER]],ECR!C:F,2,FALSE()),"-")</f>
        <v>BAL</v>
      </c>
      <c r="R13" s="94" t="n">
        <f aca="false">IFERROR(VLOOKUP(Table4[[#This Row],[PLAYER]],ECR!C:F,4,FALSE()),"-")</f>
        <v>13</v>
      </c>
      <c r="S13" s="94" t="str">
        <f aca="false">Table4[[#This Row],[Team]] &amp; "/" &amp; Table4[[#This Row],[Bye]]</f>
        <v>BAL/13</v>
      </c>
      <c r="T13" s="95" t="n">
        <f aca="false">IFERROR(VLOOKUP(Table4[[#This Row],[PLAYER]],RB!A:Q,13,FALSE())/17*(17-Table4[[#This Row],[Missed Games]]),0)</f>
        <v>204.152910705882</v>
      </c>
      <c r="U13" s="95" t="n">
        <f aca="false">IFERROR(VLOOKUP(Table4[[#This Row],[PLAYER]],RB!A:Q,14,FALSE())/17*(17-Table4[[#This Row],[Missed Games]]),0)</f>
        <v>225.036905058824</v>
      </c>
      <c r="V13" s="95" t="n">
        <f aca="false">IFERROR(VLOOKUP(Table4[[#This Row],[PLAYER]],RB!A:Q,15,FALSE())/17*(17-Table4[[#This Row],[Missed Games]]),0)</f>
        <v>247.065111764706</v>
      </c>
      <c r="W13" s="96" t="n">
        <f aca="false">AVERAGE(AVERAGE(Table4[[#This Row],[LOW]],Table4[[#This Row],[HIGH]]),Table4[[#This Row],[AVG]],VLOOKUP(Table4[[#This Row],[PLAYER]],ECR!L:N,3,FALSE()))</f>
        <v>215.593517980392</v>
      </c>
      <c r="X13" s="96" t="n">
        <f aca="false">Table4[[#This Row],[Zscore Projection]]-$Q$1</f>
        <v>88.0477795882353</v>
      </c>
      <c r="Y13" s="97" t="e">
        <f aca="false">MAX(Table4[[#This Row],[VBD]]*Scoring!$B$48+1,1)</f>
        <v>#VALUE!</v>
      </c>
      <c r="Z13" s="98" t="n">
        <f aca="false">VLOOKUP(Table4[[#This Row],[VBD]],BM:BO,3,FALSE())</f>
        <v>3</v>
      </c>
      <c r="AA13" s="99" t="n">
        <f aca="false">VLOOKUP(INDEX(ECR!$E:$E,MATCH(P13,ECR!$C:$C,0)),RISK!A:B,2,FALSE())</f>
        <v>2.5914</v>
      </c>
      <c r="AB13" s="100"/>
      <c r="AC13" s="94" t="s">
        <v>174</v>
      </c>
      <c r="AD13" s="94" t="str">
        <f aca="false">VLOOKUP(AC13,ECR!E:L,8,FALSE())</f>
        <v>Chris Olave</v>
      </c>
      <c r="AE13" s="94" t="str">
        <f aca="false">IFERROR(VLOOKUP(Table6[[#This Row],[PLAYER]],ECR!C:F,2,FALSE()),"-")</f>
        <v>NO</v>
      </c>
      <c r="AF13" s="94" t="n">
        <f aca="false">IFERROR(VLOOKUP(Table6[[#This Row],[PLAYER]],ECR!C:F,4,FALSE()),"-")</f>
        <v>8</v>
      </c>
      <c r="AG13" s="94" t="str">
        <f aca="false">Table6[[#This Row],[Team]] &amp; "/" &amp; Table6[[#This Row],[Bye]]</f>
        <v>NO/8</v>
      </c>
      <c r="AH13" s="95" t="n">
        <f aca="false">IFERROR(VLOOKUP(Table6[[#This Row],[PLAYER]],WR!A:Q,13,FALSE())/17*(17-Table6[[#This Row],[Missed Games]]),0)</f>
        <v>169.82889</v>
      </c>
      <c r="AI13" s="95" t="n">
        <f aca="false">IFERROR(VLOOKUP(Table6[[#This Row],[PLAYER]],WR!A:Q,14,FALSE())/17*(17-Table6[[#This Row],[Missed Games]]),0)</f>
        <v>184.632294</v>
      </c>
      <c r="AJ13" s="95" t="n">
        <f aca="false">IFERROR(VLOOKUP(Table6[[#This Row],[PLAYER]],WR!A:Q,15,FALSE())/17*(17-Table6[[#This Row],[Missed Games]]),0)</f>
        <v>205.128</v>
      </c>
      <c r="AK13" s="96" t="n">
        <f aca="false">AVERAGE(AVERAGE(Table6[[#This Row],[LOW]],Table6[[#This Row],[HIGH]]),Table6[[#This Row],[AVG]],VLOOKUP(Table6[[#This Row],[PLAYER]],ECR!L:N,3,FALSE()))</f>
        <v>184.334935745098</v>
      </c>
      <c r="AL13" s="96" t="n">
        <f aca="false">Table6[[#This Row],[Zscore Projection]]-$AE$1</f>
        <v>58.657057</v>
      </c>
      <c r="AM13" s="97" t="e">
        <f aca="false">MAX(Table6[[#This Row],[VBD]]*Scoring!$B$48+1,1)</f>
        <v>#VALUE!</v>
      </c>
      <c r="AN13" s="98" t="n">
        <f aca="false">VLOOKUP(Table6[[#This Row],[VBD]],BR:BT,3,FALSE())</f>
        <v>3</v>
      </c>
      <c r="AO13" s="99" t="n">
        <f aca="false">VLOOKUP(INDEX(ECR!$E:$E,MATCH(AD13,ECR!$C:$C,0)),RISK!A:B,2,FALSE())</f>
        <v>2.4701</v>
      </c>
      <c r="AP13" s="100"/>
      <c r="AQ13" s="101" t="s">
        <v>175</v>
      </c>
      <c r="AR13" s="101" t="str">
        <f aca="false">VLOOKUP(AQ13,ECR!E:L,8,FALSE())</f>
        <v>Dalton Kincaid</v>
      </c>
      <c r="AS13" s="101" t="str">
        <f aca="false">IFERROR(VLOOKUP(Table7[[#This Row],[PLAYER]],ECR!C:F,2,FALSE()),"-")</f>
        <v>BUF</v>
      </c>
      <c r="AT13" s="101" t="n">
        <f aca="false">IFERROR(VLOOKUP(Table7[[#This Row],[PLAYER]],ECR!C:F,4,FALSE()),"-")</f>
        <v>7</v>
      </c>
      <c r="AU13" s="101" t="str">
        <f aca="false">Table7[[#This Row],[Team]] &amp; "/" &amp; Table7[[#This Row],[Bye]]</f>
        <v>BUF/7</v>
      </c>
      <c r="AV13" s="95" t="n">
        <f aca="false">IFERROR(VLOOKUP(Table7[[#This Row],[PLAYER]],TE!A:K,9,FALSE())/17*(16-Table7[[#This Row],[Missed Games]]),0)</f>
        <v>95.8963417647059</v>
      </c>
      <c r="AW13" s="95" t="n">
        <f aca="false">IFERROR(VLOOKUP(Table7[[#This Row],[PLAYER]],TE!A:K,10,FALSE())/17*(16-Table7[[#This Row],[Missed Games]]),0)</f>
        <v>108.911436294118</v>
      </c>
      <c r="AX13" s="95" t="n">
        <f aca="false">IFERROR(VLOOKUP(Table7[[#This Row],[PLAYER]],TE!A:K,11,FALSE())/17*(16-Table7[[#This Row],[Missed Games]]),0)</f>
        <v>123.490327941176</v>
      </c>
      <c r="AY13" s="96" t="n">
        <f aca="false">AVERAGE(AVERAGE(Table7[[#This Row],[LOW]],Table7[[#This Row],[HIGH]]),Table7[[#This Row],[AVG]],VLOOKUP(Table7[[#This Row],[PLAYER]],ECR!L:N,3,FALSE()))</f>
        <v>112.573597441176</v>
      </c>
      <c r="AZ13" s="96" t="n">
        <f aca="false">Table7[[#This Row],[Zscore Projection]]-$AS$1</f>
        <v>0</v>
      </c>
      <c r="BA13" s="97" t="e">
        <f aca="false">MAX(Table7[[#This Row],[VBD]]*Scoring!$B$48+1,1)</f>
        <v>#VALUE!</v>
      </c>
      <c r="BB13" s="95" t="n">
        <f aca="false">VLOOKUP(Table7[[#This Row],[VBD]],BW:BY,3,FALSE())</f>
        <v>4</v>
      </c>
      <c r="BC13" s="99" t="n">
        <f aca="false">VLOOKUP(INDEX(ECR!$E:$E,MATCH(AR13,ECR!$C:$C,0)),RISK!A:B,2,FALSE())</f>
        <v>1.9341</v>
      </c>
      <c r="BD13" s="95"/>
      <c r="BE13" s="100"/>
      <c r="BF13" s="102" t="n">
        <v>11</v>
      </c>
      <c r="BG13" s="100" t="n">
        <f aca="false">IFERROR(LARGE($G$3:$G$52,BF13),"")</f>
        <v>267.650496564706</v>
      </c>
      <c r="BH13" s="100" t="n">
        <f aca="false">IFERROR(LARGE($J$3:$J$52,11),"")</f>
        <v>0.946378658823562</v>
      </c>
      <c r="BI13" s="100" t="n">
        <f aca="false">IF(BH13="",BI12,IF((BI12-BH13)&gt;0.2*LARGE($J$3:$J$52,2),BH13,BI12))</f>
        <v>3.69331111372549</v>
      </c>
      <c r="BJ13" s="103" t="n">
        <f aca="false">MIN(IF(BH13="",BJ12,IF((BI12-BH13)&gt;0.2*LARGE($J$3:$J$52,2),BJ12+1,BJ12)),15)</f>
        <v>5</v>
      </c>
      <c r="BK13" s="102" t="n">
        <v>11</v>
      </c>
      <c r="BL13" s="100" t="n">
        <f aca="false">IFERROR(LARGE($U$3:$U$102,BK13),"")</f>
        <v>196.134637647059</v>
      </c>
      <c r="BM13" s="104" t="n">
        <f aca="false">IFERROR(LARGE($X$3:$X$102,11),"")</f>
        <v>68.4844974724706</v>
      </c>
      <c r="BN13" s="104" t="n">
        <f aca="false">IF(BM13="",BN12,IF((BN12-BM13)&gt;0.15*LARGE($X$3:$X$102,2),BM13,BN12))</f>
        <v>68.4844974724706</v>
      </c>
      <c r="BO13" s="103" t="n">
        <f aca="false">IF(BM13="",BO12,IF((BN12-BM13)&gt;0.15*LARGE($X$3:$X$102,2),BO12+1,BO12))</f>
        <v>4</v>
      </c>
      <c r="BP13" s="105" t="n">
        <v>11</v>
      </c>
      <c r="BQ13" s="100" t="n">
        <f aca="false">IFERROR(LARGE($AI$3:$AI$102,BP13),"")</f>
        <v>180.894068235294</v>
      </c>
      <c r="BR13" s="104" t="n">
        <f aca="false">IFERROR(LARGE($AL$3:$AL$102,11),"")</f>
        <v>57.2508469803922</v>
      </c>
      <c r="BS13" s="104" t="n">
        <f aca="false">IF(BR13="",BS12,IF((BS12-BR13)&gt;0.15*LARGE($AL$3:$AL$102,2),BR13,BS12))</f>
        <v>70.1747648039216</v>
      </c>
      <c r="BT13" s="103" t="n">
        <f aca="false">IF(BR13="",BT12,IF((BS12-BR13)&gt;0.15*LARGE($AL$3:$AL$102,2),BT12+1,BT12))</f>
        <v>3</v>
      </c>
      <c r="BU13" s="102" t="n">
        <v>11</v>
      </c>
      <c r="BV13" s="100" t="n">
        <f aca="false">IFERROR(LARGE($AW$3:$AW$52,BU13),"")</f>
        <v>119.116021176471</v>
      </c>
      <c r="BW13" s="104" t="n">
        <f aca="false">IFERROR(LARGE($AZ$3:$AZ$52,11),"")</f>
        <v>5.36366336274509</v>
      </c>
      <c r="BX13" s="104" t="n">
        <f aca="false">IF(BW13="",BX12,IF((BX12-BW13)&gt;0.2*LARGE($AZ$3:$AZ$52,2),BW13,BX12))</f>
        <v>7.56002216666667</v>
      </c>
      <c r="BY13" s="106" t="n">
        <f aca="false">IF(BW13="",BY12,IF((BX12-BW13)&gt;0.2*LARGE($AZ$3:$AZ$52,2),BY12+1,BY12))</f>
        <v>4</v>
      </c>
      <c r="BZ13" s="104"/>
      <c r="CA13" s="104"/>
      <c r="CB13" s="104"/>
      <c r="CC13" s="104"/>
      <c r="CD13" s="104"/>
      <c r="CE13" s="104"/>
      <c r="CF13" s="104"/>
      <c r="CG13" s="104"/>
    </row>
    <row r="14" s="107" customFormat="true" ht="14.25" hidden="false" customHeight="true" outlineLevel="0" collapsed="false">
      <c r="A14" s="93" t="s">
        <v>176</v>
      </c>
      <c r="B14" s="93" t="str">
        <f aca="false">VLOOKUP(A14,ECR!E:L,8,FALSE())</f>
        <v>Bo Nix</v>
      </c>
      <c r="C14" s="94" t="str">
        <f aca="false">IFERROR(VLOOKUP(Table2[[#This Row],[PLAYER]],ECR!C:F,2,FALSE()),"-")</f>
        <v>DEN</v>
      </c>
      <c r="D14" s="94" t="n">
        <f aca="false">IFERROR(VLOOKUP(Table2[[#This Row],[PLAYER]],ECR!C:F,4,FALSE()),"-")</f>
        <v>10</v>
      </c>
      <c r="E14" s="94" t="str">
        <f aca="false">Table2[[#This Row],[Team]] &amp; "/" &amp; Table2[[#This Row],[Bye]]</f>
        <v>DEN/10</v>
      </c>
      <c r="F14" s="95" t="n">
        <f aca="false">IFERROR(VLOOKUP(Table2[[#This Row],[PLAYER]],QB!A:Q,15,FALSE())/17*(17-Table2[[#This Row],[Missed Games]]),0)</f>
        <v>243.639968</v>
      </c>
      <c r="G14" s="95" t="n">
        <f aca="false">IFERROR(VLOOKUP(Table2[[#This Row],[PLAYER]],QB!A:Q,16,FALSE())/17*(17-Table2[[#This Row],[Missed Games]]),0)</f>
        <v>262.614588141176</v>
      </c>
      <c r="H14" s="95" t="n">
        <f aca="false">IFERROR(VLOOKUP(Table2[[#This Row],[PLAYER]],QB!A:Q,17,FALSE())/17*(17-Table2[[#This Row],[Missed Games]]),0)</f>
        <v>273.947948988235</v>
      </c>
      <c r="I14" s="96" t="n">
        <f aca="false">AVERAGE(AVERAGE(Table2[[#This Row],[LOW]],Table2[[#This Row],[HIGH]]),Table2[[#This Row],[AVG]],VLOOKUP(Table2[[#This Row],[PLAYER]],ECR!L:N,3,FALSE()))</f>
        <v>262.331284705882</v>
      </c>
      <c r="J14" s="96" t="n">
        <f aca="false">Table2[[#This Row],[Zscore Projection]]-$C$1</f>
        <v>-6.04808108235289</v>
      </c>
      <c r="K14" s="97" t="e">
        <f aca="false">MAX(Table2[[#This Row],[VBD]]*Scoring!$B$48+1,1)</f>
        <v>#VALUE!</v>
      </c>
      <c r="L14" s="98" t="n">
        <f aca="false">VLOOKUP(Table2[[#This Row],[VBD]],BH:BJ,3,FALSE())</f>
        <v>7</v>
      </c>
      <c r="M14" s="99" t="n">
        <f aca="false">VLOOKUP(INDEX(ECR!$E:$E,MATCH(B14,ECR!$C:$C,0)),RISK!A:B,2,FALSE())</f>
        <v>2.0344</v>
      </c>
      <c r="N14" s="100"/>
      <c r="O14" s="98" t="s">
        <v>177</v>
      </c>
      <c r="P14" s="93" t="str">
        <f aca="false">VLOOKUP(O14,ECR!E:L,8,FALSE())</f>
        <v>Ashton Jeanty</v>
      </c>
      <c r="Q14" s="94" t="str">
        <f aca="false">IFERROR(VLOOKUP(Table4[[#This Row],[PLAYER]],ECR!C:F,2,FALSE()),"-")</f>
        <v>LV</v>
      </c>
      <c r="R14" s="94" t="n">
        <f aca="false">IFERROR(VLOOKUP(Table4[[#This Row],[PLAYER]],ECR!C:F,4,FALSE()),"-")</f>
        <v>13</v>
      </c>
      <c r="S14" s="94" t="str">
        <f aca="false">Table4[[#This Row],[Team]] &amp; "/" &amp; Table4[[#This Row],[Bye]]</f>
        <v>LV/13</v>
      </c>
      <c r="T14" s="95" t="n">
        <f aca="false">IFERROR(VLOOKUP(Table4[[#This Row],[PLAYER]],RB!A:Q,13,FALSE())/17*(17-Table4[[#This Row],[Missed Games]]),0)</f>
        <v>163.967811764706</v>
      </c>
      <c r="U14" s="95" t="n">
        <f aca="false">IFERROR(VLOOKUP(Table4[[#This Row],[PLAYER]],RB!A:Q,14,FALSE())/17*(17-Table4[[#This Row],[Missed Games]]),0)</f>
        <v>196.134637647059</v>
      </c>
      <c r="V14" s="95" t="n">
        <f aca="false">IFERROR(VLOOKUP(Table4[[#This Row],[PLAYER]],RB!A:Q,15,FALSE())/17*(17-Table4[[#This Row],[Missed Games]]),0)</f>
        <v>228.403096470588</v>
      </c>
      <c r="W14" s="96" t="n">
        <f aca="false">AVERAGE(AVERAGE(Table4[[#This Row],[LOW]],Table4[[#This Row],[HIGH]]),Table4[[#This Row],[AVG]],VLOOKUP(Table4[[#This Row],[PLAYER]],ECR!L:N,3,FALSE()))</f>
        <v>196.030235864627</v>
      </c>
      <c r="X14" s="96" t="n">
        <f aca="false">Table4[[#This Row],[Zscore Projection]]-$Q$1</f>
        <v>68.4844974724706</v>
      </c>
      <c r="Y14" s="97" t="e">
        <f aca="false">MAX(Table4[[#This Row],[VBD]]*Scoring!$B$48+1,1)</f>
        <v>#VALUE!</v>
      </c>
      <c r="Z14" s="98" t="n">
        <f aca="false">VLOOKUP(Table4[[#This Row],[VBD]],BM:BO,3,FALSE())</f>
        <v>4</v>
      </c>
      <c r="AA14" s="99" t="n">
        <f aca="false">VLOOKUP(INDEX(ECR!$E:$E,MATCH(P14,ECR!$C:$C,0)),RISK!A:B,2,FALSE())</f>
        <v>2.602</v>
      </c>
      <c r="AB14" s="100"/>
      <c r="AC14" s="94" t="s">
        <v>178</v>
      </c>
      <c r="AD14" s="94" t="str">
        <f aca="false">VLOOKUP(AC14,ECR!E:L,8,FALSE())</f>
        <v>Malik Nabers</v>
      </c>
      <c r="AE14" s="94" t="str">
        <f aca="false">IFERROR(VLOOKUP(Table6[[#This Row],[PLAYER]],ECR!C:F,2,FALSE()),"-")</f>
        <v>NYG</v>
      </c>
      <c r="AF14" s="94" t="n">
        <f aca="false">IFERROR(VLOOKUP(Table6[[#This Row],[PLAYER]],ECR!C:F,4,FALSE()),"-")</f>
        <v>8</v>
      </c>
      <c r="AG14" s="94" t="str">
        <f aca="false">Table6[[#This Row],[Team]] &amp; "/" &amp; Table6[[#This Row],[Bye]]</f>
        <v>NYG/8</v>
      </c>
      <c r="AH14" s="95" t="n">
        <f aca="false">IFERROR(VLOOKUP(Table6[[#This Row],[PLAYER]],WR!A:Q,13,FALSE())/17*(17-Table6[[#This Row],[Missed Games]]),0)</f>
        <v>156.439748235294</v>
      </c>
      <c r="AI14" s="95" t="n">
        <f aca="false">IFERROR(VLOOKUP(Table6[[#This Row],[PLAYER]],WR!A:Q,14,FALSE())/17*(17-Table6[[#This Row],[Missed Games]]),0)</f>
        <v>170.262280941176</v>
      </c>
      <c r="AJ14" s="95" t="n">
        <f aca="false">IFERROR(VLOOKUP(Table6[[#This Row],[PLAYER]],WR!A:Q,15,FALSE())/17*(17-Table6[[#This Row],[Missed Games]]),0)</f>
        <v>191.413139176471</v>
      </c>
      <c r="AK14" s="96" t="n">
        <f aca="false">AVERAGE(AVERAGE(Table6[[#This Row],[LOW]],Table6[[#This Row],[HIGH]]),Table6[[#This Row],[AVG]],VLOOKUP(Table6[[#This Row],[PLAYER]],ECR!L:N,3,FALSE()))</f>
        <v>174.920568019608</v>
      </c>
      <c r="AL14" s="96" t="n">
        <f aca="false">Table6[[#This Row],[Zscore Projection]]-$AE$1</f>
        <v>49.2426892745098</v>
      </c>
      <c r="AM14" s="97" t="e">
        <f aca="false">MAX(Table6[[#This Row],[VBD]]*Scoring!$B$48+1,1)</f>
        <v>#VALUE!</v>
      </c>
      <c r="AN14" s="98" t="n">
        <f aca="false">VLOOKUP(Table6[[#This Row],[VBD]],BR:BT,3,FALSE())</f>
        <v>4</v>
      </c>
      <c r="AO14" s="99" t="n">
        <f aca="false">VLOOKUP(INDEX(ECR!$E:$E,MATCH(AD14,ECR!$C:$C,0)),RISK!A:B,2,FALSE())</f>
        <v>2.5306</v>
      </c>
      <c r="AP14" s="100"/>
      <c r="AQ14" s="101" t="s">
        <v>179</v>
      </c>
      <c r="AR14" s="101" t="str">
        <f aca="false">VLOOKUP(AQ14,ECR!E:L,8,FALSE())</f>
        <v>Isaiah Likely</v>
      </c>
      <c r="AS14" s="101" t="str">
        <f aca="false">IFERROR(VLOOKUP(Table7[[#This Row],[PLAYER]],ECR!C:F,2,FALSE()),"-")</f>
        <v>NYG</v>
      </c>
      <c r="AT14" s="101" t="n">
        <f aca="false">IFERROR(VLOOKUP(Table7[[#This Row],[PLAYER]],ECR!C:F,4,FALSE()),"-")</f>
        <v>8</v>
      </c>
      <c r="AU14" s="101" t="str">
        <f aca="false">Table7[[#This Row],[Team]] &amp; "/" &amp; Table7[[#This Row],[Bye]]</f>
        <v>NYG/8</v>
      </c>
      <c r="AV14" s="95" t="n">
        <f aca="false">IFERROR(VLOOKUP(Table7[[#This Row],[PLAYER]],TE!A:K,9,FALSE())/17*(16-Table7[[#This Row],[Missed Games]]),0)</f>
        <v>93.7159905882353</v>
      </c>
      <c r="AW14" s="95" t="n">
        <f aca="false">IFERROR(VLOOKUP(Table7[[#This Row],[PLAYER]],TE!A:K,10,FALSE())/17*(16-Table7[[#This Row],[Missed Games]]),0)</f>
        <v>110.289531529412</v>
      </c>
      <c r="AX14" s="95" t="n">
        <f aca="false">IFERROR(VLOOKUP(Table7[[#This Row],[PLAYER]],TE!A:K,11,FALSE())/17*(16-Table7[[#This Row],[Missed Games]]),0)</f>
        <v>137.356623529412</v>
      </c>
      <c r="AY14" s="96" t="n">
        <f aca="false">AVERAGE(AVERAGE(Table7[[#This Row],[LOW]],Table7[[#This Row],[HIGH]]),Table7[[#This Row],[AVG]],VLOOKUP(Table7[[#This Row],[PLAYER]],ECR!L:N,3,FALSE()))</f>
        <v>112.228894588235</v>
      </c>
      <c r="AZ14" s="96" t="n">
        <f aca="false">Table7[[#This Row],[Zscore Projection]]-$AS$1</f>
        <v>-0.344702852941197</v>
      </c>
      <c r="BA14" s="97" t="e">
        <f aca="false">MAX(Table7[[#This Row],[VBD]]*Scoring!$B$48+1,1)</f>
        <v>#VALUE!</v>
      </c>
      <c r="BB14" s="95" t="n">
        <f aca="false">VLOOKUP(Table7[[#This Row],[VBD]],BW:BY,3,FALSE())</f>
        <v>4</v>
      </c>
      <c r="BC14" s="99" t="n">
        <f aca="false">VLOOKUP(INDEX(ECR!$E:$E,MATCH(AR14,ECR!$C:$C,0)),RISK!A:B,2,FALSE())</f>
        <v>1.9756</v>
      </c>
      <c r="BD14" s="95"/>
      <c r="BE14" s="100"/>
      <c r="BF14" s="102" t="n">
        <v>12</v>
      </c>
      <c r="BG14" s="100" t="n">
        <f aca="false">IFERROR(LARGE($G$3:$G$52,BF14),"")</f>
        <v>265.585307482353</v>
      </c>
      <c r="BH14" s="100" t="n">
        <f aca="false">IFERROR(LARGE($J$3:$J$52,12),"")</f>
        <v>0</v>
      </c>
      <c r="BI14" s="100" t="n">
        <f aca="false">IF(BH14="",BI13,IF((BI13-BH14)&gt;0.2*LARGE($J$3:$J$52,2),BH14,BI13))</f>
        <v>0</v>
      </c>
      <c r="BJ14" s="103" t="n">
        <f aca="false">MIN(IF(BH14="",BJ13,IF((BI13-BH14)&gt;0.2*LARGE($J$3:$J$52,2),BJ13+1,BJ13)),15)</f>
        <v>6</v>
      </c>
      <c r="BK14" s="102" t="n">
        <v>12</v>
      </c>
      <c r="BL14" s="100" t="n">
        <f aca="false">IFERROR(LARGE($U$3:$U$102,BK14),"")</f>
        <v>195.770615829176</v>
      </c>
      <c r="BM14" s="104" t="n">
        <f aca="false">IFERROR(LARGE($X$3:$X$102,12),"")</f>
        <v>67.8250798039216</v>
      </c>
      <c r="BN14" s="104" t="n">
        <f aca="false">IF(BM14="",BN13,IF((BN13-BM14)&gt;0.15*LARGE($X$3:$X$102,2),BM14,BN13))</f>
        <v>68.4844974724706</v>
      </c>
      <c r="BO14" s="103" t="n">
        <f aca="false">IF(BM14="",BO13,IF((BN13-BM14)&gt;0.15*LARGE($X$3:$X$102,2),BO13+1,BO13))</f>
        <v>4</v>
      </c>
      <c r="BP14" s="105" t="n">
        <v>12</v>
      </c>
      <c r="BQ14" s="100" t="n">
        <f aca="false">IFERROR(LARGE($AI$3:$AI$102,BP14),"")</f>
        <v>180.572979411765</v>
      </c>
      <c r="BR14" s="104" t="n">
        <f aca="false">IFERROR(LARGE($AL$3:$AL$102,12),"")</f>
        <v>55.1268273529412</v>
      </c>
      <c r="BS14" s="104" t="n">
        <f aca="false">IF(BR14="",BS13,IF((BS13-BR14)&gt;0.15*LARGE($AL$3:$AL$102,2),BR14,BS13))</f>
        <v>70.1747648039216</v>
      </c>
      <c r="BT14" s="103" t="n">
        <f aca="false">IF(BR14="",BT13,IF((BS13-BR14)&gt;0.15*LARGE($AL$3:$AL$102,2),BT13+1,BT13))</f>
        <v>3</v>
      </c>
      <c r="BU14" s="102" t="n">
        <v>12</v>
      </c>
      <c r="BV14" s="100" t="n">
        <f aca="false">IFERROR(LARGE($AW$3:$AW$52,BU14),"")</f>
        <v>110.860845176471</v>
      </c>
      <c r="BW14" s="104" t="n">
        <f aca="false">IFERROR(LARGE($AZ$3:$AZ$52,12),"")</f>
        <v>0</v>
      </c>
      <c r="BX14" s="104" t="n">
        <f aca="false">IF(BW14="",BX13,IF((BX13-BW14)&gt;0.2*LARGE($AZ$3:$AZ$52,2),BW14,BX13))</f>
        <v>7.56002216666667</v>
      </c>
      <c r="BY14" s="106" t="n">
        <f aca="false">IF(BW14="",BY13,IF((BX13-BW14)&gt;0.2*LARGE($AZ$3:$AZ$52,2),BY13+1,BY13))</f>
        <v>4</v>
      </c>
      <c r="BZ14" s="104"/>
      <c r="CA14" s="104"/>
      <c r="CB14" s="104"/>
      <c r="CC14" s="104"/>
      <c r="CD14" s="104"/>
      <c r="CE14" s="104"/>
      <c r="CF14" s="104"/>
      <c r="CG14" s="104"/>
    </row>
    <row r="15" s="107" customFormat="true" ht="14.25" hidden="false" customHeight="true" outlineLevel="0" collapsed="false">
      <c r="A15" s="93" t="s">
        <v>180</v>
      </c>
      <c r="B15" s="93" t="str">
        <f aca="false">VLOOKUP(A15,ECR!E:L,8,FALSE())</f>
        <v>Jaxson Dart</v>
      </c>
      <c r="C15" s="94" t="str">
        <f aca="false">IFERROR(VLOOKUP(Table2[[#This Row],[PLAYER]],ECR!C:F,2,FALSE()),"-")</f>
        <v>NYG</v>
      </c>
      <c r="D15" s="94" t="n">
        <f aca="false">IFERROR(VLOOKUP(Table2[[#This Row],[PLAYER]],ECR!C:F,4,FALSE()),"-")</f>
        <v>8</v>
      </c>
      <c r="E15" s="94" t="str">
        <f aca="false">Table2[[#This Row],[Team]] &amp; "/" &amp; Table2[[#This Row],[Bye]]</f>
        <v>NYG/8</v>
      </c>
      <c r="F15" s="95" t="n">
        <f aca="false">IFERROR(VLOOKUP(Table2[[#This Row],[PLAYER]],QB!A:Q,15,FALSE())/17*(17-Table2[[#This Row],[Missed Games]]),0)</f>
        <v>252.659120470588</v>
      </c>
      <c r="G15" s="95" t="n">
        <f aca="false">IFERROR(VLOOKUP(Table2[[#This Row],[PLAYER]],QB!A:Q,16,FALSE())/17*(17-Table2[[#This Row],[Missed Games]]),0)</f>
        <v>271.697580752941</v>
      </c>
      <c r="H15" s="95" t="n">
        <f aca="false">IFERROR(VLOOKUP(Table2[[#This Row],[PLAYER]],QB!A:Q,17,FALSE())/17*(17-Table2[[#This Row],[Missed Games]]),0)</f>
        <v>295.191738917647</v>
      </c>
      <c r="I15" s="96" t="n">
        <f aca="false">AVERAGE(AVERAGE(Table2[[#This Row],[LOW]],Table2[[#This Row],[HIGH]]),Table2[[#This Row],[AVG]],VLOOKUP(Table2[[#This Row],[PLAYER]],ECR!L:N,3,FALSE()))</f>
        <v>269.876142713726</v>
      </c>
      <c r="J15" s="96" t="n">
        <f aca="false">Table2[[#This Row],[Zscore Projection]]-$C$1</f>
        <v>1.49677692549028</v>
      </c>
      <c r="K15" s="97" t="e">
        <f aca="false">MAX(Table2[[#This Row],[VBD]]*Scoring!$B$48+1,1)</f>
        <v>#VALUE!</v>
      </c>
      <c r="L15" s="98" t="n">
        <f aca="false">VLOOKUP(Table2[[#This Row],[VBD]],BH:BJ,3,FALSE())</f>
        <v>5</v>
      </c>
      <c r="M15" s="99" t="n">
        <f aca="false">VLOOKUP(INDEX(ECR!$E:$E,MATCH(B15,ECR!$C:$C,0)),RISK!A:B,2,FALSE())</f>
        <v>2.0892</v>
      </c>
      <c r="N15" s="100"/>
      <c r="O15" s="98" t="s">
        <v>181</v>
      </c>
      <c r="P15" s="93" t="str">
        <f aca="false">VLOOKUP(O15,ECR!E:L,8,FALSE())</f>
        <v>Kyren Williams</v>
      </c>
      <c r="Q15" s="94" t="str">
        <f aca="false">IFERROR(VLOOKUP(Table4[[#This Row],[PLAYER]],ECR!C:F,2,FALSE()),"-")</f>
        <v>LAR</v>
      </c>
      <c r="R15" s="94" t="n">
        <f aca="false">IFERROR(VLOOKUP(Table4[[#This Row],[PLAYER]],ECR!C:F,4,FALSE()),"-")</f>
        <v>11</v>
      </c>
      <c r="S15" s="94" t="str">
        <f aca="false">Table4[[#This Row],[Team]] &amp; "/" &amp; Table4[[#This Row],[Bye]]</f>
        <v>LAR/11</v>
      </c>
      <c r="T15" s="95" t="n">
        <f aca="false">IFERROR(VLOOKUP(Table4[[#This Row],[PLAYER]],RB!A:Q,13,FALSE())/17*(17-Table4[[#This Row],[Missed Games]]),0)</f>
        <v>171.796615411765</v>
      </c>
      <c r="U15" s="95" t="n">
        <f aca="false">IFERROR(VLOOKUP(Table4[[#This Row],[PLAYER]],RB!A:Q,14,FALSE())/17*(17-Table4[[#This Row],[Missed Games]]),0)</f>
        <v>184.837282588235</v>
      </c>
      <c r="V15" s="95" t="n">
        <f aca="false">IFERROR(VLOOKUP(Table4[[#This Row],[PLAYER]],RB!A:Q,15,FALSE())/17*(17-Table4[[#This Row],[Missed Games]]),0)</f>
        <v>199.375807058824</v>
      </c>
      <c r="W15" s="96" t="n">
        <f aca="false">AVERAGE(AVERAGE(Table4[[#This Row],[LOW]],Table4[[#This Row],[HIGH]]),Table4[[#This Row],[AVG]],VLOOKUP(Table4[[#This Row],[PLAYER]],ECR!L:N,3,FALSE()))</f>
        <v>188.284821470588</v>
      </c>
      <c r="X15" s="96" t="n">
        <f aca="false">Table4[[#This Row],[Zscore Projection]]-$Q$1</f>
        <v>60.7390830784314</v>
      </c>
      <c r="Y15" s="97" t="e">
        <f aca="false">MAX(Table4[[#This Row],[VBD]]*Scoring!$B$48+1,1)</f>
        <v>#VALUE!</v>
      </c>
      <c r="Z15" s="98" t="n">
        <f aca="false">VLOOKUP(Table4[[#This Row],[VBD]],BM:BO,3,FALSE())</f>
        <v>4</v>
      </c>
      <c r="AA15" s="99" t="n">
        <f aca="false">VLOOKUP(INDEX(ECR!$E:$E,MATCH(P15,ECR!$C:$C,0)),RISK!A:B,2,FALSE())</f>
        <v>2.6138</v>
      </c>
      <c r="AB15" s="100"/>
      <c r="AC15" s="94" t="s">
        <v>182</v>
      </c>
      <c r="AD15" s="94" t="str">
        <f aca="false">VLOOKUP(AC15,ECR!E:L,8,FALSE())</f>
        <v>DeVonta Smith</v>
      </c>
      <c r="AE15" s="94" t="str">
        <f aca="false">IFERROR(VLOOKUP(Table6[[#This Row],[PLAYER]],ECR!C:F,2,FALSE()),"-")</f>
        <v>PHI</v>
      </c>
      <c r="AF15" s="94" t="n">
        <f aca="false">IFERROR(VLOOKUP(Table6[[#This Row],[PLAYER]],ECR!C:F,4,FALSE()),"-")</f>
        <v>10</v>
      </c>
      <c r="AG15" s="94" t="str">
        <f aca="false">Table6[[#This Row],[Team]] &amp; "/" &amp; Table6[[#This Row],[Bye]]</f>
        <v>PHI/10</v>
      </c>
      <c r="AH15" s="95" t="n">
        <f aca="false">IFERROR(VLOOKUP(Table6[[#This Row],[PLAYER]],WR!A:Q,13,FALSE())/17*(17-Table6[[#This Row],[Missed Games]]),0)</f>
        <v>159.775926470588</v>
      </c>
      <c r="AI15" s="95" t="n">
        <f aca="false">IFERROR(VLOOKUP(Table6[[#This Row],[PLAYER]],WR!A:Q,14,FALSE())/17*(17-Table6[[#This Row],[Missed Games]]),0)</f>
        <v>163.547825</v>
      </c>
      <c r="AJ15" s="95" t="n">
        <f aca="false">IFERROR(VLOOKUP(Table6[[#This Row],[PLAYER]],WR!A:Q,15,FALSE())/17*(17-Table6[[#This Row],[Missed Games]]),0)</f>
        <v>167.023057352941</v>
      </c>
      <c r="AK15" s="96" t="n">
        <f aca="false">AVERAGE(AVERAGE(Table6[[#This Row],[LOW]],Table6[[#This Row],[HIGH]]),Table6[[#This Row],[AVG]],VLOOKUP(Table6[[#This Row],[PLAYER]],ECR!L:N,3,FALSE()))</f>
        <v>165.736532617647</v>
      </c>
      <c r="AL15" s="96" t="n">
        <f aca="false">Table6[[#This Row],[Zscore Projection]]-$AE$1</f>
        <v>40.058653872549</v>
      </c>
      <c r="AM15" s="97" t="e">
        <f aca="false">MAX(Table6[[#This Row],[VBD]]*Scoring!$B$48+1,1)</f>
        <v>#VALUE!</v>
      </c>
      <c r="AN15" s="98" t="n">
        <f aca="false">VLOOKUP(Table6[[#This Row],[VBD]],BR:BT,3,FALSE())</f>
        <v>4</v>
      </c>
      <c r="AO15" s="99" t="n">
        <f aca="false">VLOOKUP(INDEX(ECR!$E:$E,MATCH(AD15,ECR!$C:$C,0)),RISK!A:B,2,FALSE())</f>
        <v>2.5905</v>
      </c>
      <c r="AP15" s="100"/>
      <c r="AQ15" s="101" t="s">
        <v>183</v>
      </c>
      <c r="AR15" s="101" t="str">
        <f aca="false">VLOOKUP(AQ15,ECR!E:L,8,FALSE())</f>
        <v>Dallas Goedert</v>
      </c>
      <c r="AS15" s="101" t="str">
        <f aca="false">IFERROR(VLOOKUP(Table7[[#This Row],[PLAYER]],ECR!C:F,2,FALSE()),"-")</f>
        <v>PHI</v>
      </c>
      <c r="AT15" s="101" t="n">
        <f aca="false">IFERROR(VLOOKUP(Table7[[#This Row],[PLAYER]],ECR!C:F,4,FALSE()),"-")</f>
        <v>10</v>
      </c>
      <c r="AU15" s="101" t="str">
        <f aca="false">Table7[[#This Row],[Team]] &amp; "/" &amp; Table7[[#This Row],[Bye]]</f>
        <v>PHI/10</v>
      </c>
      <c r="AV15" s="95" t="n">
        <f aca="false">IFERROR(VLOOKUP(Table7[[#This Row],[PLAYER]],TE!A:K,9,FALSE())/17*(16-Table7[[#This Row],[Missed Games]]),0)</f>
        <v>102.642085294118</v>
      </c>
      <c r="AW15" s="95" t="n">
        <f aca="false">IFERROR(VLOOKUP(Table7[[#This Row],[PLAYER]],TE!A:K,10,FALSE())/17*(16-Table7[[#This Row],[Missed Games]]),0)</f>
        <v>120.770863529412</v>
      </c>
      <c r="AX15" s="95" t="n">
        <f aca="false">IFERROR(VLOOKUP(Table7[[#This Row],[PLAYER]],TE!A:K,11,FALSE())/17*(16-Table7[[#This Row],[Missed Games]]),0)</f>
        <v>142.860689411765</v>
      </c>
      <c r="AY15" s="96" t="n">
        <f aca="false">AVERAGE(AVERAGE(Table7[[#This Row],[LOW]],Table7[[#This Row],[HIGH]]),Table7[[#This Row],[AVG]],VLOOKUP(Table7[[#This Row],[PLAYER]],ECR!L:N,3,FALSE()))</f>
        <v>117.937260803922</v>
      </c>
      <c r="AZ15" s="96" t="n">
        <f aca="false">Table7[[#This Row],[Zscore Projection]]-$AS$1</f>
        <v>5.36366336274509</v>
      </c>
      <c r="BA15" s="97" t="e">
        <f aca="false">MAX(Table7[[#This Row],[VBD]]*Scoring!$B$48+1,1)</f>
        <v>#VALUE!</v>
      </c>
      <c r="BB15" s="95" t="n">
        <f aca="false">VLOOKUP(Table7[[#This Row],[VBD]],BW:BY,3,FALSE())</f>
        <v>4</v>
      </c>
      <c r="BC15" s="99" t="n">
        <f aca="false">VLOOKUP(INDEX(ECR!$E:$E,MATCH(AR15,ECR!$C:$C,0)),RISK!A:B,2,FALSE())</f>
        <v>2.0295</v>
      </c>
      <c r="BD15" s="95"/>
      <c r="BE15" s="100"/>
      <c r="BF15" s="102" t="n">
        <v>13</v>
      </c>
      <c r="BG15" s="100" t="n">
        <f aca="false">IFERROR(LARGE($G$3:$G$52,BF15),"")</f>
        <v>264.005417694118</v>
      </c>
      <c r="BH15" s="100" t="n">
        <f aca="false">IFERROR(LARGE($J$3:$J$52,13),"")</f>
        <v>-3.72151813333335</v>
      </c>
      <c r="BI15" s="100" t="n">
        <f aca="false">IF(BH15="",BI14,IF((BI14-BH15)&gt;0.2*LARGE($J$3:$J$52,2),BH15,BI14))</f>
        <v>-3.72151813333335</v>
      </c>
      <c r="BJ15" s="103" t="n">
        <f aca="false">MIN(IF(BH15="",BJ14,IF((BI14-BH15)&gt;0.2*LARGE($J$3:$J$52,2),BJ14+1,BJ14)),15)</f>
        <v>7</v>
      </c>
      <c r="BK15" s="102" t="n">
        <v>13</v>
      </c>
      <c r="BL15" s="100" t="n">
        <f aca="false">IFERROR(LARGE($U$3:$U$102,BK15),"")</f>
        <v>194.430970588235</v>
      </c>
      <c r="BM15" s="104" t="n">
        <f aca="false">IFERROR(LARGE($X$3:$X$102,13),"")</f>
        <v>64.0432511410196</v>
      </c>
      <c r="BN15" s="104" t="n">
        <f aca="false">IF(BM15="",BN14,IF((BN14-BM15)&gt;0.15*LARGE($X$3:$X$102,2),BM15,BN14))</f>
        <v>68.4844974724706</v>
      </c>
      <c r="BO15" s="103" t="n">
        <f aca="false">IF(BM15="",BO14,IF((BN14-BM15)&gt;0.15*LARGE($X$3:$X$102,2),BO14+1,BO14))</f>
        <v>4</v>
      </c>
      <c r="BP15" s="105" t="n">
        <v>13</v>
      </c>
      <c r="BQ15" s="100" t="n">
        <f aca="false">IFERROR(LARGE($AI$3:$AI$102,BP15),"")</f>
        <v>170.262280941176</v>
      </c>
      <c r="BR15" s="104" t="n">
        <f aca="false">IFERROR(LARGE($AL$3:$AL$102,13),"")</f>
        <v>49.2426892745098</v>
      </c>
      <c r="BS15" s="104" t="n">
        <f aca="false">IF(BR15="",BS14,IF((BS14-BR15)&gt;0.15*LARGE($AL$3:$AL$102,2),BR15,BS14))</f>
        <v>49.2426892745098</v>
      </c>
      <c r="BT15" s="103" t="n">
        <f aca="false">IF(BR15="",BT14,IF((BS14-BR15)&gt;0.15*LARGE($AL$3:$AL$102,2),BT14+1,BT14))</f>
        <v>4</v>
      </c>
      <c r="BU15" s="102" t="n">
        <v>13</v>
      </c>
      <c r="BV15" s="100" t="n">
        <f aca="false">IFERROR(LARGE($AW$3:$AW$52,BU15),"")</f>
        <v>110.289531529412</v>
      </c>
      <c r="BW15" s="104" t="n">
        <f aca="false">IFERROR(LARGE($AZ$3:$AZ$52,13),"")</f>
        <v>-0.344702852941197</v>
      </c>
      <c r="BX15" s="104" t="n">
        <f aca="false">IF(BW15="",BX14,IF((BX14-BW15)&gt;0.2*LARGE($AZ$3:$AZ$52,2),BW15,BX14))</f>
        <v>7.56002216666667</v>
      </c>
      <c r="BY15" s="106" t="n">
        <f aca="false">IF(BW15="",BY14,IF((BX14-BW15)&gt;0.2*LARGE($AZ$3:$AZ$52,2),BY14+1,BY14))</f>
        <v>4</v>
      </c>
      <c r="BZ15" s="104"/>
      <c r="CA15" s="104"/>
      <c r="CB15" s="104"/>
      <c r="CC15" s="104"/>
      <c r="CD15" s="104"/>
      <c r="CE15" s="104"/>
      <c r="CF15" s="104"/>
      <c r="CG15" s="104"/>
    </row>
    <row r="16" s="107" customFormat="true" ht="14.25" hidden="false" customHeight="true" outlineLevel="0" collapsed="false">
      <c r="A16" s="93" t="s">
        <v>184</v>
      </c>
      <c r="B16" s="93" t="str">
        <f aca="false">VLOOKUP(A16,ECR!E:L,8,FALSE())</f>
        <v>Patrick Mahomes II</v>
      </c>
      <c r="C16" s="94" t="str">
        <f aca="false">IFERROR(VLOOKUP(Table2[[#This Row],[PLAYER]],ECR!C:F,2,FALSE()),"-")</f>
        <v>KC</v>
      </c>
      <c r="D16" s="94" t="n">
        <f aca="false">IFERROR(VLOOKUP(Table2[[#This Row],[PLAYER]],ECR!C:F,4,FALSE()),"-")</f>
        <v>5</v>
      </c>
      <c r="E16" s="94" t="str">
        <f aca="false">Table2[[#This Row],[Team]] &amp; "/" &amp; Table2[[#This Row],[Bye]]</f>
        <v>KC/5</v>
      </c>
      <c r="F16" s="95" t="n">
        <f aca="false">IFERROR(VLOOKUP(Table2[[#This Row],[PLAYER]],QB!A:Q,15,FALSE())/17*(17-Table2[[#This Row],[Missed Games]]),0)</f>
        <v>245.895532235294</v>
      </c>
      <c r="G16" s="95" t="n">
        <f aca="false">IFERROR(VLOOKUP(Table2[[#This Row],[PLAYER]],QB!A:Q,16,FALSE())/17*(17-Table2[[#This Row],[Missed Games]]),0)</f>
        <v>264.005417694118</v>
      </c>
      <c r="H16" s="95" t="n">
        <f aca="false">IFERROR(VLOOKUP(Table2[[#This Row],[PLAYER]],QB!A:Q,17,FALSE())/17*(17-Table2[[#This Row],[Missed Games]]),0)</f>
        <v>288.811542023529</v>
      </c>
      <c r="I16" s="96" t="n">
        <f aca="false">AVERAGE(AVERAGE(Table2[[#This Row],[LOW]],Table2[[#This Row],[HIGH]]),Table2[[#This Row],[AVG]],VLOOKUP(Table2[[#This Row],[PLAYER]],ECR!L:N,3,FALSE()))</f>
        <v>264.657847654902</v>
      </c>
      <c r="J16" s="96" t="n">
        <f aca="false">Table2[[#This Row],[Zscore Projection]]-$C$1</f>
        <v>-3.72151813333335</v>
      </c>
      <c r="K16" s="97" t="e">
        <f aca="false">MAX(Table2[[#This Row],[VBD]]*Scoring!$B$48+1,1)</f>
        <v>#VALUE!</v>
      </c>
      <c r="L16" s="98" t="n">
        <f aca="false">VLOOKUP(Table2[[#This Row],[VBD]],BH:BJ,3,FALSE())</f>
        <v>7</v>
      </c>
      <c r="M16" s="99" t="n">
        <f aca="false">VLOOKUP(INDEX(ECR!$E:$E,MATCH(B16,ECR!$C:$C,0)),RISK!A:B,2,FALSE())</f>
        <v>2.1544</v>
      </c>
      <c r="N16" s="100"/>
      <c r="O16" s="98" t="s">
        <v>185</v>
      </c>
      <c r="P16" s="93" t="str">
        <f aca="false">VLOOKUP(O16,ECR!E:L,8,FALSE())</f>
        <v>Javonte Williams</v>
      </c>
      <c r="Q16" s="94" t="str">
        <f aca="false">IFERROR(VLOOKUP(Table4[[#This Row],[PLAYER]],ECR!C:F,2,FALSE()),"-")</f>
        <v>DAL</v>
      </c>
      <c r="R16" s="94" t="n">
        <f aca="false">IFERROR(VLOOKUP(Table4[[#This Row],[PLAYER]],ECR!C:F,4,FALSE()),"-")</f>
        <v>14</v>
      </c>
      <c r="S16" s="94" t="str">
        <f aca="false">Table4[[#This Row],[Team]] &amp; "/" &amp; Table4[[#This Row],[Bye]]</f>
        <v>DAL/14</v>
      </c>
      <c r="T16" s="95" t="n">
        <f aca="false">IFERROR(VLOOKUP(Table4[[#This Row],[PLAYER]],RB!A:Q,13,FALSE())/17*(17-Table4[[#This Row],[Missed Games]]),0)</f>
        <v>173.154785882353</v>
      </c>
      <c r="U16" s="95" t="n">
        <f aca="false">IFERROR(VLOOKUP(Table4[[#This Row],[PLAYER]],RB!A:Q,14,FALSE())/17*(17-Table4[[#This Row],[Missed Games]]),0)</f>
        <v>189.354227764706</v>
      </c>
      <c r="V16" s="95" t="n">
        <f aca="false">IFERROR(VLOOKUP(Table4[[#This Row],[PLAYER]],RB!A:Q,15,FALSE())/17*(17-Table4[[#This Row],[Missed Games]]),0)</f>
        <v>202.704394117647</v>
      </c>
      <c r="W16" s="96" t="n">
        <f aca="false">AVERAGE(AVERAGE(Table4[[#This Row],[LOW]],Table4[[#This Row],[HIGH]]),Table4[[#This Row],[AVG]],VLOOKUP(Table4[[#This Row],[PLAYER]],ECR!L:N,3,FALSE()))</f>
        <v>188.879348509804</v>
      </c>
      <c r="X16" s="96" t="n">
        <f aca="false">Table4[[#This Row],[Zscore Projection]]-$Q$1</f>
        <v>61.333610117647</v>
      </c>
      <c r="Y16" s="97" t="e">
        <f aca="false">MAX(Table4[[#This Row],[VBD]]*Scoring!$B$48+1,1)</f>
        <v>#VALUE!</v>
      </c>
      <c r="Z16" s="98" t="n">
        <f aca="false">VLOOKUP(Table4[[#This Row],[VBD]],BM:BO,3,FALSE())</f>
        <v>4</v>
      </c>
      <c r="AA16" s="99" t="n">
        <f aca="false">VLOOKUP(INDEX(ECR!$E:$E,MATCH(P16,ECR!$C:$C,0)),RISK!A:B,2,FALSE())</f>
        <v>2.6268</v>
      </c>
      <c r="AB16" s="100"/>
      <c r="AC16" s="94" t="s">
        <v>186</v>
      </c>
      <c r="AD16" s="94" t="str">
        <f aca="false">VLOOKUP(AC16,ECR!E:L,8,FALSE())</f>
        <v>Rashee Rice</v>
      </c>
      <c r="AE16" s="94" t="str">
        <f aca="false">IFERROR(VLOOKUP(Table6[[#This Row],[PLAYER]],ECR!C:F,2,FALSE()),"-")</f>
        <v>KC</v>
      </c>
      <c r="AF16" s="94" t="n">
        <f aca="false">IFERROR(VLOOKUP(Table6[[#This Row],[PLAYER]],ECR!C:F,4,FALSE()),"-")</f>
        <v>5</v>
      </c>
      <c r="AG16" s="94" t="str">
        <f aca="false">Table6[[#This Row],[Team]] &amp; "/" &amp; Table6[[#This Row],[Bye]]</f>
        <v>KC/5</v>
      </c>
      <c r="AH16" s="95" t="n">
        <f aca="false">IFERROR(VLOOKUP(Table6[[#This Row],[PLAYER]],WR!A:Q,13,FALSE())/17*(17-Table6[[#This Row],[Missed Games]]),0)</f>
        <v>161.186511176471</v>
      </c>
      <c r="AI16" s="95" t="n">
        <f aca="false">IFERROR(VLOOKUP(Table6[[#This Row],[PLAYER]],WR!A:Q,14,FALSE())/17*(17-Table6[[#This Row],[Missed Games]]),0)</f>
        <v>185.337053647059</v>
      </c>
      <c r="AJ16" s="95" t="n">
        <f aca="false">IFERROR(VLOOKUP(Table6[[#This Row],[PLAYER]],WR!A:Q,15,FALSE())/17*(17-Table6[[#This Row],[Missed Games]]),0)</f>
        <v>214.780287529412</v>
      </c>
      <c r="AK16" s="96" t="n">
        <f aca="false">AVERAGE(AVERAGE(Table6[[#This Row],[LOW]],Table6[[#This Row],[HIGH]]),Table6[[#This Row],[AVG]],VLOOKUP(Table6[[#This Row],[PLAYER]],ECR!L:N,3,FALSE()))</f>
        <v>180.804706098039</v>
      </c>
      <c r="AL16" s="96" t="n">
        <f aca="false">Table6[[#This Row],[Zscore Projection]]-$AE$1</f>
        <v>55.1268273529412</v>
      </c>
      <c r="AM16" s="97" t="e">
        <f aca="false">MAX(Table6[[#This Row],[VBD]]*Scoring!$B$48+1,1)</f>
        <v>#VALUE!</v>
      </c>
      <c r="AN16" s="98" t="n">
        <f aca="false">VLOOKUP(Table6[[#This Row],[VBD]],BR:BT,3,FALSE())</f>
        <v>3</v>
      </c>
      <c r="AO16" s="99" t="n">
        <f aca="false">VLOOKUP(INDEX(ECR!$E:$E,MATCH(AD16,ECR!$C:$C,0)),RISK!A:B,2,FALSE())</f>
        <v>2.6498</v>
      </c>
      <c r="AP16" s="100"/>
      <c r="AQ16" s="101" t="s">
        <v>187</v>
      </c>
      <c r="AR16" s="101" t="str">
        <f aca="false">VLOOKUP(AQ16,ECR!E:L,8,FALSE())</f>
        <v>Jake Ferguson</v>
      </c>
      <c r="AS16" s="101" t="str">
        <f aca="false">IFERROR(VLOOKUP(Table7[[#This Row],[PLAYER]],ECR!C:F,2,FALSE()),"-")</f>
        <v>DAL</v>
      </c>
      <c r="AT16" s="101" t="n">
        <f aca="false">IFERROR(VLOOKUP(Table7[[#This Row],[PLAYER]],ECR!C:F,4,FALSE()),"-")</f>
        <v>14</v>
      </c>
      <c r="AU16" s="101" t="str">
        <f aca="false">Table7[[#This Row],[Team]] &amp; "/" &amp; Table7[[#This Row],[Bye]]</f>
        <v>DAL/14</v>
      </c>
      <c r="AV16" s="95" t="n">
        <f aca="false">IFERROR(VLOOKUP(Table7[[#This Row],[PLAYER]],TE!A:K,9,FALSE())/17*(16-Table7[[#This Row],[Missed Games]]),0)</f>
        <v>98.1472941176471</v>
      </c>
      <c r="AW16" s="95" t="n">
        <f aca="false">IFERROR(VLOOKUP(Table7[[#This Row],[PLAYER]],TE!A:K,10,FALSE())/17*(16-Table7[[#This Row],[Missed Games]]),0)</f>
        <v>106.457098352941</v>
      </c>
      <c r="AX16" s="95" t="n">
        <f aca="false">IFERROR(VLOOKUP(Table7[[#This Row],[PLAYER]],TE!A:K,11,FALSE())/17*(16-Table7[[#This Row],[Missed Games]]),0)</f>
        <v>116.79528</v>
      </c>
      <c r="AY16" s="96" t="n">
        <f aca="false">AVERAGE(AVERAGE(Table7[[#This Row],[LOW]],Table7[[#This Row],[HIGH]]),Table7[[#This Row],[AVG]],VLOOKUP(Table7[[#This Row],[PLAYER]],ECR!L:N,3,FALSE()))</f>
        <v>107.613273901961</v>
      </c>
      <c r="AZ16" s="96" t="n">
        <f aca="false">Table7[[#This Row],[Zscore Projection]]-$AS$1</f>
        <v>-4.96032353921569</v>
      </c>
      <c r="BA16" s="97" t="e">
        <f aca="false">MAX(Table7[[#This Row],[VBD]]*Scoring!$B$48+1,1)</f>
        <v>#VALUE!</v>
      </c>
      <c r="BB16" s="95" t="n">
        <f aca="false">VLOOKUP(Table7[[#This Row],[VBD]],BW:BY,3,FALSE())</f>
        <v>5</v>
      </c>
      <c r="BC16" s="99" t="n">
        <f aca="false">VLOOKUP(INDEX(ECR!$E:$E,MATCH(AR16,ECR!$C:$C,0)),RISK!A:B,2,FALSE())</f>
        <v>2.0958</v>
      </c>
      <c r="BD16" s="95"/>
      <c r="BE16" s="100"/>
      <c r="BF16" s="102" t="n">
        <v>14</v>
      </c>
      <c r="BG16" s="100" t="n">
        <f aca="false">IFERROR(LARGE($G$3:$G$52,BF16),"")</f>
        <v>262.614588141176</v>
      </c>
      <c r="BH16" s="100" t="n">
        <f aca="false">IFERROR(LARGE($J$3:$J$52,14),"")</f>
        <v>-6.04808108235289</v>
      </c>
      <c r="BI16" s="100" t="n">
        <f aca="false">IF(BH16="",BI15,IF((BI15-BH16)&gt;0.2*LARGE($J$3:$J$52,2),BH16,BI15))</f>
        <v>-3.72151813333335</v>
      </c>
      <c r="BJ16" s="103" t="n">
        <f aca="false">MIN(IF(BH16="",BJ15,IF((BI15-BH16)&gt;0.2*LARGE($J$3:$J$52,2),BJ15+1,BJ15)),15)</f>
        <v>7</v>
      </c>
      <c r="BK16" s="102" t="n">
        <v>14</v>
      </c>
      <c r="BL16" s="100" t="n">
        <f aca="false">IFERROR(LARGE($U$3:$U$102,BK16),"")</f>
        <v>189.354227764706</v>
      </c>
      <c r="BM16" s="104" t="n">
        <f aca="false">IFERROR(LARGE($X$3:$X$102,14),"")</f>
        <v>61.333610117647</v>
      </c>
      <c r="BN16" s="104" t="n">
        <f aca="false">IF(BM16="",BN15,IF((BN15-BM16)&gt;0.15*LARGE($X$3:$X$102,2),BM16,BN15))</f>
        <v>68.4844974724706</v>
      </c>
      <c r="BO16" s="103" t="n">
        <f aca="false">IF(BM16="",BO15,IF((BN15-BM16)&gt;0.15*LARGE($X$3:$X$102,2),BO15+1,BO15))</f>
        <v>4</v>
      </c>
      <c r="BP16" s="105" t="n">
        <v>14</v>
      </c>
      <c r="BQ16" s="100" t="n">
        <f aca="false">IFERROR(LARGE($AI$3:$AI$102,BP16),"")</f>
        <v>169.093665294118</v>
      </c>
      <c r="BR16" s="104" t="n">
        <f aca="false">IFERROR(LARGE($AL$3:$AL$102,14),"")</f>
        <v>41.7703365980392</v>
      </c>
      <c r="BS16" s="104" t="n">
        <f aca="false">IF(BR16="",BS15,IF((BS15-BR16)&gt;0.15*LARGE($AL$3:$AL$102,2),BR16,BS15))</f>
        <v>49.2426892745098</v>
      </c>
      <c r="BT16" s="103" t="n">
        <f aca="false">IF(BR16="",BT15,IF((BS15-BR16)&gt;0.15*LARGE($AL$3:$AL$102,2),BT15+1,BT15))</f>
        <v>4</v>
      </c>
      <c r="BU16" s="102" t="n">
        <v>14</v>
      </c>
      <c r="BV16" s="100" t="n">
        <f aca="false">IFERROR(LARGE($AW$3:$AW$52,BU16),"")</f>
        <v>108.911436294118</v>
      </c>
      <c r="BW16" s="104" t="n">
        <f aca="false">IFERROR(LARGE($AZ$3:$AZ$52,14),"")</f>
        <v>-4.65875124509805</v>
      </c>
      <c r="BX16" s="104" t="n">
        <f aca="false">IF(BW16="",BX15,IF((BX15-BW16)&gt;0.2*LARGE($AZ$3:$AZ$52,2),BW16,BX15))</f>
        <v>-4.65875124509805</v>
      </c>
      <c r="BY16" s="106" t="n">
        <f aca="false">IF(BW16="",BY15,IF((BX15-BW16)&gt;0.2*LARGE($AZ$3:$AZ$52,2),BY15+1,BY15))</f>
        <v>5</v>
      </c>
      <c r="BZ16" s="104"/>
      <c r="CA16" s="104"/>
      <c r="CB16" s="104"/>
      <c r="CC16" s="104"/>
      <c r="CD16" s="104"/>
      <c r="CE16" s="104"/>
      <c r="CF16" s="104"/>
      <c r="CG16" s="104"/>
    </row>
    <row r="17" s="107" customFormat="true" ht="14.25" hidden="false" customHeight="true" outlineLevel="0" collapsed="false">
      <c r="A17" s="93" t="s">
        <v>188</v>
      </c>
      <c r="B17" s="93" t="str">
        <f aca="false">VLOOKUP(A17,ECR!E:L,8,FALSE())</f>
        <v>Jared Goff</v>
      </c>
      <c r="C17" s="94" t="str">
        <f aca="false">IFERROR(VLOOKUP(Table2[[#This Row],[PLAYER]],ECR!C:F,2,FALSE()),"-")</f>
        <v>DET</v>
      </c>
      <c r="D17" s="94" t="n">
        <f aca="false">IFERROR(VLOOKUP(Table2[[#This Row],[PLAYER]],ECR!C:F,4,FALSE()),"-")</f>
        <v>6</v>
      </c>
      <c r="E17" s="94" t="str">
        <f aca="false">Table2[[#This Row],[Team]] &amp; "/" &amp; Table2[[#This Row],[Bye]]</f>
        <v>DET/6</v>
      </c>
      <c r="F17" s="95" t="n">
        <f aca="false">IFERROR(VLOOKUP(Table2[[#This Row],[PLAYER]],QB!A:Q,15,FALSE())/17*(17-Table2[[#This Row],[Missed Games]]),0)</f>
        <v>236.469437647059</v>
      </c>
      <c r="G17" s="95" t="n">
        <f aca="false">IFERROR(VLOOKUP(Table2[[#This Row],[PLAYER]],QB!A:Q,16,FALSE())/17*(17-Table2[[#This Row],[Missed Games]]),0)</f>
        <v>250.078689411765</v>
      </c>
      <c r="H17" s="95" t="n">
        <f aca="false">IFERROR(VLOOKUP(Table2[[#This Row],[PLAYER]],QB!A:Q,17,FALSE())/17*(17-Table2[[#This Row],[Missed Games]]),0)</f>
        <v>266.520305882353</v>
      </c>
      <c r="I17" s="96" t="n">
        <f aca="false">AVERAGE(AVERAGE(Table2[[#This Row],[LOW]],Table2[[#This Row],[HIGH]]),Table2[[#This Row],[AVG]],VLOOKUP(Table2[[#This Row],[PLAYER]],ECR!L:N,3,FALSE()))</f>
        <v>251.81997372549</v>
      </c>
      <c r="J17" s="96" t="n">
        <f aca="false">Table2[[#This Row],[Zscore Projection]]-$C$1</f>
        <v>-16.5593920627451</v>
      </c>
      <c r="K17" s="97" t="e">
        <f aca="false">MAX(Table2[[#This Row],[VBD]]*Scoring!$B$48+1,1)</f>
        <v>#VALUE!</v>
      </c>
      <c r="L17" s="98" t="n">
        <f aca="false">VLOOKUP(Table2[[#This Row],[VBD]],BH:BJ,3,FALSE())</f>
        <v>8</v>
      </c>
      <c r="M17" s="99" t="n">
        <f aca="false">VLOOKUP(INDEX(ECR!$E:$E,MATCH(B17,ECR!$C:$C,0)),RISK!A:B,2,FALSE())</f>
        <v>2.23</v>
      </c>
      <c r="N17" s="100"/>
      <c r="O17" s="98" t="s">
        <v>189</v>
      </c>
      <c r="P17" s="93" t="str">
        <f aca="false">VLOOKUP(O17,ECR!E:L,8,FALSE())</f>
        <v>Breece Hall</v>
      </c>
      <c r="Q17" s="94" t="str">
        <f aca="false">IFERROR(VLOOKUP(Table4[[#This Row],[PLAYER]],ECR!C:F,2,FALSE()),"-")</f>
        <v>NYJ</v>
      </c>
      <c r="R17" s="94" t="n">
        <f aca="false">IFERROR(VLOOKUP(Table4[[#This Row],[PLAYER]],ECR!C:F,4,FALSE()),"-")</f>
        <v>13</v>
      </c>
      <c r="S17" s="94" t="str">
        <f aca="false">Table4[[#This Row],[Team]] &amp; "/" &amp; Table4[[#This Row],[Bye]]</f>
        <v>NYJ/13</v>
      </c>
      <c r="T17" s="95" t="n">
        <f aca="false">IFERROR(VLOOKUP(Table4[[#This Row],[PLAYER]],RB!A:Q,13,FALSE())/17*(17-Table4[[#This Row],[Missed Games]]),0)</f>
        <v>165.888682352941</v>
      </c>
      <c r="U17" s="95" t="n">
        <f aca="false">IFERROR(VLOOKUP(Table4[[#This Row],[PLAYER]],RB!A:Q,14,FALSE())/17*(17-Table4[[#This Row],[Missed Games]]),0)</f>
        <v>187.477861176471</v>
      </c>
      <c r="V17" s="95" t="n">
        <f aca="false">IFERROR(VLOOKUP(Table4[[#This Row],[PLAYER]],RB!A:Q,15,FALSE())/17*(17-Table4[[#This Row],[Missed Games]]),0)</f>
        <v>207.386192352941</v>
      </c>
      <c r="W17" s="96" t="n">
        <f aca="false">AVERAGE(AVERAGE(Table4[[#This Row],[LOW]],Table4[[#This Row],[HIGH]]),Table4[[#This Row],[AVG]],VLOOKUP(Table4[[#This Row],[PLAYER]],ECR!L:N,3,FALSE()))</f>
        <v>187.197719901961</v>
      </c>
      <c r="X17" s="96" t="n">
        <f aca="false">Table4[[#This Row],[Zscore Projection]]-$Q$1</f>
        <v>59.6519815098039</v>
      </c>
      <c r="Y17" s="97" t="e">
        <f aca="false">MAX(Table4[[#This Row],[VBD]]*Scoring!$B$48+1,1)</f>
        <v>#VALUE!</v>
      </c>
      <c r="Z17" s="98" t="n">
        <f aca="false">VLOOKUP(Table4[[#This Row],[VBD]],BM:BO,3,FALSE())</f>
        <v>4</v>
      </c>
      <c r="AA17" s="99" t="n">
        <f aca="false">VLOOKUP(INDEX(ECR!$E:$E,MATCH(P17,ECR!$C:$C,0)),RISK!A:B,2,FALSE())</f>
        <v>2.641</v>
      </c>
      <c r="AB17" s="100"/>
      <c r="AC17" s="94" t="s">
        <v>190</v>
      </c>
      <c r="AD17" s="94" t="str">
        <f aca="false">VLOOKUP(AC17,ECR!E:L,8,FALSE())</f>
        <v>Zay Flowers</v>
      </c>
      <c r="AE17" s="94" t="str">
        <f aca="false">IFERROR(VLOOKUP(Table6[[#This Row],[PLAYER]],ECR!C:F,2,FALSE()),"-")</f>
        <v>BAL</v>
      </c>
      <c r="AF17" s="94" t="n">
        <f aca="false">IFERROR(VLOOKUP(Table6[[#This Row],[PLAYER]],ECR!C:F,4,FALSE()),"-")</f>
        <v>13</v>
      </c>
      <c r="AG17" s="94" t="str">
        <f aca="false">Table6[[#This Row],[Team]] &amp; "/" &amp; Table6[[#This Row],[Bye]]</f>
        <v>BAL/13</v>
      </c>
      <c r="AH17" s="95" t="n">
        <f aca="false">IFERROR(VLOOKUP(Table6[[#This Row],[PLAYER]],WR!A:Q,13,FALSE())/17*(17-Table6[[#This Row],[Missed Games]]),0)</f>
        <v>156.306976176471</v>
      </c>
      <c r="AI17" s="95" t="n">
        <f aca="false">IFERROR(VLOOKUP(Table6[[#This Row],[PLAYER]],WR!A:Q,14,FALSE())/17*(17-Table6[[#This Row],[Missed Games]]),0)</f>
        <v>169.093665294118</v>
      </c>
      <c r="AJ17" s="95" t="n">
        <f aca="false">IFERROR(VLOOKUP(Table6[[#This Row],[PLAYER]],WR!A:Q,15,FALSE())/17*(17-Table6[[#This Row],[Missed Games]]),0)</f>
        <v>183.099335294118</v>
      </c>
      <c r="AK17" s="96" t="n">
        <f aca="false">AVERAGE(AVERAGE(Table6[[#This Row],[LOW]],Table6[[#This Row],[HIGH]]),Table6[[#This Row],[AVG]],VLOOKUP(Table6[[#This Row],[PLAYER]],ECR!L:N,3,FALSE()))</f>
        <v>167.448215343137</v>
      </c>
      <c r="AL17" s="96" t="n">
        <f aca="false">Table6[[#This Row],[Zscore Projection]]-$AE$1</f>
        <v>41.7703365980392</v>
      </c>
      <c r="AM17" s="97" t="e">
        <f aca="false">MAX(Table6[[#This Row],[VBD]]*Scoring!$B$48+1,1)</f>
        <v>#VALUE!</v>
      </c>
      <c r="AN17" s="98" t="n">
        <f aca="false">VLOOKUP(Table6[[#This Row],[VBD]],BR:BT,3,FALSE())</f>
        <v>4</v>
      </c>
      <c r="AO17" s="99" t="n">
        <f aca="false">VLOOKUP(INDEX(ECR!$E:$E,MATCH(AD17,ECR!$C:$C,0)),RISK!A:B,2,FALSE())</f>
        <v>2.7085</v>
      </c>
      <c r="AP17" s="100"/>
      <c r="AQ17" s="101" t="s">
        <v>191</v>
      </c>
      <c r="AR17" s="101" t="str">
        <f aca="false">VLOOKUP(AQ17,ECR!E:L,8,FALSE())</f>
        <v>Juwan Johnson</v>
      </c>
      <c r="AS17" s="101" t="str">
        <f aca="false">IFERROR(VLOOKUP(Table7[[#This Row],[PLAYER]],ECR!C:F,2,FALSE()),"-")</f>
        <v>NO</v>
      </c>
      <c r="AT17" s="101" t="n">
        <f aca="false">IFERROR(VLOOKUP(Table7[[#This Row],[PLAYER]],ECR!C:F,4,FALSE()),"-")</f>
        <v>8</v>
      </c>
      <c r="AU17" s="101" t="str">
        <f aca="false">Table7[[#This Row],[Team]] &amp; "/" &amp; Table7[[#This Row],[Bye]]</f>
        <v>NO/8</v>
      </c>
      <c r="AV17" s="95" t="n">
        <f aca="false">IFERROR(VLOOKUP(Table7[[#This Row],[PLAYER]],TE!A:K,9,FALSE())/17*(16-Table7[[#This Row],[Missed Games]]),0)</f>
        <v>89.03622</v>
      </c>
      <c r="AW17" s="95" t="n">
        <f aca="false">IFERROR(VLOOKUP(Table7[[#This Row],[PLAYER]],TE!A:K,10,FALSE())/17*(16-Table7[[#This Row],[Missed Games]]),0)</f>
        <v>100.381262647059</v>
      </c>
      <c r="AX17" s="95" t="n">
        <f aca="false">IFERROR(VLOOKUP(Table7[[#This Row],[PLAYER]],TE!A:K,11,FALSE())/17*(16-Table7[[#This Row],[Missed Games]]),0)</f>
        <v>118.330014705882</v>
      </c>
      <c r="AY17" s="96" t="n">
        <f aca="false">AVERAGE(AVERAGE(Table7[[#This Row],[LOW]],Table7[[#This Row],[HIGH]]),Table7[[#This Row],[AVG]],VLOOKUP(Table7[[#This Row],[PLAYER]],ECR!L:N,3,FALSE()))</f>
        <v>103.50715945098</v>
      </c>
      <c r="AZ17" s="96" t="n">
        <f aca="false">Table7[[#This Row],[Zscore Projection]]-$AS$1</f>
        <v>-9.06643799019609</v>
      </c>
      <c r="BA17" s="97" t="e">
        <f aca="false">MAX(Table7[[#This Row],[VBD]]*Scoring!$B$48+1,1)</f>
        <v>#VALUE!</v>
      </c>
      <c r="BB17" s="95" t="n">
        <f aca="false">VLOOKUP(Table7[[#This Row],[VBD]],BW:BY,3,FALSE())</f>
        <v>5</v>
      </c>
      <c r="BC17" s="99" t="n">
        <f aca="false">VLOOKUP(INDEX(ECR!$E:$E,MATCH(AR17,ECR!$C:$C,0)),RISK!A:B,2,FALSE())</f>
        <v>2.1745</v>
      </c>
      <c r="BD17" s="95"/>
      <c r="BE17" s="100"/>
      <c r="BF17" s="102" t="n">
        <v>15</v>
      </c>
      <c r="BG17" s="100" t="n">
        <f aca="false">IFERROR(LARGE($G$3:$G$52,BF17),"")</f>
        <v>253.88636</v>
      </c>
      <c r="BH17" s="100" t="n">
        <f aca="false">IFERROR(LARGE($J$3:$J$52,15),"")</f>
        <v>-15.8175777098039</v>
      </c>
      <c r="BI17" s="100" t="n">
        <f aca="false">IF(BH17="",BI16,IF((BI16-BH17)&gt;0.2*LARGE($J$3:$J$52,2),BH17,BI16))</f>
        <v>-15.8175777098039</v>
      </c>
      <c r="BJ17" s="103" t="n">
        <f aca="false">MIN(IF(BH17="",BJ16,IF((BI16-BH17)&gt;0.2*LARGE($J$3:$J$52,2),BJ16+1,BJ16)),15)</f>
        <v>8</v>
      </c>
      <c r="BK17" s="102" t="n">
        <v>15</v>
      </c>
      <c r="BL17" s="100" t="n">
        <f aca="false">IFERROR(LARGE($U$3:$U$102,BK17),"")</f>
        <v>187.477861176471</v>
      </c>
      <c r="BM17" s="104" t="n">
        <f aca="false">IFERROR(LARGE($X$3:$X$102,15),"")</f>
        <v>60.7390830784314</v>
      </c>
      <c r="BN17" s="104" t="n">
        <f aca="false">IF(BM17="",BN16,IF((BN16-BM17)&gt;0.15*LARGE($X$3:$X$102,2),BM17,BN16))</f>
        <v>68.4844974724706</v>
      </c>
      <c r="BO17" s="103" t="n">
        <f aca="false">IF(BM17="",BO16,IF((BN16-BM17)&gt;0.15*LARGE($X$3:$X$102,2),BO16+1,BO16))</f>
        <v>4</v>
      </c>
      <c r="BP17" s="105" t="n">
        <v>15</v>
      </c>
      <c r="BQ17" s="100" t="n">
        <f aca="false">IFERROR(LARGE($AI$3:$AI$102,BP17),"")</f>
        <v>163.547825</v>
      </c>
      <c r="BR17" s="104" t="n">
        <f aca="false">IFERROR(LARGE($AL$3:$AL$102,15),"")</f>
        <v>40.058653872549</v>
      </c>
      <c r="BS17" s="104" t="n">
        <f aca="false">IF(BR17="",BS16,IF((BS16-BR17)&gt;0.15*LARGE($AL$3:$AL$102,2),BR17,BS16))</f>
        <v>49.2426892745098</v>
      </c>
      <c r="BT17" s="103" t="n">
        <f aca="false">IF(BR17="",BT16,IF((BS16-BR17)&gt;0.15*LARGE($AL$3:$AL$102,2),BT16+1,BT16))</f>
        <v>4</v>
      </c>
      <c r="BU17" s="102" t="n">
        <v>15</v>
      </c>
      <c r="BV17" s="100" t="n">
        <f aca="false">IFERROR(LARGE($AW$3:$AW$52,BU17),"")</f>
        <v>106.457098352941</v>
      </c>
      <c r="BW17" s="104" t="n">
        <f aca="false">IFERROR(LARGE($AZ$3:$AZ$52,15),"")</f>
        <v>-4.96032353921569</v>
      </c>
      <c r="BX17" s="104" t="n">
        <f aca="false">IF(BW17="",BX16,IF((BX16-BW17)&gt;0.2*LARGE($AZ$3:$AZ$52,2),BW17,BX16))</f>
        <v>-4.65875124509805</v>
      </c>
      <c r="BY17" s="106" t="n">
        <f aca="false">IF(BW17="",BY16,IF((BX16-BW17)&gt;0.2*LARGE($AZ$3:$AZ$52,2),BY16+1,BY16))</f>
        <v>5</v>
      </c>
      <c r="BZ17" s="104"/>
      <c r="CA17" s="104"/>
      <c r="CB17" s="104"/>
      <c r="CC17" s="104"/>
      <c r="CD17" s="104"/>
      <c r="CE17" s="104"/>
      <c r="CF17" s="104"/>
      <c r="CG17" s="104"/>
    </row>
    <row r="18" s="107" customFormat="true" ht="14.25" hidden="false" customHeight="true" outlineLevel="0" collapsed="false">
      <c r="A18" s="93" t="s">
        <v>192</v>
      </c>
      <c r="B18" s="93" t="str">
        <f aca="false">VLOOKUP(A18,ECR!E:L,8,FALSE())</f>
        <v>Matthew Stafford</v>
      </c>
      <c r="C18" s="94" t="str">
        <f aca="false">IFERROR(VLOOKUP(Table2[[#This Row],[PLAYER]],ECR!C:F,2,FALSE()),"-")</f>
        <v>LAR</v>
      </c>
      <c r="D18" s="94" t="n">
        <f aca="false">IFERROR(VLOOKUP(Table2[[#This Row],[PLAYER]],ECR!C:F,4,FALSE()),"-")</f>
        <v>11</v>
      </c>
      <c r="E18" s="94" t="str">
        <f aca="false">Table2[[#This Row],[Team]] &amp; "/" &amp; Table2[[#This Row],[Bye]]</f>
        <v>LAR/11</v>
      </c>
      <c r="F18" s="95" t="n">
        <f aca="false">IFERROR(VLOOKUP(Table2[[#This Row],[PLAYER]],QB!A:Q,15,FALSE())/17*(17-Table2[[#This Row],[Missed Games]]),0)</f>
        <v>241.422235294118</v>
      </c>
      <c r="G18" s="95" t="n">
        <f aca="false">IFERROR(VLOOKUP(Table2[[#This Row],[PLAYER]],QB!A:Q,16,FALSE())/17*(17-Table2[[#This Row],[Missed Games]]),0)</f>
        <v>253.88636</v>
      </c>
      <c r="H18" s="95" t="n">
        <f aca="false">IFERROR(VLOOKUP(Table2[[#This Row],[PLAYER]],QB!A:Q,17,FALSE())/17*(17-Table2[[#This Row],[Missed Games]]),0)</f>
        <v>265.443531764706</v>
      </c>
      <c r="I18" s="96" t="n">
        <f aca="false">AVERAGE(AVERAGE(Table2[[#This Row],[LOW]],Table2[[#This Row],[HIGH]]),Table2[[#This Row],[AVG]],VLOOKUP(Table2[[#This Row],[PLAYER]],ECR!L:N,3,FALSE()))</f>
        <v>252.561788078431</v>
      </c>
      <c r="J18" s="96" t="n">
        <f aca="false">Table2[[#This Row],[Zscore Projection]]-$C$1</f>
        <v>-15.8175777098039</v>
      </c>
      <c r="K18" s="97" t="e">
        <f aca="false">MAX(Table2[[#This Row],[VBD]]*Scoring!$B$48+1,1)</f>
        <v>#VALUE!</v>
      </c>
      <c r="L18" s="98" t="n">
        <f aca="false">VLOOKUP(Table2[[#This Row],[VBD]],BH:BJ,3,FALSE())</f>
        <v>8</v>
      </c>
      <c r="M18" s="99" t="n">
        <f aca="false">VLOOKUP(INDEX(ECR!$E:$E,MATCH(B18,ECR!$C:$C,0)),RISK!A:B,2,FALSE())</f>
        <v>2.316</v>
      </c>
      <c r="N18" s="100"/>
      <c r="O18" s="98" t="s">
        <v>193</v>
      </c>
      <c r="P18" s="93" t="str">
        <f aca="false">VLOOKUP(O18,ECR!E:L,8,FALSE())</f>
        <v>Jeremiyah Love</v>
      </c>
      <c r="Q18" s="94" t="str">
        <f aca="false">IFERROR(VLOOKUP(Table4[[#This Row],[PLAYER]],ECR!C:F,2,FALSE()),"-")</f>
        <v>ARI</v>
      </c>
      <c r="R18" s="94" t="n">
        <f aca="false">IFERROR(VLOOKUP(Table4[[#This Row],[PLAYER]],ECR!C:F,4,FALSE()),"-")</f>
        <v>14</v>
      </c>
      <c r="S18" s="94" t="str">
        <f aca="false">Table4[[#This Row],[Team]] &amp; "/" &amp; Table4[[#This Row],[Bye]]</f>
        <v>ARI/14</v>
      </c>
      <c r="T18" s="95" t="n">
        <f aca="false">IFERROR(VLOOKUP(Table4[[#This Row],[PLAYER]],RB!A:Q,13,FALSE())/17*(17-Table4[[#This Row],[Missed Games]]),0)</f>
        <v>174.904896535059</v>
      </c>
      <c r="U18" s="95" t="n">
        <f aca="false">IFERROR(VLOOKUP(Table4[[#This Row],[PLAYER]],RB!A:Q,14,FALSE())/17*(17-Table4[[#This Row],[Missed Games]]),0)</f>
        <v>195.770615829176</v>
      </c>
      <c r="V18" s="95" t="n">
        <f aca="false">IFERROR(VLOOKUP(Table4[[#This Row],[PLAYER]],RB!A:Q,15,FALSE())/17*(17-Table4[[#This Row],[Missed Games]]),0)</f>
        <v>213.413243829177</v>
      </c>
      <c r="W18" s="96" t="n">
        <f aca="false">AVERAGE(AVERAGE(Table4[[#This Row],[LOW]],Table4[[#This Row],[HIGH]]),Table4[[#This Row],[AVG]],VLOOKUP(Table4[[#This Row],[PLAYER]],ECR!L:N,3,FALSE()))</f>
        <v>191.588989533177</v>
      </c>
      <c r="X18" s="96" t="n">
        <f aca="false">Table4[[#This Row],[Zscore Projection]]-$Q$1</f>
        <v>64.0432511410196</v>
      </c>
      <c r="Y18" s="97" t="e">
        <f aca="false">MAX(Table4[[#This Row],[VBD]]*Scoring!$B$48+1,1)</f>
        <v>#VALUE!</v>
      </c>
      <c r="Z18" s="98" t="n">
        <f aca="false">VLOOKUP(Table4[[#This Row],[VBD]],BM:BO,3,FALSE())</f>
        <v>4</v>
      </c>
      <c r="AA18" s="99" t="n">
        <f aca="false">VLOOKUP(INDEX(ECR!$E:$E,MATCH(P18,ECR!$C:$C,0)),RISK!A:B,2,FALSE())</f>
        <v>2.6564</v>
      </c>
      <c r="AB18" s="100"/>
      <c r="AC18" s="94" t="s">
        <v>194</v>
      </c>
      <c r="AD18" s="94" t="str">
        <f aca="false">VLOOKUP(AC18,ECR!E:L,8,FALSE())</f>
        <v>Tee Higgins</v>
      </c>
      <c r="AE18" s="94" t="str">
        <f aca="false">IFERROR(VLOOKUP(Table6[[#This Row],[PLAYER]],ECR!C:F,2,FALSE()),"-")</f>
        <v>CIN</v>
      </c>
      <c r="AF18" s="94" t="n">
        <f aca="false">IFERROR(VLOOKUP(Table6[[#This Row],[PLAYER]],ECR!C:F,4,FALSE()),"-")</f>
        <v>6</v>
      </c>
      <c r="AG18" s="94" t="str">
        <f aca="false">Table6[[#This Row],[Team]] &amp; "/" &amp; Table6[[#This Row],[Bye]]</f>
        <v>CIN/6</v>
      </c>
      <c r="AH18" s="95" t="n">
        <f aca="false">IFERROR(VLOOKUP(Table6[[#This Row],[PLAYER]],WR!A:Q,13,FALSE())/17*(17-Table6[[#This Row],[Missed Games]]),0)</f>
        <v>142.585177647059</v>
      </c>
      <c r="AI18" s="95" t="n">
        <f aca="false">IFERROR(VLOOKUP(Table6[[#This Row],[PLAYER]],WR!A:Q,14,FALSE())/17*(17-Table6[[#This Row],[Missed Games]]),0)</f>
        <v>155.838984823529</v>
      </c>
      <c r="AJ18" s="95" t="n">
        <f aca="false">IFERROR(VLOOKUP(Table6[[#This Row],[PLAYER]],WR!A:Q,15,FALSE())/17*(17-Table6[[#This Row],[Missed Games]]),0)</f>
        <v>172.893947058824</v>
      </c>
      <c r="AK18" s="96" t="n">
        <f aca="false">AVERAGE(AVERAGE(Table6[[#This Row],[LOW]],Table6[[#This Row],[HIGH]]),Table6[[#This Row],[AVG]],VLOOKUP(Table6[[#This Row],[PLAYER]],ECR!L:N,3,FALSE()))</f>
        <v>158.124371137255</v>
      </c>
      <c r="AL18" s="96" t="n">
        <f aca="false">Table6[[#This Row],[Zscore Projection]]-$AE$1</f>
        <v>32.4464923921569</v>
      </c>
      <c r="AM18" s="97" t="e">
        <f aca="false">MAX(Table6[[#This Row],[VBD]]*Scoring!$B$48+1,1)</f>
        <v>#VALUE!</v>
      </c>
      <c r="AN18" s="98" t="n">
        <f aca="false">VLOOKUP(Table6[[#This Row],[VBD]],BR:BT,3,FALSE())</f>
        <v>4</v>
      </c>
      <c r="AO18" s="99" t="n">
        <f aca="false">VLOOKUP(INDEX(ECR!$E:$E,MATCH(AD18,ECR!$C:$C,0)),RISK!A:B,2,FALSE())</f>
        <v>2.7666</v>
      </c>
      <c r="AP18" s="100"/>
      <c r="AQ18" s="101" t="s">
        <v>195</v>
      </c>
      <c r="AR18" s="101" t="str">
        <f aca="false">VLOOKUP(AQ18,ECR!E:L,8,FALSE())</f>
        <v>Mark Andrews</v>
      </c>
      <c r="AS18" s="101" t="str">
        <f aca="false">IFERROR(VLOOKUP(Table7[[#This Row],[PLAYER]],ECR!C:F,2,FALSE()),"-")</f>
        <v>BAL</v>
      </c>
      <c r="AT18" s="101" t="n">
        <f aca="false">IFERROR(VLOOKUP(Table7[[#This Row],[PLAYER]],ECR!C:F,4,FALSE()),"-")</f>
        <v>13</v>
      </c>
      <c r="AU18" s="101" t="str">
        <f aca="false">Table7[[#This Row],[Team]] &amp; "/" &amp; Table7[[#This Row],[Bye]]</f>
        <v>BAL/13</v>
      </c>
      <c r="AV18" s="95" t="n">
        <f aca="false">IFERROR(VLOOKUP(Table7[[#This Row],[PLAYER]],TE!A:K,9,FALSE())/17*(16-Table7[[#This Row],[Missed Games]]),0)</f>
        <v>99.5744</v>
      </c>
      <c r="AW18" s="95" t="n">
        <f aca="false">IFERROR(VLOOKUP(Table7[[#This Row],[PLAYER]],TE!A:K,10,FALSE())/17*(16-Table7[[#This Row],[Missed Games]]),0)</f>
        <v>110.860845176471</v>
      </c>
      <c r="AX18" s="95" t="n">
        <f aca="false">IFERROR(VLOOKUP(Table7[[#This Row],[PLAYER]],TE!A:K,11,FALSE())/17*(16-Table7[[#This Row],[Missed Games]]),0)</f>
        <v>125.225411764706</v>
      </c>
      <c r="AY18" s="96" t="n">
        <f aca="false">AVERAGE(AVERAGE(Table7[[#This Row],[LOW]],Table7[[#This Row],[HIGH]]),Table7[[#This Row],[AVG]],VLOOKUP(Table7[[#This Row],[PLAYER]],ECR!L:N,3,FALSE()))</f>
        <v>107.914846196078</v>
      </c>
      <c r="AZ18" s="96" t="n">
        <f aca="false">Table7[[#This Row],[Zscore Projection]]-$AS$1</f>
        <v>-4.65875124509805</v>
      </c>
      <c r="BA18" s="97" t="e">
        <f aca="false">MAX(Table7[[#This Row],[VBD]]*Scoring!$B$48+1,1)</f>
        <v>#VALUE!</v>
      </c>
      <c r="BB18" s="95" t="n">
        <f aca="false">VLOOKUP(Table7[[#This Row],[VBD]],BW:BY,3,FALSE())</f>
        <v>5</v>
      </c>
      <c r="BC18" s="99" t="n">
        <f aca="false">VLOOKUP(INDEX(ECR!$E:$E,MATCH(AR18,ECR!$C:$C,0)),RISK!A:B,2,FALSE())</f>
        <v>2.2656</v>
      </c>
      <c r="BD18" s="95"/>
      <c r="BE18" s="100"/>
      <c r="BF18" s="102" t="n">
        <v>16</v>
      </c>
      <c r="BG18" s="100" t="n">
        <f aca="false">IFERROR(LARGE($G$3:$G$52,BF18),"")</f>
        <v>250.366120705882</v>
      </c>
      <c r="BH18" s="100" t="n">
        <f aca="false">IFERROR(LARGE($J$3:$J$52,16),"")</f>
        <v>-16.5593920627451</v>
      </c>
      <c r="BI18" s="100" t="n">
        <f aca="false">IF(BH18="",BI17,IF((BI17-BH18)&gt;0.2*LARGE($J$3:$J$52,2),BH18,BI17))</f>
        <v>-15.8175777098039</v>
      </c>
      <c r="BJ18" s="103" t="n">
        <f aca="false">MIN(IF(BH18="",BJ17,IF((BI17-BH18)&gt;0.2*LARGE($J$3:$J$52,2),BJ17+1,BJ17)),15)</f>
        <v>8</v>
      </c>
      <c r="BK18" s="102" t="n">
        <v>16</v>
      </c>
      <c r="BL18" s="100" t="n">
        <f aca="false">IFERROR(LARGE($U$3:$U$102,BK18),"")</f>
        <v>184.837282588235</v>
      </c>
      <c r="BM18" s="104" t="n">
        <f aca="false">IFERROR(LARGE($X$3:$X$102,16),"")</f>
        <v>59.6519815098039</v>
      </c>
      <c r="BN18" s="104" t="n">
        <f aca="false">IF(BM18="",BN17,IF((BN17-BM18)&gt;0.15*LARGE($X$3:$X$102,2),BM18,BN17))</f>
        <v>68.4844974724706</v>
      </c>
      <c r="BO18" s="103" t="n">
        <f aca="false">IF(BM18="",BO17,IF((BN17-BM18)&gt;0.15*LARGE($X$3:$X$102,2),BO17+1,BO17))</f>
        <v>4</v>
      </c>
      <c r="BP18" s="105" t="n">
        <v>16</v>
      </c>
      <c r="BQ18" s="100" t="n">
        <f aca="false">IFERROR(LARGE($AI$3:$AI$102,BP18),"")</f>
        <v>160.794566235294</v>
      </c>
      <c r="BR18" s="104" t="n">
        <f aca="false">IFERROR(LARGE($AL$3:$AL$102,16),"")</f>
        <v>33.5365192156863</v>
      </c>
      <c r="BS18" s="104" t="n">
        <f aca="false">IF(BR18="",BS17,IF((BS17-BR18)&gt;0.15*LARGE($AL$3:$AL$102,2),BR18,BS17))</f>
        <v>49.2426892745098</v>
      </c>
      <c r="BT18" s="103" t="n">
        <f aca="false">IF(BR18="",BT17,IF((BS17-BR18)&gt;0.15*LARGE($AL$3:$AL$102,2),BT17+1,BT17))</f>
        <v>4</v>
      </c>
      <c r="BU18" s="102" t="n">
        <v>16</v>
      </c>
      <c r="BV18" s="100" t="n">
        <f aca="false">IFERROR(LARGE($AW$3:$AW$52,BU18),"")</f>
        <v>100.483787529412</v>
      </c>
      <c r="BW18" s="104" t="n">
        <f aca="false">IFERROR(LARGE($AZ$3:$AZ$52,16),"")</f>
        <v>-9.06643799019609</v>
      </c>
      <c r="BX18" s="104" t="n">
        <f aca="false">IF(BW18="",BX17,IF((BX17-BW18)&gt;0.2*LARGE($AZ$3:$AZ$52,2),BW18,BX17))</f>
        <v>-4.65875124509805</v>
      </c>
      <c r="BY18" s="106" t="n">
        <f aca="false">IF(BW18="",BY17,IF((BX17-BW18)&gt;0.2*LARGE($AZ$3:$AZ$52,2),BY17+1,BY17))</f>
        <v>5</v>
      </c>
      <c r="BZ18" s="104"/>
      <c r="CA18" s="104"/>
      <c r="CB18" s="104"/>
      <c r="CC18" s="104"/>
      <c r="CD18" s="104"/>
      <c r="CE18" s="104"/>
      <c r="CF18" s="104"/>
      <c r="CG18" s="104"/>
    </row>
    <row r="19" s="107" customFormat="true" ht="14.25" hidden="false" customHeight="true" outlineLevel="0" collapsed="false">
      <c r="A19" s="93" t="s">
        <v>196</v>
      </c>
      <c r="B19" s="93" t="str">
        <f aca="false">VLOOKUP(A19,ECR!E:L,8,FALSE())</f>
        <v>Kyler Murray</v>
      </c>
      <c r="C19" s="94" t="str">
        <f aca="false">IFERROR(VLOOKUP(Table2[[#This Row],[PLAYER]],ECR!C:F,2,FALSE()),"-")</f>
        <v>MIN</v>
      </c>
      <c r="D19" s="94" t="n">
        <f aca="false">IFERROR(VLOOKUP(Table2[[#This Row],[PLAYER]],ECR!C:F,4,FALSE()),"-")</f>
        <v>6</v>
      </c>
      <c r="E19" s="94" t="str">
        <f aca="false">Table2[[#This Row],[Team]] &amp; "/" &amp; Table2[[#This Row],[Bye]]</f>
        <v>MIN/6</v>
      </c>
      <c r="F19" s="95" t="n">
        <f aca="false">IFERROR(VLOOKUP(Table2[[#This Row],[PLAYER]],QB!A:Q,15,FALSE())/17*(17-Table2[[#This Row],[Missed Games]]),0)</f>
        <v>229.557338352941</v>
      </c>
      <c r="G19" s="95" t="n">
        <f aca="false">IFERROR(VLOOKUP(Table2[[#This Row],[PLAYER]],QB!A:Q,16,FALSE())/17*(17-Table2[[#This Row],[Missed Games]]),0)</f>
        <v>250.366120705882</v>
      </c>
      <c r="H19" s="95" t="n">
        <f aca="false">IFERROR(VLOOKUP(Table2[[#This Row],[PLAYER]],QB!A:Q,17,FALSE())/17*(17-Table2[[#This Row],[Missed Games]]),0)</f>
        <v>272.894523670588</v>
      </c>
      <c r="I19" s="96" t="n">
        <f aca="false">AVERAGE(AVERAGE(Table2[[#This Row],[LOW]],Table2[[#This Row],[HIGH]]),Table2[[#This Row],[AVG]],VLOOKUP(Table2[[#This Row],[PLAYER]],ECR!L:N,3,FALSE()))</f>
        <v>250.556913709804</v>
      </c>
      <c r="J19" s="96" t="n">
        <f aca="false">Table2[[#This Row],[Zscore Projection]]-$C$1</f>
        <v>-17.8224520784314</v>
      </c>
      <c r="K19" s="97" t="e">
        <f aca="false">MAX(Table2[[#This Row],[VBD]]*Scoring!$B$48+1,1)</f>
        <v>#VALUE!</v>
      </c>
      <c r="L19" s="98" t="n">
        <f aca="false">VLOOKUP(Table2[[#This Row],[VBD]],BH:BJ,3,FALSE())</f>
        <v>8</v>
      </c>
      <c r="M19" s="99" t="n">
        <f aca="false">VLOOKUP(INDEX(ECR!$E:$E,MATCH(B19,ECR!$C:$C,0)),RISK!A:B,2,FALSE())</f>
        <v>2.4124</v>
      </c>
      <c r="N19" s="100"/>
      <c r="O19" s="98" t="s">
        <v>197</v>
      </c>
      <c r="P19" s="93" t="str">
        <f aca="false">VLOOKUP(O19,ECR!E:L,8,FALSE())</f>
        <v>Travis Etienne Jr.</v>
      </c>
      <c r="Q19" s="94" t="str">
        <f aca="false">IFERROR(VLOOKUP(Table4[[#This Row],[PLAYER]],ECR!C:F,2,FALSE()),"-")</f>
        <v>NO</v>
      </c>
      <c r="R19" s="94" t="n">
        <f aca="false">IFERROR(VLOOKUP(Table4[[#This Row],[PLAYER]],ECR!C:F,4,FALSE()),"-")</f>
        <v>8</v>
      </c>
      <c r="S19" s="94" t="str">
        <f aca="false">Table4[[#This Row],[Team]] &amp; "/" &amp; Table4[[#This Row],[Bye]]</f>
        <v>NO/8</v>
      </c>
      <c r="T19" s="95" t="n">
        <f aca="false">IFERROR(VLOOKUP(Table4[[#This Row],[PLAYER]],RB!A:Q,13,FALSE())/17*(17-Table4[[#This Row],[Missed Games]]),0)</f>
        <v>162.990694117647</v>
      </c>
      <c r="U19" s="95" t="n">
        <f aca="false">IFERROR(VLOOKUP(Table4[[#This Row],[PLAYER]],RB!A:Q,14,FALSE())/17*(17-Table4[[#This Row],[Missed Games]]),0)</f>
        <v>180.284225882353</v>
      </c>
      <c r="V19" s="95" t="n">
        <f aca="false">IFERROR(VLOOKUP(Table4[[#This Row],[PLAYER]],RB!A:Q,15,FALSE())/17*(17-Table4[[#This Row],[Missed Games]]),0)</f>
        <v>203.662518823529</v>
      </c>
      <c r="W19" s="96" t="n">
        <f aca="false">AVERAGE(AVERAGE(Table4[[#This Row],[LOW]],Table4[[#This Row],[HIGH]]),Table4[[#This Row],[AVG]],VLOOKUP(Table4[[#This Row],[PLAYER]],ECR!L:N,3,FALSE()))</f>
        <v>181.298352745098</v>
      </c>
      <c r="X19" s="96" t="n">
        <f aca="false">Table4[[#This Row],[Zscore Projection]]-$Q$1</f>
        <v>53.7526143529412</v>
      </c>
      <c r="Y19" s="97" t="e">
        <f aca="false">MAX(Table4[[#This Row],[VBD]]*Scoring!$B$48+1,1)</f>
        <v>#VALUE!</v>
      </c>
      <c r="Z19" s="98" t="n">
        <f aca="false">VLOOKUP(Table4[[#This Row],[VBD]],BM:BO,3,FALSE())</f>
        <v>4</v>
      </c>
      <c r="AA19" s="99" t="n">
        <f aca="false">VLOOKUP(INDEX(ECR!$E:$E,MATCH(P19,ECR!$C:$C,0)),RISK!A:B,2,FALSE())</f>
        <v>2.673</v>
      </c>
      <c r="AB19" s="100"/>
      <c r="AC19" s="94" t="s">
        <v>198</v>
      </c>
      <c r="AD19" s="94" t="str">
        <f aca="false">VLOOKUP(AC19,ECR!E:L,8,FALSE())</f>
        <v>Jaylen Waddle</v>
      </c>
      <c r="AE19" s="94" t="str">
        <f aca="false">IFERROR(VLOOKUP(Table6[[#This Row],[PLAYER]],ECR!C:F,2,FALSE()),"-")</f>
        <v>DEN</v>
      </c>
      <c r="AF19" s="94" t="n">
        <f aca="false">IFERROR(VLOOKUP(Table6[[#This Row],[PLAYER]],ECR!C:F,4,FALSE()),"-")</f>
        <v>10</v>
      </c>
      <c r="AG19" s="94" t="str">
        <f aca="false">Table6[[#This Row],[Team]] &amp; "/" &amp; Table6[[#This Row],[Bye]]</f>
        <v>DEN/10</v>
      </c>
      <c r="AH19" s="95" t="n">
        <f aca="false">IFERROR(VLOOKUP(Table6[[#This Row],[PLAYER]],WR!A:Q,13,FALSE())/17*(17-Table6[[#This Row],[Missed Games]]),0)</f>
        <v>141.175286470588</v>
      </c>
      <c r="AI19" s="95" t="n">
        <f aca="false">IFERROR(VLOOKUP(Table6[[#This Row],[PLAYER]],WR!A:Q,14,FALSE())/17*(17-Table6[[#This Row],[Missed Games]]),0)</f>
        <v>144.335678294118</v>
      </c>
      <c r="AJ19" s="95" t="n">
        <f aca="false">IFERROR(VLOOKUP(Table6[[#This Row],[PLAYER]],WR!A:Q,15,FALSE())/17*(17-Table6[[#This Row],[Missed Games]]),0)</f>
        <v>147.554441470588</v>
      </c>
      <c r="AK19" s="96" t="n">
        <f aca="false">AVERAGE(AVERAGE(Table6[[#This Row],[LOW]],Table6[[#This Row],[HIGH]]),Table6[[#This Row],[AVG]],VLOOKUP(Table6[[#This Row],[PLAYER]],ECR!L:N,3,FALSE()))</f>
        <v>149.201945852941</v>
      </c>
      <c r="AL19" s="96" t="n">
        <f aca="false">Table6[[#This Row],[Zscore Projection]]-$AE$1</f>
        <v>23.5240671078431</v>
      </c>
      <c r="AM19" s="97" t="e">
        <f aca="false">MAX(Table6[[#This Row],[VBD]]*Scoring!$B$48+1,1)</f>
        <v>#VALUE!</v>
      </c>
      <c r="AN19" s="98" t="n">
        <f aca="false">VLOOKUP(Table6[[#This Row],[VBD]],BR:BT,3,FALSE())</f>
        <v>5</v>
      </c>
      <c r="AO19" s="99" t="n">
        <f aca="false">VLOOKUP(INDEX(ECR!$E:$E,MATCH(AD19,ECR!$C:$C,0)),RISK!A:B,2,FALSE())</f>
        <v>2.8241</v>
      </c>
      <c r="AP19" s="100"/>
      <c r="AQ19" s="101" t="s">
        <v>199</v>
      </c>
      <c r="AR19" s="101" t="str">
        <f aca="false">VLOOKUP(AQ19,ECR!E:L,8,FALSE())</f>
        <v>Hunter Henry</v>
      </c>
      <c r="AS19" s="101" t="str">
        <f aca="false">IFERROR(VLOOKUP(Table7[[#This Row],[PLAYER]],ECR!C:F,2,FALSE()),"-")</f>
        <v>NE</v>
      </c>
      <c r="AT19" s="101" t="n">
        <f aca="false">IFERROR(VLOOKUP(Table7[[#This Row],[PLAYER]],ECR!C:F,4,FALSE()),"-")</f>
        <v>11</v>
      </c>
      <c r="AU19" s="101" t="str">
        <f aca="false">Table7[[#This Row],[Team]] &amp; "/" &amp; Table7[[#This Row],[Bye]]</f>
        <v>NE/11</v>
      </c>
      <c r="AV19" s="95" t="n">
        <f aca="false">IFERROR(VLOOKUP(Table7[[#This Row],[PLAYER]],TE!A:K,9,FALSE())/17*(16-Table7[[#This Row],[Missed Games]]),0)</f>
        <v>95.8172088235294</v>
      </c>
      <c r="AW19" s="95" t="n">
        <f aca="false">IFERROR(VLOOKUP(Table7[[#This Row],[PLAYER]],TE!A:K,10,FALSE())/17*(16-Table7[[#This Row],[Missed Games]]),0)</f>
        <v>100.483787529412</v>
      </c>
      <c r="AX19" s="95" t="n">
        <f aca="false">IFERROR(VLOOKUP(Table7[[#This Row],[PLAYER]],TE!A:K,11,FALSE())/17*(16-Table7[[#This Row],[Missed Games]]),0)</f>
        <v>108.004837058824</v>
      </c>
      <c r="AY19" s="96" t="n">
        <f aca="false">AVERAGE(AVERAGE(Table7[[#This Row],[LOW]],Table7[[#This Row],[HIGH]]),Table7[[#This Row],[AVG]],VLOOKUP(Table7[[#This Row],[PLAYER]],ECR!L:N,3,FALSE()))</f>
        <v>100.925357705882</v>
      </c>
      <c r="AZ19" s="96" t="n">
        <f aca="false">Table7[[#This Row],[Zscore Projection]]-$AS$1</f>
        <v>-11.6482397352941</v>
      </c>
      <c r="BA19" s="97" t="e">
        <f aca="false">MAX(Table7[[#This Row],[VBD]]*Scoring!$B$48+1,1)</f>
        <v>#VALUE!</v>
      </c>
      <c r="BB19" s="95" t="n">
        <f aca="false">VLOOKUP(Table7[[#This Row],[VBD]],BW:BY,3,FALSE())</f>
        <v>5</v>
      </c>
      <c r="BC19" s="99" t="n">
        <f aca="false">VLOOKUP(INDEX(ECR!$E:$E,MATCH(AR19,ECR!$C:$C,0)),RISK!A:B,2,FALSE())</f>
        <v>2.3691</v>
      </c>
      <c r="BD19" s="95"/>
      <c r="BE19" s="100"/>
      <c r="BF19" s="102" t="n">
        <v>17</v>
      </c>
      <c r="BG19" s="100" t="n">
        <f aca="false">IFERROR(LARGE($G$3:$G$52,BF19),"")</f>
        <v>250.078689411765</v>
      </c>
      <c r="BH19" s="100" t="n">
        <f aca="false">IFERROR(LARGE($J$3:$J$52,17),"")</f>
        <v>-17.8224520784314</v>
      </c>
      <c r="BI19" s="100" t="n">
        <f aca="false">IF(BH19="",BI18,IF((BI18-BH19)&gt;0.2*LARGE($J$3:$J$52,2),BH19,BI18))</f>
        <v>-15.8175777098039</v>
      </c>
      <c r="BJ19" s="103" t="n">
        <f aca="false">MIN(IF(BH19="",BJ18,IF((BI18-BH19)&gt;0.2*LARGE($J$3:$J$52,2),BJ18+1,BJ18)),15)</f>
        <v>8</v>
      </c>
      <c r="BK19" s="102" t="n">
        <v>17</v>
      </c>
      <c r="BL19" s="100" t="n">
        <f aca="false">IFERROR(LARGE($U$3:$U$102,BK19),"")</f>
        <v>180.284225882353</v>
      </c>
      <c r="BM19" s="104" t="n">
        <f aca="false">IFERROR(LARGE($X$3:$X$102,17),"")</f>
        <v>53.7526143529412</v>
      </c>
      <c r="BN19" s="104" t="n">
        <f aca="false">IF(BM19="",BN18,IF((BN18-BM19)&gt;0.15*LARGE($X$3:$X$102,2),BM19,BN18))</f>
        <v>68.4844974724706</v>
      </c>
      <c r="BO19" s="103" t="n">
        <f aca="false">IF(BM19="",BO18,IF((BN18-BM19)&gt;0.15*LARGE($X$3:$X$102,2),BO18+1,BO18))</f>
        <v>4</v>
      </c>
      <c r="BP19" s="105" t="n">
        <v>17</v>
      </c>
      <c r="BQ19" s="100" t="n">
        <f aca="false">IFERROR(LARGE($AI$3:$AI$102,BP19),"")</f>
        <v>158.905295294118</v>
      </c>
      <c r="BR19" s="104" t="n">
        <f aca="false">IFERROR(LARGE($AL$3:$AL$102,17),"")</f>
        <v>32.4464923921569</v>
      </c>
      <c r="BS19" s="104" t="n">
        <f aca="false">IF(BR19="",BS18,IF((BS18-BR19)&gt;0.15*LARGE($AL$3:$AL$102,2),BR19,BS18))</f>
        <v>49.2426892745098</v>
      </c>
      <c r="BT19" s="103" t="n">
        <f aca="false">IF(BR19="",BT18,IF((BS18-BR19)&gt;0.15*LARGE($AL$3:$AL$102,2),BT18+1,BT18))</f>
        <v>4</v>
      </c>
      <c r="BU19" s="102" t="n">
        <v>17</v>
      </c>
      <c r="BV19" s="100" t="n">
        <f aca="false">IFERROR(LARGE($AW$3:$AW$52,BU19),"")</f>
        <v>100.381262647059</v>
      </c>
      <c r="BW19" s="104" t="n">
        <f aca="false">IFERROR(LARGE($AZ$3:$AZ$52,17),"")</f>
        <v>-11.6482397352941</v>
      </c>
      <c r="BX19" s="104" t="n">
        <f aca="false">IF(BW19="",BX18,IF((BX18-BW19)&gt;0.2*LARGE($AZ$3:$AZ$52,2),BW19,BX18))</f>
        <v>-4.65875124509805</v>
      </c>
      <c r="BY19" s="106" t="n">
        <f aca="false">IF(BW19="",BY18,IF((BX18-BW19)&gt;0.2*LARGE($AZ$3:$AZ$52,2),BY18+1,BY18))</f>
        <v>5</v>
      </c>
      <c r="BZ19" s="104"/>
      <c r="CA19" s="104"/>
      <c r="CB19" s="104"/>
      <c r="CC19" s="104"/>
      <c r="CD19" s="104"/>
      <c r="CE19" s="104"/>
      <c r="CF19" s="104"/>
      <c r="CG19" s="104"/>
    </row>
    <row r="20" s="107" customFormat="true" ht="14.25" hidden="false" customHeight="true" outlineLevel="0" collapsed="false">
      <c r="A20" s="93" t="s">
        <v>200</v>
      </c>
      <c r="B20" s="93" t="str">
        <f aca="false">VLOOKUP(A20,ECR!E:L,8,FALSE())</f>
        <v>Jordan Love</v>
      </c>
      <c r="C20" s="94" t="str">
        <f aca="false">IFERROR(VLOOKUP(Table2[[#This Row],[PLAYER]],ECR!C:F,2,FALSE()),"-")</f>
        <v>GB</v>
      </c>
      <c r="D20" s="94" t="n">
        <f aca="false">IFERROR(VLOOKUP(Table2[[#This Row],[PLAYER]],ECR!C:F,4,FALSE()),"-")</f>
        <v>11</v>
      </c>
      <c r="E20" s="94" t="str">
        <f aca="false">Table2[[#This Row],[Team]] &amp; "/" &amp; Table2[[#This Row],[Bye]]</f>
        <v>GB/11</v>
      </c>
      <c r="F20" s="95" t="n">
        <f aca="false">IFERROR(VLOOKUP(Table2[[#This Row],[PLAYER]],QB!A:Q,15,FALSE())/17*(17-Table2[[#This Row],[Missed Games]]),0)</f>
        <v>219.716326588235</v>
      </c>
      <c r="G20" s="95" t="n">
        <f aca="false">IFERROR(VLOOKUP(Table2[[#This Row],[PLAYER]],QB!A:Q,16,FALSE())/17*(17-Table2[[#This Row],[Missed Games]]),0)</f>
        <v>234.680955670588</v>
      </c>
      <c r="H20" s="95" t="n">
        <f aca="false">IFERROR(VLOOKUP(Table2[[#This Row],[PLAYER]],QB!A:Q,17,FALSE())/17*(17-Table2[[#This Row],[Missed Games]]),0)</f>
        <v>248.340609129412</v>
      </c>
      <c r="I20" s="96" t="n">
        <f aca="false">AVERAGE(AVERAGE(Table2[[#This Row],[LOW]],Table2[[#This Row],[HIGH]]),Table2[[#This Row],[AVG]],VLOOKUP(Table2[[#This Row],[PLAYER]],ECR!L:N,3,FALSE()))</f>
        <v>235.881590901961</v>
      </c>
      <c r="J20" s="96" t="n">
        <f aca="false">Table2[[#This Row],[Zscore Projection]]-$C$1</f>
        <v>-32.4977748862745</v>
      </c>
      <c r="K20" s="97" t="e">
        <f aca="false">MAX(Table2[[#This Row],[VBD]]*Scoring!$B$48+1,1)</f>
        <v>#VALUE!</v>
      </c>
      <c r="L20" s="98" t="n">
        <f aca="false">VLOOKUP(Table2[[#This Row],[VBD]],BH:BJ,3,FALSE())</f>
        <v>9</v>
      </c>
      <c r="M20" s="99" t="n">
        <f aca="false">VLOOKUP(INDEX(ECR!$E:$E,MATCH(B20,ECR!$C:$C,0)),RISK!A:B,2,FALSE())</f>
        <v>2.5192</v>
      </c>
      <c r="N20" s="100"/>
      <c r="O20" s="98" t="s">
        <v>201</v>
      </c>
      <c r="P20" s="93" t="str">
        <f aca="false">VLOOKUP(O20,ECR!E:L,8,FALSE())</f>
        <v>D'Andre Swift</v>
      </c>
      <c r="Q20" s="94" t="str">
        <f aca="false">IFERROR(VLOOKUP(Table4[[#This Row],[PLAYER]],ECR!C:F,2,FALSE()),"-")</f>
        <v>CHI</v>
      </c>
      <c r="R20" s="94" t="n">
        <f aca="false">IFERROR(VLOOKUP(Table4[[#This Row],[PLAYER]],ECR!C:F,4,FALSE()),"-")</f>
        <v>10</v>
      </c>
      <c r="S20" s="94" t="str">
        <f aca="false">Table4[[#This Row],[Team]] &amp; "/" &amp; Table4[[#This Row],[Bye]]</f>
        <v>CHI/10</v>
      </c>
      <c r="T20" s="95" t="n">
        <f aca="false">IFERROR(VLOOKUP(Table4[[#This Row],[PLAYER]],RB!A:Q,13,FALSE())/17*(17-Table4[[#This Row],[Missed Games]]),0)</f>
        <v>156.913003764706</v>
      </c>
      <c r="U20" s="95" t="n">
        <f aca="false">IFERROR(VLOOKUP(Table4[[#This Row],[PLAYER]],RB!A:Q,14,FALSE())/17*(17-Table4[[#This Row],[Missed Games]]),0)</f>
        <v>172.543700470588</v>
      </c>
      <c r="V20" s="95" t="n">
        <f aca="false">IFERROR(VLOOKUP(Table4[[#This Row],[PLAYER]],RB!A:Q,15,FALSE())/17*(17-Table4[[#This Row],[Missed Games]]),0)</f>
        <v>187.45052</v>
      </c>
      <c r="W20" s="96" t="n">
        <f aca="false">AVERAGE(AVERAGE(Table4[[#This Row],[LOW]],Table4[[#This Row],[HIGH]]),Table4[[#This Row],[AVG]],VLOOKUP(Table4[[#This Row],[PLAYER]],ECR!L:N,3,FALSE()))</f>
        <v>174.378012941176</v>
      </c>
      <c r="X20" s="96" t="n">
        <f aca="false">Table4[[#This Row],[Zscore Projection]]-$Q$1</f>
        <v>46.8322745490196</v>
      </c>
      <c r="Y20" s="97" t="e">
        <f aca="false">MAX(Table4[[#This Row],[VBD]]*Scoring!$B$48+1,1)</f>
        <v>#VALUE!</v>
      </c>
      <c r="Z20" s="98" t="n">
        <f aca="false">VLOOKUP(Table4[[#This Row],[VBD]],BM:BO,3,FALSE())</f>
        <v>5</v>
      </c>
      <c r="AA20" s="99" t="n">
        <f aca="false">VLOOKUP(INDEX(ECR!$E:$E,MATCH(P20,ECR!$C:$C,0)),RISK!A:B,2,FALSE())</f>
        <v>2.6908</v>
      </c>
      <c r="AB20" s="100"/>
      <c r="AC20" s="94" t="s">
        <v>202</v>
      </c>
      <c r="AD20" s="94" t="str">
        <f aca="false">VLOOKUP(AC20,ECR!E:L,8,FALSE())</f>
        <v>Ladd McConkey</v>
      </c>
      <c r="AE20" s="94" t="str">
        <f aca="false">IFERROR(VLOOKUP(Table6[[#This Row],[PLAYER]],ECR!C:F,2,FALSE()),"-")</f>
        <v>LAC</v>
      </c>
      <c r="AF20" s="94" t="n">
        <f aca="false">IFERROR(VLOOKUP(Table6[[#This Row],[PLAYER]],ECR!C:F,4,FALSE()),"-")</f>
        <v>7</v>
      </c>
      <c r="AG20" s="94" t="str">
        <f aca="false">Table6[[#This Row],[Team]] &amp; "/" &amp; Table6[[#This Row],[Bye]]</f>
        <v>LAC/7</v>
      </c>
      <c r="AH20" s="95" t="n">
        <f aca="false">IFERROR(VLOOKUP(Table6[[#This Row],[PLAYER]],WR!A:Q,13,FALSE())/17*(17-Table6[[#This Row],[Missed Games]]),0)</f>
        <v>139.861152941176</v>
      </c>
      <c r="AI20" s="95" t="n">
        <f aca="false">IFERROR(VLOOKUP(Table6[[#This Row],[PLAYER]],WR!A:Q,14,FALSE())/17*(17-Table6[[#This Row],[Missed Games]]),0)</f>
        <v>148.091699411765</v>
      </c>
      <c r="AJ20" s="95" t="n">
        <f aca="false">IFERROR(VLOOKUP(Table6[[#This Row],[PLAYER]],WR!A:Q,15,FALSE())/17*(17-Table6[[#This Row],[Missed Games]]),0)</f>
        <v>155.242557647059</v>
      </c>
      <c r="AK20" s="96" t="n">
        <f aca="false">AVERAGE(AVERAGE(Table6[[#This Row],[LOW]],Table6[[#This Row],[HIGH]]),Table6[[#This Row],[AVG]],VLOOKUP(Table6[[#This Row],[PLAYER]],ECR!L:N,3,FALSE()))</f>
        <v>150.913982901961</v>
      </c>
      <c r="AL20" s="96" t="n">
        <f aca="false">Table6[[#This Row],[Zscore Projection]]-$AE$1</f>
        <v>25.2361041568628</v>
      </c>
      <c r="AM20" s="97" t="e">
        <f aca="false">MAX(Table6[[#This Row],[VBD]]*Scoring!$B$48+1,1)</f>
        <v>#VALUE!</v>
      </c>
      <c r="AN20" s="98" t="n">
        <f aca="false">VLOOKUP(Table6[[#This Row],[VBD]],BR:BT,3,FALSE())</f>
        <v>5</v>
      </c>
      <c r="AO20" s="99" t="n">
        <f aca="false">VLOOKUP(INDEX(ECR!$E:$E,MATCH(AD20,ECR!$C:$C,0)),RISK!A:B,2,FALSE())</f>
        <v>2.881</v>
      </c>
      <c r="AP20" s="100"/>
      <c r="AQ20" s="101" t="s">
        <v>203</v>
      </c>
      <c r="AR20" s="101" t="str">
        <f aca="false">VLOOKUP(AQ20,ECR!E:L,8,FALSE())</f>
        <v>Brenton Strange</v>
      </c>
      <c r="AS20" s="101" t="str">
        <f aca="false">IFERROR(VLOOKUP(Table7[[#This Row],[PLAYER]],ECR!C:F,2,FALSE()),"-")</f>
        <v>JAC</v>
      </c>
      <c r="AT20" s="101" t="n">
        <f aca="false">IFERROR(VLOOKUP(Table7[[#This Row],[PLAYER]],ECR!C:F,4,FALSE()),"-")</f>
        <v>7</v>
      </c>
      <c r="AU20" s="101" t="str">
        <f aca="false">Table7[[#This Row],[Team]] &amp; "/" &amp; Table7[[#This Row],[Bye]]</f>
        <v>JAC/7</v>
      </c>
      <c r="AV20" s="95" t="n">
        <f aca="false">IFERROR(VLOOKUP(Table7[[#This Row],[PLAYER]],TE!A:K,9,FALSE())/17*(16-Table7[[#This Row],[Missed Games]]),0)</f>
        <v>84.111</v>
      </c>
      <c r="AW20" s="95" t="n">
        <f aca="false">IFERROR(VLOOKUP(Table7[[#This Row],[PLAYER]],TE!A:K,10,FALSE())/17*(16-Table7[[#This Row],[Missed Games]]),0)</f>
        <v>96.61635</v>
      </c>
      <c r="AX20" s="95" t="n">
        <f aca="false">IFERROR(VLOOKUP(Table7[[#This Row],[PLAYER]],TE!A:K,11,FALSE())/17*(16-Table7[[#This Row],[Missed Games]]),0)</f>
        <v>116.388</v>
      </c>
      <c r="AY20" s="96" t="n">
        <f aca="false">AVERAGE(AVERAGE(Table7[[#This Row],[LOW]],Table7[[#This Row],[HIGH]]),Table7[[#This Row],[AVG]],VLOOKUP(Table7[[#This Row],[PLAYER]],ECR!L:N,3,FALSE()))</f>
        <v>97.8274</v>
      </c>
      <c r="AZ20" s="96" t="n">
        <f aca="false">Table7[[#This Row],[Zscore Projection]]-$AS$1</f>
        <v>-14.7461974411765</v>
      </c>
      <c r="BA20" s="97" t="e">
        <f aca="false">MAX(Table7[[#This Row],[VBD]]*Scoring!$B$48+1,1)</f>
        <v>#VALUE!</v>
      </c>
      <c r="BB20" s="95" t="n">
        <f aca="false">VLOOKUP(Table7[[#This Row],[VBD]],BW:BY,3,FALSE())</f>
        <v>5</v>
      </c>
      <c r="BC20" s="99" t="n">
        <f aca="false">VLOOKUP(INDEX(ECR!$E:$E,MATCH(AR20,ECR!$C:$C,0)),RISK!A:B,2,FALSE())</f>
        <v>2.485</v>
      </c>
      <c r="BD20" s="95"/>
      <c r="BE20" s="100"/>
      <c r="BF20" s="102" t="n">
        <v>18</v>
      </c>
      <c r="BG20" s="100" t="n">
        <f aca="false">IFERROR(LARGE($G$3:$G$52,BF20),"")</f>
        <v>238.935349176471</v>
      </c>
      <c r="BH20" s="100" t="n">
        <f aca="false">IFERROR(LARGE($J$3:$J$52,18),"")</f>
        <v>-29.3870866980392</v>
      </c>
      <c r="BI20" s="100" t="n">
        <f aca="false">IF(BH20="",BI19,IF((BI19-BH20)&gt;0.2*LARGE($J$3:$J$52,2),BH20,BI19))</f>
        <v>-29.3870866980392</v>
      </c>
      <c r="BJ20" s="103" t="n">
        <f aca="false">MIN(IF(BH20="",BJ19,IF((BI19-BH20)&gt;0.2*LARGE($J$3:$J$52,2),BJ19+1,BJ19)),15)</f>
        <v>9</v>
      </c>
      <c r="BK20" s="102" t="n">
        <v>18</v>
      </c>
      <c r="BL20" s="100" t="n">
        <f aca="false">IFERROR(LARGE($U$3:$U$102,BK20),"")</f>
        <v>178.408576470588</v>
      </c>
      <c r="BM20" s="104" t="n">
        <f aca="false">IFERROR(LARGE($X$3:$X$102,18),"")</f>
        <v>47.4639207058823</v>
      </c>
      <c r="BN20" s="104" t="n">
        <f aca="false">IF(BM20="",BN19,IF((BN19-BM20)&gt;0.15*LARGE($X$3:$X$102,2),BM20,BN19))</f>
        <v>68.4844974724706</v>
      </c>
      <c r="BO20" s="103" t="n">
        <f aca="false">IF(BM20="",BO19,IF((BN19-BM20)&gt;0.15*LARGE($X$3:$X$102,2),BO19+1,BO19))</f>
        <v>4</v>
      </c>
      <c r="BP20" s="105" t="n">
        <v>18</v>
      </c>
      <c r="BQ20" s="100" t="n">
        <f aca="false">IFERROR(LARGE($AI$3:$AI$102,BP20),"")</f>
        <v>157.098394</v>
      </c>
      <c r="BR20" s="104" t="n">
        <f aca="false">IFERROR(LARGE($AL$3:$AL$102,18),"")</f>
        <v>31.3744306666667</v>
      </c>
      <c r="BS20" s="104" t="n">
        <f aca="false">IF(BR20="",BS19,IF((BS19-BR20)&gt;0.15*LARGE($AL$3:$AL$102,2),BR20,BS19))</f>
        <v>49.2426892745098</v>
      </c>
      <c r="BT20" s="103" t="n">
        <f aca="false">IF(BR20="",BT19,IF((BS19-BR20)&gt;0.15*LARGE($AL$3:$AL$102,2),BT19+1,BT19))</f>
        <v>4</v>
      </c>
      <c r="BU20" s="102" t="n">
        <v>18</v>
      </c>
      <c r="BV20" s="100" t="n">
        <f aca="false">IFERROR(LARGE($AW$3:$AW$52,BU20),"")</f>
        <v>96.61635</v>
      </c>
      <c r="BW20" s="104" t="n">
        <f aca="false">IFERROR(LARGE($AZ$3:$AZ$52,18),"")</f>
        <v>-14.7461974411765</v>
      </c>
      <c r="BX20" s="104" t="n">
        <f aca="false">IF(BW20="",BX19,IF((BX19-BW20)&gt;0.2*LARGE($AZ$3:$AZ$52,2),BW20,BX19))</f>
        <v>-4.65875124509805</v>
      </c>
      <c r="BY20" s="106" t="n">
        <f aca="false">IF(BW20="",BY19,IF((BX19-BW20)&gt;0.2*LARGE($AZ$3:$AZ$52,2),BY19+1,BY19))</f>
        <v>5</v>
      </c>
      <c r="BZ20" s="104"/>
      <c r="CA20" s="104"/>
      <c r="CB20" s="104"/>
      <c r="CC20" s="104"/>
      <c r="CD20" s="104"/>
      <c r="CE20" s="104"/>
      <c r="CF20" s="104"/>
      <c r="CG20" s="104"/>
    </row>
    <row r="21" s="107" customFormat="true" ht="14.25" hidden="false" customHeight="true" outlineLevel="0" collapsed="false">
      <c r="A21" s="93" t="s">
        <v>204</v>
      </c>
      <c r="B21" s="93" t="str">
        <f aca="false">VLOOKUP(A21,ECR!E:L,8,FALSE())</f>
        <v>Baker Mayfield</v>
      </c>
      <c r="C21" s="94" t="str">
        <f aca="false">IFERROR(VLOOKUP(Table2[[#This Row],[PLAYER]],ECR!C:F,2,FALSE()),"-")</f>
        <v>TB</v>
      </c>
      <c r="D21" s="94" t="n">
        <f aca="false">IFERROR(VLOOKUP(Table2[[#This Row],[PLAYER]],ECR!C:F,4,FALSE()),"-")</f>
        <v>10</v>
      </c>
      <c r="E21" s="94" t="str">
        <f aca="false">Table2[[#This Row],[Team]] &amp; "/" &amp; Table2[[#This Row],[Bye]]</f>
        <v>TB/10</v>
      </c>
      <c r="F21" s="95" t="n">
        <f aca="false">IFERROR(VLOOKUP(Table2[[#This Row],[PLAYER]],QB!A:Q,15,FALSE())/17*(17-Table2[[#This Row],[Missed Games]]),0)</f>
        <v>220.117945411765</v>
      </c>
      <c r="G21" s="95" t="n">
        <f aca="false">IFERROR(VLOOKUP(Table2[[#This Row],[PLAYER]],QB!A:Q,16,FALSE())/17*(17-Table2[[#This Row],[Missed Games]]),0)</f>
        <v>238.400273458824</v>
      </c>
      <c r="H21" s="95" t="n">
        <f aca="false">IFERROR(VLOOKUP(Table2[[#This Row],[PLAYER]],QB!A:Q,17,FALSE())/17*(17-Table2[[#This Row],[Missed Games]]),0)</f>
        <v>260.234635294118</v>
      </c>
      <c r="I21" s="96" t="n">
        <f aca="false">AVERAGE(AVERAGE(Table2[[#This Row],[LOW]],Table2[[#This Row],[HIGH]]),Table2[[#This Row],[AVG]],VLOOKUP(Table2[[#This Row],[PLAYER]],ECR!L:N,3,FALSE()))</f>
        <v>238.992279090196</v>
      </c>
      <c r="J21" s="96" t="n">
        <f aca="false">Table2[[#This Row],[Zscore Projection]]-$C$1</f>
        <v>-29.3870866980392</v>
      </c>
      <c r="K21" s="97" t="e">
        <f aca="false">MAX(Table2[[#This Row],[VBD]]*Scoring!$B$48+1,1)</f>
        <v>#VALUE!</v>
      </c>
      <c r="L21" s="98" t="n">
        <f aca="false">VLOOKUP(Table2[[#This Row],[VBD]],BH:BJ,3,FALSE())</f>
        <v>9</v>
      </c>
      <c r="M21" s="99" t="n">
        <f aca="false">VLOOKUP(INDEX(ECR!$E:$E,MATCH(B21,ECR!$C:$C,0)),RISK!A:B,2,FALSE())</f>
        <v>2.6364</v>
      </c>
      <c r="N21" s="100"/>
      <c r="O21" s="98" t="s">
        <v>205</v>
      </c>
      <c r="P21" s="93" t="str">
        <f aca="false">VLOOKUP(O21,ECR!E:L,8,FALSE())</f>
        <v>Bucky Irving</v>
      </c>
      <c r="Q21" s="94" t="str">
        <f aca="false">IFERROR(VLOOKUP(Table4[[#This Row],[PLAYER]],ECR!C:F,2,FALSE()),"-")</f>
        <v>TB</v>
      </c>
      <c r="R21" s="94" t="n">
        <f aca="false">IFERROR(VLOOKUP(Table4[[#This Row],[PLAYER]],ECR!C:F,4,FALSE()),"-")</f>
        <v>10</v>
      </c>
      <c r="S21" s="94" t="str">
        <f aca="false">Table4[[#This Row],[Team]] &amp; "/" &amp; Table4[[#This Row],[Bye]]</f>
        <v>TB/10</v>
      </c>
      <c r="T21" s="95" t="n">
        <f aca="false">IFERROR(VLOOKUP(Table4[[#This Row],[PLAYER]],RB!A:Q,13,FALSE())/17*(17-Table4[[#This Row],[Missed Games]]),0)</f>
        <v>157.133358</v>
      </c>
      <c r="U21" s="95" t="n">
        <f aca="false">IFERROR(VLOOKUP(Table4[[#This Row],[PLAYER]],RB!A:Q,14,FALSE())/17*(17-Table4[[#This Row],[Missed Games]]),0)</f>
        <v>167.758542</v>
      </c>
      <c r="V21" s="95" t="n">
        <f aca="false">IFERROR(VLOOKUP(Table4[[#This Row],[PLAYER]],RB!A:Q,15,FALSE())/17*(17-Table4[[#This Row],[Missed Games]]),0)</f>
        <v>182.24208</v>
      </c>
      <c r="W21" s="96" t="n">
        <f aca="false">AVERAGE(AVERAGE(Table4[[#This Row],[LOW]],Table4[[#This Row],[HIGH]]),Table4[[#This Row],[AVG]],VLOOKUP(Table4[[#This Row],[PLAYER]],ECR!L:N,3,FALSE()))</f>
        <v>169.996653823529</v>
      </c>
      <c r="X21" s="96" t="n">
        <f aca="false">Table4[[#This Row],[Zscore Projection]]-$Q$1</f>
        <v>42.4509154313726</v>
      </c>
      <c r="Y21" s="97" t="e">
        <f aca="false">MAX(Table4[[#This Row],[VBD]]*Scoring!$B$48+1,1)</f>
        <v>#VALUE!</v>
      </c>
      <c r="Z21" s="98" t="n">
        <f aca="false">VLOOKUP(Table4[[#This Row],[VBD]],BM:BO,3,FALSE())</f>
        <v>5</v>
      </c>
      <c r="AA21" s="99" t="n">
        <f aca="false">VLOOKUP(INDEX(ECR!$E:$E,MATCH(P21,ECR!$C:$C,0)),RISK!A:B,2,FALSE())</f>
        <v>2.7098</v>
      </c>
      <c r="AB21" s="100"/>
      <c r="AC21" s="94" t="s">
        <v>206</v>
      </c>
      <c r="AD21" s="94" t="str">
        <f aca="false">VLOOKUP(AC21,ECR!E:L,8,FALSE())</f>
        <v>Garrett Wilson</v>
      </c>
      <c r="AE21" s="94" t="str">
        <f aca="false">IFERROR(VLOOKUP(Table6[[#This Row],[PLAYER]],ECR!C:F,2,FALSE()),"-")</f>
        <v>NYJ</v>
      </c>
      <c r="AF21" s="94" t="n">
        <f aca="false">IFERROR(VLOOKUP(Table6[[#This Row],[PLAYER]],ECR!C:F,4,FALSE()),"-")</f>
        <v>13</v>
      </c>
      <c r="AG21" s="94" t="str">
        <f aca="false">Table6[[#This Row],[Team]] &amp; "/" &amp; Table6[[#This Row],[Bye]]</f>
        <v>NYJ/13</v>
      </c>
      <c r="AH21" s="95" t="n">
        <f aca="false">IFERROR(VLOOKUP(Table6[[#This Row],[PLAYER]],WR!A:Q,13,FALSE())/17*(17-Table6[[#This Row],[Missed Games]]),0)</f>
        <v>138.889842941176</v>
      </c>
      <c r="AI21" s="95" t="n">
        <f aca="false">IFERROR(VLOOKUP(Table6[[#This Row],[PLAYER]],WR!A:Q,14,FALSE())/17*(17-Table6[[#This Row],[Missed Games]]),0)</f>
        <v>160.794566235294</v>
      </c>
      <c r="AJ21" s="95" t="n">
        <f aca="false">IFERROR(VLOOKUP(Table6[[#This Row],[PLAYER]],WR!A:Q,15,FALSE())/17*(17-Table6[[#This Row],[Missed Games]]),0)</f>
        <v>183.129442705882</v>
      </c>
      <c r="AK21" s="96" t="n">
        <f aca="false">AVERAGE(AVERAGE(Table6[[#This Row],[LOW]],Table6[[#This Row],[HIGH]]),Table6[[#This Row],[AVG]],VLOOKUP(Table6[[#This Row],[PLAYER]],ECR!L:N,3,FALSE()))</f>
        <v>159.214397960784</v>
      </c>
      <c r="AL21" s="96" t="n">
        <f aca="false">Table6[[#This Row],[Zscore Projection]]-$AE$1</f>
        <v>33.5365192156863</v>
      </c>
      <c r="AM21" s="97" t="e">
        <f aca="false">MAX(Table6[[#This Row],[VBD]]*Scoring!$B$48+1,1)</f>
        <v>#VALUE!</v>
      </c>
      <c r="AN21" s="98" t="n">
        <f aca="false">VLOOKUP(Table6[[#This Row],[VBD]],BR:BT,3,FALSE())</f>
        <v>4</v>
      </c>
      <c r="AO21" s="99" t="n">
        <f aca="false">VLOOKUP(INDEX(ECR!$E:$E,MATCH(AD21,ECR!$C:$C,0)),RISK!A:B,2,FALSE())</f>
        <v>2.9373</v>
      </c>
      <c r="AP21" s="100"/>
      <c r="AQ21" s="101" t="s">
        <v>207</v>
      </c>
      <c r="AR21" s="101" t="str">
        <f aca="false">VLOOKUP(AQ21,ECR!E:L,8,FALSE())</f>
        <v>Chig Okonkwo</v>
      </c>
      <c r="AS21" s="101" t="str">
        <f aca="false">IFERROR(VLOOKUP(Table7[[#This Row],[PLAYER]],ECR!C:F,2,FALSE()),"-")</f>
        <v>WAS</v>
      </c>
      <c r="AT21" s="101" t="n">
        <f aca="false">IFERROR(VLOOKUP(Table7[[#This Row],[PLAYER]],ECR!C:F,4,FALSE()),"-")</f>
        <v>7</v>
      </c>
      <c r="AU21" s="101" t="str">
        <f aca="false">Table7[[#This Row],[Team]] &amp; "/" &amp; Table7[[#This Row],[Bye]]</f>
        <v>WAS/7</v>
      </c>
      <c r="AV21" s="95" t="n">
        <f aca="false">IFERROR(VLOOKUP(Table7[[#This Row],[PLAYER]],TE!A:K,9,FALSE())/17*(16-Table7[[#This Row],[Missed Games]]),0)</f>
        <v>71.3826091176471</v>
      </c>
      <c r="AW21" s="95" t="n">
        <f aca="false">IFERROR(VLOOKUP(Table7[[#This Row],[PLAYER]],TE!A:K,10,FALSE())/17*(16-Table7[[#This Row],[Missed Games]]),0)</f>
        <v>78.6035525882353</v>
      </c>
      <c r="AX21" s="95" t="n">
        <f aca="false">IFERROR(VLOOKUP(Table7[[#This Row],[PLAYER]],TE!A:K,11,FALSE())/17*(16-Table7[[#This Row],[Missed Games]]),0)</f>
        <v>84.8874270588235</v>
      </c>
      <c r="AY21" s="96" t="n">
        <f aca="false">AVERAGE(AVERAGE(Table7[[#This Row],[LOW]],Table7[[#This Row],[HIGH]]),Table7[[#This Row],[AVG]],VLOOKUP(Table7[[#This Row],[PLAYER]],ECR!L:N,3,FALSE()))</f>
        <v>82.3275965</v>
      </c>
      <c r="AZ21" s="96" t="n">
        <f aca="false">Table7[[#This Row],[Zscore Projection]]-$AS$1</f>
        <v>-30.2460009411765</v>
      </c>
      <c r="BA21" s="97" t="e">
        <f aca="false">MAX(Table7[[#This Row],[VBD]]*Scoring!$B$48+1,1)</f>
        <v>#VALUE!</v>
      </c>
      <c r="BB21" s="95" t="n">
        <f aca="false">VLOOKUP(Table7[[#This Row],[VBD]],BW:BY,3,FALSE())</f>
        <v>6</v>
      </c>
      <c r="BC21" s="99" t="n">
        <f aca="false">VLOOKUP(INDEX(ECR!$E:$E,MATCH(AR21,ECR!$C:$C,0)),RISK!A:B,2,FALSE())</f>
        <v>2.6133</v>
      </c>
      <c r="BD21" s="95"/>
      <c r="BE21" s="100"/>
      <c r="BF21" s="102" t="n">
        <v>19</v>
      </c>
      <c r="BG21" s="100" t="n">
        <f aca="false">IFERROR(LARGE($G$3:$G$52,BF21),"")</f>
        <v>238.400273458824</v>
      </c>
      <c r="BH21" s="100" t="n">
        <f aca="false">IFERROR(LARGE($J$3:$J$52,19),"")</f>
        <v>-30.808274290196</v>
      </c>
      <c r="BI21" s="100" t="n">
        <f aca="false">IF(BH21="",BI20,IF((BI20-BH21)&gt;0.2*LARGE($J$3:$J$52,2),BH21,BI20))</f>
        <v>-29.3870866980392</v>
      </c>
      <c r="BJ21" s="103" t="n">
        <f aca="false">MIN(IF(BH21="",BJ20,IF((BI20-BH21)&gt;0.2*LARGE($J$3:$J$52,2),BJ20+1,BJ20)),15)</f>
        <v>9</v>
      </c>
      <c r="BK21" s="102" t="n">
        <v>19</v>
      </c>
      <c r="BL21" s="100" t="n">
        <f aca="false">IFERROR(LARGE($U$3:$U$102,BK21),"")</f>
        <v>172.543700470588</v>
      </c>
      <c r="BM21" s="104" t="n">
        <f aca="false">IFERROR(LARGE($X$3:$X$102,19),"")</f>
        <v>46.8322745490196</v>
      </c>
      <c r="BN21" s="104" t="n">
        <f aca="false">IF(BM21="",BN20,IF((BN20-BM21)&gt;0.15*LARGE($X$3:$X$102,2),BM21,BN20))</f>
        <v>46.8322745490196</v>
      </c>
      <c r="BO21" s="103" t="n">
        <f aca="false">IF(BM21="",BO20,IF((BN20-BM21)&gt;0.15*LARGE($X$3:$X$102,2),BO20+1,BO20))</f>
        <v>5</v>
      </c>
      <c r="BP21" s="105" t="n">
        <v>19</v>
      </c>
      <c r="BQ21" s="100" t="n">
        <f aca="false">IFERROR(LARGE($AI$3:$AI$102,BP21),"")</f>
        <v>155.838984823529</v>
      </c>
      <c r="BR21" s="104" t="n">
        <f aca="false">IFERROR(LARGE($AL$3:$AL$102,19),"")</f>
        <v>28.7991832058824</v>
      </c>
      <c r="BS21" s="104" t="n">
        <f aca="false">IF(BR21="",BS20,IF((BS20-BR21)&gt;0.15*LARGE($AL$3:$AL$102,2),BR21,BS20))</f>
        <v>28.7991832058824</v>
      </c>
      <c r="BT21" s="103" t="n">
        <f aca="false">IF(BR21="",BT20,IF((BS20-BR21)&gt;0.15*LARGE($AL$3:$AL$102,2),BT20+1,BT20))</f>
        <v>5</v>
      </c>
      <c r="BU21" s="102" t="n">
        <v>19</v>
      </c>
      <c r="BV21" s="100" t="n">
        <f aca="false">IFERROR(LARGE($AW$3:$AW$52,BU21),"")</f>
        <v>90.2442188235294</v>
      </c>
      <c r="BW21" s="104" t="n">
        <f aca="false">IFERROR(LARGE($AZ$3:$AZ$52,19),"")</f>
        <v>-24.7756686176471</v>
      </c>
      <c r="BX21" s="104" t="n">
        <f aca="false">IF(BW21="",BX20,IF((BX20-BW21)&gt;0.2*LARGE($AZ$3:$AZ$52,2),BW21,BX20))</f>
        <v>-24.7756686176471</v>
      </c>
      <c r="BY21" s="106" t="n">
        <f aca="false">IF(BW21="",BY20,IF((BX20-BW21)&gt;0.2*LARGE($AZ$3:$AZ$52,2),BY20+1,BY20))</f>
        <v>6</v>
      </c>
      <c r="BZ21" s="104"/>
      <c r="CA21" s="104"/>
      <c r="CB21" s="104"/>
      <c r="CC21" s="104"/>
      <c r="CD21" s="104"/>
      <c r="CE21" s="104"/>
      <c r="CF21" s="104"/>
      <c r="CG21" s="104"/>
    </row>
    <row r="22" s="107" customFormat="true" ht="14.25" hidden="false" customHeight="true" outlineLevel="0" collapsed="false">
      <c r="A22" s="93" t="s">
        <v>208</v>
      </c>
      <c r="B22" s="93" t="str">
        <f aca="false">VLOOKUP(A22,ECR!E:L,8,FALSE())</f>
        <v>Tyler Shough</v>
      </c>
      <c r="C22" s="94" t="str">
        <f aca="false">IFERROR(VLOOKUP(Table2[[#This Row],[PLAYER]],ECR!C:F,2,FALSE()),"-")</f>
        <v>NO</v>
      </c>
      <c r="D22" s="94" t="n">
        <f aca="false">IFERROR(VLOOKUP(Table2[[#This Row],[PLAYER]],ECR!C:F,4,FALSE()),"-")</f>
        <v>8</v>
      </c>
      <c r="E22" s="94" t="str">
        <f aca="false">Table2[[#This Row],[Team]] &amp; "/" &amp; Table2[[#This Row],[Bye]]</f>
        <v>NO/8</v>
      </c>
      <c r="F22" s="95" t="n">
        <f aca="false">IFERROR(VLOOKUP(Table2[[#This Row],[PLAYER]],QB!A:Q,15,FALSE())/17*(17-Table2[[#This Row],[Missed Games]]),0)</f>
        <v>224.340936941176</v>
      </c>
      <c r="G22" s="95" t="n">
        <f aca="false">IFERROR(VLOOKUP(Table2[[#This Row],[PLAYER]],QB!A:Q,16,FALSE())/17*(17-Table2[[#This Row],[Missed Games]]),0)</f>
        <v>238.935349176471</v>
      </c>
      <c r="H22" s="95" t="n">
        <f aca="false">IFERROR(VLOOKUP(Table2[[#This Row],[PLAYER]],QB!A:Q,17,FALSE())/17*(17-Table2[[#This Row],[Missed Games]]),0)</f>
        <v>253.853002352941</v>
      </c>
      <c r="I22" s="96" t="n">
        <f aca="false">AVERAGE(AVERAGE(Table2[[#This Row],[LOW]],Table2[[#This Row],[HIGH]]),Table2[[#This Row],[AVG]],VLOOKUP(Table2[[#This Row],[PLAYER]],ECR!L:N,3,FALSE()))</f>
        <v>237.571091498039</v>
      </c>
      <c r="J22" s="96" t="n">
        <f aca="false">Table2[[#This Row],[Zscore Projection]]-$C$1</f>
        <v>-30.808274290196</v>
      </c>
      <c r="K22" s="97" t="e">
        <f aca="false">MAX(Table2[[#This Row],[VBD]]*Scoring!$B$48+1,1)</f>
        <v>#VALUE!</v>
      </c>
      <c r="L22" s="98" t="n">
        <f aca="false">VLOOKUP(Table2[[#This Row],[VBD]],BH:BJ,3,FALSE())</f>
        <v>9</v>
      </c>
      <c r="M22" s="99" t="n">
        <f aca="false">VLOOKUP(INDEX(ECR!$E:$E,MATCH(B22,ECR!$C:$C,0)),RISK!A:B,2,FALSE())</f>
        <v>2.764</v>
      </c>
      <c r="N22" s="100"/>
      <c r="O22" s="98" t="s">
        <v>209</v>
      </c>
      <c r="P22" s="93" t="str">
        <f aca="false">VLOOKUP(O22,ECR!E:L,8,FALSE())</f>
        <v>Cam Skattebo</v>
      </c>
      <c r="Q22" s="94" t="str">
        <f aca="false">IFERROR(VLOOKUP(Table4[[#This Row],[PLAYER]],ECR!C:F,2,FALSE()),"-")</f>
        <v>NYG</v>
      </c>
      <c r="R22" s="94" t="n">
        <f aca="false">IFERROR(VLOOKUP(Table4[[#This Row],[PLAYER]],ECR!C:F,4,FALSE()),"-")</f>
        <v>8</v>
      </c>
      <c r="S22" s="94" t="str">
        <f aca="false">Table4[[#This Row],[Team]] &amp; "/" &amp; Table4[[#This Row],[Bye]]</f>
        <v>NYG/8</v>
      </c>
      <c r="T22" s="95" t="n">
        <f aca="false">IFERROR(VLOOKUP(Table4[[#This Row],[PLAYER]],RB!A:Q,13,FALSE())/17*(17-Table4[[#This Row],[Missed Games]]),0)</f>
        <v>157.943717647059</v>
      </c>
      <c r="U22" s="95" t="n">
        <f aca="false">IFERROR(VLOOKUP(Table4[[#This Row],[PLAYER]],RB!A:Q,14,FALSE())/17*(17-Table4[[#This Row],[Missed Games]]),0)</f>
        <v>178.408576470588</v>
      </c>
      <c r="V22" s="95" t="n">
        <f aca="false">IFERROR(VLOOKUP(Table4[[#This Row],[PLAYER]],RB!A:Q,15,FALSE())/17*(17-Table4[[#This Row],[Missed Games]]),0)</f>
        <v>199.78</v>
      </c>
      <c r="W22" s="96" t="n">
        <f aca="false">AVERAGE(AVERAGE(Table4[[#This Row],[LOW]],Table4[[#This Row],[HIGH]]),Table4[[#This Row],[AVG]],VLOOKUP(Table4[[#This Row],[PLAYER]],ECR!L:N,3,FALSE()))</f>
        <v>175.009659098039</v>
      </c>
      <c r="X22" s="96" t="n">
        <f aca="false">Table4[[#This Row],[Zscore Projection]]-$Q$1</f>
        <v>47.4639207058823</v>
      </c>
      <c r="Y22" s="97" t="e">
        <f aca="false">MAX(Table4[[#This Row],[VBD]]*Scoring!$B$48+1,1)</f>
        <v>#VALUE!</v>
      </c>
      <c r="Z22" s="98" t="n">
        <f aca="false">VLOOKUP(Table4[[#This Row],[VBD]],BM:BO,3,FALSE())</f>
        <v>4</v>
      </c>
      <c r="AA22" s="99" t="n">
        <f aca="false">VLOOKUP(INDEX(ECR!$E:$E,MATCH(P22,ECR!$C:$C,0)),RISK!A:B,2,FALSE())</f>
        <v>2.73</v>
      </c>
      <c r="AB22" s="100"/>
      <c r="AC22" s="94" t="s">
        <v>210</v>
      </c>
      <c r="AD22" s="94" t="str">
        <f aca="false">VLOOKUP(AC22,ECR!E:L,8,FALSE())</f>
        <v>Tetairoa McMillan</v>
      </c>
      <c r="AE22" s="94" t="str">
        <f aca="false">IFERROR(VLOOKUP(Table6[[#This Row],[PLAYER]],ECR!C:F,2,FALSE()),"-")</f>
        <v>CAR</v>
      </c>
      <c r="AF22" s="94" t="n">
        <f aca="false">IFERROR(VLOOKUP(Table6[[#This Row],[PLAYER]],ECR!C:F,4,FALSE()),"-")</f>
        <v>5</v>
      </c>
      <c r="AG22" s="94" t="str">
        <f aca="false">Table6[[#This Row],[Team]] &amp; "/" &amp; Table6[[#This Row],[Bye]]</f>
        <v>CAR/5</v>
      </c>
      <c r="AH22" s="95" t="n">
        <f aca="false">IFERROR(VLOOKUP(Table6[[#This Row],[PLAYER]],WR!A:Q,13,FALSE())/17*(17-Table6[[#This Row],[Missed Games]]),0)</f>
        <v>148.721382352941</v>
      </c>
      <c r="AI22" s="95" t="n">
        <f aca="false">IFERROR(VLOOKUP(Table6[[#This Row],[PLAYER]],WR!A:Q,14,FALSE())/17*(17-Table6[[#This Row],[Missed Games]]),0)</f>
        <v>158.905295294118</v>
      </c>
      <c r="AJ22" s="95" t="n">
        <f aca="false">IFERROR(VLOOKUP(Table6[[#This Row],[PLAYER]],WR!A:Q,15,FALSE())/17*(17-Table6[[#This Row],[Missed Games]]),0)</f>
        <v>169.970825294118</v>
      </c>
      <c r="AK22" s="96" t="n">
        <f aca="false">AVERAGE(AVERAGE(Table6[[#This Row],[LOW]],Table6[[#This Row],[HIGH]]),Table6[[#This Row],[AVG]],VLOOKUP(Table6[[#This Row],[PLAYER]],ECR!L:N,3,FALSE()))</f>
        <v>157.052309411765</v>
      </c>
      <c r="AL22" s="96" t="n">
        <f aca="false">Table6[[#This Row],[Zscore Projection]]-$AE$1</f>
        <v>31.3744306666667</v>
      </c>
      <c r="AM22" s="97" t="e">
        <f aca="false">MAX(Table6[[#This Row],[VBD]]*Scoring!$B$48+1,1)</f>
        <v>#VALUE!</v>
      </c>
      <c r="AN22" s="98" t="n">
        <f aca="false">VLOOKUP(Table6[[#This Row],[VBD]],BR:BT,3,FALSE())</f>
        <v>4</v>
      </c>
      <c r="AO22" s="99" t="n">
        <f aca="false">VLOOKUP(INDEX(ECR!$E:$E,MATCH(AD22,ECR!$C:$C,0)),RISK!A:B,2,FALSE())</f>
        <v>2.993</v>
      </c>
      <c r="AP22" s="100"/>
      <c r="AQ22" s="101" t="s">
        <v>211</v>
      </c>
      <c r="AR22" s="101" t="str">
        <f aca="false">VLOOKUP(AQ22,ECR!E:L,8,FALSE())</f>
        <v>Dalton Schultz</v>
      </c>
      <c r="AS22" s="101" t="str">
        <f aca="false">IFERROR(VLOOKUP(Table7[[#This Row],[PLAYER]],ECR!C:F,2,FALSE()),"-")</f>
        <v>HOU</v>
      </c>
      <c r="AT22" s="101" t="n">
        <f aca="false">IFERROR(VLOOKUP(Table7[[#This Row],[PLAYER]],ECR!C:F,4,FALSE()),"-")</f>
        <v>8</v>
      </c>
      <c r="AU22" s="101" t="str">
        <f aca="false">Table7[[#This Row],[Team]] &amp; "/" &amp; Table7[[#This Row],[Bye]]</f>
        <v>HOU/8</v>
      </c>
      <c r="AV22" s="95" t="n">
        <f aca="false">IFERROR(VLOOKUP(Table7[[#This Row],[PLAYER]],TE!A:K,9,FALSE())/17*(16-Table7[[#This Row],[Missed Games]]),0)</f>
        <v>79.4370411764706</v>
      </c>
      <c r="AW22" s="95" t="n">
        <f aca="false">IFERROR(VLOOKUP(Table7[[#This Row],[PLAYER]],TE!A:K,10,FALSE())/17*(16-Table7[[#This Row],[Missed Games]]),0)</f>
        <v>90.2442188235294</v>
      </c>
      <c r="AX22" s="95" t="n">
        <f aca="false">IFERROR(VLOOKUP(Table7[[#This Row],[PLAYER]],TE!A:K,11,FALSE())/17*(16-Table7[[#This Row],[Missed Games]]),0)</f>
        <v>100.202094117647</v>
      </c>
      <c r="AY22" s="96" t="n">
        <f aca="false">AVERAGE(AVERAGE(Table7[[#This Row],[LOW]],Table7[[#This Row],[HIGH]]),Table7[[#This Row],[AVG]],VLOOKUP(Table7[[#This Row],[PLAYER]],ECR!L:N,3,FALSE()))</f>
        <v>87.7979288235294</v>
      </c>
      <c r="AZ22" s="96" t="n">
        <f aca="false">Table7[[#This Row],[Zscore Projection]]-$AS$1</f>
        <v>-24.7756686176471</v>
      </c>
      <c r="BA22" s="97" t="e">
        <f aca="false">MAX(Table7[[#This Row],[VBD]]*Scoring!$B$48+1,1)</f>
        <v>#VALUE!</v>
      </c>
      <c r="BB22" s="95" t="n">
        <f aca="false">VLOOKUP(Table7[[#This Row],[VBD]],BW:BY,3,FALSE())</f>
        <v>6</v>
      </c>
      <c r="BC22" s="99" t="n">
        <f aca="false">VLOOKUP(INDEX(ECR!$E:$E,MATCH(AR22,ECR!$C:$C,0)),RISK!A:B,2,FALSE())</f>
        <v>2.754</v>
      </c>
      <c r="BD22" s="95"/>
      <c r="BE22" s="100"/>
      <c r="BF22" s="102" t="n">
        <v>20</v>
      </c>
      <c r="BG22" s="100" t="n">
        <f aca="false">IFERROR(LARGE($G$3:$G$52,BF22),"")</f>
        <v>234.680955670588</v>
      </c>
      <c r="BH22" s="100" t="n">
        <f aca="false">IFERROR(LARGE($J$3:$J$52,20),"")</f>
        <v>-32.4977748862745</v>
      </c>
      <c r="BI22" s="100" t="n">
        <f aca="false">IF(BH22="",BI21,IF((BI21-BH22)&gt;0.2*LARGE($J$3:$J$52,2),BH22,BI21))</f>
        <v>-29.3870866980392</v>
      </c>
      <c r="BJ22" s="103" t="n">
        <f aca="false">MIN(IF(BH22="",BJ21,IF((BI21-BH22)&gt;0.2*LARGE($J$3:$J$52,2),BJ21+1,BJ21)),15)</f>
        <v>9</v>
      </c>
      <c r="BK22" s="102" t="n">
        <v>20</v>
      </c>
      <c r="BL22" s="100" t="n">
        <f aca="false">IFERROR(LARGE($U$3:$U$102,BK22),"")</f>
        <v>167.758542</v>
      </c>
      <c r="BM22" s="104" t="n">
        <f aca="false">IFERROR(LARGE($X$3:$X$102,20),"")</f>
        <v>42.4509154313726</v>
      </c>
      <c r="BN22" s="104" t="n">
        <f aca="false">IF(BM22="",BN21,IF((BN21-BM22)&gt;0.15*LARGE($X$3:$X$102,2),BM22,BN21))</f>
        <v>46.8322745490196</v>
      </c>
      <c r="BO22" s="103" t="n">
        <f aca="false">IF(BM22="",BO21,IF((BN21-BM22)&gt;0.15*LARGE($X$3:$X$102,2),BO21+1,BO21))</f>
        <v>5</v>
      </c>
      <c r="BP22" s="105" t="n">
        <v>20</v>
      </c>
      <c r="BQ22" s="100" t="n">
        <f aca="false">IFERROR(LARGE($AI$3:$AI$102,BP22),"")</f>
        <v>152.905529117647</v>
      </c>
      <c r="BR22" s="104" t="n">
        <f aca="false">IFERROR(LARGE($AL$3:$AL$102,20),"")</f>
        <v>25.2361041568628</v>
      </c>
      <c r="BS22" s="104" t="n">
        <f aca="false">IF(BR22="",BS21,IF((BS21-BR22)&gt;0.15*LARGE($AL$3:$AL$102,2),BR22,BS21))</f>
        <v>28.7991832058824</v>
      </c>
      <c r="BT22" s="103" t="n">
        <f aca="false">IF(BR22="",BT21,IF((BS21-BR22)&gt;0.15*LARGE($AL$3:$AL$102,2),BT21+1,BT21))</f>
        <v>5</v>
      </c>
      <c r="BU22" s="102" t="n">
        <v>20</v>
      </c>
      <c r="BV22" s="100" t="n">
        <f aca="false">IFERROR(LARGE($AW$3:$AW$52,BU22),"")</f>
        <v>83.33</v>
      </c>
      <c r="BW22" s="104" t="n">
        <f aca="false">IFERROR(LARGE($AZ$3:$AZ$52,20),"")</f>
        <v>-29.4258523431373</v>
      </c>
      <c r="BX22" s="104" t="n">
        <f aca="false">IF(BW22="",BX21,IF((BX21-BW22)&gt;0.2*LARGE($AZ$3:$AZ$52,2),BW22,BX21))</f>
        <v>-24.7756686176471</v>
      </c>
      <c r="BY22" s="106" t="n">
        <f aca="false">IF(BW22="",BY21,IF((BX21-BW22)&gt;0.2*LARGE($AZ$3:$AZ$52,2),BY21+1,BY21))</f>
        <v>6</v>
      </c>
      <c r="BZ22" s="104"/>
      <c r="CA22" s="104"/>
      <c r="CB22" s="104"/>
      <c r="CC22" s="104"/>
      <c r="CD22" s="104"/>
      <c r="CE22" s="104"/>
      <c r="CF22" s="104"/>
      <c r="CG22" s="104"/>
    </row>
    <row r="23" s="107" customFormat="true" ht="14.25" hidden="false" customHeight="true" outlineLevel="0" collapsed="false">
      <c r="A23" s="93" t="s">
        <v>212</v>
      </c>
      <c r="B23" s="93" t="str">
        <f aca="false">VLOOKUP(A23,ECR!E:L,8,FALSE())</f>
        <v>Malik Willis</v>
      </c>
      <c r="C23" s="94" t="str">
        <f aca="false">IFERROR(VLOOKUP(Table2[[#This Row],[PLAYER]],ECR!C:F,2,FALSE()),"-")</f>
        <v>MIA</v>
      </c>
      <c r="D23" s="94" t="n">
        <f aca="false">IFERROR(VLOOKUP(Table2[[#This Row],[PLAYER]],ECR!C:F,4,FALSE()),"-")</f>
        <v>6</v>
      </c>
      <c r="E23" s="94" t="str">
        <f aca="false">Table2[[#This Row],[Team]] &amp; "/" &amp; Table2[[#This Row],[Bye]]</f>
        <v>MIA/6</v>
      </c>
      <c r="F23" s="95" t="n">
        <f aca="false">IFERROR(VLOOKUP(Table2[[#This Row],[PLAYER]],QB!A:Q,15,FALSE())/17*(17-Table2[[#This Row],[Missed Games]]),0)</f>
        <v>185.156497647059</v>
      </c>
      <c r="G23" s="95" t="n">
        <f aca="false">IFERROR(VLOOKUP(Table2[[#This Row],[PLAYER]],QB!A:Q,16,FALSE())/17*(17-Table2[[#This Row],[Missed Games]]),0)</f>
        <v>225.174914588235</v>
      </c>
      <c r="H23" s="95" t="n">
        <f aca="false">IFERROR(VLOOKUP(Table2[[#This Row],[PLAYER]],QB!A:Q,17,FALSE())/17*(17-Table2[[#This Row],[Missed Games]]),0)</f>
        <v>271.102881411765</v>
      </c>
      <c r="I23" s="96" t="n">
        <f aca="false">AVERAGE(AVERAGE(Table2[[#This Row],[LOW]],Table2[[#This Row],[HIGH]]),Table2[[#This Row],[AVG]],VLOOKUP(Table2[[#This Row],[PLAYER]],ECR!L:N,3,FALSE()))</f>
        <v>226.159839568628</v>
      </c>
      <c r="J23" s="96" t="n">
        <f aca="false">Table2[[#This Row],[Zscore Projection]]-$C$1</f>
        <v>-42.2195262196078</v>
      </c>
      <c r="K23" s="97" t="e">
        <f aca="false">MAX(Table2[[#This Row],[VBD]]*Scoring!$B$48+1,1)</f>
        <v>#VALUE!</v>
      </c>
      <c r="L23" s="98" t="n">
        <f aca="false">VLOOKUP(Table2[[#This Row],[VBD]],BH:BJ,3,FALSE())</f>
        <v>10</v>
      </c>
      <c r="M23" s="99" t="n">
        <f aca="false">VLOOKUP(INDEX(ECR!$E:$E,MATCH(B23,ECR!$C:$C,0)),RISK!A:B,2,FALSE())</f>
        <v>2.902</v>
      </c>
      <c r="N23" s="100"/>
      <c r="O23" s="98" t="s">
        <v>213</v>
      </c>
      <c r="P23" s="93" t="str">
        <f aca="false">VLOOKUP(O23,ECR!E:L,8,FALSE())</f>
        <v>David Montgomery</v>
      </c>
      <c r="Q23" s="94" t="str">
        <f aca="false">IFERROR(VLOOKUP(Table4[[#This Row],[PLAYER]],ECR!C:F,2,FALSE()),"-")</f>
        <v>HOU</v>
      </c>
      <c r="R23" s="94" t="n">
        <f aca="false">IFERROR(VLOOKUP(Table4[[#This Row],[PLAYER]],ECR!C:F,4,FALSE()),"-")</f>
        <v>8</v>
      </c>
      <c r="S23" s="94" t="str">
        <f aca="false">Table4[[#This Row],[Team]] &amp; "/" &amp; Table4[[#This Row],[Bye]]</f>
        <v>HOU/8</v>
      </c>
      <c r="T23" s="95" t="n">
        <f aca="false">IFERROR(VLOOKUP(Table4[[#This Row],[PLAYER]],RB!A:Q,13,FALSE())/17*(17-Table4[[#This Row],[Missed Games]]),0)</f>
        <v>139.468649411765</v>
      </c>
      <c r="U23" s="95" t="n">
        <f aca="false">IFERROR(VLOOKUP(Table4[[#This Row],[PLAYER]],RB!A:Q,14,FALSE())/17*(17-Table4[[#This Row],[Missed Games]]),0)</f>
        <v>153.331699058824</v>
      </c>
      <c r="V23" s="95" t="n">
        <f aca="false">IFERROR(VLOOKUP(Table4[[#This Row],[PLAYER]],RB!A:Q,15,FALSE())/17*(17-Table4[[#This Row],[Missed Games]]),0)</f>
        <v>168.13348</v>
      </c>
      <c r="W23" s="96" t="n">
        <f aca="false">AVERAGE(AVERAGE(Table4[[#This Row],[LOW]],Table4[[#This Row],[HIGH]]),Table4[[#This Row],[AVG]],VLOOKUP(Table4[[#This Row],[PLAYER]],ECR!L:N,3,FALSE()))</f>
        <v>158.115613803922</v>
      </c>
      <c r="X23" s="96" t="n">
        <f aca="false">Table4[[#This Row],[Zscore Projection]]-$Q$1</f>
        <v>30.5698754117647</v>
      </c>
      <c r="Y23" s="97" t="e">
        <f aca="false">MAX(Table4[[#This Row],[VBD]]*Scoring!$B$48+1,1)</f>
        <v>#VALUE!</v>
      </c>
      <c r="Z23" s="98" t="n">
        <f aca="false">VLOOKUP(Table4[[#This Row],[VBD]],BM:BO,3,FALSE())</f>
        <v>5</v>
      </c>
      <c r="AA23" s="99" t="n">
        <f aca="false">VLOOKUP(INDEX(ECR!$E:$E,MATCH(P23,ECR!$C:$C,0)),RISK!A:B,2,FALSE())</f>
        <v>2.7514</v>
      </c>
      <c r="AB23" s="100"/>
      <c r="AC23" s="94" t="s">
        <v>214</v>
      </c>
      <c r="AD23" s="94" t="str">
        <f aca="false">VLOOKUP(AC23,ECR!E:L,8,FALSE())</f>
        <v>Emeka Egbuka</v>
      </c>
      <c r="AE23" s="94" t="str">
        <f aca="false">IFERROR(VLOOKUP(Table6[[#This Row],[PLAYER]],ECR!C:F,2,FALSE()),"-")</f>
        <v>TB</v>
      </c>
      <c r="AF23" s="94" t="n">
        <f aca="false">IFERROR(VLOOKUP(Table6[[#This Row],[PLAYER]],ECR!C:F,4,FALSE()),"-")</f>
        <v>10</v>
      </c>
      <c r="AG23" s="94" t="str">
        <f aca="false">Table6[[#This Row],[Team]] &amp; "/" &amp; Table6[[#This Row],[Bye]]</f>
        <v>TB/10</v>
      </c>
      <c r="AH23" s="95" t="n">
        <f aca="false">IFERROR(VLOOKUP(Table6[[#This Row],[PLAYER]],WR!A:Q,13,FALSE())/17*(17-Table6[[#This Row],[Missed Games]]),0)</f>
        <v>147.89014</v>
      </c>
      <c r="AI23" s="95" t="n">
        <f aca="false">IFERROR(VLOOKUP(Table6[[#This Row],[PLAYER]],WR!A:Q,14,FALSE())/17*(17-Table6[[#This Row],[Missed Games]]),0)</f>
        <v>157.098394</v>
      </c>
      <c r="AJ23" s="95" t="n">
        <f aca="false">IFERROR(VLOOKUP(Table6[[#This Row],[PLAYER]],WR!A:Q,15,FALSE())/17*(17-Table6[[#This Row],[Missed Games]]),0)</f>
        <v>165.346429</v>
      </c>
      <c r="AK23" s="96" t="n">
        <f aca="false">AVERAGE(AVERAGE(Table6[[#This Row],[LOW]],Table6[[#This Row],[HIGH]]),Table6[[#This Row],[AVG]],VLOOKUP(Table6[[#This Row],[PLAYER]],ECR!L:N,3,FALSE()))</f>
        <v>154.47706195098</v>
      </c>
      <c r="AL23" s="96" t="n">
        <f aca="false">Table6[[#This Row],[Zscore Projection]]-$AE$1</f>
        <v>28.7991832058824</v>
      </c>
      <c r="AM23" s="97" t="e">
        <f aca="false">MAX(Table6[[#This Row],[VBD]]*Scoring!$B$48+1,1)</f>
        <v>#VALUE!</v>
      </c>
      <c r="AN23" s="98" t="n">
        <f aca="false">VLOOKUP(Table6[[#This Row],[VBD]],BR:BT,3,FALSE())</f>
        <v>5</v>
      </c>
      <c r="AO23" s="99" t="n">
        <f aca="false">VLOOKUP(INDEX(ECR!$E:$E,MATCH(AD23,ECR!$C:$C,0)),RISK!A:B,2,FALSE())</f>
        <v>3.0481</v>
      </c>
      <c r="AP23" s="100"/>
      <c r="AQ23" s="101" t="s">
        <v>215</v>
      </c>
      <c r="AR23" s="101" t="str">
        <f aca="false">VLOOKUP(AQ23,ECR!E:L,8,FALSE())</f>
        <v>Terrance Ferguson</v>
      </c>
      <c r="AS23" s="101" t="str">
        <f aca="false">IFERROR(VLOOKUP(Table7[[#This Row],[PLAYER]],ECR!C:F,2,FALSE()),"-")</f>
        <v>LAR</v>
      </c>
      <c r="AT23" s="101" t="n">
        <f aca="false">IFERROR(VLOOKUP(Table7[[#This Row],[PLAYER]],ECR!C:F,4,FALSE()),"-")</f>
        <v>11</v>
      </c>
      <c r="AU23" s="101" t="str">
        <f aca="false">Table7[[#This Row],[Team]] &amp; "/" &amp; Table7[[#This Row],[Bye]]</f>
        <v>LAR/11</v>
      </c>
      <c r="AV23" s="95" t="n">
        <f aca="false">IFERROR(VLOOKUP(Table7[[#This Row],[PLAYER]],TE!A:K,9,FALSE())/17*(16-Table7[[#This Row],[Missed Games]]),0)</f>
        <v>71.5488476470588</v>
      </c>
      <c r="AW23" s="95" t="n">
        <f aca="false">IFERROR(VLOOKUP(Table7[[#This Row],[PLAYER]],TE!A:K,10,FALSE())/17*(16-Table7[[#This Row],[Missed Games]]),0)</f>
        <v>79.3121671764706</v>
      </c>
      <c r="AX23" s="95" t="n">
        <f aca="false">IFERROR(VLOOKUP(Table7[[#This Row],[PLAYER]],TE!A:K,11,FALSE())/17*(16-Table7[[#This Row],[Missed Games]]),0)</f>
        <v>87.2218191176471</v>
      </c>
      <c r="AY23" s="96" t="n">
        <f aca="false">AVERAGE(AVERAGE(Table7[[#This Row],[LOW]],Table7[[#This Row],[HIGH]]),Table7[[#This Row],[AVG]],VLOOKUP(Table7[[#This Row],[PLAYER]],ECR!L:N,3,FALSE()))</f>
        <v>80.3928923431373</v>
      </c>
      <c r="AZ23" s="96" t="n">
        <f aca="false">Table7[[#This Row],[Zscore Projection]]-$AS$1</f>
        <v>-32.1807050980392</v>
      </c>
      <c r="BA23" s="97" t="e">
        <f aca="false">MAX(Table7[[#This Row],[VBD]]*Scoring!$B$48+1,1)</f>
        <v>#VALUE!</v>
      </c>
      <c r="BB23" s="95" t="n">
        <f aca="false">VLOOKUP(Table7[[#This Row],[VBD]],BW:BY,3,FALSE())</f>
        <v>6</v>
      </c>
      <c r="BC23" s="99" t="n">
        <f aca="false">VLOOKUP(INDEX(ECR!$E:$E,MATCH(AR23,ECR!$C:$C,0)),RISK!A:B,2,FALSE())</f>
        <v>2.9071</v>
      </c>
      <c r="BD23" s="95"/>
      <c r="BE23" s="100"/>
      <c r="BF23" s="102" t="n">
        <v>21</v>
      </c>
      <c r="BG23" s="100" t="n">
        <f aca="false">IFERROR(LARGE($G$3:$G$52,BF23),"")</f>
        <v>225.174914588235</v>
      </c>
      <c r="BH23" s="100" t="n">
        <f aca="false">IFERROR(LARGE($J$3:$J$52,21),"")</f>
        <v>-42.2195262196078</v>
      </c>
      <c r="BI23" s="100" t="n">
        <f aca="false">IF(BH23="",BI22,IF((BI22-BH23)&gt;0.2*LARGE($J$3:$J$52,2),BH23,BI22))</f>
        <v>-42.2195262196078</v>
      </c>
      <c r="BJ23" s="103" t="n">
        <f aca="false">MIN(IF(BH23="",BJ22,IF((BI22-BH23)&gt;0.2*LARGE($J$3:$J$52,2),BJ22+1,BJ22)),15)</f>
        <v>10</v>
      </c>
      <c r="BK23" s="102" t="n">
        <v>21</v>
      </c>
      <c r="BL23" s="100" t="n">
        <f aca="false">IFERROR(LARGE($U$3:$U$102,BK23),"")</f>
        <v>167.214077647059</v>
      </c>
      <c r="BM23" s="104" t="n">
        <f aca="false">IFERROR(LARGE($X$3:$X$102,21),"")</f>
        <v>38.8856818039216</v>
      </c>
      <c r="BN23" s="104" t="n">
        <f aca="false">IF(BM23="",BN22,IF((BN22-BM23)&gt;0.15*LARGE($X$3:$X$102,2),BM23,BN22))</f>
        <v>46.8322745490196</v>
      </c>
      <c r="BO23" s="103" t="n">
        <f aca="false">IF(BM23="",BO22,IF((BN22-BM23)&gt;0.15*LARGE($X$3:$X$102,2),BO22+1,BO22))</f>
        <v>5</v>
      </c>
      <c r="BP23" s="105" t="n">
        <v>21</v>
      </c>
      <c r="BQ23" s="100" t="n">
        <f aca="false">IFERROR(LARGE($AI$3:$AI$102,BP23),"")</f>
        <v>149.714507352941</v>
      </c>
      <c r="BR23" s="104" t="n">
        <f aca="false">IFERROR(LARGE($AL$3:$AL$102,21),"")</f>
        <v>24.7116921078431</v>
      </c>
      <c r="BS23" s="104" t="n">
        <f aca="false">IF(BR23="",BS22,IF((BS22-BR23)&gt;0.15*LARGE($AL$3:$AL$102,2),BR23,BS22))</f>
        <v>28.7991832058824</v>
      </c>
      <c r="BT23" s="103" t="n">
        <f aca="false">IF(BR23="",BT22,IF((BS22-BR23)&gt;0.15*LARGE($AL$3:$AL$102,2),BT22+1,BT22))</f>
        <v>5</v>
      </c>
      <c r="BU23" s="102" t="n">
        <v>21</v>
      </c>
      <c r="BV23" s="100" t="n">
        <f aca="false">IFERROR(LARGE($AW$3:$AW$52,BU23),"")</f>
        <v>82.4811764705882</v>
      </c>
      <c r="BW23" s="104" t="n">
        <f aca="false">IFERROR(LARGE($AZ$3:$AZ$52,21),"")</f>
        <v>-30.2460009411765</v>
      </c>
      <c r="BX23" s="104" t="n">
        <f aca="false">IF(BW23="",BX22,IF((BX22-BW23)&gt;0.2*LARGE($AZ$3:$AZ$52,2),BW23,BX22))</f>
        <v>-24.7756686176471</v>
      </c>
      <c r="BY23" s="106" t="n">
        <f aca="false">IF(BW23="",BY22,IF((BX22-BW23)&gt;0.2*LARGE($AZ$3:$AZ$52,2),BY22+1,BY22))</f>
        <v>6</v>
      </c>
      <c r="BZ23" s="104"/>
      <c r="CA23" s="104"/>
      <c r="CB23" s="104"/>
      <c r="CC23" s="104"/>
      <c r="CD23" s="104"/>
      <c r="CE23" s="104"/>
      <c r="CF23" s="104"/>
      <c r="CG23" s="104"/>
    </row>
    <row r="24" s="107" customFormat="true" ht="14.25" hidden="false" customHeight="true" outlineLevel="0" collapsed="false">
      <c r="A24" s="93" t="s">
        <v>216</v>
      </c>
      <c r="B24" s="93" t="str">
        <f aca="false">VLOOKUP(A24,ECR!E:L,8,FALSE())</f>
        <v>Sam Darnold</v>
      </c>
      <c r="C24" s="94" t="str">
        <f aca="false">IFERROR(VLOOKUP(Table2[[#This Row],[PLAYER]],ECR!C:F,2,FALSE()),"-")</f>
        <v>SEA</v>
      </c>
      <c r="D24" s="94" t="n">
        <f aca="false">IFERROR(VLOOKUP(Table2[[#This Row],[PLAYER]],ECR!C:F,4,FALSE()),"-")</f>
        <v>11</v>
      </c>
      <c r="E24" s="94" t="str">
        <f aca="false">Table2[[#This Row],[Team]] &amp; "/" &amp; Table2[[#This Row],[Bye]]</f>
        <v>SEA/11</v>
      </c>
      <c r="F24" s="95" t="n">
        <f aca="false">IFERROR(VLOOKUP(Table2[[#This Row],[PLAYER]],QB!A:Q,15,FALSE())/17*(17-Table2[[#This Row],[Missed Games]]),0)</f>
        <v>200.214505976471</v>
      </c>
      <c r="G24" s="95" t="n">
        <f aca="false">IFERROR(VLOOKUP(Table2[[#This Row],[PLAYER]],QB!A:Q,16,FALSE())/17*(17-Table2[[#This Row],[Missed Games]]),0)</f>
        <v>218.147127058824</v>
      </c>
      <c r="H24" s="95" t="n">
        <f aca="false">IFERROR(VLOOKUP(Table2[[#This Row],[PLAYER]],QB!A:Q,17,FALSE())/17*(17-Table2[[#This Row],[Missed Games]]),0)</f>
        <v>239.604894117647</v>
      </c>
      <c r="I24" s="96" t="n">
        <f aca="false">AVERAGE(AVERAGE(Table2[[#This Row],[LOW]],Table2[[#This Row],[HIGH]]),Table2[[#This Row],[AVG]],VLOOKUP(Table2[[#This Row],[PLAYER]],ECR!L:N,3,FALSE()))</f>
        <v>219.870589427451</v>
      </c>
      <c r="J24" s="96" t="n">
        <f aca="false">Table2[[#This Row],[Zscore Projection]]-$C$1</f>
        <v>-48.5087763607843</v>
      </c>
      <c r="K24" s="97" t="e">
        <f aca="false">MAX(Table2[[#This Row],[VBD]]*Scoring!$B$48+1,1)</f>
        <v>#VALUE!</v>
      </c>
      <c r="L24" s="98" t="n">
        <f aca="false">VLOOKUP(Table2[[#This Row],[VBD]],BH:BJ,3,FALSE())</f>
        <v>11</v>
      </c>
      <c r="M24" s="99" t="n">
        <f aca="false">VLOOKUP(INDEX(ECR!$E:$E,MATCH(B24,ECR!$C:$C,0)),RISK!A:B,2,FALSE())</f>
        <v>3.0504</v>
      </c>
      <c r="N24" s="100"/>
      <c r="O24" s="98" t="s">
        <v>217</v>
      </c>
      <c r="P24" s="93" t="str">
        <f aca="false">VLOOKUP(O24,ECR!E:L,8,FALSE())</f>
        <v>Quinshon Judkins</v>
      </c>
      <c r="Q24" s="94" t="str">
        <f aca="false">IFERROR(VLOOKUP(Table4[[#This Row],[PLAYER]],ECR!C:F,2,FALSE()),"-")</f>
        <v>CLE</v>
      </c>
      <c r="R24" s="94" t="n">
        <f aca="false">IFERROR(VLOOKUP(Table4[[#This Row],[PLAYER]],ECR!C:F,4,FALSE()),"-")</f>
        <v>11</v>
      </c>
      <c r="S24" s="94" t="str">
        <f aca="false">Table4[[#This Row],[Team]] &amp; "/" &amp; Table4[[#This Row],[Bye]]</f>
        <v>CLE/11</v>
      </c>
      <c r="T24" s="95" t="n">
        <f aca="false">IFERROR(VLOOKUP(Table4[[#This Row],[PLAYER]],RB!A:Q,13,FALSE())/17*(17-Table4[[#This Row],[Missed Games]]),0)</f>
        <v>144.603105882353</v>
      </c>
      <c r="U24" s="95" t="n">
        <f aca="false">IFERROR(VLOOKUP(Table4[[#This Row],[PLAYER]],RB!A:Q,14,FALSE())/17*(17-Table4[[#This Row],[Missed Games]]),0)</f>
        <v>167.214077647059</v>
      </c>
      <c r="V24" s="95" t="n">
        <f aca="false">IFERROR(VLOOKUP(Table4[[#This Row],[PLAYER]],RB!A:Q,15,FALSE())/17*(17-Table4[[#This Row],[Missed Games]]),0)</f>
        <v>194.159795294118</v>
      </c>
      <c r="W24" s="96" t="n">
        <f aca="false">AVERAGE(AVERAGE(Table4[[#This Row],[LOW]],Table4[[#This Row],[HIGH]]),Table4[[#This Row],[AVG]],VLOOKUP(Table4[[#This Row],[PLAYER]],ECR!L:N,3,FALSE()))</f>
        <v>166.431420196078</v>
      </c>
      <c r="X24" s="96" t="n">
        <f aca="false">Table4[[#This Row],[Zscore Projection]]-$Q$1</f>
        <v>38.8856818039216</v>
      </c>
      <c r="Y24" s="97" t="e">
        <f aca="false">MAX(Table4[[#This Row],[VBD]]*Scoring!$B$48+1,1)</f>
        <v>#VALUE!</v>
      </c>
      <c r="Z24" s="98" t="n">
        <f aca="false">VLOOKUP(Table4[[#This Row],[VBD]],BM:BO,3,FALSE())</f>
        <v>5</v>
      </c>
      <c r="AA24" s="99" t="n">
        <f aca="false">VLOOKUP(INDEX(ECR!$E:$E,MATCH(P24,ECR!$C:$C,0)),RISK!A:B,2,FALSE())</f>
        <v>2.774</v>
      </c>
      <c r="AB24" s="100"/>
      <c r="AC24" s="94" t="s">
        <v>218</v>
      </c>
      <c r="AD24" s="94" t="str">
        <f aca="false">VLOOKUP(AC24,ECR!E:L,8,FALSE())</f>
        <v>Luther Burden III</v>
      </c>
      <c r="AE24" s="94" t="str">
        <f aca="false">IFERROR(VLOOKUP(Table6[[#This Row],[PLAYER]],ECR!C:F,2,FALSE()),"-")</f>
        <v>CHI</v>
      </c>
      <c r="AF24" s="94" t="n">
        <f aca="false">IFERROR(VLOOKUP(Table6[[#This Row],[PLAYER]],ECR!C:F,4,FALSE()),"-")</f>
        <v>10</v>
      </c>
      <c r="AG24" s="94" t="str">
        <f aca="false">Table6[[#This Row],[Team]] &amp; "/" &amp; Table6[[#This Row],[Bye]]</f>
        <v>CHI/10</v>
      </c>
      <c r="AH24" s="95" t="n">
        <f aca="false">IFERROR(VLOOKUP(Table6[[#This Row],[PLAYER]],WR!A:Q,13,FALSE())/17*(17-Table6[[#This Row],[Missed Games]]),0)</f>
        <v>130.799058823529</v>
      </c>
      <c r="AI24" s="95" t="n">
        <f aca="false">IFERROR(VLOOKUP(Table6[[#This Row],[PLAYER]],WR!A:Q,14,FALSE())/17*(17-Table6[[#This Row],[Missed Games]]),0)</f>
        <v>140.396439764706</v>
      </c>
      <c r="AJ24" s="95" t="n">
        <f aca="false">IFERROR(VLOOKUP(Table6[[#This Row],[PLAYER]],WR!A:Q,15,FALSE())/17*(17-Table6[[#This Row],[Missed Games]]),0)</f>
        <v>152.691551294118</v>
      </c>
      <c r="AK24" s="96" t="n">
        <f aca="false">AVERAGE(AVERAGE(Table6[[#This Row],[LOW]],Table6[[#This Row],[HIGH]]),Table6[[#This Row],[AVG]],VLOOKUP(Table6[[#This Row],[PLAYER]],ECR!L:N,3,FALSE()))</f>
        <v>143.411148078431</v>
      </c>
      <c r="AL24" s="96" t="n">
        <f aca="false">Table6[[#This Row],[Zscore Projection]]-$AE$1</f>
        <v>17.7332693333333</v>
      </c>
      <c r="AM24" s="97" t="e">
        <f aca="false">MAX(Table6[[#This Row],[VBD]]*Scoring!$B$48+1,1)</f>
        <v>#VALUE!</v>
      </c>
      <c r="AN24" s="98" t="n">
        <f aca="false">VLOOKUP(Table6[[#This Row],[VBD]],BR:BT,3,FALSE())</f>
        <v>5</v>
      </c>
      <c r="AO24" s="99" t="n">
        <f aca="false">VLOOKUP(INDEX(ECR!$E:$E,MATCH(AD24,ECR!$C:$C,0)),RISK!A:B,2,FALSE())</f>
        <v>3.1026</v>
      </c>
      <c r="AP24" s="100"/>
      <c r="AQ24" s="101" t="s">
        <v>219</v>
      </c>
      <c r="AR24" s="101" t="str">
        <f aca="false">VLOOKUP(AQ24,ECR!E:L,8,FALSE())</f>
        <v>AJ Barner</v>
      </c>
      <c r="AS24" s="101" t="str">
        <f aca="false">IFERROR(VLOOKUP(Table7[[#This Row],[PLAYER]],ECR!C:F,2,FALSE()),"-")</f>
        <v>SEA</v>
      </c>
      <c r="AT24" s="101" t="n">
        <f aca="false">IFERROR(VLOOKUP(Table7[[#This Row],[PLAYER]],ECR!C:F,4,FALSE()),"-")</f>
        <v>11</v>
      </c>
      <c r="AU24" s="101" t="str">
        <f aca="false">Table7[[#This Row],[Team]] &amp; "/" &amp; Table7[[#This Row],[Bye]]</f>
        <v>SEA/11</v>
      </c>
      <c r="AV24" s="95" t="n">
        <f aca="false">IFERROR(VLOOKUP(Table7[[#This Row],[PLAYER]],TE!A:K,9,FALSE())/17*(16-Table7[[#This Row],[Missed Games]]),0)</f>
        <v>65.9252941176471</v>
      </c>
      <c r="AW24" s="95" t="n">
        <f aca="false">IFERROR(VLOOKUP(Table7[[#This Row],[PLAYER]],TE!A:K,10,FALSE())/17*(16-Table7[[#This Row],[Missed Games]]),0)</f>
        <v>76.4629411764706</v>
      </c>
      <c r="AX24" s="95" t="n">
        <f aca="false">IFERROR(VLOOKUP(Table7[[#This Row],[PLAYER]],TE!A:K,11,FALSE())/17*(16-Table7[[#This Row],[Missed Games]]),0)</f>
        <v>91.3058823529412</v>
      </c>
      <c r="AY24" s="96" t="n">
        <f aca="false">AVERAGE(AVERAGE(Table7[[#This Row],[LOW]],Table7[[#This Row],[HIGH]]),Table7[[#This Row],[AVG]],VLOOKUP(Table7[[#This Row],[PLAYER]],ECR!L:N,3,FALSE()))</f>
        <v>78.796568627451</v>
      </c>
      <c r="AZ24" s="96" t="n">
        <f aca="false">Table7[[#This Row],[Zscore Projection]]-$AS$1</f>
        <v>-33.7770288137255</v>
      </c>
      <c r="BA24" s="97" t="e">
        <f aca="false">MAX(Table7[[#This Row],[VBD]]*Scoring!$B$48+1,1)</f>
        <v>#VALUE!</v>
      </c>
      <c r="BB24" s="95" t="n">
        <f aca="false">VLOOKUP(Table7[[#This Row],[VBD]],BW:BY,3,FALSE())</f>
        <v>6</v>
      </c>
      <c r="BC24" s="99" t="n">
        <f aca="false">VLOOKUP(INDEX(ECR!$E:$E,MATCH(AR24,ECR!$C:$C,0)),RISK!A:B,2,FALSE())</f>
        <v>3</v>
      </c>
      <c r="BD24" s="95"/>
      <c r="BE24" s="100"/>
      <c r="BF24" s="102" t="n">
        <v>22</v>
      </c>
      <c r="BG24" s="100" t="n">
        <f aca="false">IFERROR(LARGE($G$3:$G$52,BF24),"")</f>
        <v>221.554941176471</v>
      </c>
      <c r="BH24" s="100" t="n">
        <f aca="false">IFERROR(LARGE($J$3:$J$52,22),"")</f>
        <v>-48.5085657882352</v>
      </c>
      <c r="BI24" s="100" t="n">
        <f aca="false">IF(BH24="",BI23,IF((BI23-BH24)&gt;0.2*LARGE($J$3:$J$52,2),BH24,BI23))</f>
        <v>-48.5085657882352</v>
      </c>
      <c r="BJ24" s="103" t="n">
        <f aca="false">MIN(IF(BH24="",BJ23,IF((BI23-BH24)&gt;0.2*LARGE($J$3:$J$52,2),BJ23+1,BJ23)),15)</f>
        <v>11</v>
      </c>
      <c r="BK24" s="102" t="n">
        <v>22</v>
      </c>
      <c r="BL24" s="100" t="n">
        <f aca="false">IFERROR(LARGE($U$3:$U$102,BK24),"")</f>
        <v>162.698732352941</v>
      </c>
      <c r="BM24" s="104" t="n">
        <f aca="false">IFERROR(LARGE($X$3:$X$102,22),"")</f>
        <v>35.5259557333334</v>
      </c>
      <c r="BN24" s="104" t="n">
        <f aca="false">IF(BM24="",BN23,IF((BN23-BM24)&gt;0.15*LARGE($X$3:$X$102,2),BM24,BN23))</f>
        <v>46.8322745490196</v>
      </c>
      <c r="BO24" s="103" t="n">
        <f aca="false">IF(BM24="",BO23,IF((BN23-BM24)&gt;0.15*LARGE($X$3:$X$102,2),BO23+1,BO23))</f>
        <v>5</v>
      </c>
      <c r="BP24" s="105" t="n">
        <v>22</v>
      </c>
      <c r="BQ24" s="100" t="n">
        <f aca="false">IFERROR(LARGE($AI$3:$AI$102,BP24),"")</f>
        <v>148.091699411765</v>
      </c>
      <c r="BR24" s="104" t="n">
        <f aca="false">IFERROR(LARGE($AL$3:$AL$102,22),"")</f>
        <v>23.5240671078431</v>
      </c>
      <c r="BS24" s="104" t="n">
        <f aca="false">IF(BR24="",BS23,IF((BS23-BR24)&gt;0.15*LARGE($AL$3:$AL$102,2),BR24,BS23))</f>
        <v>28.7991832058824</v>
      </c>
      <c r="BT24" s="103" t="n">
        <f aca="false">IF(BR24="",BT23,IF((BS23-BR24)&gt;0.15*LARGE($AL$3:$AL$102,2),BT23+1,BT23))</f>
        <v>5</v>
      </c>
      <c r="BU24" s="102" t="n">
        <v>22</v>
      </c>
      <c r="BV24" s="100" t="n">
        <f aca="false">IFERROR(LARGE($AW$3:$AW$52,BU24),"")</f>
        <v>81.3111764705882</v>
      </c>
      <c r="BW24" s="104" t="n">
        <f aca="false">IFERROR(LARGE($AZ$3:$AZ$52,22),"")</f>
        <v>-31.339933872549</v>
      </c>
      <c r="BX24" s="104" t="n">
        <f aca="false">IF(BW24="",BX23,IF((BX23-BW24)&gt;0.2*LARGE($AZ$3:$AZ$52,2),BW24,BX23))</f>
        <v>-24.7756686176471</v>
      </c>
      <c r="BY24" s="106" t="n">
        <f aca="false">IF(BW24="",BY23,IF((BX23-BW24)&gt;0.2*LARGE($AZ$3:$AZ$52,2),BY23+1,BY23))</f>
        <v>6</v>
      </c>
      <c r="BZ24" s="104"/>
      <c r="CA24" s="104"/>
      <c r="CB24" s="104"/>
      <c r="CC24" s="104"/>
      <c r="CD24" s="104"/>
      <c r="CE24" s="104"/>
      <c r="CF24" s="104"/>
      <c r="CG24" s="104"/>
    </row>
    <row r="25" s="107" customFormat="true" ht="14.25" hidden="false" customHeight="true" outlineLevel="0" collapsed="false">
      <c r="A25" s="93" t="s">
        <v>220</v>
      </c>
      <c r="B25" s="93" t="str">
        <f aca="false">VLOOKUP(A25,ECR!E:L,8,FALSE())</f>
        <v>C.J. Stroud</v>
      </c>
      <c r="C25" s="94" t="str">
        <f aca="false">IFERROR(VLOOKUP(Table2[[#This Row],[PLAYER]],ECR!C:F,2,FALSE()),"-")</f>
        <v>HOU</v>
      </c>
      <c r="D25" s="94" t="n">
        <f aca="false">IFERROR(VLOOKUP(Table2[[#This Row],[PLAYER]],ECR!C:F,4,FALSE()),"-")</f>
        <v>8</v>
      </c>
      <c r="E25" s="94" t="str">
        <f aca="false">Table2[[#This Row],[Team]] &amp; "/" &amp; Table2[[#This Row],[Bye]]</f>
        <v>HOU/8</v>
      </c>
      <c r="F25" s="95" t="n">
        <f aca="false">IFERROR(VLOOKUP(Table2[[#This Row],[PLAYER]],QB!A:Q,15,FALSE())/17*(17-Table2[[#This Row],[Missed Games]]),0)</f>
        <v>196.658117647059</v>
      </c>
      <c r="G25" s="95" t="n">
        <f aca="false">IFERROR(VLOOKUP(Table2[[#This Row],[PLAYER]],QB!A:Q,16,FALSE())/17*(17-Table2[[#This Row],[Missed Games]]),0)</f>
        <v>211.453341176471</v>
      </c>
      <c r="H25" s="95" t="n">
        <f aca="false">IFERROR(VLOOKUP(Table2[[#This Row],[PLAYER]],QB!A:Q,17,FALSE())/17*(17-Table2[[#This Row],[Missed Games]]),0)</f>
        <v>231.218188235294</v>
      </c>
      <c r="I25" s="96" t="n">
        <f aca="false">AVERAGE(AVERAGE(Table2[[#This Row],[LOW]],Table2[[#This Row],[HIGH]]),Table2[[#This Row],[AVG]],VLOOKUP(Table2[[#This Row],[PLAYER]],ECR!L:N,3,FALSE()))</f>
        <v>214.51287372549</v>
      </c>
      <c r="J25" s="96" t="n">
        <f aca="false">Table2[[#This Row],[Zscore Projection]]-$C$1</f>
        <v>-53.8664920627451</v>
      </c>
      <c r="K25" s="97" t="e">
        <f aca="false">MAX(Table2[[#This Row],[VBD]]*Scoring!$B$48+1,1)</f>
        <v>#VALUE!</v>
      </c>
      <c r="L25" s="98" t="n">
        <f aca="false">VLOOKUP(Table2[[#This Row],[VBD]],BH:BJ,3,FALSE())</f>
        <v>12</v>
      </c>
      <c r="M25" s="99" t="n">
        <f aca="false">VLOOKUP(INDEX(ECR!$E:$E,MATCH(B25,ECR!$C:$C,0)),RISK!A:B,2,FALSE())</f>
        <v>3.2</v>
      </c>
      <c r="N25" s="100"/>
      <c r="O25" s="98" t="s">
        <v>221</v>
      </c>
      <c r="P25" s="93" t="str">
        <f aca="false">VLOOKUP(O25,ECR!E:L,8,FALSE())</f>
        <v>Bhayshul Tuten</v>
      </c>
      <c r="Q25" s="94" t="str">
        <f aca="false">IFERROR(VLOOKUP(Table4[[#This Row],[PLAYER]],ECR!C:F,2,FALSE()),"-")</f>
        <v>JAC</v>
      </c>
      <c r="R25" s="94" t="n">
        <f aca="false">IFERROR(VLOOKUP(Table4[[#This Row],[PLAYER]],ECR!C:F,4,FALSE()),"-")</f>
        <v>7</v>
      </c>
      <c r="S25" s="94" t="str">
        <f aca="false">Table4[[#This Row],[Team]] &amp; "/" &amp; Table4[[#This Row],[Bye]]</f>
        <v>JAC/7</v>
      </c>
      <c r="T25" s="95" t="n">
        <f aca="false">IFERROR(VLOOKUP(Table4[[#This Row],[PLAYER]],RB!A:Q,13,FALSE())/17*(17-Table4[[#This Row],[Missed Games]]),0)</f>
        <v>127.402088235294</v>
      </c>
      <c r="U25" s="95" t="n">
        <f aca="false">IFERROR(VLOOKUP(Table4[[#This Row],[PLAYER]],RB!A:Q,14,FALSE())/17*(17-Table4[[#This Row],[Missed Games]]),0)</f>
        <v>162.698732352941</v>
      </c>
      <c r="V25" s="95" t="n">
        <f aca="false">IFERROR(VLOOKUP(Table4[[#This Row],[PLAYER]],RB!A:Q,15,FALSE())/17*(17-Table4[[#This Row],[Missed Games]]),0)</f>
        <v>200.919358823529</v>
      </c>
      <c r="W25" s="96" t="n">
        <f aca="false">AVERAGE(AVERAGE(Table4[[#This Row],[LOW]],Table4[[#This Row],[HIGH]]),Table4[[#This Row],[AVG]],VLOOKUP(Table4[[#This Row],[PLAYER]],ECR!L:N,3,FALSE()))</f>
        <v>163.07169412549</v>
      </c>
      <c r="X25" s="96" t="n">
        <f aca="false">Table4[[#This Row],[Zscore Projection]]-$Q$1</f>
        <v>35.5259557333334</v>
      </c>
      <c r="Y25" s="97" t="e">
        <f aca="false">MAX(Table4[[#This Row],[VBD]]*Scoring!$B$48+1,1)</f>
        <v>#VALUE!</v>
      </c>
      <c r="Z25" s="98" t="n">
        <f aca="false">VLOOKUP(Table4[[#This Row],[VBD]],BM:BO,3,FALSE())</f>
        <v>5</v>
      </c>
      <c r="AA25" s="99" t="n">
        <f aca="false">VLOOKUP(INDEX(ECR!$E:$E,MATCH(P25,ECR!$C:$C,0)),RISK!A:B,2,FALSE())</f>
        <v>2.7978</v>
      </c>
      <c r="AB25" s="100"/>
      <c r="AC25" s="94" t="s">
        <v>222</v>
      </c>
      <c r="AD25" s="94" t="str">
        <f aca="false">VLOOKUP(AC25,ECR!E:L,8,FALSE())</f>
        <v>Davante Adams</v>
      </c>
      <c r="AE25" s="94" t="str">
        <f aca="false">IFERROR(VLOOKUP(Table6[[#This Row],[PLAYER]],ECR!C:F,2,FALSE()),"-")</f>
        <v>LAR</v>
      </c>
      <c r="AF25" s="94" t="n">
        <f aca="false">IFERROR(VLOOKUP(Table6[[#This Row],[PLAYER]],ECR!C:F,4,FALSE()),"-")</f>
        <v>11</v>
      </c>
      <c r="AG25" s="94" t="str">
        <f aca="false">Table6[[#This Row],[Team]] &amp; "/" &amp; Table6[[#This Row],[Bye]]</f>
        <v>LAR/11</v>
      </c>
      <c r="AH25" s="95" t="n">
        <f aca="false">IFERROR(VLOOKUP(Table6[[#This Row],[PLAYER]],WR!A:Q,13,FALSE())/17*(17-Table6[[#This Row],[Missed Games]]),0)</f>
        <v>145.031020588235</v>
      </c>
      <c r="AI25" s="95" t="n">
        <f aca="false">IFERROR(VLOOKUP(Table6[[#This Row],[PLAYER]],WR!A:Q,14,FALSE())/17*(17-Table6[[#This Row],[Missed Games]]),0)</f>
        <v>152.905529117647</v>
      </c>
      <c r="AJ25" s="95" t="n">
        <f aca="false">IFERROR(VLOOKUP(Table6[[#This Row],[PLAYER]],WR!A:Q,15,FALSE())/17*(17-Table6[[#This Row],[Missed Games]]),0)</f>
        <v>162.823989705882</v>
      </c>
      <c r="AK25" s="96" t="n">
        <f aca="false">AVERAGE(AVERAGE(Table6[[#This Row],[LOW]],Table6[[#This Row],[HIGH]]),Table6[[#This Row],[AVG]],VLOOKUP(Table6[[#This Row],[PLAYER]],ECR!L:N,3,FALSE()))</f>
        <v>150.389570852941</v>
      </c>
      <c r="AL25" s="96" t="n">
        <f aca="false">Table6[[#This Row],[Zscore Projection]]-$AE$1</f>
        <v>24.7116921078431</v>
      </c>
      <c r="AM25" s="97" t="e">
        <f aca="false">MAX(Table6[[#This Row],[VBD]]*Scoring!$B$48+1,1)</f>
        <v>#VALUE!</v>
      </c>
      <c r="AN25" s="98" t="n">
        <f aca="false">VLOOKUP(Table6[[#This Row],[VBD]],BR:BT,3,FALSE())</f>
        <v>5</v>
      </c>
      <c r="AO25" s="99" t="n">
        <f aca="false">VLOOKUP(INDEX(ECR!$E:$E,MATCH(AD25,ECR!$C:$C,0)),RISK!A:B,2,FALSE())</f>
        <v>3.1565</v>
      </c>
      <c r="AP25" s="100"/>
      <c r="AQ25" s="101" t="s">
        <v>223</v>
      </c>
      <c r="AR25" s="101" t="str">
        <f aca="false">VLOOKUP(AQ25,ECR!E:L,8,FALSE())</f>
        <v>T.J. Hockenson</v>
      </c>
      <c r="AS25" s="101" t="str">
        <f aca="false">IFERROR(VLOOKUP(Table7[[#This Row],[PLAYER]],ECR!C:F,2,FALSE()),"-")</f>
        <v>MIN</v>
      </c>
      <c r="AT25" s="101" t="n">
        <f aca="false">IFERROR(VLOOKUP(Table7[[#This Row],[PLAYER]],ECR!C:F,4,FALSE()),"-")</f>
        <v>6</v>
      </c>
      <c r="AU25" s="101" t="str">
        <f aca="false">Table7[[#This Row],[Team]] &amp; "/" &amp; Table7[[#This Row],[Bye]]</f>
        <v>MIN/6</v>
      </c>
      <c r="AV25" s="95" t="n">
        <f aca="false">IFERROR(VLOOKUP(Table7[[#This Row],[PLAYER]],TE!A:K,9,FALSE())/17*(16-Table7[[#This Row],[Missed Games]]),0)</f>
        <v>73.4882352941176</v>
      </c>
      <c r="AW25" s="95" t="n">
        <f aca="false">IFERROR(VLOOKUP(Table7[[#This Row],[PLAYER]],TE!A:K,10,FALSE())/17*(16-Table7[[#This Row],[Missed Games]]),0)</f>
        <v>83.33</v>
      </c>
      <c r="AX25" s="95" t="n">
        <f aca="false">IFERROR(VLOOKUP(Table7[[#This Row],[PLAYER]],TE!A:K,11,FALSE())/17*(16-Table7[[#This Row],[Missed Games]]),0)</f>
        <v>97.1711764705883</v>
      </c>
      <c r="AY25" s="96" t="n">
        <f aca="false">AVERAGE(AVERAGE(Table7[[#This Row],[LOW]],Table7[[#This Row],[HIGH]]),Table7[[#This Row],[AVG]],VLOOKUP(Table7[[#This Row],[PLAYER]],ECR!L:N,3,FALSE()))</f>
        <v>83.1477450980392</v>
      </c>
      <c r="AZ25" s="96" t="n">
        <f aca="false">Table7[[#This Row],[Zscore Projection]]-$AS$1</f>
        <v>-29.4258523431373</v>
      </c>
      <c r="BA25" s="97" t="e">
        <f aca="false">MAX(Table7[[#This Row],[VBD]]*Scoring!$B$48+1,1)</f>
        <v>#VALUE!</v>
      </c>
      <c r="BB25" s="95" t="n">
        <f aca="false">VLOOKUP(Table7[[#This Row],[VBD]],BW:BY,3,FALSE())</f>
        <v>6</v>
      </c>
      <c r="BC25" s="99" t="n">
        <f aca="false">VLOOKUP(INDEX(ECR!$E:$E,MATCH(AR25,ECR!$C:$C,0)),RISK!A:B,2,FALSE())</f>
        <v>3</v>
      </c>
      <c r="BD25" s="95"/>
      <c r="BE25" s="100"/>
      <c r="BF25" s="102" t="n">
        <v>23</v>
      </c>
      <c r="BG25" s="100" t="n">
        <f aca="false">IFERROR(LARGE($G$3:$G$52,BF25),"")</f>
        <v>218.147127058824</v>
      </c>
      <c r="BH25" s="100" t="n">
        <f aca="false">IFERROR(LARGE($J$3:$J$52,23),"")</f>
        <v>-48.5087763607843</v>
      </c>
      <c r="BI25" s="100" t="n">
        <f aca="false">IF(BH25="",BI24,IF((BI24-BH25)&gt;0.2*LARGE($J$3:$J$52,2),BH25,BI24))</f>
        <v>-48.5085657882352</v>
      </c>
      <c r="BJ25" s="103" t="n">
        <f aca="false">MIN(IF(BH25="",BJ24,IF((BI24-BH25)&gt;0.2*LARGE($J$3:$J$52,2),BJ24+1,BJ24)),15)</f>
        <v>11</v>
      </c>
      <c r="BK25" s="102" t="n">
        <v>23</v>
      </c>
      <c r="BL25" s="100" t="n">
        <f aca="false">IFERROR(LARGE($U$3:$U$102,BK25),"")</f>
        <v>162.355626494118</v>
      </c>
      <c r="BM25" s="104" t="n">
        <f aca="false">IFERROR(LARGE($X$3:$X$102,23),"")</f>
        <v>31.4725008784314</v>
      </c>
      <c r="BN25" s="104" t="n">
        <f aca="false">IF(BM25="",BN24,IF((BN24-BM25)&gt;0.15*LARGE($X$3:$X$102,2),BM25,BN24))</f>
        <v>46.8322745490196</v>
      </c>
      <c r="BO25" s="103" t="n">
        <f aca="false">IF(BM25="",BO24,IF((BN24-BM25)&gt;0.15*LARGE($X$3:$X$102,2),BO24+1,BO24))</f>
        <v>5</v>
      </c>
      <c r="BP25" s="105" t="n">
        <v>23</v>
      </c>
      <c r="BQ25" s="100" t="n">
        <f aca="false">IFERROR(LARGE($AI$3:$AI$102,BP25),"")</f>
        <v>144.335678294118</v>
      </c>
      <c r="BR25" s="104" t="n">
        <f aca="false">IFERROR(LARGE($AL$3:$AL$102,23),"")</f>
        <v>20.3016440686275</v>
      </c>
      <c r="BS25" s="104" t="n">
        <f aca="false">IF(BR25="",BS24,IF((BS24-BR25)&gt;0.15*LARGE($AL$3:$AL$102,2),BR25,BS24))</f>
        <v>28.7991832058824</v>
      </c>
      <c r="BT25" s="103" t="n">
        <f aca="false">IF(BR25="",BT24,IF((BS24-BR25)&gt;0.15*LARGE($AL$3:$AL$102,2),BT24+1,BT24))</f>
        <v>5</v>
      </c>
      <c r="BU25" s="102" t="n">
        <v>23</v>
      </c>
      <c r="BV25" s="100" t="n">
        <f aca="false">IFERROR(LARGE($AW$3:$AW$52,BU25),"")</f>
        <v>80.7835294117647</v>
      </c>
      <c r="BW25" s="104" t="n">
        <f aca="false">IFERROR(LARGE($AZ$3:$AZ$52,23),"")</f>
        <v>-32.1807050980392</v>
      </c>
      <c r="BX25" s="104" t="n">
        <f aca="false">IF(BW25="",BX24,IF((BX24-BW25)&gt;0.2*LARGE($AZ$3:$AZ$52,2),BW25,BX24))</f>
        <v>-24.7756686176471</v>
      </c>
      <c r="BY25" s="106" t="n">
        <f aca="false">IF(BW25="",BY24,IF((BX24-BW25)&gt;0.2*LARGE($AZ$3:$AZ$52,2),BY24+1,BY24))</f>
        <v>6</v>
      </c>
      <c r="BZ25" s="104"/>
      <c r="CA25" s="104"/>
      <c r="CB25" s="104"/>
      <c r="CC25" s="104"/>
      <c r="CD25" s="104"/>
      <c r="CE25" s="104"/>
      <c r="CF25" s="104"/>
      <c r="CG25" s="104"/>
    </row>
    <row r="26" s="107" customFormat="true" ht="14.25" hidden="false" customHeight="true" outlineLevel="0" collapsed="false">
      <c r="A26" s="93" t="s">
        <v>224</v>
      </c>
      <c r="B26" s="93" t="str">
        <f aca="false">VLOOKUP(A26,ECR!E:L,8,FALSE())</f>
        <v>Daniel Jones</v>
      </c>
      <c r="C26" s="94" t="str">
        <f aca="false">IFERROR(VLOOKUP(Table2[[#This Row],[PLAYER]],ECR!C:F,2,FALSE()),"-")</f>
        <v>IND</v>
      </c>
      <c r="D26" s="94" t="n">
        <f aca="false">IFERROR(VLOOKUP(Table2[[#This Row],[PLAYER]],ECR!C:F,4,FALSE()),"-")</f>
        <v>13</v>
      </c>
      <c r="E26" s="94" t="str">
        <f aca="false">Table2[[#This Row],[Team]] &amp; "/" &amp; Table2[[#This Row],[Bye]]</f>
        <v>IND/13</v>
      </c>
      <c r="F26" s="95" t="n">
        <f aca="false">IFERROR(VLOOKUP(Table2[[#This Row],[PLAYER]],QB!A:Q,15,FALSE())/17*(17-Table2[[#This Row],[Missed Games]]),0)</f>
        <v>194.920941176471</v>
      </c>
      <c r="G26" s="95" t="n">
        <f aca="false">IFERROR(VLOOKUP(Table2[[#This Row],[PLAYER]],QB!A:Q,16,FALSE())/17*(17-Table2[[#This Row],[Missed Games]]),0)</f>
        <v>221.554941176471</v>
      </c>
      <c r="H26" s="95" t="n">
        <f aca="false">IFERROR(VLOOKUP(Table2[[#This Row],[PLAYER]],QB!A:Q,17,FALSE())/17*(17-Table2[[#This Row],[Missed Games]]),0)</f>
        <v>258.287294117647</v>
      </c>
      <c r="I26" s="96" t="n">
        <f aca="false">AVERAGE(AVERAGE(Table2[[#This Row],[LOW]],Table2[[#This Row],[HIGH]]),Table2[[#This Row],[AVG]],VLOOKUP(Table2[[#This Row],[PLAYER]],ECR!L:N,3,FALSE()))</f>
        <v>219.8708</v>
      </c>
      <c r="J26" s="96" t="n">
        <f aca="false">Table2[[#This Row],[Zscore Projection]]-$C$1</f>
        <v>-48.5085657882352</v>
      </c>
      <c r="K26" s="97" t="e">
        <f aca="false">MAX(Table2[[#This Row],[VBD]]*Scoring!$B$48+1,1)</f>
        <v>#VALUE!</v>
      </c>
      <c r="L26" s="98" t="n">
        <f aca="false">VLOOKUP(Table2[[#This Row],[VBD]],BH:BJ,3,FALSE())</f>
        <v>11</v>
      </c>
      <c r="M26" s="99" t="n">
        <f aca="false">VLOOKUP(INDEX(ECR!$E:$E,MATCH(B26,ECR!$C:$C,0)),RISK!A:B,2,FALSE())</f>
        <v>3.2</v>
      </c>
      <c r="N26" s="100"/>
      <c r="O26" s="98" t="s">
        <v>225</v>
      </c>
      <c r="P26" s="93" t="str">
        <f aca="false">VLOOKUP(O26,ECR!E:L,8,FALSE())</f>
        <v>Jadarian Price</v>
      </c>
      <c r="Q26" s="94" t="str">
        <f aca="false">IFERROR(VLOOKUP(Table4[[#This Row],[PLAYER]],ECR!C:F,2,FALSE()),"-")</f>
        <v>SEA</v>
      </c>
      <c r="R26" s="94" t="n">
        <f aca="false">IFERROR(VLOOKUP(Table4[[#This Row],[PLAYER]],ECR!C:F,4,FALSE()),"-")</f>
        <v>11</v>
      </c>
      <c r="S26" s="94" t="str">
        <f aca="false">Table4[[#This Row],[Team]] &amp; "/" &amp; Table4[[#This Row],[Bye]]</f>
        <v>SEA/11</v>
      </c>
      <c r="T26" s="95" t="n">
        <f aca="false">IFERROR(VLOOKUP(Table4[[#This Row],[PLAYER]],RB!A:Q,13,FALSE())/17*(17-Table4[[#This Row],[Missed Games]]),0)</f>
        <v>147.869863905882</v>
      </c>
      <c r="U26" s="95" t="n">
        <f aca="false">IFERROR(VLOOKUP(Table4[[#This Row],[PLAYER]],RB!A:Q,14,FALSE())/17*(17-Table4[[#This Row],[Missed Games]]),0)</f>
        <v>162.355626494118</v>
      </c>
      <c r="V26" s="95" t="n">
        <f aca="false">IFERROR(VLOOKUP(Table4[[#This Row],[PLAYER]],RB!A:Q,15,FALSE())/17*(17-Table4[[#This Row],[Missed Games]]),0)</f>
        <v>174.864920611765</v>
      </c>
      <c r="W26" s="96" t="n">
        <f aca="false">AVERAGE(AVERAGE(Table4[[#This Row],[LOW]],Table4[[#This Row],[HIGH]]),Table4[[#This Row],[AVG]],VLOOKUP(Table4[[#This Row],[PLAYER]],ECR!L:N,3,FALSE()))</f>
        <v>159.018239270588</v>
      </c>
      <c r="X26" s="96" t="n">
        <f aca="false">Table4[[#This Row],[Zscore Projection]]-$Q$1</f>
        <v>31.4725008784314</v>
      </c>
      <c r="Y26" s="97" t="e">
        <f aca="false">MAX(Table4[[#This Row],[VBD]]*Scoring!$B$48+1,1)</f>
        <v>#VALUE!</v>
      </c>
      <c r="Z26" s="98" t="n">
        <f aca="false">VLOOKUP(Table4[[#This Row],[VBD]],BM:BO,3,FALSE())</f>
        <v>5</v>
      </c>
      <c r="AA26" s="99" t="n">
        <f aca="false">VLOOKUP(INDEX(ECR!$E:$E,MATCH(P26,ECR!$C:$C,0)),RISK!A:B,2,FALSE())</f>
        <v>2.8228</v>
      </c>
      <c r="AB26" s="100"/>
      <c r="AC26" s="94" t="s">
        <v>226</v>
      </c>
      <c r="AD26" s="94" t="str">
        <f aca="false">VLOOKUP(AC26,ECR!E:L,8,FALSE())</f>
        <v>Terry McLaurin</v>
      </c>
      <c r="AE26" s="94" t="str">
        <f aca="false">IFERROR(VLOOKUP(Table6[[#This Row],[PLAYER]],ECR!C:F,2,FALSE()),"-")</f>
        <v>WAS</v>
      </c>
      <c r="AF26" s="94" t="n">
        <f aca="false">IFERROR(VLOOKUP(Table6[[#This Row],[PLAYER]],ECR!C:F,4,FALSE()),"-")</f>
        <v>7</v>
      </c>
      <c r="AG26" s="94" t="str">
        <f aca="false">Table6[[#This Row],[Team]] &amp; "/" &amp; Table6[[#This Row],[Bye]]</f>
        <v>WAS/7</v>
      </c>
      <c r="AH26" s="95" t="n">
        <f aca="false">IFERROR(VLOOKUP(Table6[[#This Row],[PLAYER]],WR!A:Q,13,FALSE())/17*(17-Table6[[#This Row],[Missed Games]]),0)</f>
        <v>129.222285882353</v>
      </c>
      <c r="AI26" s="95" t="n">
        <f aca="false">IFERROR(VLOOKUP(Table6[[#This Row],[PLAYER]],WR!A:Q,14,FALSE())/17*(17-Table6[[#This Row],[Missed Games]]),0)</f>
        <v>142.152626352941</v>
      </c>
      <c r="AJ26" s="95" t="n">
        <f aca="false">IFERROR(VLOOKUP(Table6[[#This Row],[PLAYER]],WR!A:Q,15,FALSE())/17*(17-Table6[[#This Row],[Missed Games]]),0)</f>
        <v>165.182260352941</v>
      </c>
      <c r="AK26" s="96" t="n">
        <f aca="false">AVERAGE(AVERAGE(Table6[[#This Row],[LOW]],Table6[[#This Row],[HIGH]]),Table6[[#This Row],[AVG]],VLOOKUP(Table6[[#This Row],[PLAYER]],ECR!L:N,3,FALSE()))</f>
        <v>143.835841941176</v>
      </c>
      <c r="AL26" s="96" t="n">
        <f aca="false">Table6[[#This Row],[Zscore Projection]]-$AE$1</f>
        <v>18.1579631960784</v>
      </c>
      <c r="AM26" s="97" t="e">
        <f aca="false">MAX(Table6[[#This Row],[VBD]]*Scoring!$B$48+1,1)</f>
        <v>#VALUE!</v>
      </c>
      <c r="AN26" s="98" t="n">
        <f aca="false">VLOOKUP(Table6[[#This Row],[VBD]],BR:BT,3,FALSE())</f>
        <v>5</v>
      </c>
      <c r="AO26" s="99" t="n">
        <f aca="false">VLOOKUP(INDEX(ECR!$E:$E,MATCH(AD26,ECR!$C:$C,0)),RISK!A:B,2,FALSE())</f>
        <v>3.2098</v>
      </c>
      <c r="AP26" s="100"/>
      <c r="AQ26" s="101" t="s">
        <v>227</v>
      </c>
      <c r="AR26" s="101" t="str">
        <f aca="false">VLOOKUP(AQ26,ECR!E:L,8,FALSE())</f>
        <v>Kenyon Sadiq</v>
      </c>
      <c r="AS26" s="101" t="str">
        <f aca="false">IFERROR(VLOOKUP(Table7[[#This Row],[PLAYER]],ECR!C:F,2,FALSE()),"-")</f>
        <v>NYJ</v>
      </c>
      <c r="AT26" s="101" t="n">
        <f aca="false">IFERROR(VLOOKUP(Table7[[#This Row],[PLAYER]],ECR!C:F,4,FALSE()),"-")</f>
        <v>13</v>
      </c>
      <c r="AU26" s="101" t="str">
        <f aca="false">Table7[[#This Row],[Team]] &amp; "/" &amp; Table7[[#This Row],[Bye]]</f>
        <v>NYJ/13</v>
      </c>
      <c r="AV26" s="95" t="n">
        <f aca="false">IFERROR(VLOOKUP(Table7[[#This Row],[PLAYER]],TE!A:K,9,FALSE())/17*(16-Table7[[#This Row],[Missed Games]]),0)</f>
        <v>69.7411764705882</v>
      </c>
      <c r="AW26" s="95" t="n">
        <f aca="false">IFERROR(VLOOKUP(Table7[[#This Row],[PLAYER]],TE!A:K,10,FALSE())/17*(16-Table7[[#This Row],[Missed Games]]),0)</f>
        <v>80.7835294117647</v>
      </c>
      <c r="AX26" s="95" t="n">
        <f aca="false">IFERROR(VLOOKUP(Table7[[#This Row],[PLAYER]],TE!A:K,11,FALSE())/17*(16-Table7[[#This Row],[Missed Games]]),0)</f>
        <v>97.4694117647059</v>
      </c>
      <c r="AY26" s="96" t="n">
        <f aca="false">AVERAGE(AVERAGE(Table7[[#This Row],[LOW]],Table7[[#This Row],[HIGH]]),Table7[[#This Row],[AVG]],VLOOKUP(Table7[[#This Row],[PLAYER]],ECR!L:N,3,FALSE()))</f>
        <v>81.2336635686275</v>
      </c>
      <c r="AZ26" s="96" t="n">
        <f aca="false">Table7[[#This Row],[Zscore Projection]]-$AS$1</f>
        <v>-31.339933872549</v>
      </c>
      <c r="BA26" s="97" t="e">
        <f aca="false">MAX(Table7[[#This Row],[VBD]]*Scoring!$B$48+1,1)</f>
        <v>#VALUE!</v>
      </c>
      <c r="BB26" s="95" t="n">
        <f aca="false">VLOOKUP(Table7[[#This Row],[VBD]],BW:BY,3,FALSE())</f>
        <v>6</v>
      </c>
      <c r="BC26" s="99" t="n">
        <f aca="false">VLOOKUP(INDEX(ECR!$E:$E,MATCH(AR26,ECR!$C:$C,0)),RISK!A:B,2,FALSE())</f>
        <v>3</v>
      </c>
      <c r="BD26" s="95"/>
      <c r="BE26" s="100"/>
      <c r="BF26" s="102" t="n">
        <v>24</v>
      </c>
      <c r="BG26" s="100" t="n">
        <f aca="false">IFERROR(LARGE($G$3:$G$52,BF26),"")</f>
        <v>211.453341176471</v>
      </c>
      <c r="BH26" s="100" t="n">
        <f aca="false">IFERROR(LARGE($J$3:$J$52,24),"")</f>
        <v>-53.8664920627451</v>
      </c>
      <c r="BI26" s="100" t="n">
        <f aca="false">IF(BH26="",BI25,IF((BI25-BH26)&gt;0.2*LARGE($J$3:$J$52,2),BH26,BI25))</f>
        <v>-53.8664920627451</v>
      </c>
      <c r="BJ26" s="103" t="n">
        <f aca="false">MIN(IF(BH26="",BJ25,IF((BI25-BH26)&gt;0.2*LARGE($J$3:$J$52,2),BJ25+1,BJ25)),15)</f>
        <v>12</v>
      </c>
      <c r="BK26" s="102" t="n">
        <v>24</v>
      </c>
      <c r="BL26" s="100" t="n">
        <f aca="false">IFERROR(LARGE($U$3:$U$102,BK26),"")</f>
        <v>153.331699058824</v>
      </c>
      <c r="BM26" s="104" t="n">
        <f aca="false">IFERROR(LARGE($X$3:$X$102,24),"")</f>
        <v>30.5698754117647</v>
      </c>
      <c r="BN26" s="104" t="n">
        <f aca="false">IF(BM26="",BN25,IF((BN25-BM26)&gt;0.15*LARGE($X$3:$X$102,2),BM26,BN25))</f>
        <v>46.8322745490196</v>
      </c>
      <c r="BO26" s="103" t="n">
        <f aca="false">IF(BM26="",BO25,IF((BN25-BM26)&gt;0.15*LARGE($X$3:$X$102,2),BO25+1,BO25))</f>
        <v>5</v>
      </c>
      <c r="BP26" s="105" t="n">
        <v>24</v>
      </c>
      <c r="BQ26" s="100" t="n">
        <f aca="false">IFERROR(LARGE($AI$3:$AI$102,BP26),"")</f>
        <v>142.152626352941</v>
      </c>
      <c r="BR26" s="104" t="n">
        <f aca="false">IFERROR(LARGE($AL$3:$AL$102,24),"")</f>
        <v>18.1579631960784</v>
      </c>
      <c r="BS26" s="104" t="n">
        <f aca="false">IF(BR26="",BS25,IF((BS25-BR26)&gt;0.15*LARGE($AL$3:$AL$102,2),BR26,BS25))</f>
        <v>28.7991832058824</v>
      </c>
      <c r="BT26" s="103" t="n">
        <f aca="false">IF(BR26="",BT25,IF((BS25-BR26)&gt;0.15*LARGE($AL$3:$AL$102,2),BT25+1,BT25))</f>
        <v>5</v>
      </c>
      <c r="BU26" s="102" t="n">
        <v>24</v>
      </c>
      <c r="BV26" s="100" t="n">
        <f aca="false">IFERROR(LARGE($AW$3:$AW$52,BU26),"")</f>
        <v>79.3121671764706</v>
      </c>
      <c r="BW26" s="104" t="n">
        <f aca="false">IFERROR(LARGE($AZ$3:$AZ$52,24),"")</f>
        <v>-32.8249699901961</v>
      </c>
      <c r="BX26" s="104" t="n">
        <f aca="false">IF(BW26="",BX25,IF((BX25-BW26)&gt;0.2*LARGE($AZ$3:$AZ$52,2),BW26,BX25))</f>
        <v>-24.7756686176471</v>
      </c>
      <c r="BY26" s="106" t="n">
        <f aca="false">IF(BW26="",BY25,IF((BX25-BW26)&gt;0.2*LARGE($AZ$3:$AZ$52,2),BY25+1,BY25))</f>
        <v>6</v>
      </c>
      <c r="BZ26" s="104"/>
      <c r="CA26" s="104"/>
      <c r="CB26" s="104"/>
      <c r="CC26" s="104"/>
      <c r="CD26" s="104"/>
      <c r="CE26" s="104"/>
      <c r="CF26" s="104"/>
      <c r="CG26" s="104"/>
    </row>
    <row r="27" s="107" customFormat="true" ht="14.25" hidden="false" customHeight="true" outlineLevel="0" collapsed="false">
      <c r="A27" s="93" t="s">
        <v>228</v>
      </c>
      <c r="B27" s="93" t="str">
        <f aca="false">VLOOKUP(A27,ECR!E:L,8,FALSE())</f>
        <v>Cam Ward</v>
      </c>
      <c r="C27" s="94" t="str">
        <f aca="false">IFERROR(VLOOKUP(Table2[[#This Row],[PLAYER]],ECR!C:F,2,FALSE()),"-")</f>
        <v>TEN</v>
      </c>
      <c r="D27" s="94" t="n">
        <f aca="false">IFERROR(VLOOKUP(Table2[[#This Row],[PLAYER]],ECR!C:F,4,FALSE()),"-")</f>
        <v>9</v>
      </c>
      <c r="E27" s="94" t="str">
        <f aca="false">Table2[[#This Row],[Team]] &amp; "/" &amp; Table2[[#This Row],[Bye]]</f>
        <v>TEN/9</v>
      </c>
      <c r="F27" s="95" t="n">
        <f aca="false">IFERROR(VLOOKUP(Table2[[#This Row],[PLAYER]],QB!A:Q,15,FALSE())/17*(17-Table2[[#This Row],[Missed Games]]),0)</f>
        <v>160.144941176471</v>
      </c>
      <c r="G27" s="95" t="n">
        <f aca="false">IFERROR(VLOOKUP(Table2[[#This Row],[PLAYER]],QB!A:Q,16,FALSE())/17*(17-Table2[[#This Row],[Missed Games]]),0)</f>
        <v>188.280705882353</v>
      </c>
      <c r="H27" s="95" t="n">
        <f aca="false">IFERROR(VLOOKUP(Table2[[#This Row],[PLAYER]],QB!A:Q,17,FALSE())/17*(17-Table2[[#This Row],[Missed Games]]),0)</f>
        <v>215.439105882353</v>
      </c>
      <c r="I27" s="96" t="n">
        <f aca="false">AVERAGE(AVERAGE(Table2[[#This Row],[LOW]],Table2[[#This Row],[HIGH]]),Table2[[#This Row],[AVG]],VLOOKUP(Table2[[#This Row],[PLAYER]],ECR!L:N,3,FALSE()))</f>
        <v>194.526964705882</v>
      </c>
      <c r="J27" s="96" t="n">
        <f aca="false">Table2[[#This Row],[Zscore Projection]]-$C$1</f>
        <v>-73.8524010823529</v>
      </c>
      <c r="K27" s="97" t="e">
        <f aca="false">MAX(Table2[[#This Row],[VBD]]*Scoring!$B$48+1,1)</f>
        <v>#VALUE!</v>
      </c>
      <c r="L27" s="98" t="n">
        <f aca="false">VLOOKUP(Table2[[#This Row],[VBD]],BH:BJ,3,FALSE())</f>
        <v>14</v>
      </c>
      <c r="M27" s="99" t="n">
        <f aca="false">VLOOKUP(INDEX(ECR!$E:$E,MATCH(B27,ECR!$C:$C,0)),RISK!A:B,2,FALSE())</f>
        <v>3.2</v>
      </c>
      <c r="N27" s="100"/>
      <c r="O27" s="98" t="s">
        <v>229</v>
      </c>
      <c r="P27" s="93" t="str">
        <f aca="false">VLOOKUP(O27,ECR!E:L,8,FALSE())</f>
        <v>TreVeyon Henderson</v>
      </c>
      <c r="Q27" s="94" t="str">
        <f aca="false">IFERROR(VLOOKUP(Table4[[#This Row],[PLAYER]],ECR!C:F,2,FALSE()),"-")</f>
        <v>NE</v>
      </c>
      <c r="R27" s="94" t="n">
        <f aca="false">IFERROR(VLOOKUP(Table4[[#This Row],[PLAYER]],ECR!C:F,4,FALSE()),"-")</f>
        <v>11</v>
      </c>
      <c r="S27" s="94" t="str">
        <f aca="false">Table4[[#This Row],[Team]] &amp; "/" &amp; Table4[[#This Row],[Bye]]</f>
        <v>NE/11</v>
      </c>
      <c r="T27" s="95" t="n">
        <f aca="false">IFERROR(VLOOKUP(Table4[[#This Row],[PLAYER]],RB!A:Q,13,FALSE())/17*(17-Table4[[#This Row],[Missed Games]]),0)</f>
        <v>137.431182352941</v>
      </c>
      <c r="U27" s="95" t="n">
        <f aca="false">IFERROR(VLOOKUP(Table4[[#This Row],[PLAYER]],RB!A:Q,14,FALSE())/17*(17-Table4[[#This Row],[Missed Games]]),0)</f>
        <v>145.305797647059</v>
      </c>
      <c r="V27" s="95" t="n">
        <f aca="false">IFERROR(VLOOKUP(Table4[[#This Row],[PLAYER]],RB!A:Q,15,FALSE())/17*(17-Table4[[#This Row],[Missed Games]]),0)</f>
        <v>153.862990588235</v>
      </c>
      <c r="W27" s="96" t="n">
        <f aca="false">AVERAGE(AVERAGE(Table4[[#This Row],[LOW]],Table4[[#This Row],[HIGH]]),Table4[[#This Row],[AVG]],VLOOKUP(Table4[[#This Row],[PLAYER]],ECR!L:N,3,FALSE()))</f>
        <v>145.419560588235</v>
      </c>
      <c r="X27" s="96" t="n">
        <f aca="false">Table4[[#This Row],[Zscore Projection]]-$Q$1</f>
        <v>17.8738221960784</v>
      </c>
      <c r="Y27" s="97" t="e">
        <f aca="false">MAX(Table4[[#This Row],[VBD]]*Scoring!$B$48+1,1)</f>
        <v>#VALUE!</v>
      </c>
      <c r="Z27" s="98" t="n">
        <f aca="false">VLOOKUP(Table4[[#This Row],[VBD]],BM:BO,3,FALSE())</f>
        <v>6</v>
      </c>
      <c r="AA27" s="99" t="n">
        <f aca="false">VLOOKUP(INDEX(ECR!$E:$E,MATCH(P27,ECR!$C:$C,0)),RISK!A:B,2,FALSE())</f>
        <v>2.849</v>
      </c>
      <c r="AB27" s="100"/>
      <c r="AC27" s="94" t="s">
        <v>230</v>
      </c>
      <c r="AD27" s="94" t="str">
        <f aca="false">VLOOKUP(AC27,ECR!E:L,8,FALSE())</f>
        <v>Jameson Williams</v>
      </c>
      <c r="AE27" s="94" t="str">
        <f aca="false">IFERROR(VLOOKUP(Table6[[#This Row],[PLAYER]],ECR!C:F,2,FALSE()),"-")</f>
        <v>DET</v>
      </c>
      <c r="AF27" s="94" t="n">
        <f aca="false">IFERROR(VLOOKUP(Table6[[#This Row],[PLAYER]],ECR!C:F,4,FALSE()),"-")</f>
        <v>6</v>
      </c>
      <c r="AG27" s="94" t="str">
        <f aca="false">Table6[[#This Row],[Team]] &amp; "/" &amp; Table6[[#This Row],[Bye]]</f>
        <v>DET/6</v>
      </c>
      <c r="AH27" s="95" t="n">
        <f aca="false">IFERROR(VLOOKUP(Table6[[#This Row],[PLAYER]],WR!A:Q,13,FALSE())/17*(17-Table6[[#This Row],[Missed Games]]),0)</f>
        <v>138.627536764706</v>
      </c>
      <c r="AI27" s="95" t="n">
        <f aca="false">IFERROR(VLOOKUP(Table6[[#This Row],[PLAYER]],WR!A:Q,14,FALSE())/17*(17-Table6[[#This Row],[Missed Games]]),0)</f>
        <v>149.714507352941</v>
      </c>
      <c r="AJ27" s="95" t="n">
        <f aca="false">IFERROR(VLOOKUP(Table6[[#This Row],[PLAYER]],WR!A:Q,15,FALSE())/17*(17-Table6[[#This Row],[Missed Games]]),0)</f>
        <v>157.027705882353</v>
      </c>
      <c r="AK27" s="96" t="n">
        <f aca="false">AVERAGE(AVERAGE(Table6[[#This Row],[LOW]],Table6[[#This Row],[HIGH]]),Table6[[#This Row],[AVG]],VLOOKUP(Table6[[#This Row],[PLAYER]],ECR!L:N,3,FALSE()))</f>
        <v>145.979522813725</v>
      </c>
      <c r="AL27" s="96" t="n">
        <f aca="false">Table6[[#This Row],[Zscore Projection]]-$AE$1</f>
        <v>20.3016440686275</v>
      </c>
      <c r="AM27" s="97" t="e">
        <f aca="false">MAX(Table6[[#This Row],[VBD]]*Scoring!$B$48+1,1)</f>
        <v>#VALUE!</v>
      </c>
      <c r="AN27" s="98" t="n">
        <f aca="false">VLOOKUP(Table6[[#This Row],[VBD]],BR:BT,3,FALSE())</f>
        <v>5</v>
      </c>
      <c r="AO27" s="99" t="n">
        <f aca="false">VLOOKUP(INDEX(ECR!$E:$E,MATCH(AD27,ECR!$C:$C,0)),RISK!A:B,2,FALSE())</f>
        <v>3.2625</v>
      </c>
      <c r="AP27" s="100"/>
      <c r="AQ27" s="101" t="s">
        <v>231</v>
      </c>
      <c r="AR27" s="101" t="str">
        <f aca="false">VLOOKUP(AQ27,ECR!E:L,8,FALSE())</f>
        <v>Gunnar Helm</v>
      </c>
      <c r="AS27" s="101" t="str">
        <f aca="false">IFERROR(VLOOKUP(Table7[[#This Row],[PLAYER]],ECR!C:F,2,FALSE()),"-")</f>
        <v>TEN</v>
      </c>
      <c r="AT27" s="101" t="n">
        <f aca="false">IFERROR(VLOOKUP(Table7[[#This Row],[PLAYER]],ECR!C:F,4,FALSE()),"-")</f>
        <v>9</v>
      </c>
      <c r="AU27" s="101" t="str">
        <f aca="false">Table7[[#This Row],[Team]] &amp; "/" &amp; Table7[[#This Row],[Bye]]</f>
        <v>TEN/9</v>
      </c>
      <c r="AV27" s="95" t="n">
        <f aca="false">IFERROR(VLOOKUP(Table7[[#This Row],[PLAYER]],TE!A:K,9,FALSE())/17*(16-Table7[[#This Row],[Missed Games]]),0)</f>
        <v>58.8058823529412</v>
      </c>
      <c r="AW27" s="95" t="n">
        <f aca="false">IFERROR(VLOOKUP(Table7[[#This Row],[PLAYER]],TE!A:K,10,FALSE())/17*(16-Table7[[#This Row],[Missed Games]]),0)</f>
        <v>66.5370588235294</v>
      </c>
      <c r="AX27" s="95" t="n">
        <f aca="false">IFERROR(VLOOKUP(Table7[[#This Row],[PLAYER]],TE!A:K,11,FALSE())/17*(16-Table7[[#This Row],[Missed Games]]),0)</f>
        <v>75.3541176470588</v>
      </c>
      <c r="AY27" s="96" t="n">
        <f aca="false">AVERAGE(AVERAGE(Table7[[#This Row],[LOW]],Table7[[#This Row],[HIGH]]),Table7[[#This Row],[AVG]],VLOOKUP(Table7[[#This Row],[PLAYER]],ECR!L:N,3,FALSE()))</f>
        <v>70.7402038039216</v>
      </c>
      <c r="AZ27" s="96" t="n">
        <f aca="false">Table7[[#This Row],[Zscore Projection]]-$AS$1</f>
        <v>-41.8333936372549</v>
      </c>
      <c r="BA27" s="97" t="e">
        <f aca="false">MAX(Table7[[#This Row],[VBD]]*Scoring!$B$48+1,1)</f>
        <v>#VALUE!</v>
      </c>
      <c r="BB27" s="95" t="n">
        <f aca="false">VLOOKUP(Table7[[#This Row],[VBD]],BW:BY,3,FALSE())</f>
        <v>7</v>
      </c>
      <c r="BC27" s="99" t="n">
        <f aca="false">VLOOKUP(INDEX(ECR!$E:$E,MATCH(AR27,ECR!$C:$C,0)),RISK!A:B,2,FALSE())</f>
        <v>3</v>
      </c>
      <c r="BD27" s="95"/>
      <c r="BE27" s="100"/>
      <c r="BF27" s="102" t="n">
        <v>25</v>
      </c>
      <c r="BG27" s="100" t="n">
        <f aca="false">IFERROR(LARGE($G$3:$G$52,BF27),"")</f>
        <v>207.508164705882</v>
      </c>
      <c r="BH27" s="100" t="n">
        <f aca="false">IFERROR(LARGE($J$3:$J$52,25),"")</f>
        <v>-66.0594599058823</v>
      </c>
      <c r="BI27" s="100" t="n">
        <f aca="false">IF(BH27="",BI26,IF((BI26-BH27)&gt;0.2*LARGE($J$3:$J$52,2),BH27,BI26))</f>
        <v>-66.0594599058823</v>
      </c>
      <c r="BJ27" s="103" t="n">
        <f aca="false">MIN(IF(BH27="",BJ26,IF((BI26-BH27)&gt;0.2*LARGE($J$3:$J$52,2),BJ26+1,BJ26)),15)</f>
        <v>13</v>
      </c>
      <c r="BK27" s="102" t="n">
        <v>25</v>
      </c>
      <c r="BL27" s="100" t="n">
        <f aca="false">IFERROR(LARGE($U$3:$U$102,BK27),"")</f>
        <v>145.305797647059</v>
      </c>
      <c r="BM27" s="104" t="n">
        <f aca="false">IFERROR(LARGE($X$3:$X$102,25),"")</f>
        <v>17.8738221960784</v>
      </c>
      <c r="BN27" s="104" t="n">
        <f aca="false">IF(BM27="",BN26,IF((BN26-BM27)&gt;0.15*LARGE($X$3:$X$102,2),BM27,BN26))</f>
        <v>17.8738221960784</v>
      </c>
      <c r="BO27" s="103" t="n">
        <f aca="false">IF(BM27="",BO26,IF((BN26-BM27)&gt;0.15*LARGE($X$3:$X$102,2),BO26+1,BO26))</f>
        <v>6</v>
      </c>
      <c r="BP27" s="105" t="n">
        <v>25</v>
      </c>
      <c r="BQ27" s="100" t="n">
        <f aca="false">IFERROR(LARGE($AI$3:$AI$102,BP27),"")</f>
        <v>140.396439764706</v>
      </c>
      <c r="BR27" s="104" t="n">
        <f aca="false">IFERROR(LARGE($AL$3:$AL$102,25),"")</f>
        <v>17.7332693333333</v>
      </c>
      <c r="BS27" s="104" t="n">
        <f aca="false">IF(BR27="",BS26,IF((BS26-BR27)&gt;0.15*LARGE($AL$3:$AL$102,2),BR27,BS26))</f>
        <v>28.7991832058824</v>
      </c>
      <c r="BT27" s="103" t="n">
        <f aca="false">IF(BR27="",BT26,IF((BS26-BR27)&gt;0.15*LARGE($AL$3:$AL$102,2),BT26+1,BT26))</f>
        <v>5</v>
      </c>
      <c r="BU27" s="102" t="n">
        <v>25</v>
      </c>
      <c r="BV27" s="100" t="n">
        <f aca="false">IFERROR(LARGE($AW$3:$AW$52,BU27),"")</f>
        <v>78.6035525882353</v>
      </c>
      <c r="BW27" s="104" t="n">
        <f aca="false">IFERROR(LARGE($AZ$3:$AZ$52,25),"")</f>
        <v>-33.7770288137255</v>
      </c>
      <c r="BX27" s="104" t="n">
        <f aca="false">IF(BW27="",BX26,IF((BX26-BW27)&gt;0.2*LARGE($AZ$3:$AZ$52,2),BW27,BX26))</f>
        <v>-24.7756686176471</v>
      </c>
      <c r="BY27" s="106" t="n">
        <f aca="false">IF(BW27="",BY26,IF((BX26-BW27)&gt;0.2*LARGE($AZ$3:$AZ$52,2),BY26+1,BY26))</f>
        <v>6</v>
      </c>
      <c r="BZ27" s="104"/>
      <c r="CA27" s="104"/>
      <c r="CB27" s="104"/>
      <c r="CC27" s="104"/>
      <c r="CD27" s="104"/>
      <c r="CE27" s="104"/>
      <c r="CF27" s="104"/>
      <c r="CG27" s="104"/>
    </row>
    <row r="28" s="107" customFormat="true" ht="14.25" hidden="false" customHeight="true" outlineLevel="0" collapsed="false">
      <c r="A28" s="93" t="s">
        <v>232</v>
      </c>
      <c r="B28" s="93" t="str">
        <f aca="false">VLOOKUP(A28,ECR!E:L,8,FALSE())</f>
        <v>Bryce Young</v>
      </c>
      <c r="C28" s="94" t="str">
        <f aca="false">IFERROR(VLOOKUP(Table2[[#This Row],[PLAYER]],ECR!C:F,2,FALSE()),"-")</f>
        <v>CAR</v>
      </c>
      <c r="D28" s="94" t="n">
        <f aca="false">IFERROR(VLOOKUP(Table2[[#This Row],[PLAYER]],ECR!C:F,4,FALSE()),"-")</f>
        <v>5</v>
      </c>
      <c r="E28" s="94" t="str">
        <f aca="false">Table2[[#This Row],[Team]] &amp; "/" &amp; Table2[[#This Row],[Bye]]</f>
        <v>CAR/5</v>
      </c>
      <c r="F28" s="95" t="n">
        <f aca="false">IFERROR(VLOOKUP(Table2[[#This Row],[PLAYER]],QB!A:Q,15,FALSE())/17*(17-Table2[[#This Row],[Missed Games]]),0)</f>
        <v>186.137647058824</v>
      </c>
      <c r="G28" s="95" t="n">
        <f aca="false">IFERROR(VLOOKUP(Table2[[#This Row],[PLAYER]],QB!A:Q,16,FALSE())/17*(17-Table2[[#This Row],[Missed Games]]),0)</f>
        <v>207.508164705882</v>
      </c>
      <c r="H28" s="95" t="n">
        <f aca="false">IFERROR(VLOOKUP(Table2[[#This Row],[PLAYER]],QB!A:Q,17,FALSE())/17*(17-Table2[[#This Row],[Missed Games]]),0)</f>
        <v>233.599905882353</v>
      </c>
      <c r="I28" s="96" t="n">
        <f aca="false">AVERAGE(AVERAGE(Table2[[#This Row],[LOW]],Table2[[#This Row],[HIGH]]),Table2[[#This Row],[AVG]],VLOOKUP(Table2[[#This Row],[PLAYER]],ECR!L:N,3,FALSE()))</f>
        <v>202.319905882353</v>
      </c>
      <c r="J28" s="96" t="n">
        <f aca="false">Table2[[#This Row],[Zscore Projection]]-$C$1</f>
        <v>-66.0594599058823</v>
      </c>
      <c r="K28" s="97" t="e">
        <f aca="false">MAX(Table2[[#This Row],[VBD]]*Scoring!$B$48+1,1)</f>
        <v>#VALUE!</v>
      </c>
      <c r="L28" s="98" t="n">
        <f aca="false">VLOOKUP(Table2[[#This Row],[VBD]],BH:BJ,3,FALSE())</f>
        <v>13</v>
      </c>
      <c r="M28" s="99" t="n">
        <f aca="false">VLOOKUP(INDEX(ECR!$E:$E,MATCH(B28,ECR!$C:$C,0)),RISK!A:B,2,FALSE())</f>
        <v>3.2</v>
      </c>
      <c r="N28" s="100"/>
      <c r="O28" s="98" t="s">
        <v>233</v>
      </c>
      <c r="P28" s="93" t="str">
        <f aca="false">VLOOKUP(O28,ECR!E:L,8,FALSE())</f>
        <v>Rhamondre Stevenson</v>
      </c>
      <c r="Q28" s="94" t="str">
        <f aca="false">IFERROR(VLOOKUP(Table4[[#This Row],[PLAYER]],ECR!C:F,2,FALSE()),"-")</f>
        <v>NE</v>
      </c>
      <c r="R28" s="94" t="n">
        <f aca="false">IFERROR(VLOOKUP(Table4[[#This Row],[PLAYER]],ECR!C:F,4,FALSE()),"-")</f>
        <v>11</v>
      </c>
      <c r="S28" s="94" t="str">
        <f aca="false">Table4[[#This Row],[Team]] &amp; "/" &amp; Table4[[#This Row],[Bye]]</f>
        <v>NE/11</v>
      </c>
      <c r="T28" s="95" t="n">
        <f aca="false">IFERROR(VLOOKUP(Table4[[#This Row],[PLAYER]],RB!A:Q,13,FALSE())/17*(17-Table4[[#This Row],[Missed Games]]),0)</f>
        <v>128.3586</v>
      </c>
      <c r="U28" s="95" t="n">
        <f aca="false">IFERROR(VLOOKUP(Table4[[#This Row],[PLAYER]],RB!A:Q,14,FALSE())/17*(17-Table4[[#This Row],[Missed Games]]),0)</f>
        <v>142.374196</v>
      </c>
      <c r="V28" s="95" t="n">
        <f aca="false">IFERROR(VLOOKUP(Table4[[#This Row],[PLAYER]],RB!A:Q,15,FALSE())/17*(17-Table4[[#This Row],[Missed Games]]),0)</f>
        <v>152.019784</v>
      </c>
      <c r="W28" s="96" t="n">
        <f aca="false">AVERAGE(AVERAGE(Table4[[#This Row],[LOW]],Table4[[#This Row],[HIGH]]),Table4[[#This Row],[AVG]],VLOOKUP(Table4[[#This Row],[PLAYER]],ECR!L:N,3,FALSE()))</f>
        <v>142.519827372549</v>
      </c>
      <c r="X28" s="96" t="n">
        <f aca="false">Table4[[#This Row],[Zscore Projection]]-$Q$1</f>
        <v>14.9740889803921</v>
      </c>
      <c r="Y28" s="97" t="e">
        <f aca="false">MAX(Table4[[#This Row],[VBD]]*Scoring!$B$48+1,1)</f>
        <v>#VALUE!</v>
      </c>
      <c r="Z28" s="98" t="n">
        <f aca="false">VLOOKUP(Table4[[#This Row],[VBD]],BM:BO,3,FALSE())</f>
        <v>6</v>
      </c>
      <c r="AA28" s="99" t="n">
        <f aca="false">VLOOKUP(INDEX(ECR!$E:$E,MATCH(P28,ECR!$C:$C,0)),RISK!A:B,2,FALSE())</f>
        <v>2.8764</v>
      </c>
      <c r="AB28" s="100"/>
      <c r="AC28" s="94" t="s">
        <v>234</v>
      </c>
      <c r="AD28" s="94" t="str">
        <f aca="false">VLOOKUP(AC28,ECR!E:L,8,FALSE())</f>
        <v>DJ Moore</v>
      </c>
      <c r="AE28" s="94" t="str">
        <f aca="false">IFERROR(VLOOKUP(Table6[[#This Row],[PLAYER]],ECR!C:F,2,FALSE()),"-")</f>
        <v>BUF</v>
      </c>
      <c r="AF28" s="94" t="n">
        <f aca="false">IFERROR(VLOOKUP(Table6[[#This Row],[PLAYER]],ECR!C:F,4,FALSE()),"-")</f>
        <v>7</v>
      </c>
      <c r="AG28" s="94" t="str">
        <f aca="false">Table6[[#This Row],[Team]] &amp; "/" &amp; Table6[[#This Row],[Bye]]</f>
        <v>BUF/7</v>
      </c>
      <c r="AH28" s="95" t="n">
        <f aca="false">IFERROR(VLOOKUP(Table6[[#This Row],[PLAYER]],WR!A:Q,13,FALSE())/17*(17-Table6[[#This Row],[Missed Games]]),0)</f>
        <v>122.766088235294</v>
      </c>
      <c r="AI28" s="95" t="n">
        <f aca="false">IFERROR(VLOOKUP(Table6[[#This Row],[PLAYER]],WR!A:Q,14,FALSE())/17*(17-Table6[[#This Row],[Missed Games]]),0)</f>
        <v>139.921139647059</v>
      </c>
      <c r="AJ28" s="95" t="n">
        <f aca="false">IFERROR(VLOOKUP(Table6[[#This Row],[PLAYER]],WR!A:Q,15,FALSE())/17*(17-Table6[[#This Row],[Missed Games]]),0)</f>
        <v>154.484015294118</v>
      </c>
      <c r="AK28" s="96" t="n">
        <f aca="false">AVERAGE(AVERAGE(Table6[[#This Row],[LOW]],Table6[[#This Row],[HIGH]]),Table6[[#This Row],[AVG]],VLOOKUP(Table6[[#This Row],[PLAYER]],ECR!L:N,3,FALSE()))</f>
        <v>139.489110352941</v>
      </c>
      <c r="AL28" s="96" t="n">
        <f aca="false">Table6[[#This Row],[Zscore Projection]]-$AE$1</f>
        <v>13.8112316078432</v>
      </c>
      <c r="AM28" s="97" t="e">
        <f aca="false">MAX(Table6[[#This Row],[VBD]]*Scoring!$B$48+1,1)</f>
        <v>#VALUE!</v>
      </c>
      <c r="AN28" s="98" t="n">
        <f aca="false">VLOOKUP(Table6[[#This Row],[VBD]],BR:BT,3,FALSE())</f>
        <v>5</v>
      </c>
      <c r="AO28" s="99" t="n">
        <f aca="false">VLOOKUP(INDEX(ECR!$E:$E,MATCH(AD28,ECR!$C:$C,0)),RISK!A:B,2,FALSE())</f>
        <v>3.3146</v>
      </c>
      <c r="AP28" s="100"/>
      <c r="AQ28" s="101" t="s">
        <v>235</v>
      </c>
      <c r="AR28" s="101" t="str">
        <f aca="false">VLOOKUP(AQ28,ECR!E:L,8,FALSE())</f>
        <v>Oronde Gadsden II</v>
      </c>
      <c r="AS28" s="101" t="str">
        <f aca="false">IFERROR(VLOOKUP(Table7[[#This Row],[PLAYER]],ECR!C:F,2,FALSE()),"-")</f>
        <v>LAC</v>
      </c>
      <c r="AT28" s="101" t="n">
        <f aca="false">IFERROR(VLOOKUP(Table7[[#This Row],[PLAYER]],ECR!C:F,4,FALSE()),"-")</f>
        <v>7</v>
      </c>
      <c r="AU28" s="101" t="str">
        <f aca="false">Table7[[#This Row],[Team]] &amp; "/" &amp; Table7[[#This Row],[Bye]]</f>
        <v>LAC/7</v>
      </c>
      <c r="AV28" s="95" t="n">
        <f aca="false">IFERROR(VLOOKUP(Table7[[#This Row],[PLAYER]],TE!A:K,9,FALSE())/17*(16-Table7[[#This Row],[Missed Games]]),0)</f>
        <v>43.8329411764706</v>
      </c>
      <c r="AW28" s="95" t="n">
        <f aca="false">IFERROR(VLOOKUP(Table7[[#This Row],[PLAYER]],TE!A:K,10,FALSE())/17*(16-Table7[[#This Row],[Missed Games]]),0)</f>
        <v>54.8064705882353</v>
      </c>
      <c r="AX28" s="95" t="n">
        <f aca="false">IFERROR(VLOOKUP(Table7[[#This Row],[PLAYER]],TE!A:K,11,FALSE())/17*(16-Table7[[#This Row],[Missed Games]]),0)</f>
        <v>68.8235294117647</v>
      </c>
      <c r="AY28" s="96" t="n">
        <f aca="false">AVERAGE(AVERAGE(Table7[[#This Row],[LOW]],Table7[[#This Row],[HIGH]]),Table7[[#This Row],[AVG]],VLOOKUP(Table7[[#This Row],[PLAYER]],ECR!L:N,3,FALSE()))</f>
        <v>62.92</v>
      </c>
      <c r="AZ28" s="96" t="n">
        <f aca="false">Table7[[#This Row],[Zscore Projection]]-$AS$1</f>
        <v>-49.6535974411765</v>
      </c>
      <c r="BA28" s="97" t="e">
        <f aca="false">MAX(Table7[[#This Row],[VBD]]*Scoring!$B$48+1,1)</f>
        <v>#VALUE!</v>
      </c>
      <c r="BB28" s="95" t="n">
        <f aca="false">VLOOKUP(Table7[[#This Row],[VBD]],BW:BY,3,FALSE())</f>
        <v>8</v>
      </c>
      <c r="BC28" s="99" t="n">
        <f aca="false">VLOOKUP(INDEX(ECR!$E:$E,MATCH(AR28,ECR!$C:$C,0)),RISK!A:B,2,FALSE())</f>
        <v>3</v>
      </c>
      <c r="BD28" s="95"/>
      <c r="BE28" s="100"/>
      <c r="BF28" s="102" t="n">
        <v>26</v>
      </c>
      <c r="BG28" s="100" t="n">
        <f aca="false">IFERROR(LARGE($G$3:$G$52,BF28),"")</f>
        <v>189.582776470588</v>
      </c>
      <c r="BH28" s="100" t="n">
        <f aca="false">IFERROR(LARGE($J$3:$J$52,26),"")</f>
        <v>-73.8524010823529</v>
      </c>
      <c r="BI28" s="100" t="n">
        <f aca="false">IF(BH28="",BI27,IF((BI27-BH28)&gt;0.2*LARGE($J$3:$J$52,2),BH28,BI27))</f>
        <v>-73.8524010823529</v>
      </c>
      <c r="BJ28" s="103" t="n">
        <f aca="false">MIN(IF(BH28="",BJ27,IF((BI27-BH28)&gt;0.2*LARGE($J$3:$J$52,2),BJ27+1,BJ27)),15)</f>
        <v>14</v>
      </c>
      <c r="BK28" s="102" t="n">
        <v>26</v>
      </c>
      <c r="BL28" s="100" t="n">
        <f aca="false">IFERROR(LARGE($U$3:$U$102,BK28),"")</f>
        <v>144.996094117647</v>
      </c>
      <c r="BM28" s="104" t="n">
        <f aca="false">IFERROR(LARGE($X$3:$X$102,26),"")</f>
        <v>16.4257666470588</v>
      </c>
      <c r="BN28" s="104" t="n">
        <f aca="false">IF(BM28="",BN27,IF((BN27-BM28)&gt;0.15*LARGE($X$3:$X$102,2),BM28,BN27))</f>
        <v>17.8738221960784</v>
      </c>
      <c r="BO28" s="103" t="n">
        <f aca="false">IF(BM28="",BO27,IF((BN27-BM28)&gt;0.15*LARGE($X$3:$X$102,2),BO27+1,BO27))</f>
        <v>6</v>
      </c>
      <c r="BP28" s="105" t="n">
        <v>26</v>
      </c>
      <c r="BQ28" s="100" t="n">
        <f aca="false">IFERROR(LARGE($AI$3:$AI$102,BP28),"")</f>
        <v>139.921139647059</v>
      </c>
      <c r="BR28" s="104" t="n">
        <f aca="false">IFERROR(LARGE($AL$3:$AL$102,26),"")</f>
        <v>13.8112316078432</v>
      </c>
      <c r="BS28" s="104" t="n">
        <f aca="false">IF(BR28="",BS27,IF((BS27-BR28)&gt;0.15*LARGE($AL$3:$AL$102,2),BR28,BS27))</f>
        <v>28.7991832058824</v>
      </c>
      <c r="BT28" s="103" t="n">
        <f aca="false">IF(BR28="",BT27,IF((BS27-BR28)&gt;0.15*LARGE($AL$3:$AL$102,2),BT27+1,BT27))</f>
        <v>5</v>
      </c>
      <c r="BU28" s="102" t="n">
        <v>26</v>
      </c>
      <c r="BV28" s="100" t="n">
        <f aca="false">IFERROR(LARGE($AW$3:$AW$52,BU28),"")</f>
        <v>77.6252941176471</v>
      </c>
      <c r="BW28" s="104" t="n">
        <f aca="false">IFERROR(LARGE($AZ$3:$AZ$52,26),"")</f>
        <v>-36.2138915588236</v>
      </c>
      <c r="BX28" s="104" t="n">
        <f aca="false">IF(BW28="",BX27,IF((BX27-BW28)&gt;0.2*LARGE($AZ$3:$AZ$52,2),BW28,BX27))</f>
        <v>-36.2138915588236</v>
      </c>
      <c r="BY28" s="106" t="n">
        <f aca="false">IF(BW28="",BY27,IF((BX27-BW28)&gt;0.2*LARGE($AZ$3:$AZ$52,2),BY27+1,BY27))</f>
        <v>7</v>
      </c>
      <c r="BZ28" s="104"/>
      <c r="CA28" s="104"/>
      <c r="CB28" s="104"/>
      <c r="CC28" s="104"/>
      <c r="CD28" s="104"/>
      <c r="CE28" s="104"/>
      <c r="CF28" s="104"/>
      <c r="CG28" s="104"/>
    </row>
    <row r="29" s="107" customFormat="true" ht="14.25" hidden="false" customHeight="true" outlineLevel="0" collapsed="false">
      <c r="A29" s="93" t="s">
        <v>236</v>
      </c>
      <c r="B29" s="93" t="str">
        <f aca="false">VLOOKUP(A29,ECR!E:L,8,FALSE())</f>
        <v>Jacoby Brissett</v>
      </c>
      <c r="C29" s="94" t="str">
        <f aca="false">IFERROR(VLOOKUP(Table2[[#This Row],[PLAYER]],ECR!C:F,2,FALSE()),"-")</f>
        <v>ARI</v>
      </c>
      <c r="D29" s="94" t="n">
        <f aca="false">IFERROR(VLOOKUP(Table2[[#This Row],[PLAYER]],ECR!C:F,4,FALSE()),"-")</f>
        <v>14</v>
      </c>
      <c r="E29" s="94" t="str">
        <f aca="false">Table2[[#This Row],[Team]] &amp; "/" &amp; Table2[[#This Row],[Bye]]</f>
        <v>ARI/14</v>
      </c>
      <c r="F29" s="95" t="n">
        <f aca="false">IFERROR(VLOOKUP(Table2[[#This Row],[PLAYER]],QB!A:Q,15,FALSE())/17*(17-Table2[[#This Row],[Missed Games]]),0)</f>
        <v>157.050494117647</v>
      </c>
      <c r="G29" s="95" t="n">
        <f aca="false">IFERROR(VLOOKUP(Table2[[#This Row],[PLAYER]],QB!A:Q,16,FALSE())/17*(17-Table2[[#This Row],[Missed Games]]),0)</f>
        <v>186.801670588235</v>
      </c>
      <c r="H29" s="95" t="n">
        <f aca="false">IFERROR(VLOOKUP(Table2[[#This Row],[PLAYER]],QB!A:Q,17,FALSE())/17*(17-Table2[[#This Row],[Missed Games]]),0)</f>
        <v>216.189176470588</v>
      </c>
      <c r="I29" s="96" t="n">
        <f aca="false">AVERAGE(AVERAGE(Table2[[#This Row],[LOW]],Table2[[#This Row],[HIGH]]),Table2[[#This Row],[AVG]],VLOOKUP(Table2[[#This Row],[PLAYER]],ECR!L:N,3,FALSE()))</f>
        <v>187.234070588235</v>
      </c>
      <c r="J29" s="96" t="n">
        <f aca="false">Table2[[#This Row],[Zscore Projection]]-$C$1</f>
        <v>-81.1452951999999</v>
      </c>
      <c r="K29" s="97" t="e">
        <f aca="false">MAX(Table2[[#This Row],[VBD]]*Scoring!$B$48+1,1)</f>
        <v>#VALUE!</v>
      </c>
      <c r="L29" s="98" t="n">
        <f aca="false">VLOOKUP(Table2[[#This Row],[VBD]],BH:BJ,3,FALSE())</f>
        <v>15</v>
      </c>
      <c r="M29" s="99" t="n">
        <f aca="false">VLOOKUP(INDEX(ECR!$E:$E,MATCH(B29,ECR!$C:$C,0)),RISK!A:B,2,FALSE())</f>
        <v>3.2</v>
      </c>
      <c r="N29" s="100"/>
      <c r="O29" s="98" t="s">
        <v>237</v>
      </c>
      <c r="P29" s="93" t="str">
        <f aca="false">VLOOKUP(O29,ECR!E:L,8,FALSE())</f>
        <v>Jaylen Warren</v>
      </c>
      <c r="Q29" s="94" t="str">
        <f aca="false">IFERROR(VLOOKUP(Table4[[#This Row],[PLAYER]],ECR!C:F,2,FALSE()),"-")</f>
        <v>PIT</v>
      </c>
      <c r="R29" s="94" t="n">
        <f aca="false">IFERROR(VLOOKUP(Table4[[#This Row],[PLAYER]],ECR!C:F,4,FALSE()),"-")</f>
        <v>9</v>
      </c>
      <c r="S29" s="94" t="str">
        <f aca="false">Table4[[#This Row],[Team]] &amp; "/" &amp; Table4[[#This Row],[Bye]]</f>
        <v>PIT/9</v>
      </c>
      <c r="T29" s="95" t="n">
        <f aca="false">IFERROR(VLOOKUP(Table4[[#This Row],[PLAYER]],RB!A:Q,13,FALSE())/17*(17-Table4[[#This Row],[Missed Games]]),0)</f>
        <v>138.562141176471</v>
      </c>
      <c r="U29" s="95" t="n">
        <f aca="false">IFERROR(VLOOKUP(Table4[[#This Row],[PLAYER]],RB!A:Q,14,FALSE())/17*(17-Table4[[#This Row],[Missed Games]]),0)</f>
        <v>144.996094117647</v>
      </c>
      <c r="V29" s="95" t="n">
        <f aca="false">IFERROR(VLOOKUP(Table4[[#This Row],[PLAYER]],RB!A:Q,15,FALSE())/17*(17-Table4[[#This Row],[Missed Games]]),0)</f>
        <v>150.526308823529</v>
      </c>
      <c r="W29" s="96" t="n">
        <f aca="false">AVERAGE(AVERAGE(Table4[[#This Row],[LOW]],Table4[[#This Row],[HIGH]]),Table4[[#This Row],[AVG]],VLOOKUP(Table4[[#This Row],[PLAYER]],ECR!L:N,3,FALSE()))</f>
        <v>143.971505039216</v>
      </c>
      <c r="X29" s="96" t="n">
        <f aca="false">Table4[[#This Row],[Zscore Projection]]-$Q$1</f>
        <v>16.4257666470588</v>
      </c>
      <c r="Y29" s="97" t="e">
        <f aca="false">MAX(Table4[[#This Row],[VBD]]*Scoring!$B$48+1,1)</f>
        <v>#VALUE!</v>
      </c>
      <c r="Z29" s="98" t="n">
        <f aca="false">VLOOKUP(Table4[[#This Row],[VBD]],BM:BO,3,FALSE())</f>
        <v>6</v>
      </c>
      <c r="AA29" s="99" t="n">
        <f aca="false">VLOOKUP(INDEX(ECR!$E:$E,MATCH(P29,ECR!$C:$C,0)),RISK!A:B,2,FALSE())</f>
        <v>2.905</v>
      </c>
      <c r="AB29" s="100"/>
      <c r="AC29" s="94" t="s">
        <v>238</v>
      </c>
      <c r="AD29" s="94" t="str">
        <f aca="false">VLOOKUP(AC29,ECR!E:L,8,FALSE())</f>
        <v>Christian Watson</v>
      </c>
      <c r="AE29" s="94" t="str">
        <f aca="false">IFERROR(VLOOKUP(Table6[[#This Row],[PLAYER]],ECR!C:F,2,FALSE()),"-")</f>
        <v>GB</v>
      </c>
      <c r="AF29" s="94" t="n">
        <f aca="false">IFERROR(VLOOKUP(Table6[[#This Row],[PLAYER]],ECR!C:F,4,FALSE()),"-")</f>
        <v>11</v>
      </c>
      <c r="AG29" s="94" t="str">
        <f aca="false">Table6[[#This Row],[Team]] &amp; "/" &amp; Table6[[#This Row],[Bye]]</f>
        <v>GB/11</v>
      </c>
      <c r="AH29" s="95" t="n">
        <f aca="false">IFERROR(VLOOKUP(Table6[[#This Row],[PLAYER]],WR!A:Q,13,FALSE())/17*(17-Table6[[#This Row],[Missed Games]]),0)</f>
        <v>124.934643647059</v>
      </c>
      <c r="AI29" s="95" t="n">
        <f aca="false">IFERROR(VLOOKUP(Table6[[#This Row],[PLAYER]],WR!A:Q,14,FALSE())/17*(17-Table6[[#This Row],[Missed Games]]),0)</f>
        <v>134.534513235294</v>
      </c>
      <c r="AJ29" s="95" t="n">
        <f aca="false">IFERROR(VLOOKUP(Table6[[#This Row],[PLAYER]],WR!A:Q,15,FALSE())/17*(17-Table6[[#This Row],[Missed Games]]),0)</f>
        <v>149.652102352941</v>
      </c>
      <c r="AK29" s="96" t="n">
        <f aca="false">AVERAGE(AVERAGE(Table6[[#This Row],[LOW]],Table6[[#This Row],[HIGH]]),Table6[[#This Row],[AVG]],VLOOKUP(Table6[[#This Row],[PLAYER]],ECR!L:N,3,FALSE()))</f>
        <v>136.943305411765</v>
      </c>
      <c r="AL29" s="96" t="n">
        <f aca="false">Table6[[#This Row],[Zscore Projection]]-$AE$1</f>
        <v>11.2654266666667</v>
      </c>
      <c r="AM29" s="97" t="e">
        <f aca="false">MAX(Table6[[#This Row],[VBD]]*Scoring!$B$48+1,1)</f>
        <v>#VALUE!</v>
      </c>
      <c r="AN29" s="98" t="n">
        <f aca="false">VLOOKUP(Table6[[#This Row],[VBD]],BR:BT,3,FALSE())</f>
        <v>5</v>
      </c>
      <c r="AO29" s="99" t="n">
        <f aca="false">VLOOKUP(INDEX(ECR!$E:$E,MATCH(AD29,ECR!$C:$C,0)),RISK!A:B,2,FALSE())</f>
        <v>3.3661</v>
      </c>
      <c r="AP29" s="100"/>
      <c r="AQ29" s="101" t="s">
        <v>239</v>
      </c>
      <c r="AR29" s="101" t="str">
        <f aca="false">VLOOKUP(AQ29,ECR!E:L,8,FALSE())</f>
        <v>Pat Freiermuth</v>
      </c>
      <c r="AS29" s="101" t="str">
        <f aca="false">IFERROR(VLOOKUP(Table7[[#This Row],[PLAYER]],ECR!C:F,2,FALSE()),"-")</f>
        <v>PIT</v>
      </c>
      <c r="AT29" s="101" t="n">
        <f aca="false">IFERROR(VLOOKUP(Table7[[#This Row],[PLAYER]],ECR!C:F,4,FALSE()),"-")</f>
        <v>9</v>
      </c>
      <c r="AU29" s="101" t="str">
        <f aca="false">Table7[[#This Row],[Team]] &amp; "/" &amp; Table7[[#This Row],[Bye]]</f>
        <v>PIT/9</v>
      </c>
      <c r="AV29" s="95" t="n">
        <f aca="false">IFERROR(VLOOKUP(Table7[[#This Row],[PLAYER]],TE!A:K,9,FALSE())/17*(16-Table7[[#This Row],[Missed Games]]),0)</f>
        <v>68.6705882352941</v>
      </c>
      <c r="AW29" s="95" t="n">
        <f aca="false">IFERROR(VLOOKUP(Table7[[#This Row],[PLAYER]],TE!A:K,10,FALSE())/17*(16-Table7[[#This Row],[Missed Games]]),0)</f>
        <v>82.4811764705882</v>
      </c>
      <c r="AX29" s="95" t="n">
        <f aca="false">IFERROR(VLOOKUP(Table7[[#This Row],[PLAYER]],TE!A:K,11,FALSE())/17*(16-Table7[[#This Row],[Missed Games]]),0)</f>
        <v>91.9329411764706</v>
      </c>
      <c r="AY29" s="96" t="n">
        <f aca="false">AVERAGE(AVERAGE(Table7[[#This Row],[LOW]],Table7[[#This Row],[HIGH]]),Table7[[#This Row],[AVG]],VLOOKUP(Table7[[#This Row],[PLAYER]],ECR!L:N,3,FALSE()))</f>
        <v>79.7486274509804</v>
      </c>
      <c r="AZ29" s="96" t="n">
        <f aca="false">Table7[[#This Row],[Zscore Projection]]-$AS$1</f>
        <v>-32.8249699901961</v>
      </c>
      <c r="BA29" s="97" t="e">
        <f aca="false">MAX(Table7[[#This Row],[VBD]]*Scoring!$B$48+1,1)</f>
        <v>#VALUE!</v>
      </c>
      <c r="BB29" s="95" t="n">
        <f aca="false">VLOOKUP(Table7[[#This Row],[VBD]],BW:BY,3,FALSE())</f>
        <v>6</v>
      </c>
      <c r="BC29" s="99" t="n">
        <f aca="false">VLOOKUP(INDEX(ECR!$E:$E,MATCH(AR29,ECR!$C:$C,0)),RISK!A:B,2,FALSE())</f>
        <v>3</v>
      </c>
      <c r="BD29" s="95"/>
      <c r="BE29" s="100"/>
      <c r="BF29" s="102" t="n">
        <v>27</v>
      </c>
      <c r="BG29" s="100" t="n">
        <f aca="false">IFERROR(LARGE($G$3:$G$52,BF29),"")</f>
        <v>188.280705882353</v>
      </c>
      <c r="BH29" s="100" t="n">
        <f aca="false">IFERROR(LARGE($J$3:$J$52,27),"")</f>
        <v>-81.1452951999999</v>
      </c>
      <c r="BI29" s="100" t="n">
        <f aca="false">IF(BH29="",BI28,IF((BI28-BH29)&gt;0.2*LARGE($J$3:$J$52,2),BH29,BI28))</f>
        <v>-81.1452951999999</v>
      </c>
      <c r="BJ29" s="103" t="n">
        <f aca="false">MIN(IF(BH29="",BJ28,IF((BI28-BH29)&gt;0.2*LARGE($J$3:$J$52,2),BJ28+1,BJ28)),15)</f>
        <v>15</v>
      </c>
      <c r="BK29" s="102" t="n">
        <v>27</v>
      </c>
      <c r="BL29" s="100" t="n">
        <f aca="false">IFERROR(LARGE($U$3:$U$102,BK29),"")</f>
        <v>142.374196</v>
      </c>
      <c r="BM29" s="104" t="n">
        <f aca="false">IFERROR(LARGE($X$3:$X$102,27),"")</f>
        <v>14.9740889803921</v>
      </c>
      <c r="BN29" s="104" t="n">
        <f aca="false">IF(BM29="",BN28,IF((BN28-BM29)&gt;0.15*LARGE($X$3:$X$102,2),BM29,BN28))</f>
        <v>17.8738221960784</v>
      </c>
      <c r="BO29" s="103" t="n">
        <f aca="false">IF(BM29="",BO28,IF((BN28-BM29)&gt;0.15*LARGE($X$3:$X$102,2),BO28+1,BO28))</f>
        <v>6</v>
      </c>
      <c r="BP29" s="105" t="n">
        <v>27</v>
      </c>
      <c r="BQ29" s="100" t="n">
        <f aca="false">IFERROR(LARGE($AI$3:$AI$102,BP29),"")</f>
        <v>139.00203</v>
      </c>
      <c r="BR29" s="104" t="n">
        <f aca="false">IFERROR(LARGE($AL$3:$AL$102,27),"")</f>
        <v>11.9801306666667</v>
      </c>
      <c r="BS29" s="104" t="n">
        <f aca="false">IF(BR29="",BS28,IF((BS28-BR29)&gt;0.15*LARGE($AL$3:$AL$102,2),BR29,BS28))</f>
        <v>28.7991832058824</v>
      </c>
      <c r="BT29" s="103" t="n">
        <f aca="false">IF(BR29="",BT28,IF((BS28-BR29)&gt;0.15*LARGE($AL$3:$AL$102,2),BT28+1,BT28))</f>
        <v>5</v>
      </c>
      <c r="BU29" s="102" t="n">
        <v>27</v>
      </c>
      <c r="BV29" s="100" t="n">
        <f aca="false">IFERROR(LARGE($AW$3:$AW$52,BU29),"")</f>
        <v>76.4629411764706</v>
      </c>
      <c r="BW29" s="104" t="n">
        <f aca="false">IFERROR(LARGE($AZ$3:$AZ$52,27),"")</f>
        <v>-36.7224209705882</v>
      </c>
      <c r="BX29" s="104" t="n">
        <f aca="false">IF(BW29="",BX28,IF((BX28-BW29)&gt;0.2*LARGE($AZ$3:$AZ$52,2),BW29,BX28))</f>
        <v>-36.2138915588236</v>
      </c>
      <c r="BY29" s="106" t="n">
        <f aca="false">IF(BW29="",BY28,IF((BX28-BW29)&gt;0.2*LARGE($AZ$3:$AZ$52,2),BY28+1,BY28))</f>
        <v>7</v>
      </c>
      <c r="BZ29" s="104"/>
      <c r="CA29" s="104"/>
      <c r="CB29" s="104"/>
      <c r="CC29" s="104"/>
      <c r="CD29" s="104"/>
      <c r="CE29" s="104"/>
      <c r="CF29" s="104"/>
      <c r="CG29" s="104"/>
    </row>
    <row r="30" s="107" customFormat="true" ht="14.25" hidden="false" customHeight="true" outlineLevel="0" collapsed="false">
      <c r="A30" s="93" t="s">
        <v>240</v>
      </c>
      <c r="B30" s="93" t="str">
        <f aca="false">VLOOKUP(A30,ECR!E:L,8,FALSE())</f>
        <v>Aaron Rodgers</v>
      </c>
      <c r="C30" s="94" t="str">
        <f aca="false">IFERROR(VLOOKUP(Table2[[#This Row],[PLAYER]],ECR!C:F,2,FALSE()),"-")</f>
        <v>PIT</v>
      </c>
      <c r="D30" s="94" t="n">
        <f aca="false">IFERROR(VLOOKUP(Table2[[#This Row],[PLAYER]],ECR!C:F,4,FALSE()),"-")</f>
        <v>9</v>
      </c>
      <c r="E30" s="94" t="str">
        <f aca="false">Table2[[#This Row],[Team]] &amp; "/" &amp; Table2[[#This Row],[Bye]]</f>
        <v>PIT/9</v>
      </c>
      <c r="F30" s="95" t="n">
        <f aca="false">IFERROR(VLOOKUP(Table2[[#This Row],[PLAYER]],QB!A:Q,15,FALSE())/17*(17-Table2[[#This Row],[Missed Games]]),0)</f>
        <v>154.511294117647</v>
      </c>
      <c r="G30" s="95" t="n">
        <f aca="false">IFERROR(VLOOKUP(Table2[[#This Row],[PLAYER]],QB!A:Q,16,FALSE())/17*(17-Table2[[#This Row],[Missed Games]]),0)</f>
        <v>182.148635294118</v>
      </c>
      <c r="H30" s="95" t="n">
        <f aca="false">IFERROR(VLOOKUP(Table2[[#This Row],[PLAYER]],QB!A:Q,17,FALSE())/17*(17-Table2[[#This Row],[Missed Games]]),0)</f>
        <v>200.3208</v>
      </c>
      <c r="I30" s="96" t="n">
        <f aca="false">AVERAGE(AVERAGE(Table2[[#This Row],[LOW]],Table2[[#This Row],[HIGH]]),Table2[[#This Row],[AVG]],VLOOKUP(Table2[[#This Row],[PLAYER]],ECR!L:N,3,FALSE()))</f>
        <v>182.122117647059</v>
      </c>
      <c r="J30" s="96" t="n">
        <f aca="false">Table2[[#This Row],[Zscore Projection]]-$C$1</f>
        <v>-86.2572481411764</v>
      </c>
      <c r="K30" s="97" t="e">
        <f aca="false">MAX(Table2[[#This Row],[VBD]]*Scoring!$B$48+1,1)</f>
        <v>#VALUE!</v>
      </c>
      <c r="L30" s="98" t="n">
        <f aca="false">VLOOKUP(Table2[[#This Row],[VBD]],BH:BJ,3,FALSE())</f>
        <v>15</v>
      </c>
      <c r="M30" s="99" t="n">
        <f aca="false">VLOOKUP(INDEX(ECR!$E:$E,MATCH(B30,ECR!$C:$C,0)),RISK!A:B,2,FALSE())</f>
        <v>3.2</v>
      </c>
      <c r="N30" s="100"/>
      <c r="O30" s="98" t="s">
        <v>241</v>
      </c>
      <c r="P30" s="93" t="str">
        <f aca="false">VLOOKUP(O30,ECR!E:L,8,FALSE())</f>
        <v>Tony Pollard</v>
      </c>
      <c r="Q30" s="94" t="str">
        <f aca="false">IFERROR(VLOOKUP(Table4[[#This Row],[PLAYER]],ECR!C:F,2,FALSE()),"-")</f>
        <v>TEN</v>
      </c>
      <c r="R30" s="94" t="n">
        <f aca="false">IFERROR(VLOOKUP(Table4[[#This Row],[PLAYER]],ECR!C:F,4,FALSE()),"-")</f>
        <v>9</v>
      </c>
      <c r="S30" s="94" t="str">
        <f aca="false">Table4[[#This Row],[Team]] &amp; "/" &amp; Table4[[#This Row],[Bye]]</f>
        <v>TEN/9</v>
      </c>
      <c r="T30" s="95" t="n">
        <f aca="false">IFERROR(VLOOKUP(Table4[[#This Row],[PLAYER]],RB!A:Q,13,FALSE())/17*(17-Table4[[#This Row],[Missed Games]]),0)</f>
        <v>129.143356941176</v>
      </c>
      <c r="U30" s="95" t="n">
        <f aca="false">IFERROR(VLOOKUP(Table4[[#This Row],[PLAYER]],RB!A:Q,14,FALSE())/17*(17-Table4[[#This Row],[Missed Games]]),0)</f>
        <v>142.141256470588</v>
      </c>
      <c r="V30" s="95" t="n">
        <f aca="false">IFERROR(VLOOKUP(Table4[[#This Row],[PLAYER]],RB!A:Q,15,FALSE())/17*(17-Table4[[#This Row],[Missed Games]]),0)</f>
        <v>153.724362352941</v>
      </c>
      <c r="W30" s="96" t="n">
        <f aca="false">AVERAGE(AVERAGE(Table4[[#This Row],[LOW]],Table4[[#This Row],[HIGH]]),Table4[[#This Row],[AVG]],VLOOKUP(Table4[[#This Row],[PLAYER]],ECR!L:N,3,FALSE()))</f>
        <v>141.905457529412</v>
      </c>
      <c r="X30" s="96" t="n">
        <f aca="false">Table4[[#This Row],[Zscore Projection]]-$Q$1</f>
        <v>14.3597191372549</v>
      </c>
      <c r="Y30" s="97" t="e">
        <f aca="false">MAX(Table4[[#This Row],[VBD]]*Scoring!$B$48+1,1)</f>
        <v>#VALUE!</v>
      </c>
      <c r="Z30" s="98" t="n">
        <f aca="false">VLOOKUP(Table4[[#This Row],[VBD]],BM:BO,3,FALSE())</f>
        <v>6</v>
      </c>
      <c r="AA30" s="99" t="n">
        <f aca="false">VLOOKUP(INDEX(ECR!$E:$E,MATCH(P30,ECR!$C:$C,0)),RISK!A:B,2,FALSE())</f>
        <v>2.9348</v>
      </c>
      <c r="AB30" s="100"/>
      <c r="AC30" s="94" t="s">
        <v>242</v>
      </c>
      <c r="AD30" s="94" t="str">
        <f aca="false">VLOOKUP(AC30,ECR!E:L,8,FALSE())</f>
        <v>Rome Odunze</v>
      </c>
      <c r="AE30" s="94" t="str">
        <f aca="false">IFERROR(VLOOKUP(Table6[[#This Row],[PLAYER]],ECR!C:F,2,FALSE()),"-")</f>
        <v>CHI</v>
      </c>
      <c r="AF30" s="94" t="n">
        <f aca="false">IFERROR(VLOOKUP(Table6[[#This Row],[PLAYER]],ECR!C:F,4,FALSE()),"-")</f>
        <v>10</v>
      </c>
      <c r="AG30" s="94" t="str">
        <f aca="false">Table6[[#This Row],[Team]] &amp; "/" &amp; Table6[[#This Row],[Bye]]</f>
        <v>CHI/10</v>
      </c>
      <c r="AH30" s="95" t="n">
        <f aca="false">IFERROR(VLOOKUP(Table6[[#This Row],[PLAYER]],WR!A:Q,13,FALSE())/17*(17-Table6[[#This Row],[Missed Games]]),0)</f>
        <v>129.71765</v>
      </c>
      <c r="AI30" s="95" t="n">
        <f aca="false">IFERROR(VLOOKUP(Table6[[#This Row],[PLAYER]],WR!A:Q,14,FALSE())/17*(17-Table6[[#This Row],[Missed Games]]),0)</f>
        <v>139.00203</v>
      </c>
      <c r="AJ30" s="95" t="n">
        <f aca="false">IFERROR(VLOOKUP(Table6[[#This Row],[PLAYER]],WR!A:Q,15,FALSE())/17*(17-Table6[[#This Row],[Missed Games]]),0)</f>
        <v>149.15732</v>
      </c>
      <c r="AK30" s="96" t="n">
        <f aca="false">AVERAGE(AVERAGE(Table6[[#This Row],[LOW]],Table6[[#This Row],[HIGH]]),Table6[[#This Row],[AVG]],VLOOKUP(Table6[[#This Row],[PLAYER]],ECR!L:N,3,FALSE()))</f>
        <v>137.658009411765</v>
      </c>
      <c r="AL30" s="96" t="n">
        <f aca="false">Table6[[#This Row],[Zscore Projection]]-$AE$1</f>
        <v>11.9801306666667</v>
      </c>
      <c r="AM30" s="97" t="e">
        <f aca="false">MAX(Table6[[#This Row],[VBD]]*Scoring!$B$48+1,1)</f>
        <v>#VALUE!</v>
      </c>
      <c r="AN30" s="98" t="n">
        <f aca="false">VLOOKUP(Table6[[#This Row],[VBD]],BR:BT,3,FALSE())</f>
        <v>5</v>
      </c>
      <c r="AO30" s="99" t="n">
        <f aca="false">VLOOKUP(INDEX(ECR!$E:$E,MATCH(AD30,ECR!$C:$C,0)),RISK!A:B,2,FALSE())</f>
        <v>3.417</v>
      </c>
      <c r="AP30" s="100"/>
      <c r="AQ30" s="101" t="s">
        <v>243</v>
      </c>
      <c r="AR30" s="101" t="str">
        <f aca="false">VLOOKUP(AQ30,ECR!E:L,8,FALSE())</f>
        <v>Cade Otton</v>
      </c>
      <c r="AS30" s="101" t="str">
        <f aca="false">IFERROR(VLOOKUP(Table7[[#This Row],[PLAYER]],ECR!C:F,2,FALSE()),"-")</f>
        <v>TB</v>
      </c>
      <c r="AT30" s="101" t="n">
        <f aca="false">IFERROR(VLOOKUP(Table7[[#This Row],[PLAYER]],ECR!C:F,4,FALSE()),"-")</f>
        <v>10</v>
      </c>
      <c r="AU30" s="101" t="str">
        <f aca="false">Table7[[#This Row],[Team]] &amp; "/" &amp; Table7[[#This Row],[Bye]]</f>
        <v>TB/10</v>
      </c>
      <c r="AV30" s="95" t="n">
        <f aca="false">IFERROR(VLOOKUP(Table7[[#This Row],[PLAYER]],TE!A:K,9,FALSE())/17*(16-Table7[[#This Row],[Missed Games]]),0)</f>
        <v>60.7711764705882</v>
      </c>
      <c r="AW30" s="95" t="n">
        <f aca="false">IFERROR(VLOOKUP(Table7[[#This Row],[PLAYER]],TE!A:K,10,FALSE())/17*(16-Table7[[#This Row],[Missed Games]]),0)</f>
        <v>77.6252941176471</v>
      </c>
      <c r="AX30" s="95" t="n">
        <f aca="false">IFERROR(VLOOKUP(Table7[[#This Row],[PLAYER]],TE!A:K,11,FALSE())/17*(16-Table7[[#This Row],[Missed Games]]),0)</f>
        <v>97.9588235294118</v>
      </c>
      <c r="AY30" s="96" t="n">
        <f aca="false">AVERAGE(AVERAGE(Table7[[#This Row],[LOW]],Table7[[#This Row],[HIGH]]),Table7[[#This Row],[AVG]],VLOOKUP(Table7[[#This Row],[PLAYER]],ECR!L:N,3,FALSE()))</f>
        <v>76.3597058823529</v>
      </c>
      <c r="AZ30" s="96" t="n">
        <f aca="false">Table7[[#This Row],[Zscore Projection]]-$AS$1</f>
        <v>-36.2138915588236</v>
      </c>
      <c r="BA30" s="97" t="e">
        <f aca="false">MAX(Table7[[#This Row],[VBD]]*Scoring!$B$48+1,1)</f>
        <v>#VALUE!</v>
      </c>
      <c r="BB30" s="95" t="n">
        <f aca="false">VLOOKUP(Table7[[#This Row],[VBD]],BW:BY,3,FALSE())</f>
        <v>7</v>
      </c>
      <c r="BC30" s="99" t="n">
        <f aca="false">VLOOKUP(INDEX(ECR!$E:$E,MATCH(AR30,ECR!$C:$C,0)),RISK!A:B,2,FALSE())</f>
        <v>3</v>
      </c>
      <c r="BD30" s="95"/>
      <c r="BE30" s="100"/>
      <c r="BF30" s="102" t="n">
        <v>28</v>
      </c>
      <c r="BG30" s="100" t="n">
        <f aca="false">IFERROR(LARGE($G$3:$G$52,BF30),"")</f>
        <v>186.801670588235</v>
      </c>
      <c r="BH30" s="100" t="n">
        <f aca="false">IFERROR(LARGE($J$3:$J$52,28),"")</f>
        <v>-81.7422128470588</v>
      </c>
      <c r="BI30" s="100" t="n">
        <f aca="false">IF(BH30="",BI29,IF((BI29-BH30)&gt;0.2*LARGE($J$3:$J$52,2),BH30,BI29))</f>
        <v>-81.1452951999999</v>
      </c>
      <c r="BJ30" s="103" t="n">
        <f aca="false">MIN(IF(BH30="",BJ29,IF((BI29-BH30)&gt;0.2*LARGE($J$3:$J$52,2),BJ29+1,BJ29)),15)</f>
        <v>15</v>
      </c>
      <c r="BK30" s="102" t="n">
        <v>28</v>
      </c>
      <c r="BL30" s="100" t="n">
        <f aca="false">IFERROR(LARGE($U$3:$U$102,BK30),"")</f>
        <v>142.141256470588</v>
      </c>
      <c r="BM30" s="104" t="n">
        <f aca="false">IFERROR(LARGE($X$3:$X$102,28),"")</f>
        <v>14.3597191372549</v>
      </c>
      <c r="BN30" s="104" t="n">
        <f aca="false">IF(BM30="",BN29,IF((BN29-BM30)&gt;0.15*LARGE($X$3:$X$102,2),BM30,BN29))</f>
        <v>17.8738221960784</v>
      </c>
      <c r="BO30" s="103" t="n">
        <f aca="false">IF(BM30="",BO29,IF((BN29-BM30)&gt;0.15*LARGE($X$3:$X$102,2),BO29+1,BO29))</f>
        <v>6</v>
      </c>
      <c r="BP30" s="105" t="n">
        <v>28</v>
      </c>
      <c r="BQ30" s="100" t="n">
        <f aca="false">IFERROR(LARGE($AI$3:$AI$102,BP30),"")</f>
        <v>134.534513235294</v>
      </c>
      <c r="BR30" s="104" t="n">
        <f aca="false">IFERROR(LARGE($AL$3:$AL$102,28),"")</f>
        <v>11.2654266666667</v>
      </c>
      <c r="BS30" s="104" t="n">
        <f aca="false">IF(BR30="",BS29,IF((BS29-BR30)&gt;0.15*LARGE($AL$3:$AL$102,2),BR30,BS29))</f>
        <v>28.7991832058824</v>
      </c>
      <c r="BT30" s="103" t="n">
        <f aca="false">IF(BR30="",BT29,IF((BS29-BR30)&gt;0.15*LARGE($AL$3:$AL$102,2),BT29+1,BT29))</f>
        <v>5</v>
      </c>
      <c r="BU30" s="102" t="n">
        <v>28</v>
      </c>
      <c r="BV30" s="100" t="n">
        <f aca="false">IFERROR(LARGE($AW$3:$AW$52,BU30),"")</f>
        <v>72.0888235294118</v>
      </c>
      <c r="BW30" s="104" t="n">
        <f aca="false">IFERROR(LARGE($AZ$3:$AZ$52,28),"")</f>
        <v>-41.8333936372549</v>
      </c>
      <c r="BX30" s="104" t="n">
        <f aca="false">IF(BW30="",BX29,IF((BX29-BW30)&gt;0.2*LARGE($AZ$3:$AZ$52,2),BW30,BX29))</f>
        <v>-36.2138915588236</v>
      </c>
      <c r="BY30" s="106" t="n">
        <f aca="false">IF(BW30="",BY29,IF((BX29-BW30)&gt;0.2*LARGE($AZ$3:$AZ$52,2),BY29+1,BY29))</f>
        <v>7</v>
      </c>
      <c r="BZ30" s="104"/>
      <c r="CA30" s="104"/>
      <c r="CB30" s="104"/>
      <c r="CC30" s="104"/>
      <c r="CD30" s="104"/>
      <c r="CE30" s="104"/>
      <c r="CF30" s="104"/>
      <c r="CG30" s="104"/>
    </row>
    <row r="31" s="107" customFormat="true" ht="14.25" hidden="false" customHeight="true" outlineLevel="0" collapsed="false">
      <c r="A31" s="93" t="s">
        <v>244</v>
      </c>
      <c r="B31" s="93" t="str">
        <f aca="false">VLOOKUP(A31,ECR!E:L,8,FALSE())</f>
        <v>Geno Smith</v>
      </c>
      <c r="C31" s="94" t="str">
        <f aca="false">IFERROR(VLOOKUP(Table2[[#This Row],[PLAYER]],ECR!C:F,2,FALSE()),"-")</f>
        <v>NYJ</v>
      </c>
      <c r="D31" s="94" t="n">
        <f aca="false">IFERROR(VLOOKUP(Table2[[#This Row],[PLAYER]],ECR!C:F,4,FALSE()),"-")</f>
        <v>13</v>
      </c>
      <c r="E31" s="94" t="str">
        <f aca="false">Table2[[#This Row],[Team]] &amp; "/" &amp; Table2[[#This Row],[Bye]]</f>
        <v>NYJ/13</v>
      </c>
      <c r="F31" s="95" t="n">
        <f aca="false">IFERROR(VLOOKUP(Table2[[#This Row],[PLAYER]],QB!A:Q,15,FALSE())/17*(17-Table2[[#This Row],[Missed Games]]),0)</f>
        <v>161.200235294118</v>
      </c>
      <c r="G31" s="95" t="n">
        <f aca="false">IFERROR(VLOOKUP(Table2[[#This Row],[PLAYER]],QB!A:Q,16,FALSE())/17*(17-Table2[[#This Row],[Missed Games]]),0)</f>
        <v>189.582776470588</v>
      </c>
      <c r="H31" s="95" t="n">
        <f aca="false">IFERROR(VLOOKUP(Table2[[#This Row],[PLAYER]],QB!A:Q,17,FALSE())/17*(17-Table2[[#This Row],[Missed Games]]),0)</f>
        <v>215.159858823529</v>
      </c>
      <c r="I31" s="96" t="n">
        <f aca="false">AVERAGE(AVERAGE(Table2[[#This Row],[LOW]],Table2[[#This Row],[HIGH]]),Table2[[#This Row],[AVG]],VLOOKUP(Table2[[#This Row],[PLAYER]],ECR!L:N,3,FALSE()))</f>
        <v>186.637152941176</v>
      </c>
      <c r="J31" s="96" t="n">
        <f aca="false">Table2[[#This Row],[Zscore Projection]]-$C$1</f>
        <v>-81.7422128470588</v>
      </c>
      <c r="K31" s="97" t="e">
        <f aca="false">MAX(Table2[[#This Row],[VBD]]*Scoring!$B$48+1,1)</f>
        <v>#VALUE!</v>
      </c>
      <c r="L31" s="98" t="n">
        <f aca="false">VLOOKUP(Table2[[#This Row],[VBD]],BH:BJ,3,FALSE())</f>
        <v>15</v>
      </c>
      <c r="M31" s="99" t="n">
        <f aca="false">VLOOKUP(INDEX(ECR!$E:$E,MATCH(B31,ECR!$C:$C,0)),RISK!A:B,2,FALSE())</f>
        <v>3.2</v>
      </c>
      <c r="N31" s="100"/>
      <c r="O31" s="98" t="s">
        <v>245</v>
      </c>
      <c r="P31" s="93" t="str">
        <f aca="false">VLOOKUP(O31,ECR!E:L,8,FALSE())</f>
        <v>Rico Dowdle</v>
      </c>
      <c r="Q31" s="94" t="str">
        <f aca="false">IFERROR(VLOOKUP(Table4[[#This Row],[PLAYER]],ECR!C:F,2,FALSE()),"-")</f>
        <v>PIT</v>
      </c>
      <c r="R31" s="94" t="n">
        <f aca="false">IFERROR(VLOOKUP(Table4[[#This Row],[PLAYER]],ECR!C:F,4,FALSE()),"-")</f>
        <v>9</v>
      </c>
      <c r="S31" s="94" t="str">
        <f aca="false">Table4[[#This Row],[Team]] &amp; "/" &amp; Table4[[#This Row],[Bye]]</f>
        <v>PIT/9</v>
      </c>
      <c r="T31" s="95" t="n">
        <f aca="false">IFERROR(VLOOKUP(Table4[[#This Row],[PLAYER]],RB!A:Q,13,FALSE())/17*(17-Table4[[#This Row],[Missed Games]]),0)</f>
        <v>123.005635294118</v>
      </c>
      <c r="U31" s="95" t="n">
        <f aca="false">IFERROR(VLOOKUP(Table4[[#This Row],[PLAYER]],RB!A:Q,14,FALSE())/17*(17-Table4[[#This Row],[Missed Games]]),0)</f>
        <v>136.247315764706</v>
      </c>
      <c r="V31" s="95" t="n">
        <f aca="false">IFERROR(VLOOKUP(Table4[[#This Row],[PLAYER]],RB!A:Q,15,FALSE())/17*(17-Table4[[#This Row],[Missed Games]]),0)</f>
        <v>156.101581058824</v>
      </c>
      <c r="W31" s="96" t="n">
        <f aca="false">AVERAGE(AVERAGE(Table4[[#This Row],[LOW]],Table4[[#This Row],[HIGH]]),Table4[[#This Row],[AVG]],VLOOKUP(Table4[[#This Row],[PLAYER]],ECR!L:N,3,FALSE()))</f>
        <v>137.547967666667</v>
      </c>
      <c r="X31" s="96" t="n">
        <f aca="false">Table4[[#This Row],[Zscore Projection]]-$Q$1</f>
        <v>10.0022292745098</v>
      </c>
      <c r="Y31" s="97" t="e">
        <f aca="false">MAX(Table4[[#This Row],[VBD]]*Scoring!$B$48+1,1)</f>
        <v>#VALUE!</v>
      </c>
      <c r="Z31" s="98" t="n">
        <f aca="false">VLOOKUP(Table4[[#This Row],[VBD]],BM:BO,3,FALSE())</f>
        <v>6</v>
      </c>
      <c r="AA31" s="99" t="n">
        <f aca="false">VLOOKUP(INDEX(ECR!$E:$E,MATCH(P31,ECR!$C:$C,0)),RISK!A:B,2,FALSE())</f>
        <v>2.9658</v>
      </c>
      <c r="AB31" s="100"/>
      <c r="AC31" s="94" t="s">
        <v>246</v>
      </c>
      <c r="AD31" s="94" t="str">
        <f aca="false">VLOOKUP(AC31,ECR!E:L,8,FALSE())</f>
        <v>Mike Evans</v>
      </c>
      <c r="AE31" s="94" t="str">
        <f aca="false">IFERROR(VLOOKUP(Table6[[#This Row],[PLAYER]],ECR!C:F,2,FALSE()),"-")</f>
        <v>SF</v>
      </c>
      <c r="AF31" s="94" t="n">
        <f aca="false">IFERROR(VLOOKUP(Table6[[#This Row],[PLAYER]],ECR!C:F,4,FALSE()),"-")</f>
        <v>8</v>
      </c>
      <c r="AG31" s="94" t="str">
        <f aca="false">Table6[[#This Row],[Team]] &amp; "/" &amp; Table6[[#This Row],[Bye]]</f>
        <v>SF/8</v>
      </c>
      <c r="AH31" s="95" t="n">
        <f aca="false">IFERROR(VLOOKUP(Table6[[#This Row],[PLAYER]],WR!A:Q,13,FALSE())/17*(17-Table6[[#This Row],[Missed Games]]),0)</f>
        <v>120.393267529412</v>
      </c>
      <c r="AI31" s="95" t="n">
        <f aca="false">IFERROR(VLOOKUP(Table6[[#This Row],[PLAYER]],WR!A:Q,14,FALSE())/17*(17-Table6[[#This Row],[Missed Games]]),0)</f>
        <v>129.834315882353</v>
      </c>
      <c r="AJ31" s="95" t="n">
        <f aca="false">IFERROR(VLOOKUP(Table6[[#This Row],[PLAYER]],WR!A:Q,15,FALSE())/17*(17-Table6[[#This Row],[Missed Games]]),0)</f>
        <v>136.919082352941</v>
      </c>
      <c r="AK31" s="96" t="n">
        <f aca="false">AVERAGE(AVERAGE(Table6[[#This Row],[LOW]],Table6[[#This Row],[HIGH]]),Table6[[#This Row],[AVG]],VLOOKUP(Table6[[#This Row],[PLAYER]],ECR!L:N,3,FALSE()))</f>
        <v>129.441602235294</v>
      </c>
      <c r="AL31" s="96" t="n">
        <f aca="false">Table6[[#This Row],[Zscore Projection]]-$AE$1</f>
        <v>3.76372349019606</v>
      </c>
      <c r="AM31" s="97" t="e">
        <f aca="false">MAX(Table6[[#This Row],[VBD]]*Scoring!$B$48+1,1)</f>
        <v>#VALUE!</v>
      </c>
      <c r="AN31" s="98" t="n">
        <f aca="false">VLOOKUP(Table6[[#This Row],[VBD]],BR:BT,3,FALSE())</f>
        <v>6</v>
      </c>
      <c r="AO31" s="99" t="n">
        <f aca="false">VLOOKUP(INDEX(ECR!$E:$E,MATCH(AD31,ECR!$C:$C,0)),RISK!A:B,2,FALSE())</f>
        <v>3.4673</v>
      </c>
      <c r="AP31" s="100"/>
      <c r="AQ31" s="101" t="s">
        <v>247</v>
      </c>
      <c r="AR31" s="101" t="str">
        <f aca="false">VLOOKUP(AQ31,ECR!E:L,8,FALSE())</f>
        <v>Evan Engram</v>
      </c>
      <c r="AS31" s="101" t="str">
        <f aca="false">IFERROR(VLOOKUP(Table7[[#This Row],[PLAYER]],ECR!C:F,2,FALSE()),"-")</f>
        <v>DEN</v>
      </c>
      <c r="AT31" s="101" t="n">
        <f aca="false">IFERROR(VLOOKUP(Table7[[#This Row],[PLAYER]],ECR!C:F,4,FALSE()),"-")</f>
        <v>10</v>
      </c>
      <c r="AU31" s="101" t="str">
        <f aca="false">Table7[[#This Row],[Team]] &amp; "/" &amp; Table7[[#This Row],[Bye]]</f>
        <v>DEN/10</v>
      </c>
      <c r="AV31" s="95" t="n">
        <f aca="false">IFERROR(VLOOKUP(Table7[[#This Row],[PLAYER]],TE!A:K,9,FALSE())/17*(16-Table7[[#This Row],[Missed Games]]),0)</f>
        <v>63.2335294117647</v>
      </c>
      <c r="AW31" s="95" t="n">
        <f aca="false">IFERROR(VLOOKUP(Table7[[#This Row],[PLAYER]],TE!A:K,10,FALSE())/17*(16-Table7[[#This Row],[Missed Games]]),0)</f>
        <v>69.0376470588235</v>
      </c>
      <c r="AX31" s="95" t="n">
        <f aca="false">IFERROR(VLOOKUP(Table7[[#This Row],[PLAYER]],TE!A:K,11,FALSE())/17*(16-Table7[[#This Row],[Missed Games]]),0)</f>
        <v>72.5705882352941</v>
      </c>
      <c r="AY31" s="96" t="n">
        <f aca="false">AVERAGE(AVERAGE(Table7[[#This Row],[LOW]],Table7[[#This Row],[HIGH]]),Table7[[#This Row],[AVG]],VLOOKUP(Table7[[#This Row],[PLAYER]],ECR!L:N,3,FALSE()))</f>
        <v>68.6591176470588</v>
      </c>
      <c r="AZ31" s="96" t="n">
        <f aca="false">Table7[[#This Row],[Zscore Projection]]-$AS$1</f>
        <v>-43.9144797941177</v>
      </c>
      <c r="BA31" s="97" t="e">
        <f aca="false">MAX(Table7[[#This Row],[VBD]]*Scoring!$B$48+1,1)</f>
        <v>#VALUE!</v>
      </c>
      <c r="BB31" s="95" t="n">
        <f aca="false">VLOOKUP(Table7[[#This Row],[VBD]],BW:BY,3,FALSE())</f>
        <v>7</v>
      </c>
      <c r="BC31" s="99" t="n">
        <f aca="false">VLOOKUP(INDEX(ECR!$E:$E,MATCH(AR31,ECR!$C:$C,0)),RISK!A:B,2,FALSE())</f>
        <v>3</v>
      </c>
      <c r="BD31" s="95"/>
      <c r="BE31" s="100"/>
      <c r="BF31" s="102" t="n">
        <v>29</v>
      </c>
      <c r="BG31" s="100" t="n">
        <f aca="false">IFERROR(LARGE($G$3:$G$52,BF31),"")</f>
        <v>182.148635294118</v>
      </c>
      <c r="BH31" s="100" t="n">
        <f aca="false">IFERROR(LARGE($J$3:$J$52,29),"")</f>
        <v>-86.2572481411764</v>
      </c>
      <c r="BI31" s="100" t="n">
        <f aca="false">IF(BH31="",BI30,IF((BI30-BH31)&gt;0.2*LARGE($J$3:$J$52,2),BH31,BI30))</f>
        <v>-86.2572481411764</v>
      </c>
      <c r="BJ31" s="103" t="n">
        <f aca="false">MIN(IF(BH31="",BJ30,IF((BI30-BH31)&gt;0.2*LARGE($J$3:$J$52,2),BJ30+1,BJ30)),15)</f>
        <v>15</v>
      </c>
      <c r="BK31" s="102" t="n">
        <v>29</v>
      </c>
      <c r="BL31" s="100" t="n">
        <f aca="false">IFERROR(LARGE($U$3:$U$102,BK31),"")</f>
        <v>136.842979058824</v>
      </c>
      <c r="BM31" s="104" t="n">
        <f aca="false">IFERROR(LARGE($X$3:$X$102,29),"")</f>
        <v>10.0022292745098</v>
      </c>
      <c r="BN31" s="104" t="n">
        <f aca="false">IF(BM31="",BN30,IF((BN30-BM31)&gt;0.15*LARGE($X$3:$X$102,2),BM31,BN30))</f>
        <v>17.8738221960784</v>
      </c>
      <c r="BO31" s="103" t="n">
        <f aca="false">IF(BM31="",BO30,IF((BN30-BM31)&gt;0.15*LARGE($X$3:$X$102,2),BO30+1,BO30))</f>
        <v>6</v>
      </c>
      <c r="BP31" s="105" t="n">
        <v>29</v>
      </c>
      <c r="BQ31" s="100" t="n">
        <f aca="false">IFERROR(LARGE($AI$3:$AI$102,BP31),"")</f>
        <v>129.834315882353</v>
      </c>
      <c r="BR31" s="104" t="n">
        <f aca="false">IFERROR(LARGE($AL$3:$AL$102,29),"")</f>
        <v>3.76372349019606</v>
      </c>
      <c r="BS31" s="104" t="n">
        <f aca="false">IF(BR31="",BS30,IF((BS30-BR31)&gt;0.15*LARGE($AL$3:$AL$102,2),BR31,BS30))</f>
        <v>3.76372349019606</v>
      </c>
      <c r="BT31" s="103" t="n">
        <f aca="false">IF(BR31="",BT30,IF((BS30-BR31)&gt;0.15*LARGE($AL$3:$AL$102,2),BT30+1,BT30))</f>
        <v>6</v>
      </c>
      <c r="BU31" s="102" t="n">
        <v>29</v>
      </c>
      <c r="BV31" s="100" t="n">
        <f aca="false">IFERROR(LARGE($AW$3:$AW$52,BU31),"")</f>
        <v>69.0376470588235</v>
      </c>
      <c r="BW31" s="104" t="n">
        <f aca="false">IFERROR(LARGE($AZ$3:$AZ$52,29),"")</f>
        <v>-43.9144797941177</v>
      </c>
      <c r="BX31" s="104" t="n">
        <f aca="false">IF(BW31="",BX30,IF((BX30-BW31)&gt;0.2*LARGE($AZ$3:$AZ$52,2),BW31,BX30))</f>
        <v>-36.2138915588236</v>
      </c>
      <c r="BY31" s="106" t="n">
        <f aca="false">IF(BW31="",BY30,IF((BX30-BW31)&gt;0.2*LARGE($AZ$3:$AZ$52,2),BY30+1,BY30))</f>
        <v>7</v>
      </c>
      <c r="BZ31" s="104"/>
      <c r="CA31" s="104"/>
      <c r="CB31" s="104"/>
      <c r="CC31" s="104"/>
      <c r="CD31" s="104"/>
      <c r="CE31" s="104"/>
      <c r="CF31" s="104"/>
      <c r="CG31" s="104"/>
    </row>
    <row r="32" s="107" customFormat="true" ht="14.25" hidden="false" customHeight="true" outlineLevel="0" collapsed="false">
      <c r="A32" s="93" t="s">
        <v>248</v>
      </c>
      <c r="B32" s="93" t="str">
        <f aca="false">VLOOKUP(A32,ECR!E:L,8,FALSE())</f>
        <v>Fernando Mendoza</v>
      </c>
      <c r="C32" s="94" t="str">
        <f aca="false">IFERROR(VLOOKUP(Table2[[#This Row],[PLAYER]],ECR!C:F,2,FALSE()),"-")</f>
        <v>LV</v>
      </c>
      <c r="D32" s="94" t="n">
        <f aca="false">IFERROR(VLOOKUP(Table2[[#This Row],[PLAYER]],ECR!C:F,4,FALSE()),"-")</f>
        <v>13</v>
      </c>
      <c r="E32" s="94" t="str">
        <f aca="false">Table2[[#This Row],[Team]] &amp; "/" &amp; Table2[[#This Row],[Bye]]</f>
        <v>LV/13</v>
      </c>
      <c r="F32" s="95" t="n">
        <f aca="false">IFERROR(VLOOKUP(Table2[[#This Row],[PLAYER]],QB!A:Q,15,FALSE())/17*(17-Table2[[#This Row],[Missed Games]]),0)</f>
        <v>134.801647058824</v>
      </c>
      <c r="G32" s="95" t="n">
        <f aca="false">IFERROR(VLOOKUP(Table2[[#This Row],[PLAYER]],QB!A:Q,16,FALSE())/17*(17-Table2[[#This Row],[Missed Games]]),0)</f>
        <v>155.521129411765</v>
      </c>
      <c r="H32" s="95" t="n">
        <f aca="false">IFERROR(VLOOKUP(Table2[[#This Row],[PLAYER]],QB!A:Q,17,FALSE())/17*(17-Table2[[#This Row],[Missed Games]]),0)</f>
        <v>176.422447058824</v>
      </c>
      <c r="I32" s="96" t="n">
        <f aca="false">AVERAGE(AVERAGE(Table2[[#This Row],[LOW]],Table2[[#This Row],[HIGH]]),Table2[[#This Row],[AVG]],VLOOKUP(Table2[[#This Row],[PLAYER]],ECR!L:N,3,FALSE()))</f>
        <v>155.551435294118</v>
      </c>
      <c r="J32" s="96" t="n">
        <f aca="false">Table2[[#This Row],[Zscore Projection]]-$C$1</f>
        <v>-112.827930494118</v>
      </c>
      <c r="K32" s="97" t="e">
        <f aca="false">MAX(Table2[[#This Row],[VBD]]*Scoring!$B$48+1,1)</f>
        <v>#VALUE!</v>
      </c>
      <c r="L32" s="98" t="n">
        <f aca="false">VLOOKUP(Table2[[#This Row],[VBD]],BH:BJ,3,FALSE())</f>
        <v>15</v>
      </c>
      <c r="M32" s="99" t="n">
        <f aca="false">VLOOKUP(INDEX(ECR!$E:$E,MATCH(B32,ECR!$C:$C,0)),RISK!A:B,2,FALSE())</f>
        <v>3.2</v>
      </c>
      <c r="N32" s="100"/>
      <c r="O32" s="98" t="s">
        <v>249</v>
      </c>
      <c r="P32" s="93" t="str">
        <f aca="false">VLOOKUP(O32,ECR!E:L,8,FALSE())</f>
        <v>Jonathon Brooks</v>
      </c>
      <c r="Q32" s="94" t="str">
        <f aca="false">IFERROR(VLOOKUP(Table4[[#This Row],[PLAYER]],ECR!C:F,2,FALSE()),"-")</f>
        <v>CAR</v>
      </c>
      <c r="R32" s="94" t="n">
        <f aca="false">IFERROR(VLOOKUP(Table4[[#This Row],[PLAYER]],ECR!C:F,4,FALSE()),"-")</f>
        <v>5</v>
      </c>
      <c r="S32" s="94" t="str">
        <f aca="false">Table4[[#This Row],[Team]] &amp; "/" &amp; Table4[[#This Row],[Bye]]</f>
        <v>CAR/5</v>
      </c>
      <c r="T32" s="95" t="n">
        <f aca="false">IFERROR(VLOOKUP(Table4[[#This Row],[PLAYER]],RB!A:Q,13,FALSE())/17*(17-Table4[[#This Row],[Missed Games]]),0)</f>
        <v>100.896764705882</v>
      </c>
      <c r="U32" s="95" t="n">
        <f aca="false">IFERROR(VLOOKUP(Table4[[#This Row],[PLAYER]],RB!A:Q,14,FALSE())/17*(17-Table4[[#This Row],[Missed Games]]),0)</f>
        <v>123.143471764706</v>
      </c>
      <c r="V32" s="95" t="n">
        <f aca="false">IFERROR(VLOOKUP(Table4[[#This Row],[PLAYER]],RB!A:Q,15,FALSE())/17*(17-Table4[[#This Row],[Missed Games]]),0)</f>
        <v>145.596090588235</v>
      </c>
      <c r="W32" s="96" t="n">
        <f aca="false">AVERAGE(AVERAGE(Table4[[#This Row],[LOW]],Table4[[#This Row],[HIGH]]),Table4[[#This Row],[AVG]],VLOOKUP(Table4[[#This Row],[PLAYER]],ECR!L:N,3,FALSE()))</f>
        <v>127.545738392157</v>
      </c>
      <c r="X32" s="96" t="n">
        <f aca="false">Table4[[#This Row],[Zscore Projection]]-$Q$1</f>
        <v>0</v>
      </c>
      <c r="Y32" s="97" t="e">
        <f aca="false">MAX(Table4[[#This Row],[VBD]]*Scoring!$B$48+1,1)</f>
        <v>#VALUE!</v>
      </c>
      <c r="Z32" s="98" t="n">
        <f aca="false">VLOOKUP(Table4[[#This Row],[VBD]],BM:BO,3,FALSE())</f>
        <v>6</v>
      </c>
      <c r="AA32" s="99" t="n">
        <f aca="false">VLOOKUP(INDEX(ECR!$E:$E,MATCH(P32,ECR!$C:$C,0)),RISK!A:B,2,FALSE())</f>
        <v>2.998</v>
      </c>
      <c r="AB32" s="100"/>
      <c r="AC32" s="94" t="s">
        <v>250</v>
      </c>
      <c r="AD32" s="94" t="str">
        <f aca="false">VLOOKUP(AC32,ECR!E:L,8,FALSE())</f>
        <v>Parker Washington</v>
      </c>
      <c r="AE32" s="94" t="str">
        <f aca="false">IFERROR(VLOOKUP(Table6[[#This Row],[PLAYER]],ECR!C:F,2,FALSE()),"-")</f>
        <v>JAC</v>
      </c>
      <c r="AF32" s="94" t="n">
        <f aca="false">IFERROR(VLOOKUP(Table6[[#This Row],[PLAYER]],ECR!C:F,4,FALSE()),"-")</f>
        <v>7</v>
      </c>
      <c r="AG32" s="94" t="str">
        <f aca="false">Table6[[#This Row],[Team]] &amp; "/" &amp; Table6[[#This Row],[Bye]]</f>
        <v>JAC/7</v>
      </c>
      <c r="AH32" s="95" t="n">
        <f aca="false">IFERROR(VLOOKUP(Table6[[#This Row],[PLAYER]],WR!A:Q,13,FALSE())/17*(17-Table6[[#This Row],[Missed Games]]),0)</f>
        <v>111.670964705882</v>
      </c>
      <c r="AI32" s="95" t="n">
        <f aca="false">IFERROR(VLOOKUP(Table6[[#This Row],[PLAYER]],WR!A:Q,14,FALSE())/17*(17-Table6[[#This Row],[Missed Games]]),0)</f>
        <v>121.283550588235</v>
      </c>
      <c r="AJ32" s="95" t="n">
        <f aca="false">IFERROR(VLOOKUP(Table6[[#This Row],[PLAYER]],WR!A:Q,15,FALSE())/17*(17-Table6[[#This Row],[Missed Games]]),0)</f>
        <v>136.376579411765</v>
      </c>
      <c r="AK32" s="96" t="n">
        <f aca="false">AVERAGE(AVERAGE(Table6[[#This Row],[LOW]],Table6[[#This Row],[HIGH]]),Table6[[#This Row],[AVG]],VLOOKUP(Table6[[#This Row],[PLAYER]],ECR!L:N,3,FALSE()))</f>
        <v>124.736514764706</v>
      </c>
      <c r="AL32" s="96" t="n">
        <f aca="false">Table6[[#This Row],[Zscore Projection]]-$AE$1</f>
        <v>-0.94136398039214</v>
      </c>
      <c r="AM32" s="97" t="e">
        <f aca="false">MAX(Table6[[#This Row],[VBD]]*Scoring!$B$48+1,1)</f>
        <v>#VALUE!</v>
      </c>
      <c r="AN32" s="98" t="n">
        <f aca="false">VLOOKUP(Table6[[#This Row],[VBD]],BR:BT,3,FALSE())</f>
        <v>6</v>
      </c>
      <c r="AO32" s="99" t="n">
        <f aca="false">VLOOKUP(INDEX(ECR!$E:$E,MATCH(AD32,ECR!$C:$C,0)),RISK!A:B,2,FALSE())</f>
        <v>3.517</v>
      </c>
      <c r="AP32" s="100"/>
      <c r="AQ32" s="101" t="s">
        <v>251</v>
      </c>
      <c r="AR32" s="101" t="str">
        <f aca="false">VLOOKUP(AQ32,ECR!E:L,8,FALSE())</f>
        <v>David Njoku</v>
      </c>
      <c r="AS32" s="101" t="str">
        <f aca="false">IFERROR(VLOOKUP(Table7[[#This Row],[PLAYER]],ECR!C:F,2,FALSE()),"-")</f>
        <v>LAC</v>
      </c>
      <c r="AT32" s="101" t="n">
        <f aca="false">IFERROR(VLOOKUP(Table7[[#This Row],[PLAYER]],ECR!C:F,4,FALSE()),"-")</f>
        <v>7</v>
      </c>
      <c r="AU32" s="101" t="str">
        <f aca="false">Table7[[#This Row],[Team]] &amp; "/" &amp; Table7[[#This Row],[Bye]]</f>
        <v>LAC/7</v>
      </c>
      <c r="AV32" s="95" t="n">
        <f aca="false">IFERROR(VLOOKUP(Table7[[#This Row],[PLAYER]],TE!A:K,9,FALSE())/17*(16-Table7[[#This Row],[Missed Games]]),0)</f>
        <v>56.7794117647059</v>
      </c>
      <c r="AW32" s="95" t="n">
        <f aca="false">IFERROR(VLOOKUP(Table7[[#This Row],[PLAYER]],TE!A:K,10,FALSE())/17*(16-Table7[[#This Row],[Missed Games]]),0)</f>
        <v>66.0476470588235</v>
      </c>
      <c r="AX32" s="95" t="n">
        <f aca="false">IFERROR(VLOOKUP(Table7[[#This Row],[PLAYER]],TE!A:K,11,FALSE())/17*(16-Table7[[#This Row],[Missed Games]]),0)</f>
        <v>76.6005882352941</v>
      </c>
      <c r="AY32" s="96" t="n">
        <f aca="false">AVERAGE(AVERAGE(Table7[[#This Row],[LOW]],Table7[[#This Row],[HIGH]]),Table7[[#This Row],[AVG]],VLOOKUP(Table7[[#This Row],[PLAYER]],ECR!L:N,3,FALSE()))</f>
        <v>66.7129411764706</v>
      </c>
      <c r="AZ32" s="96" t="n">
        <f aca="false">Table7[[#This Row],[Zscore Projection]]-$AS$1</f>
        <v>-45.8606562647059</v>
      </c>
      <c r="BA32" s="97" t="e">
        <f aca="false">MAX(Table7[[#This Row],[VBD]]*Scoring!$B$48+1,1)</f>
        <v>#VALUE!</v>
      </c>
      <c r="BB32" s="95" t="n">
        <f aca="false">VLOOKUP(Table7[[#This Row],[VBD]],BW:BY,3,FALSE())</f>
        <v>7</v>
      </c>
      <c r="BC32" s="99" t="n">
        <f aca="false">VLOOKUP(INDEX(ECR!$E:$E,MATCH(AR32,ECR!$C:$C,0)),RISK!A:B,2,FALSE())</f>
        <v>3</v>
      </c>
      <c r="BD32" s="95"/>
      <c r="BE32" s="100"/>
      <c r="BF32" s="102" t="n">
        <v>30</v>
      </c>
      <c r="BG32" s="100" t="n">
        <f aca="false">IFERROR(LARGE($G$3:$G$52,BF32),"")</f>
        <v>155.521129411765</v>
      </c>
      <c r="BH32" s="100" t="n">
        <f aca="false">IFERROR(LARGE($J$3:$J$52,30),"")</f>
        <v>-112.827930494118</v>
      </c>
      <c r="BI32" s="100" t="n">
        <f aca="false">IF(BH32="",BI31,IF((BI31-BH32)&gt;0.2*LARGE($J$3:$J$52,2),BH32,BI31))</f>
        <v>-112.827930494118</v>
      </c>
      <c r="BJ32" s="103" t="n">
        <f aca="false">MIN(IF(BH32="",BJ31,IF((BI31-BH32)&gt;0.2*LARGE($J$3:$J$52,2),BJ31+1,BJ31)),15)</f>
        <v>15</v>
      </c>
      <c r="BK32" s="102" t="n">
        <v>30</v>
      </c>
      <c r="BL32" s="100" t="n">
        <f aca="false">IFERROR(LARGE($U$3:$U$102,BK32),"")</f>
        <v>136.247315764706</v>
      </c>
      <c r="BM32" s="104" t="n">
        <f aca="false">IFERROR(LARGE($X$3:$X$102,30),"")</f>
        <v>6.70353637254902</v>
      </c>
      <c r="BN32" s="104" t="n">
        <f aca="false">IF(BM32="",BN31,IF((BN31-BM32)&gt;0.15*LARGE($X$3:$X$102,2),BM32,BN31))</f>
        <v>17.8738221960784</v>
      </c>
      <c r="BO32" s="103" t="n">
        <f aca="false">IF(BM32="",BO31,IF((BN31-BM32)&gt;0.15*LARGE($X$3:$X$102,2),BO31+1,BO31))</f>
        <v>6</v>
      </c>
      <c r="BP32" s="105" t="n">
        <v>30</v>
      </c>
      <c r="BQ32" s="100" t="n">
        <f aca="false">IFERROR(LARGE($AI$3:$AI$102,BP32),"")</f>
        <v>128.902221647059</v>
      </c>
      <c r="BR32" s="104" t="n">
        <f aca="false">IFERROR(LARGE($AL$3:$AL$102,30),"")</f>
        <v>2.88356386274511</v>
      </c>
      <c r="BS32" s="104" t="n">
        <f aca="false">IF(BR32="",BS31,IF((BS31-BR32)&gt;0.15*LARGE($AL$3:$AL$102,2),BR32,BS31))</f>
        <v>3.76372349019606</v>
      </c>
      <c r="BT32" s="103" t="n">
        <f aca="false">IF(BR32="",BT31,IF((BS31-BR32)&gt;0.15*LARGE($AL$3:$AL$102,2),BT31+1,BT31))</f>
        <v>6</v>
      </c>
      <c r="BU32" s="102" t="n">
        <v>30</v>
      </c>
      <c r="BV32" s="100" t="n">
        <f aca="false">IFERROR(LARGE($AW$3:$AW$52,BU32),"")</f>
        <v>67.4011764705882</v>
      </c>
      <c r="BW32" s="104" t="n">
        <f aca="false">IFERROR(LARGE($AZ$3:$AZ$52,30),"")</f>
        <v>-45.8606562647059</v>
      </c>
      <c r="BX32" s="104" t="n">
        <f aca="false">IF(BW32="",BX31,IF((BX31-BW32)&gt;0.2*LARGE($AZ$3:$AZ$52,2),BW32,BX31))</f>
        <v>-36.2138915588236</v>
      </c>
      <c r="BY32" s="106" t="n">
        <f aca="false">IF(BW32="",BY31,IF((BX31-BW32)&gt;0.2*LARGE($AZ$3:$AZ$52,2),BY31+1,BY31))</f>
        <v>7</v>
      </c>
      <c r="BZ32" s="104"/>
      <c r="CA32" s="104"/>
      <c r="CB32" s="104"/>
      <c r="CC32" s="104"/>
      <c r="CD32" s="104"/>
      <c r="CE32" s="104"/>
      <c r="CF32" s="104"/>
      <c r="CG32" s="104"/>
    </row>
    <row r="33" s="107" customFormat="true" ht="14.25" hidden="false" customHeight="true" outlineLevel="0" collapsed="false">
      <c r="A33" s="93" t="s">
        <v>252</v>
      </c>
      <c r="B33" s="93" t="str">
        <f aca="false">VLOOKUP(A33,ECR!E:L,8,FALSE())</f>
        <v>Michael Penix Jr.</v>
      </c>
      <c r="C33" s="94" t="str">
        <f aca="false">IFERROR(VLOOKUP(Table2[[#This Row],[PLAYER]],ECR!C:F,2,FALSE()),"-")</f>
        <v>ATL</v>
      </c>
      <c r="D33" s="94" t="n">
        <f aca="false">IFERROR(VLOOKUP(Table2[[#This Row],[PLAYER]],ECR!C:F,4,FALSE()),"-")</f>
        <v>11</v>
      </c>
      <c r="E33" s="94" t="str">
        <f aca="false">Table2[[#This Row],[Team]] &amp; "/" &amp; Table2[[#This Row],[Bye]]</f>
        <v>ATL/11</v>
      </c>
      <c r="F33" s="95" t="n">
        <f aca="false">IFERROR(VLOOKUP(Table2[[#This Row],[PLAYER]],QB!A:Q,15,FALSE())/17*(17-Table2[[#This Row],[Missed Games]]),0)</f>
        <v>62.652</v>
      </c>
      <c r="G33" s="95" t="n">
        <f aca="false">IFERROR(VLOOKUP(Table2[[#This Row],[PLAYER]],QB!A:Q,16,FALSE())/17*(17-Table2[[#This Row],[Missed Games]]),0)</f>
        <v>79.9929176470588</v>
      </c>
      <c r="H33" s="95" t="n">
        <f aca="false">IFERROR(VLOOKUP(Table2[[#This Row],[PLAYER]],QB!A:Q,17,FALSE())/17*(17-Table2[[#This Row],[Missed Games]]),0)</f>
        <v>98.6781176470588</v>
      </c>
      <c r="I33" s="96" t="n">
        <f aca="false">AVERAGE(AVERAGE(Table2[[#This Row],[LOW]],Table2[[#This Row],[HIGH]]),Table2[[#This Row],[AVG]],VLOOKUP(Table2[[#This Row],[PLAYER]],ECR!L:N,3,FALSE()))</f>
        <v>91.6195529411765</v>
      </c>
      <c r="J33" s="96" t="n">
        <f aca="false">Table2[[#This Row],[Zscore Projection]]-$C$1</f>
        <v>-176.759812847059</v>
      </c>
      <c r="K33" s="97" t="e">
        <f aca="false">MAX(Table2[[#This Row],[VBD]]*Scoring!$B$48+1,1)</f>
        <v>#VALUE!</v>
      </c>
      <c r="L33" s="98" t="n">
        <f aca="false">VLOOKUP(Table2[[#This Row],[VBD]],BH:BJ,3,FALSE())</f>
        <v>15</v>
      </c>
      <c r="M33" s="99" t="n">
        <f aca="false">VLOOKUP(INDEX(ECR!$E:$E,MATCH(B33,ECR!$C:$C,0)),RISK!A:B,2,FALSE())</f>
        <v>3.2</v>
      </c>
      <c r="N33" s="100"/>
      <c r="O33" s="98" t="s">
        <v>253</v>
      </c>
      <c r="P33" s="93" t="str">
        <f aca="false">VLOOKUP(O33,ECR!E:L,8,FALSE())</f>
        <v>J.K. Dobbins</v>
      </c>
      <c r="Q33" s="94" t="str">
        <f aca="false">IFERROR(VLOOKUP(Table4[[#This Row],[PLAYER]],ECR!C:F,2,FALSE()),"-")</f>
        <v>DEN</v>
      </c>
      <c r="R33" s="94" t="n">
        <f aca="false">IFERROR(VLOOKUP(Table4[[#This Row],[PLAYER]],ECR!C:F,4,FALSE()),"-")</f>
        <v>10</v>
      </c>
      <c r="S33" s="94" t="str">
        <f aca="false">Table4[[#This Row],[Team]] &amp; "/" &amp; Table4[[#This Row],[Bye]]</f>
        <v>DEN/10</v>
      </c>
      <c r="T33" s="95" t="n">
        <f aca="false">IFERROR(VLOOKUP(Table4[[#This Row],[PLAYER]],RB!A:Q,13,FALSE())/17*(17-Table4[[#This Row],[Missed Games]]),0)</f>
        <v>122.471754705882</v>
      </c>
      <c r="U33" s="95" t="n">
        <f aca="false">IFERROR(VLOOKUP(Table4[[#This Row],[PLAYER]],RB!A:Q,14,FALSE())/17*(17-Table4[[#This Row],[Missed Games]]),0)</f>
        <v>136.842979058824</v>
      </c>
      <c r="V33" s="95" t="n">
        <f aca="false">IFERROR(VLOOKUP(Table4[[#This Row],[PLAYER]],RB!A:Q,15,FALSE())/17*(17-Table4[[#This Row],[Missed Games]]),0)</f>
        <v>151.698996</v>
      </c>
      <c r="W33" s="96" t="n">
        <f aca="false">AVERAGE(AVERAGE(Table4[[#This Row],[LOW]],Table4[[#This Row],[HIGH]]),Table4[[#This Row],[AVG]],VLOOKUP(Table4[[#This Row],[PLAYER]],ECR!L:N,3,FALSE()))</f>
        <v>134.249274764706</v>
      </c>
      <c r="X33" s="96" t="n">
        <f aca="false">Table4[[#This Row],[Zscore Projection]]-$Q$1</f>
        <v>6.70353637254902</v>
      </c>
      <c r="Y33" s="97" t="e">
        <f aca="false">MAX(Table4[[#This Row],[VBD]]*Scoring!$B$48+1,1)</f>
        <v>#VALUE!</v>
      </c>
      <c r="Z33" s="98" t="n">
        <f aca="false">VLOOKUP(Table4[[#This Row],[VBD]],BM:BO,3,FALSE())</f>
        <v>6</v>
      </c>
      <c r="AA33" s="99" t="n">
        <f aca="false">VLOOKUP(INDEX(ECR!$E:$E,MATCH(P33,ECR!$C:$C,0)),RISK!A:B,2,FALSE())</f>
        <v>3.0314</v>
      </c>
      <c r="AB33" s="100"/>
      <c r="AC33" s="94" t="s">
        <v>254</v>
      </c>
      <c r="AD33" s="94" t="str">
        <f aca="false">VLOOKUP(AC33,ECR!E:L,8,FALSE())</f>
        <v>Marvin Harrison Jr.</v>
      </c>
      <c r="AE33" s="94" t="str">
        <f aca="false">IFERROR(VLOOKUP(Table6[[#This Row],[PLAYER]],ECR!C:F,2,FALSE()),"-")</f>
        <v>ARI</v>
      </c>
      <c r="AF33" s="94" t="n">
        <f aca="false">IFERROR(VLOOKUP(Table6[[#This Row],[PLAYER]],ECR!C:F,4,FALSE()),"-")</f>
        <v>14</v>
      </c>
      <c r="AG33" s="94" t="str">
        <f aca="false">Table6[[#This Row],[Team]] &amp; "/" &amp; Table6[[#This Row],[Bye]]</f>
        <v>ARI/14</v>
      </c>
      <c r="AH33" s="95" t="n">
        <f aca="false">IFERROR(VLOOKUP(Table6[[#This Row],[PLAYER]],WR!A:Q,13,FALSE())/17*(17-Table6[[#This Row],[Missed Games]]),0)</f>
        <v>121.774352352941</v>
      </c>
      <c r="AI33" s="95" t="n">
        <f aca="false">IFERROR(VLOOKUP(Table6[[#This Row],[PLAYER]],WR!A:Q,14,FALSE())/17*(17-Table6[[#This Row],[Missed Games]]),0)</f>
        <v>128.902221647059</v>
      </c>
      <c r="AJ33" s="95" t="n">
        <f aca="false">IFERROR(VLOOKUP(Table6[[#This Row],[PLAYER]],WR!A:Q,15,FALSE())/17*(17-Table6[[#This Row],[Missed Games]]),0)</f>
        <v>135.698194588235</v>
      </c>
      <c r="AK33" s="96" t="n">
        <f aca="false">AVERAGE(AVERAGE(Table6[[#This Row],[LOW]],Table6[[#This Row],[HIGH]]),Table6[[#This Row],[AVG]],VLOOKUP(Table6[[#This Row],[PLAYER]],ECR!L:N,3,FALSE()))</f>
        <v>128.561442607843</v>
      </c>
      <c r="AL33" s="96" t="n">
        <f aca="false">Table6[[#This Row],[Zscore Projection]]-$AE$1</f>
        <v>2.88356386274511</v>
      </c>
      <c r="AM33" s="97" t="e">
        <f aca="false">MAX(Table6[[#This Row],[VBD]]*Scoring!$B$48+1,1)</f>
        <v>#VALUE!</v>
      </c>
      <c r="AN33" s="98" t="n">
        <f aca="false">VLOOKUP(Table6[[#This Row],[VBD]],BR:BT,3,FALSE())</f>
        <v>6</v>
      </c>
      <c r="AO33" s="99" t="n">
        <f aca="false">VLOOKUP(INDEX(ECR!$E:$E,MATCH(AD33,ECR!$C:$C,0)),RISK!A:B,2,FALSE())</f>
        <v>3.5661</v>
      </c>
      <c r="AP33" s="100"/>
      <c r="AQ33" s="101" t="s">
        <v>255</v>
      </c>
      <c r="AR33" s="101" t="str">
        <f aca="false">VLOOKUP(AQ33,ECR!E:L,8,FALSE())</f>
        <v>Colby Parkinson</v>
      </c>
      <c r="AS33" s="101" t="str">
        <f aca="false">IFERROR(VLOOKUP(Table7[[#This Row],[PLAYER]],ECR!C:F,2,FALSE()),"-")</f>
        <v>LAR</v>
      </c>
      <c r="AT33" s="101" t="n">
        <f aca="false">IFERROR(VLOOKUP(Table7[[#This Row],[PLAYER]],ECR!C:F,4,FALSE()),"-")</f>
        <v>11</v>
      </c>
      <c r="AU33" s="101" t="str">
        <f aca="false">Table7[[#This Row],[Team]] &amp; "/" &amp; Table7[[#This Row],[Bye]]</f>
        <v>LAR/11</v>
      </c>
      <c r="AV33" s="95" t="n">
        <f aca="false">IFERROR(VLOOKUP(Table7[[#This Row],[PLAYER]],TE!A:K,9,FALSE())/17*(16-Table7[[#This Row],[Missed Games]]),0)</f>
        <v>45.2094117647059</v>
      </c>
      <c r="AW33" s="95" t="n">
        <f aca="false">IFERROR(VLOOKUP(Table7[[#This Row],[PLAYER]],TE!A:K,10,FALSE())/17*(16-Table7[[#This Row],[Missed Games]]),0)</f>
        <v>56.3741176470588</v>
      </c>
      <c r="AX33" s="95" t="n">
        <f aca="false">IFERROR(VLOOKUP(Table7[[#This Row],[PLAYER]],TE!A:K,11,FALSE())/17*(16-Table7[[#This Row],[Missed Games]]),0)</f>
        <v>76.0117647058824</v>
      </c>
      <c r="AY33" s="96" t="n">
        <f aca="false">AVERAGE(AVERAGE(Table7[[#This Row],[LOW]],Table7[[#This Row],[HIGH]]),Table7[[#This Row],[AVG]],VLOOKUP(Table7[[#This Row],[PLAYER]],ECR!L:N,3,FALSE()))</f>
        <v>61.1739215686274</v>
      </c>
      <c r="AZ33" s="96" t="n">
        <f aca="false">Table7[[#This Row],[Zscore Projection]]-$AS$1</f>
        <v>-51.3996758725491</v>
      </c>
      <c r="BA33" s="97" t="e">
        <f aca="false">MAX(Table7[[#This Row],[VBD]]*Scoring!$B$48+1,1)</f>
        <v>#VALUE!</v>
      </c>
      <c r="BB33" s="95" t="n">
        <f aca="false">VLOOKUP(Table7[[#This Row],[VBD]],BW:BY,3,FALSE())</f>
        <v>8</v>
      </c>
      <c r="BC33" s="99" t="n">
        <f aca="false">VLOOKUP(INDEX(ECR!$E:$E,MATCH(AR33,ECR!$C:$C,0)),RISK!A:B,2,FALSE())</f>
        <v>3</v>
      </c>
      <c r="BD33" s="95"/>
      <c r="BE33" s="100"/>
      <c r="BF33" s="102" t="n">
        <v>31</v>
      </c>
      <c r="BG33" s="100" t="n">
        <f aca="false">IFERROR(LARGE($G$3:$G$52,BF33),"")</f>
        <v>114.200682352941</v>
      </c>
      <c r="BH33" s="100" t="n">
        <f aca="false">IFERROR(LARGE($J$3:$J$52,31),"")</f>
        <v>-155.446118729412</v>
      </c>
      <c r="BI33" s="100" t="n">
        <f aca="false">IF(BH33="",BI32,IF((BI32-BH33)&gt;0.2*LARGE($J$3:$J$52,2),BH33,BI32))</f>
        <v>-155.446118729412</v>
      </c>
      <c r="BJ33" s="103" t="n">
        <f aca="false">MIN(IF(BH33="",BJ32,IF((BI32-BH33)&gt;0.2*LARGE($J$3:$J$52,2),BJ32+1,BJ32)),15)</f>
        <v>15</v>
      </c>
      <c r="BK33" s="102" t="n">
        <v>31</v>
      </c>
      <c r="BL33" s="100" t="n">
        <f aca="false">IFERROR(LARGE($U$3:$U$102,BK33),"")</f>
        <v>128.819469882353</v>
      </c>
      <c r="BM33" s="104" t="n">
        <f aca="false">IFERROR(LARGE($X$3:$X$102,31),"")</f>
        <v>0</v>
      </c>
      <c r="BN33" s="104" t="n">
        <f aca="false">IF(BM33="",BN32,IF((BN32-BM33)&gt;0.15*LARGE($X$3:$X$102,2),BM33,BN32))</f>
        <v>17.8738221960784</v>
      </c>
      <c r="BO33" s="103" t="n">
        <f aca="false">IF(BM33="",BO32,IF((BN32-BM33)&gt;0.15*LARGE($X$3:$X$102,2),BO32+1,BO32))</f>
        <v>6</v>
      </c>
      <c r="BP33" s="105" t="n">
        <v>31</v>
      </c>
      <c r="BQ33" s="100" t="n">
        <f aca="false">IFERROR(LARGE($AI$3:$AI$102,BP33),"")</f>
        <v>128.045832705882</v>
      </c>
      <c r="BR33" s="104" t="n">
        <f aca="false">IFERROR(LARGE($AL$3:$AL$102,31),"")</f>
        <v>2.35221612784314</v>
      </c>
      <c r="BS33" s="104" t="n">
        <f aca="false">IF(BR33="",BS32,IF((BS32-BR33)&gt;0.15*LARGE($AL$3:$AL$102,2),BR33,BS32))</f>
        <v>3.76372349019606</v>
      </c>
      <c r="BT33" s="103" t="n">
        <f aca="false">IF(BR33="",BT32,IF((BS32-BR33)&gt;0.15*LARGE($AL$3:$AL$102,2),BT32+1,BT32))</f>
        <v>6</v>
      </c>
      <c r="BU33" s="102" t="n">
        <v>31</v>
      </c>
      <c r="BV33" s="100" t="n">
        <f aca="false">IFERROR(LARGE($AW$3:$AW$52,BU33),"")</f>
        <v>66.5370588235294</v>
      </c>
      <c r="BW33" s="104" t="n">
        <f aca="false">IFERROR(LARGE($AZ$3:$AZ$52,31),"")</f>
        <v>-47.8297739117647</v>
      </c>
      <c r="BX33" s="104" t="n">
        <f aca="false">IF(BW33="",BX32,IF((BX32-BW33)&gt;0.2*LARGE($AZ$3:$AZ$52,2),BW33,BX32))</f>
        <v>-47.8297739117647</v>
      </c>
      <c r="BY33" s="106" t="n">
        <f aca="false">IF(BW33="",BY32,IF((BX32-BW33)&gt;0.2*LARGE($AZ$3:$AZ$52,2),BY32+1,BY32))</f>
        <v>8</v>
      </c>
      <c r="BZ33" s="104"/>
      <c r="CA33" s="104"/>
      <c r="CB33" s="104"/>
      <c r="CC33" s="104"/>
      <c r="CD33" s="104"/>
      <c r="CE33" s="104"/>
      <c r="CF33" s="104"/>
      <c r="CG33" s="104"/>
    </row>
    <row r="34" s="107" customFormat="true" ht="14.25" hidden="false" customHeight="true" outlineLevel="0" collapsed="false">
      <c r="A34" s="93" t="s">
        <v>256</v>
      </c>
      <c r="B34" s="93" t="str">
        <f aca="false">VLOOKUP(A34,ECR!E:L,8,FALSE())</f>
        <v>Tua Tagovailoa</v>
      </c>
      <c r="C34" s="94" t="str">
        <f aca="false">IFERROR(VLOOKUP(Table2[[#This Row],[PLAYER]],ECR!C:F,2,FALSE()),"-")</f>
        <v>ATL</v>
      </c>
      <c r="D34" s="94" t="n">
        <f aca="false">IFERROR(VLOOKUP(Table2[[#This Row],[PLAYER]],ECR!C:F,4,FALSE()),"-")</f>
        <v>11</v>
      </c>
      <c r="E34" s="94" t="str">
        <f aca="false">Table2[[#This Row],[Team]] &amp; "/" &amp; Table2[[#This Row],[Bye]]</f>
        <v>ATL/11</v>
      </c>
      <c r="F34" s="95" t="n">
        <f aca="false">IFERROR(VLOOKUP(Table2[[#This Row],[PLAYER]],QB!A:Q,15,FALSE())/17*(17-Table2[[#This Row],[Missed Games]]),0)</f>
        <v>97.3435764705883</v>
      </c>
      <c r="G34" s="95" t="n">
        <f aca="false">IFERROR(VLOOKUP(Table2[[#This Row],[PLAYER]],QB!A:Q,16,FALSE())/17*(17-Table2[[#This Row],[Missed Games]]),0)</f>
        <v>114.200682352941</v>
      </c>
      <c r="H34" s="95" t="n">
        <f aca="false">IFERROR(VLOOKUP(Table2[[#This Row],[PLAYER]],QB!A:Q,17,FALSE())/17*(17-Table2[[#This Row],[Missed Games]]),0)</f>
        <v>132.285176470588</v>
      </c>
      <c r="I34" s="96" t="n">
        <f aca="false">AVERAGE(AVERAGE(Table2[[#This Row],[LOW]],Table2[[#This Row],[HIGH]]),Table2[[#This Row],[AVG]],VLOOKUP(Table2[[#This Row],[PLAYER]],ECR!L:N,3,FALSE()))</f>
        <v>112.933247058824</v>
      </c>
      <c r="J34" s="96" t="n">
        <f aca="false">Table2[[#This Row],[Zscore Projection]]-$C$1</f>
        <v>-155.446118729412</v>
      </c>
      <c r="K34" s="97" t="e">
        <f aca="false">MAX(Table2[[#This Row],[VBD]]*Scoring!$B$48+1,1)</f>
        <v>#VALUE!</v>
      </c>
      <c r="L34" s="98" t="n">
        <f aca="false">VLOOKUP(Table2[[#This Row],[VBD]],BH:BJ,3,FALSE())</f>
        <v>15</v>
      </c>
      <c r="M34" s="99" t="n">
        <f aca="false">VLOOKUP(INDEX(ECR!$E:$E,MATCH(B34,ECR!$C:$C,0)),RISK!A:B,2,FALSE())</f>
        <v>3.2</v>
      </c>
      <c r="N34" s="100"/>
      <c r="O34" s="98" t="s">
        <v>257</v>
      </c>
      <c r="P34" s="93" t="str">
        <f aca="false">VLOOKUP(O34,ECR!E:L,8,FALSE())</f>
        <v>Blake Corum</v>
      </c>
      <c r="Q34" s="94" t="str">
        <f aca="false">IFERROR(VLOOKUP(Table4[[#This Row],[PLAYER]],ECR!C:F,2,FALSE()),"-")</f>
        <v>LAR</v>
      </c>
      <c r="R34" s="94" t="n">
        <f aca="false">IFERROR(VLOOKUP(Table4[[#This Row],[PLAYER]],ECR!C:F,4,FALSE()),"-")</f>
        <v>11</v>
      </c>
      <c r="S34" s="94" t="str">
        <f aca="false">Table4[[#This Row],[Team]] &amp; "/" &amp; Table4[[#This Row],[Bye]]</f>
        <v>LAR/11</v>
      </c>
      <c r="T34" s="95" t="n">
        <f aca="false">IFERROR(VLOOKUP(Table4[[#This Row],[PLAYER]],RB!A:Q,13,FALSE())/17*(17-Table4[[#This Row],[Missed Games]]),0)</f>
        <v>94.3413764705882</v>
      </c>
      <c r="U34" s="95" t="n">
        <f aca="false">IFERROR(VLOOKUP(Table4[[#This Row],[PLAYER]],RB!A:Q,14,FALSE())/17*(17-Table4[[#This Row],[Missed Games]]),0)</f>
        <v>110.242529411765</v>
      </c>
      <c r="V34" s="95" t="n">
        <f aca="false">IFERROR(VLOOKUP(Table4[[#This Row],[PLAYER]],RB!A:Q,15,FALSE())/17*(17-Table4[[#This Row],[Missed Games]]),0)</f>
        <v>127.307581176471</v>
      </c>
      <c r="W34" s="96" t="n">
        <f aca="false">AVERAGE(AVERAGE(Table4[[#This Row],[LOW]],Table4[[#This Row],[HIGH]]),Table4[[#This Row],[AVG]],VLOOKUP(Table4[[#This Row],[PLAYER]],ECR!L:N,3,FALSE()))</f>
        <v>114.92305454902</v>
      </c>
      <c r="X34" s="96" t="n">
        <f aca="false">Table4[[#This Row],[Zscore Projection]]-$Q$1</f>
        <v>-12.6226838431373</v>
      </c>
      <c r="Y34" s="97" t="e">
        <f aca="false">MAX(Table4[[#This Row],[VBD]]*Scoring!$B$48+1,1)</f>
        <v>#VALUE!</v>
      </c>
      <c r="Z34" s="98" t="n">
        <f aca="false">VLOOKUP(Table4[[#This Row],[VBD]],BM:BO,3,FALSE())</f>
        <v>7</v>
      </c>
      <c r="AA34" s="99" t="n">
        <f aca="false">VLOOKUP(INDEX(ECR!$E:$E,MATCH(P34,ECR!$C:$C,0)),RISK!A:B,2,FALSE())</f>
        <v>3.066</v>
      </c>
      <c r="AB34" s="100"/>
      <c r="AC34" s="94" t="s">
        <v>258</v>
      </c>
      <c r="AD34" s="94" t="str">
        <f aca="false">VLOOKUP(AC34,ECR!E:L,8,FALSE())</f>
        <v>Carnell Tate</v>
      </c>
      <c r="AE34" s="94" t="str">
        <f aca="false">IFERROR(VLOOKUP(Table6[[#This Row],[PLAYER]],ECR!C:F,2,FALSE()),"-")</f>
        <v>TEN</v>
      </c>
      <c r="AF34" s="94" t="n">
        <f aca="false">IFERROR(VLOOKUP(Table6[[#This Row],[PLAYER]],ECR!C:F,4,FALSE()),"-")</f>
        <v>9</v>
      </c>
      <c r="AG34" s="94" t="str">
        <f aca="false">Table6[[#This Row],[Team]] &amp; "/" &amp; Table6[[#This Row],[Bye]]</f>
        <v>TEN/9</v>
      </c>
      <c r="AH34" s="95" t="n">
        <f aca="false">IFERROR(VLOOKUP(Table6[[#This Row],[PLAYER]],WR!A:Q,13,FALSE())/17*(17-Table6[[#This Row],[Missed Games]]),0)</f>
        <v>111.259759750588</v>
      </c>
      <c r="AI34" s="95" t="n">
        <f aca="false">IFERROR(VLOOKUP(Table6[[#This Row],[PLAYER]],WR!A:Q,14,FALSE())/17*(17-Table6[[#This Row],[Missed Games]]),0)</f>
        <v>127.613569044706</v>
      </c>
      <c r="AJ34" s="95" t="n">
        <f aca="false">IFERROR(VLOOKUP(Table6[[#This Row],[PLAYER]],WR!A:Q,15,FALSE())/17*(17-Table6[[#This Row],[Missed Games]]),0)</f>
        <v>145.801965515294</v>
      </c>
      <c r="AK34" s="96" t="n">
        <f aca="false">AVERAGE(AVERAGE(Table6[[#This Row],[LOW]],Table6[[#This Row],[HIGH]]),Table6[[#This Row],[AVG]],VLOOKUP(Table6[[#This Row],[PLAYER]],ECR!L:N,3,FALSE()))</f>
        <v>128.030094872941</v>
      </c>
      <c r="AL34" s="96" t="n">
        <f aca="false">Table6[[#This Row],[Zscore Projection]]-$AE$1</f>
        <v>2.35221612784314</v>
      </c>
      <c r="AM34" s="97" t="e">
        <f aca="false">MAX(Table6[[#This Row],[VBD]]*Scoring!$B$48+1,1)</f>
        <v>#VALUE!</v>
      </c>
      <c r="AN34" s="98" t="n">
        <f aca="false">VLOOKUP(Table6[[#This Row],[VBD]],BR:BT,3,FALSE())</f>
        <v>6</v>
      </c>
      <c r="AO34" s="99" t="n">
        <f aca="false">VLOOKUP(INDEX(ECR!$E:$E,MATCH(AD34,ECR!$C:$C,0)),RISK!A:B,2,FALSE())</f>
        <v>3.6146</v>
      </c>
      <c r="AP34" s="100"/>
      <c r="AQ34" s="101" t="s">
        <v>259</v>
      </c>
      <c r="AR34" s="101" t="str">
        <f aca="false">VLOOKUP(AQ34,ECR!E:L,8,FALSE())</f>
        <v>Greg Dulcich</v>
      </c>
      <c r="AS34" s="101" t="str">
        <f aca="false">IFERROR(VLOOKUP(Table7[[#This Row],[PLAYER]],ECR!C:F,2,FALSE()),"-")</f>
        <v>MIA</v>
      </c>
      <c r="AT34" s="101" t="n">
        <f aca="false">IFERROR(VLOOKUP(Table7[[#This Row],[PLAYER]],ECR!C:F,4,FALSE()),"-")</f>
        <v>6</v>
      </c>
      <c r="AU34" s="101" t="str">
        <f aca="false">Table7[[#This Row],[Team]] &amp; "/" &amp; Table7[[#This Row],[Bye]]</f>
        <v>MIA/6</v>
      </c>
      <c r="AV34" s="95" t="n">
        <f aca="false">IFERROR(VLOOKUP(Table7[[#This Row],[PLAYER]],TE!A:K,9,FALSE())/17*(16-Table7[[#This Row],[Missed Games]]),0)</f>
        <v>68.4717647058824</v>
      </c>
      <c r="AW34" s="95" t="n">
        <f aca="false">IFERROR(VLOOKUP(Table7[[#This Row],[PLAYER]],TE!A:K,10,FALSE())/17*(16-Table7[[#This Row],[Missed Games]]),0)</f>
        <v>81.3111764705882</v>
      </c>
      <c r="AX34" s="95" t="n">
        <f aca="false">IFERROR(VLOOKUP(Table7[[#This Row],[PLAYER]],TE!A:K,11,FALSE())/17*(16-Table7[[#This Row],[Missed Games]]),0)</f>
        <v>91.9176470588235</v>
      </c>
      <c r="AY34" s="96" t="n">
        <f aca="false">AVERAGE(AVERAGE(Table7[[#This Row],[LOW]],Table7[[#This Row],[HIGH]]),Table7[[#This Row],[AVG]],VLOOKUP(Table7[[#This Row],[PLAYER]],ECR!L:N,3,FALSE()))</f>
        <v>75.8511764705882</v>
      </c>
      <c r="AZ34" s="96" t="n">
        <f aca="false">Table7[[#This Row],[Zscore Projection]]-$AS$1</f>
        <v>-36.7224209705882</v>
      </c>
      <c r="BA34" s="97" t="e">
        <f aca="false">MAX(Table7[[#This Row],[VBD]]*Scoring!$B$48+1,1)</f>
        <v>#VALUE!</v>
      </c>
      <c r="BB34" s="95" t="n">
        <f aca="false">VLOOKUP(Table7[[#This Row],[VBD]],BW:BY,3,FALSE())</f>
        <v>7</v>
      </c>
      <c r="BC34" s="99" t="n">
        <f aca="false">VLOOKUP(INDEX(ECR!$E:$E,MATCH(AR34,ECR!$C:$C,0)),RISK!A:B,2,FALSE())</f>
        <v>3</v>
      </c>
      <c r="BD34" s="95"/>
      <c r="BE34" s="100"/>
      <c r="BF34" s="102" t="n">
        <v>32</v>
      </c>
      <c r="BG34" s="100" t="n">
        <f aca="false">IFERROR(LARGE($G$3:$G$52,BF34),"")</f>
        <v>109.784682352941</v>
      </c>
      <c r="BH34" s="100" t="n">
        <f aca="false">IFERROR(LARGE($J$3:$J$52,32),"")</f>
        <v>-176.759812847059</v>
      </c>
      <c r="BI34" s="100" t="n">
        <f aca="false">IF(BH34="",BI33,IF((BI33-BH34)&gt;0.2*LARGE($J$3:$J$52,2),BH34,BI33))</f>
        <v>-176.759812847059</v>
      </c>
      <c r="BJ34" s="103" t="n">
        <f aca="false">MIN(IF(BH34="",BJ33,IF((BI33-BH34)&gt;0.2*LARGE($J$3:$J$52,2),BJ33+1,BJ33)),15)</f>
        <v>15</v>
      </c>
      <c r="BK34" s="102" t="n">
        <v>32</v>
      </c>
      <c r="BL34" s="100" t="n">
        <f aca="false">IFERROR(LARGE($U$3:$U$102,BK34),"")</f>
        <v>123.702155411765</v>
      </c>
      <c r="BM34" s="104" t="n">
        <f aca="false">IFERROR(LARGE($X$3:$X$102,32),"")</f>
        <v>-2.09302800000002</v>
      </c>
      <c r="BN34" s="104" t="n">
        <f aca="false">IF(BM34="",BN33,IF((BN33-BM34)&gt;0.15*LARGE($X$3:$X$102,2),BM34,BN33))</f>
        <v>17.8738221960784</v>
      </c>
      <c r="BO34" s="103" t="n">
        <f aca="false">IF(BM34="",BO33,IF((BN33-BM34)&gt;0.15*LARGE($X$3:$X$102,2),BO33+1,BO33))</f>
        <v>6</v>
      </c>
      <c r="BP34" s="105" t="n">
        <v>32</v>
      </c>
      <c r="BQ34" s="100" t="n">
        <f aca="false">IFERROR(LARGE($AI$3:$AI$102,BP34),"")</f>
        <v>127.945852941176</v>
      </c>
      <c r="BR34" s="104" t="n">
        <f aca="false">IFERROR(LARGE($AL$3:$AL$102,32),"")</f>
        <v>2.21605480901962</v>
      </c>
      <c r="BS34" s="104" t="n">
        <f aca="false">IF(BR34="",BS33,IF((BS33-BR34)&gt;0.15*LARGE($AL$3:$AL$102,2),BR34,BS33))</f>
        <v>3.76372349019606</v>
      </c>
      <c r="BT34" s="103" t="n">
        <f aca="false">IF(BR34="",BT33,IF((BS33-BR34)&gt;0.15*LARGE($AL$3:$AL$102,2),BT33+1,BT33))</f>
        <v>6</v>
      </c>
      <c r="BU34" s="102" t="n">
        <v>32</v>
      </c>
      <c r="BV34" s="100" t="n">
        <f aca="false">IFERROR(LARGE($AW$3:$AW$52,BU34),"")</f>
        <v>66.0476470588235</v>
      </c>
      <c r="BW34" s="104" t="n">
        <f aca="false">IFERROR(LARGE($AZ$3:$AZ$52,32),"")</f>
        <v>-49.6535974411765</v>
      </c>
      <c r="BX34" s="104" t="n">
        <f aca="false">IF(BW34="",BX33,IF((BX33-BW34)&gt;0.2*LARGE($AZ$3:$AZ$52,2),BW34,BX33))</f>
        <v>-47.8297739117647</v>
      </c>
      <c r="BY34" s="106" t="n">
        <f aca="false">IF(BW34="",BY33,IF((BX33-BW34)&gt;0.2*LARGE($AZ$3:$AZ$52,2),BY33+1,BY33))</f>
        <v>8</v>
      </c>
      <c r="BZ34" s="104"/>
      <c r="CA34" s="104"/>
      <c r="CB34" s="104"/>
      <c r="CC34" s="104"/>
      <c r="CD34" s="104"/>
      <c r="CE34" s="104"/>
      <c r="CF34" s="104"/>
      <c r="CG34" s="104"/>
    </row>
    <row r="35" s="107" customFormat="true" ht="14.25" hidden="false" customHeight="true" outlineLevel="0" collapsed="false">
      <c r="A35" s="93" t="s">
        <v>260</v>
      </c>
      <c r="B35" s="93" t="str">
        <f aca="false">VLOOKUP(A35,ECR!E:L,8,FALSE())</f>
        <v>Kirk Cousins</v>
      </c>
      <c r="C35" s="94" t="str">
        <f aca="false">IFERROR(VLOOKUP(Table2[[#This Row],[PLAYER]],ECR!C:F,2,FALSE()),"-")</f>
        <v>LV</v>
      </c>
      <c r="D35" s="94" t="n">
        <f aca="false">IFERROR(VLOOKUP(Table2[[#This Row],[PLAYER]],ECR!C:F,4,FALSE()),"-")</f>
        <v>13</v>
      </c>
      <c r="E35" s="94" t="str">
        <f aca="false">Table2[[#This Row],[Team]] &amp; "/" &amp; Table2[[#This Row],[Bye]]</f>
        <v>LV/13</v>
      </c>
      <c r="F35" s="95" t="n">
        <f aca="false">IFERROR(VLOOKUP(Table2[[#This Row],[PLAYER]],QB!A:Q,15,FALSE())/17*(17-Table2[[#This Row],[Missed Games]]),0)</f>
        <v>29.9216470588235</v>
      </c>
      <c r="G35" s="95" t="n">
        <f aca="false">IFERROR(VLOOKUP(Table2[[#This Row],[PLAYER]],QB!A:Q,16,FALSE())/17*(17-Table2[[#This Row],[Missed Games]]),0)</f>
        <v>38.2113882352941</v>
      </c>
      <c r="H35" s="95" t="n">
        <f aca="false">IFERROR(VLOOKUP(Table2[[#This Row],[PLAYER]],QB!A:Q,17,FALSE())/17*(17-Table2[[#This Row],[Missed Games]]),0)</f>
        <v>45.5887058823529</v>
      </c>
      <c r="I35" s="96" t="n">
        <f aca="false">AVERAGE(AVERAGE(Table2[[#This Row],[LOW]],Table2[[#This Row],[HIGH]]),Table2[[#This Row],[AVG]],VLOOKUP(Table2[[#This Row],[PLAYER]],ECR!L:N,3,FALSE()))</f>
        <v>54.0294352941177</v>
      </c>
      <c r="J35" s="96" t="n">
        <f aca="false">Table2[[#This Row],[Zscore Projection]]-$C$1</f>
        <v>-214.349930494118</v>
      </c>
      <c r="K35" s="97" t="e">
        <f aca="false">MAX(Table2[[#This Row],[VBD]]*Scoring!$B$48+1,1)</f>
        <v>#VALUE!</v>
      </c>
      <c r="L35" s="98" t="n">
        <f aca="false">VLOOKUP(Table2[[#This Row],[VBD]],BH:BJ,3,FALSE())</f>
        <v>15</v>
      </c>
      <c r="M35" s="99" t="n">
        <f aca="false">VLOOKUP(INDEX(ECR!$E:$E,MATCH(B35,ECR!$C:$C,0)),RISK!A:B,2,FALSE())</f>
        <v>3.2</v>
      </c>
      <c r="N35" s="100"/>
      <c r="O35" s="98" t="s">
        <v>261</v>
      </c>
      <c r="P35" s="93" t="str">
        <f aca="false">VLOOKUP(O35,ECR!E:L,8,FALSE())</f>
        <v>MarShawn Lloyd</v>
      </c>
      <c r="Q35" s="94" t="str">
        <f aca="false">IFERROR(VLOOKUP(Table4[[#This Row],[PLAYER]],ECR!C:F,2,FALSE()),"-")</f>
        <v>GB</v>
      </c>
      <c r="R35" s="94" t="n">
        <f aca="false">IFERROR(VLOOKUP(Table4[[#This Row],[PLAYER]],ECR!C:F,4,FALSE()),"-")</f>
        <v>11</v>
      </c>
      <c r="S35" s="94" t="str">
        <f aca="false">Table4[[#This Row],[Team]] &amp; "/" &amp; Table4[[#This Row],[Bye]]</f>
        <v>GB/11</v>
      </c>
      <c r="T35" s="95" t="n">
        <f aca="false">IFERROR(VLOOKUP(Table4[[#This Row],[PLAYER]],RB!A:Q,13,FALSE())/17*(17-Table4[[#This Row],[Missed Games]]),0)</f>
        <v>93.2078695294118</v>
      </c>
      <c r="U35" s="95" t="n">
        <f aca="false">IFERROR(VLOOKUP(Table4[[#This Row],[PLAYER]],RB!A:Q,14,FALSE())/17*(17-Table4[[#This Row],[Missed Games]]),0)</f>
        <v>123.702155411765</v>
      </c>
      <c r="V35" s="95" t="n">
        <f aca="false">IFERROR(VLOOKUP(Table4[[#This Row],[PLAYER]],RB!A:Q,15,FALSE())/17*(17-Table4[[#This Row],[Missed Games]]),0)</f>
        <v>153.697741176471</v>
      </c>
      <c r="W35" s="96" t="n">
        <f aca="false">AVERAGE(AVERAGE(Table4[[#This Row],[LOW]],Table4[[#This Row],[HIGH]]),Table4[[#This Row],[AVG]],VLOOKUP(Table4[[#This Row],[PLAYER]],ECR!L:N,3,FALSE()))</f>
        <v>123.432810843137</v>
      </c>
      <c r="X35" s="96" t="n">
        <f aca="false">Table4[[#This Row],[Zscore Projection]]-$Q$1</f>
        <v>-4.11292754901962</v>
      </c>
      <c r="Y35" s="97" t="e">
        <f aca="false">MAX(Table4[[#This Row],[VBD]]*Scoring!$B$48+1,1)</f>
        <v>#VALUE!</v>
      </c>
      <c r="Z35" s="98" t="n">
        <f aca="false">VLOOKUP(Table4[[#This Row],[VBD]],BM:BO,3,FALSE())</f>
        <v>7</v>
      </c>
      <c r="AA35" s="99" t="n">
        <f aca="false">VLOOKUP(INDEX(ECR!$E:$E,MATCH(P35,ECR!$C:$C,0)),RISK!A:B,2,FALSE())</f>
        <v>3.1018</v>
      </c>
      <c r="AB35" s="100"/>
      <c r="AC35" s="94" t="s">
        <v>262</v>
      </c>
      <c r="AD35" s="94" t="str">
        <f aca="false">VLOOKUP(AC35,ECR!E:L,8,FALSE())</f>
        <v>DK Metcalf</v>
      </c>
      <c r="AE35" s="94" t="str">
        <f aca="false">IFERROR(VLOOKUP(Table6[[#This Row],[PLAYER]],ECR!C:F,2,FALSE()),"-")</f>
        <v>PIT</v>
      </c>
      <c r="AF35" s="94" t="n">
        <f aca="false">IFERROR(VLOOKUP(Table6[[#This Row],[PLAYER]],ECR!C:F,4,FALSE()),"-")</f>
        <v>9</v>
      </c>
      <c r="AG35" s="94" t="str">
        <f aca="false">Table6[[#This Row],[Team]] &amp; "/" &amp; Table6[[#This Row],[Bye]]</f>
        <v>PIT/9</v>
      </c>
      <c r="AH35" s="95" t="n">
        <f aca="false">IFERROR(VLOOKUP(Table6[[#This Row],[PLAYER]],WR!A:Q,13,FALSE())/17*(17-Table6[[#This Row],[Missed Games]]),0)</f>
        <v>121.214338235294</v>
      </c>
      <c r="AI35" s="95" t="n">
        <f aca="false">IFERROR(VLOOKUP(Table6[[#This Row],[PLAYER]],WR!A:Q,14,FALSE())/17*(17-Table6[[#This Row],[Missed Games]]),0)</f>
        <v>127.945852941176</v>
      </c>
      <c r="AJ35" s="95" t="n">
        <f aca="false">IFERROR(VLOOKUP(Table6[[#This Row],[PLAYER]],WR!A:Q,15,FALSE())/17*(17-Table6[[#This Row],[Missed Games]]),0)</f>
        <v>135.030419117647</v>
      </c>
      <c r="AK35" s="96" t="n">
        <f aca="false">AVERAGE(AVERAGE(Table6[[#This Row],[LOW]],Table6[[#This Row],[HIGH]]),Table6[[#This Row],[AVG]],VLOOKUP(Table6[[#This Row],[PLAYER]],ECR!L:N,3,FALSE()))</f>
        <v>127.893933554118</v>
      </c>
      <c r="AL35" s="96" t="n">
        <f aca="false">Table6[[#This Row],[Zscore Projection]]-$AE$1</f>
        <v>2.21605480901962</v>
      </c>
      <c r="AM35" s="97" t="e">
        <f aca="false">MAX(Table6[[#This Row],[VBD]]*Scoring!$B$48+1,1)</f>
        <v>#VALUE!</v>
      </c>
      <c r="AN35" s="98" t="n">
        <f aca="false">VLOOKUP(Table6[[#This Row],[VBD]],BR:BT,3,FALSE())</f>
        <v>6</v>
      </c>
      <c r="AO35" s="99" t="n">
        <f aca="false">VLOOKUP(INDEX(ECR!$E:$E,MATCH(AD35,ECR!$C:$C,0)),RISK!A:B,2,FALSE())</f>
        <v>3.6625</v>
      </c>
      <c r="AP35" s="100"/>
      <c r="AQ35" s="101" t="s">
        <v>263</v>
      </c>
      <c r="AR35" s="101" t="str">
        <f aca="false">VLOOKUP(AQ35,ECR!E:L,8,FALSE())</f>
        <v>Mason Taylor</v>
      </c>
      <c r="AS35" s="101" t="str">
        <f aca="false">IFERROR(VLOOKUP(Table7[[#This Row],[PLAYER]],ECR!C:F,2,FALSE()),"-")</f>
        <v>NYJ</v>
      </c>
      <c r="AT35" s="101" t="n">
        <f aca="false">IFERROR(VLOOKUP(Table7[[#This Row],[PLAYER]],ECR!C:F,4,FALSE()),"-")</f>
        <v>13</v>
      </c>
      <c r="AU35" s="101" t="str">
        <f aca="false">Table7[[#This Row],[Team]] &amp; "/" &amp; Table7[[#This Row],[Bye]]</f>
        <v>NYJ/13</v>
      </c>
      <c r="AV35" s="95" t="n">
        <f aca="false">IFERROR(VLOOKUP(Table7[[#This Row],[PLAYER]],TE!A:K,9,FALSE())/17*(16-Table7[[#This Row],[Missed Games]]),0)</f>
        <v>40.7052941176471</v>
      </c>
      <c r="AW35" s="95" t="n">
        <f aca="false">IFERROR(VLOOKUP(Table7[[#This Row],[PLAYER]],TE!A:K,10,FALSE())/17*(16-Table7[[#This Row],[Missed Games]]),0)</f>
        <v>57.8041176470588</v>
      </c>
      <c r="AX35" s="95" t="n">
        <f aca="false">IFERROR(VLOOKUP(Table7[[#This Row],[PLAYER]],TE!A:K,11,FALSE())/17*(16-Table7[[#This Row],[Missed Games]]),0)</f>
        <v>75.0176470588235</v>
      </c>
      <c r="AY35" s="96" t="n">
        <f aca="false">AVERAGE(AVERAGE(Table7[[#This Row],[LOW]],Table7[[#This Row],[HIGH]]),Table7[[#This Row],[AVG]],VLOOKUP(Table7[[#This Row],[PLAYER]],ECR!L:N,3,FALSE()))</f>
        <v>57.8232352941176</v>
      </c>
      <c r="AZ35" s="96" t="n">
        <f aca="false">Table7[[#This Row],[Zscore Projection]]-$AS$1</f>
        <v>-54.7503621470589</v>
      </c>
      <c r="BA35" s="97" t="e">
        <f aca="false">MAX(Table7[[#This Row],[VBD]]*Scoring!$B$48+1,1)</f>
        <v>#VALUE!</v>
      </c>
      <c r="BB35" s="95" t="n">
        <f aca="false">VLOOKUP(Table7[[#This Row],[VBD]],BW:BY,3,FALSE())</f>
        <v>8</v>
      </c>
      <c r="BC35" s="99" t="n">
        <f aca="false">VLOOKUP(INDEX(ECR!$E:$E,MATCH(AR35,ECR!$C:$C,0)),RISK!A:B,2,FALSE())</f>
        <v>3</v>
      </c>
      <c r="BD35" s="95"/>
      <c r="BE35" s="100"/>
      <c r="BF35" s="102" t="n">
        <v>33</v>
      </c>
      <c r="BG35" s="100" t="n">
        <f aca="false">IFERROR(LARGE($G$3:$G$52,BF35),"")</f>
        <v>86.1217411764706</v>
      </c>
      <c r="BH35" s="100" t="n">
        <f aca="false">IFERROR(LARGE($J$3:$J$52,33),"")</f>
        <v>-182.176177552941</v>
      </c>
      <c r="BI35" s="100" t="n">
        <f aca="false">IF(BH35="",BI34,IF((BI34-BH35)&gt;0.2*LARGE($J$3:$J$52,2),BH35,BI34))</f>
        <v>-182.176177552941</v>
      </c>
      <c r="BJ35" s="103" t="n">
        <f aca="false">MIN(IF(BH35="",BJ34,IF((BI34-BH35)&gt;0.2*LARGE($J$3:$J$52,2),BJ34+1,BJ34)),15)</f>
        <v>15</v>
      </c>
      <c r="BK35" s="102" t="n">
        <v>33</v>
      </c>
      <c r="BL35" s="100" t="n">
        <f aca="false">IFERROR(LARGE($U$3:$U$102,BK35),"")</f>
        <v>123.143471764706</v>
      </c>
      <c r="BM35" s="104" t="n">
        <f aca="false">IFERROR(LARGE($X$3:$X$102,33),"")</f>
        <v>-4.11292754901962</v>
      </c>
      <c r="BN35" s="104" t="n">
        <f aca="false">IF(BM35="",BN34,IF((BN34-BM35)&gt;0.15*LARGE($X$3:$X$102,2),BM35,BN34))</f>
        <v>-4.11292754901962</v>
      </c>
      <c r="BO35" s="103" t="n">
        <f aca="false">IF(BM35="",BO34,IF((BN34-BM35)&gt;0.15*LARGE($X$3:$X$102,2),BO34+1,BO34))</f>
        <v>7</v>
      </c>
      <c r="BP35" s="105" t="n">
        <v>33</v>
      </c>
      <c r="BQ35" s="100" t="n">
        <f aca="false">IFERROR(LARGE($AI$3:$AI$102,BP35),"")</f>
        <v>127.613569044706</v>
      </c>
      <c r="BR35" s="104" t="n">
        <f aca="false">IFERROR(LARGE($AL$3:$AL$102,33),"")</f>
        <v>0</v>
      </c>
      <c r="BS35" s="104" t="n">
        <f aca="false">IF(BR35="",BS34,IF((BS34-BR35)&gt;0.15*LARGE($AL$3:$AL$102,2),BR35,BS34))</f>
        <v>3.76372349019606</v>
      </c>
      <c r="BT35" s="103" t="n">
        <f aca="false">IF(BR35="",BT34,IF((BS34-BR35)&gt;0.15*LARGE($AL$3:$AL$102,2),BT34+1,BT34))</f>
        <v>6</v>
      </c>
      <c r="BU35" s="102" t="n">
        <v>33</v>
      </c>
      <c r="BV35" s="100" t="n">
        <f aca="false">IFERROR(LARGE($AW$3:$AW$52,BU35),"")</f>
        <v>57.8041176470588</v>
      </c>
      <c r="BW35" s="104" t="n">
        <f aca="false">IFERROR(LARGE($AZ$3:$AZ$52,33),"")</f>
        <v>-49.970950382353</v>
      </c>
      <c r="BX35" s="104" t="n">
        <f aca="false">IF(BW35="",BX34,IF((BX34-BW35)&gt;0.2*LARGE($AZ$3:$AZ$52,2),BW35,BX34))</f>
        <v>-47.8297739117647</v>
      </c>
      <c r="BY35" s="106" t="n">
        <f aca="false">IF(BW35="",BY34,IF((BX34-BW35)&gt;0.2*LARGE($AZ$3:$AZ$52,2),BY34+1,BY34))</f>
        <v>8</v>
      </c>
      <c r="BZ35" s="104"/>
      <c r="CA35" s="104"/>
      <c r="CB35" s="104"/>
      <c r="CC35" s="104"/>
      <c r="CD35" s="104"/>
      <c r="CE35" s="104"/>
      <c r="CF35" s="104"/>
      <c r="CG35" s="104"/>
    </row>
    <row r="36" s="107" customFormat="true" ht="14.25" hidden="false" customHeight="true" outlineLevel="0" collapsed="false">
      <c r="A36" s="93" t="s">
        <v>264</v>
      </c>
      <c r="B36" s="93" t="str">
        <f aca="false">VLOOKUP(A36,ECR!E:L,8,FALSE())</f>
        <v>Shedeur Sanders</v>
      </c>
      <c r="C36" s="94" t="str">
        <f aca="false">IFERROR(VLOOKUP(Table2[[#This Row],[PLAYER]],ECR!C:F,2,FALSE()),"-")</f>
        <v>CLE</v>
      </c>
      <c r="D36" s="94" t="n">
        <f aca="false">IFERROR(VLOOKUP(Table2[[#This Row],[PLAYER]],ECR!C:F,4,FALSE()),"-")</f>
        <v>11</v>
      </c>
      <c r="E36" s="94" t="str">
        <f aca="false">Table2[[#This Row],[Team]] &amp; "/" &amp; Table2[[#This Row],[Bye]]</f>
        <v>CLE/11</v>
      </c>
      <c r="F36" s="95" t="n">
        <f aca="false">IFERROR(VLOOKUP(Table2[[#This Row],[PLAYER]],QB!A:Q,15,FALSE())/17*(17-Table2[[#This Row],[Missed Games]]),0)</f>
        <v>29.5157647058824</v>
      </c>
      <c r="G36" s="95" t="n">
        <f aca="false">IFERROR(VLOOKUP(Table2[[#This Row],[PLAYER]],QB!A:Q,16,FALSE())/17*(17-Table2[[#This Row],[Missed Games]]),0)</f>
        <v>86.1217411764706</v>
      </c>
      <c r="H36" s="95" t="n">
        <f aca="false">IFERROR(VLOOKUP(Table2[[#This Row],[PLAYER]],QB!A:Q,17,FALSE())/17*(17-Table2[[#This Row],[Missed Games]]),0)</f>
        <v>127.768517647059</v>
      </c>
      <c r="I36" s="96" t="n">
        <f aca="false">AVERAGE(AVERAGE(Table2[[#This Row],[LOW]],Table2[[#This Row],[HIGH]]),Table2[[#This Row],[AVG]],VLOOKUP(Table2[[#This Row],[PLAYER]],ECR!L:N,3,FALSE()))</f>
        <v>81.5856</v>
      </c>
      <c r="J36" s="96" t="n">
        <f aca="false">Table2[[#This Row],[Zscore Projection]]-$C$1</f>
        <v>-186.793765788235</v>
      </c>
      <c r="K36" s="97" t="e">
        <f aca="false">MAX(Table2[[#This Row],[VBD]]*Scoring!$B$48+1,1)</f>
        <v>#VALUE!</v>
      </c>
      <c r="L36" s="98" t="n">
        <f aca="false">VLOOKUP(Table2[[#This Row],[VBD]],BH:BJ,3,FALSE())</f>
        <v>15</v>
      </c>
      <c r="M36" s="99" t="n">
        <f aca="false">VLOOKUP(INDEX(ECR!$E:$E,MATCH(B36,ECR!$C:$C,0)),RISK!A:B,2,FALSE())</f>
        <v>3.2</v>
      </c>
      <c r="N36" s="100"/>
      <c r="O36" s="98" t="s">
        <v>265</v>
      </c>
      <c r="P36" s="93" t="str">
        <f aca="false">VLOOKUP(O36,ECR!E:L,8,FALSE())</f>
        <v>Chuba Hubbard</v>
      </c>
      <c r="Q36" s="94" t="str">
        <f aca="false">IFERROR(VLOOKUP(Table4[[#This Row],[PLAYER]],ECR!C:F,2,FALSE()),"-")</f>
        <v>CAR</v>
      </c>
      <c r="R36" s="94" t="n">
        <f aca="false">IFERROR(VLOOKUP(Table4[[#This Row],[PLAYER]],ECR!C:F,4,FALSE()),"-")</f>
        <v>5</v>
      </c>
      <c r="S36" s="94" t="str">
        <f aca="false">Table4[[#This Row],[Team]] &amp; "/" &amp; Table4[[#This Row],[Bye]]</f>
        <v>CAR/5</v>
      </c>
      <c r="T36" s="95" t="n">
        <f aca="false">IFERROR(VLOOKUP(Table4[[#This Row],[PLAYER]],RB!A:Q,13,FALSE())/17*(17-Table4[[#This Row],[Missed Games]]),0)</f>
        <v>112.438792941176</v>
      </c>
      <c r="U36" s="95" t="n">
        <f aca="false">IFERROR(VLOOKUP(Table4[[#This Row],[PLAYER]],RB!A:Q,14,FALSE())/17*(17-Table4[[#This Row],[Missed Games]]),0)</f>
        <v>128.819469882353</v>
      </c>
      <c r="V36" s="95" t="n">
        <f aca="false">IFERROR(VLOOKUP(Table4[[#This Row],[PLAYER]],RB!A:Q,15,FALSE())/17*(17-Table4[[#This Row],[Missed Games]]),0)</f>
        <v>146.300889176471</v>
      </c>
      <c r="W36" s="96" t="n">
        <f aca="false">AVERAGE(AVERAGE(Table4[[#This Row],[LOW]],Table4[[#This Row],[HIGH]]),Table4[[#This Row],[AVG]],VLOOKUP(Table4[[#This Row],[PLAYER]],ECR!L:N,3,FALSE()))</f>
        <v>125.452710392157</v>
      </c>
      <c r="X36" s="96" t="n">
        <f aca="false">Table4[[#This Row],[Zscore Projection]]-$Q$1</f>
        <v>-2.09302800000002</v>
      </c>
      <c r="Y36" s="97" t="e">
        <f aca="false">MAX(Table4[[#This Row],[VBD]]*Scoring!$B$48+1,1)</f>
        <v>#VALUE!</v>
      </c>
      <c r="Z36" s="98" t="n">
        <f aca="false">VLOOKUP(Table4[[#This Row],[VBD]],BM:BO,3,FALSE())</f>
        <v>6</v>
      </c>
      <c r="AA36" s="99" t="n">
        <f aca="false">VLOOKUP(INDEX(ECR!$E:$E,MATCH(P36,ECR!$C:$C,0)),RISK!A:B,2,FALSE())</f>
        <v>3.1388</v>
      </c>
      <c r="AB36" s="100"/>
      <c r="AC36" s="94" t="s">
        <v>266</v>
      </c>
      <c r="AD36" s="94" t="str">
        <f aca="false">VLOOKUP(AC36,ECR!E:L,8,FALSE())</f>
        <v>Brian Thomas Jr.</v>
      </c>
      <c r="AE36" s="94" t="str">
        <f aca="false">IFERROR(VLOOKUP(Table6[[#This Row],[PLAYER]],ECR!C:F,2,FALSE()),"-")</f>
        <v>JAC</v>
      </c>
      <c r="AF36" s="94" t="n">
        <f aca="false">IFERROR(VLOOKUP(Table6[[#This Row],[PLAYER]],ECR!C:F,4,FALSE()),"-")</f>
        <v>7</v>
      </c>
      <c r="AG36" s="94" t="str">
        <f aca="false">Table6[[#This Row],[Team]] &amp; "/" &amp; Table6[[#This Row],[Bye]]</f>
        <v>JAC/7</v>
      </c>
      <c r="AH36" s="95" t="n">
        <f aca="false">IFERROR(VLOOKUP(Table6[[#This Row],[PLAYER]],WR!A:Q,13,FALSE())/17*(17-Table6[[#This Row],[Missed Games]]),0)</f>
        <v>108.354218823529</v>
      </c>
      <c r="AI36" s="95" t="n">
        <f aca="false">IFERROR(VLOOKUP(Table6[[#This Row],[PLAYER]],WR!A:Q,14,FALSE())/17*(17-Table6[[#This Row],[Missed Games]]),0)</f>
        <v>119.056738705882</v>
      </c>
      <c r="AJ36" s="95" t="n">
        <f aca="false">IFERROR(VLOOKUP(Table6[[#This Row],[PLAYER]],WR!A:Q,15,FALSE())/17*(17-Table6[[#This Row],[Missed Games]]),0)</f>
        <v>132.667467058824</v>
      </c>
      <c r="AK36" s="96" t="n">
        <f aca="false">AVERAGE(AVERAGE(Table6[[#This Row],[LOW]],Table6[[#This Row],[HIGH]]),Table6[[#This Row],[AVG]],VLOOKUP(Table6[[#This Row],[PLAYER]],ECR!L:N,3,FALSE()))</f>
        <v>122.055403860015</v>
      </c>
      <c r="AL36" s="96" t="n">
        <f aca="false">Table6[[#This Row],[Zscore Projection]]-$AE$1</f>
        <v>-3.62247488508314</v>
      </c>
      <c r="AM36" s="97" t="e">
        <f aca="false">MAX(Table6[[#This Row],[VBD]]*Scoring!$B$48+1,1)</f>
        <v>#VALUE!</v>
      </c>
      <c r="AN36" s="98" t="n">
        <f aca="false">VLOOKUP(Table6[[#This Row],[VBD]],BR:BT,3,FALSE())</f>
        <v>6</v>
      </c>
      <c r="AO36" s="99" t="n">
        <f aca="false">VLOOKUP(INDEX(ECR!$E:$E,MATCH(AD36,ECR!$C:$C,0)),RISK!A:B,2,FALSE())</f>
        <v>3.7098</v>
      </c>
      <c r="AP36" s="100"/>
      <c r="AQ36" s="101" t="s">
        <v>267</v>
      </c>
      <c r="AR36" s="101" t="str">
        <f aca="false">VLOOKUP(AQ36,ECR!E:L,8,FALSE())</f>
        <v>Theo Johnson</v>
      </c>
      <c r="AS36" s="101" t="str">
        <f aca="false">IFERROR(VLOOKUP(Table7[[#This Row],[PLAYER]],ECR!C:F,2,FALSE()),"-")</f>
        <v>NYG</v>
      </c>
      <c r="AT36" s="101" t="n">
        <f aca="false">IFERROR(VLOOKUP(Table7[[#This Row],[PLAYER]],ECR!C:F,4,FALSE()),"-")</f>
        <v>8</v>
      </c>
      <c r="AU36" s="101" t="str">
        <f aca="false">Table7[[#This Row],[Team]] &amp; "/" &amp; Table7[[#This Row],[Bye]]</f>
        <v>NYG/8</v>
      </c>
      <c r="AV36" s="95" t="n">
        <f aca="false">IFERROR(VLOOKUP(Table7[[#This Row],[PLAYER]],TE!A:K,9,FALSE())/17*(16-Table7[[#This Row],[Missed Games]]),0)</f>
        <v>36.92</v>
      </c>
      <c r="AW36" s="95" t="n">
        <f aca="false">IFERROR(VLOOKUP(Table7[[#This Row],[PLAYER]],TE!A:K,10,FALSE())/17*(16-Table7[[#This Row],[Missed Games]]),0)</f>
        <v>47.8552941176471</v>
      </c>
      <c r="AX36" s="95" t="n">
        <f aca="false">IFERROR(VLOOKUP(Table7[[#This Row],[PLAYER]],TE!A:K,11,FALSE())/17*(16-Table7[[#This Row],[Missed Games]]),0)</f>
        <v>66.0705882352941</v>
      </c>
      <c r="AY36" s="96" t="n">
        <f aca="false">AVERAGE(AVERAGE(Table7[[#This Row],[LOW]],Table7[[#This Row],[HIGH]]),Table7[[#This Row],[AVG]],VLOOKUP(Table7[[#This Row],[PLAYER]],ECR!L:N,3,FALSE()))</f>
        <v>51.9082352941176</v>
      </c>
      <c r="AZ36" s="96" t="n">
        <f aca="false">Table7[[#This Row],[Zscore Projection]]-$AS$1</f>
        <v>-60.6653621470588</v>
      </c>
      <c r="BA36" s="97" t="e">
        <f aca="false">MAX(Table7[[#This Row],[VBD]]*Scoring!$B$48+1,1)</f>
        <v>#VALUE!</v>
      </c>
      <c r="BB36" s="95" t="n">
        <f aca="false">VLOOKUP(Table7[[#This Row],[VBD]],BW:BY,3,FALSE())</f>
        <v>9</v>
      </c>
      <c r="BC36" s="99" t="n">
        <f aca="false">VLOOKUP(INDEX(ECR!$E:$E,MATCH(AR36,ECR!$C:$C,0)),RISK!A:B,2,FALSE())</f>
        <v>3</v>
      </c>
      <c r="BD36" s="95"/>
      <c r="BE36" s="100"/>
      <c r="BF36" s="102" t="n">
        <v>34</v>
      </c>
      <c r="BG36" s="100" t="n">
        <f aca="false">IFERROR(LARGE($G$3:$G$52,BF36),"")</f>
        <v>79.9929176470588</v>
      </c>
      <c r="BH36" s="100" t="n">
        <f aca="false">IFERROR(LARGE($J$3:$J$52,34),"")</f>
        <v>-186.793765788235</v>
      </c>
      <c r="BI36" s="100" t="n">
        <f aca="false">IF(BH36="",BI35,IF((BI35-BH36)&gt;0.2*LARGE($J$3:$J$52,2),BH36,BI35))</f>
        <v>-186.793765788235</v>
      </c>
      <c r="BJ36" s="103" t="n">
        <f aca="false">MIN(IF(BH36="",BJ35,IF((BI35-BH36)&gt;0.2*LARGE($J$3:$J$52,2),BJ35+1,BJ35)),15)</f>
        <v>15</v>
      </c>
      <c r="BK36" s="102" t="n">
        <v>34</v>
      </c>
      <c r="BL36" s="100" t="n">
        <f aca="false">IFERROR(LARGE($U$3:$U$102,BK36),"")</f>
        <v>118.168820235294</v>
      </c>
      <c r="BM36" s="104" t="n">
        <f aca="false">IFERROR(LARGE($X$3:$X$102,34),"")</f>
        <v>-10.943074</v>
      </c>
      <c r="BN36" s="104" t="n">
        <f aca="false">IF(BM36="",BN35,IF((BN35-BM36)&gt;0.15*LARGE($X$3:$X$102,2),BM36,BN35))</f>
        <v>-4.11292754901962</v>
      </c>
      <c r="BO36" s="103" t="n">
        <f aca="false">IF(BM36="",BO35,IF((BN35-BM36)&gt;0.15*LARGE($X$3:$X$102,2),BO35+1,BO35))</f>
        <v>7</v>
      </c>
      <c r="BP36" s="105" t="n">
        <v>34</v>
      </c>
      <c r="BQ36" s="100" t="n">
        <f aca="false">IFERROR(LARGE($AI$3:$AI$102,BP36),"")</f>
        <v>126.598629932986</v>
      </c>
      <c r="BR36" s="104" t="n">
        <f aca="false">IFERROR(LARGE($AL$3:$AL$102,34),"")</f>
        <v>-0.94136398039214</v>
      </c>
      <c r="BS36" s="104" t="n">
        <f aca="false">IF(BR36="",BS35,IF((BS35-BR36)&gt;0.15*LARGE($AL$3:$AL$102,2),BR36,BS35))</f>
        <v>3.76372349019606</v>
      </c>
      <c r="BT36" s="103" t="n">
        <f aca="false">IF(BR36="",BT35,IF((BS35-BR36)&gt;0.15*LARGE($AL$3:$AL$102,2),BT35+1,BT35))</f>
        <v>6</v>
      </c>
      <c r="BU36" s="102" t="n">
        <v>34</v>
      </c>
      <c r="BV36" s="100" t="n">
        <f aca="false">IFERROR(LARGE($AW$3:$AW$52,BU36),"")</f>
        <v>56.3741176470588</v>
      </c>
      <c r="BW36" s="104" t="n">
        <f aca="false">IFERROR(LARGE($AZ$3:$AZ$52,34),"")</f>
        <v>-51.3996758725491</v>
      </c>
      <c r="BX36" s="104" t="n">
        <f aca="false">IF(BW36="",BX35,IF((BX35-BW36)&gt;0.2*LARGE($AZ$3:$AZ$52,2),BW36,BX35))</f>
        <v>-47.8297739117647</v>
      </c>
      <c r="BY36" s="106" t="n">
        <f aca="false">IF(BW36="",BY35,IF((BX35-BW36)&gt;0.2*LARGE($AZ$3:$AZ$52,2),BY35+1,BY35))</f>
        <v>8</v>
      </c>
      <c r="BZ36" s="104"/>
      <c r="CA36" s="104"/>
      <c r="CB36" s="104"/>
      <c r="CC36" s="104"/>
      <c r="CD36" s="104"/>
      <c r="CE36" s="104"/>
      <c r="CF36" s="104"/>
      <c r="CG36" s="104"/>
    </row>
    <row r="37" s="107" customFormat="true" ht="14.25" hidden="false" customHeight="true" outlineLevel="0" collapsed="false">
      <c r="A37" s="93" t="s">
        <v>268</v>
      </c>
      <c r="B37" s="93" t="str">
        <f aca="false">VLOOKUP(A37,ECR!E:L,8,FALSE())</f>
        <v>Deshaun Watson</v>
      </c>
      <c r="C37" s="94" t="str">
        <f aca="false">IFERROR(VLOOKUP(Table2[[#This Row],[PLAYER]],ECR!C:F,2,FALSE()),"-")</f>
        <v>CLE</v>
      </c>
      <c r="D37" s="94" t="n">
        <f aca="false">IFERROR(VLOOKUP(Table2[[#This Row],[PLAYER]],ECR!C:F,4,FALSE()),"-")</f>
        <v>11</v>
      </c>
      <c r="E37" s="94" t="str">
        <f aca="false">Table2[[#This Row],[Team]] &amp; "/" &amp; Table2[[#This Row],[Bye]]</f>
        <v>CLE/11</v>
      </c>
      <c r="F37" s="95" t="n">
        <f aca="false">IFERROR(VLOOKUP(Table2[[#This Row],[PLAYER]],QB!A:Q,15,FALSE())/17*(17-Table2[[#This Row],[Missed Games]]),0)</f>
        <v>55.5945176470588</v>
      </c>
      <c r="G37" s="95" t="n">
        <f aca="false">IFERROR(VLOOKUP(Table2[[#This Row],[PLAYER]],QB!A:Q,16,FALSE())/17*(17-Table2[[#This Row],[Missed Games]]),0)</f>
        <v>109.784682352941</v>
      </c>
      <c r="H37" s="95" t="n">
        <f aca="false">IFERROR(VLOOKUP(Table2[[#This Row],[PLAYER]],QB!A:Q,17,FALSE())/17*(17-Table2[[#This Row],[Missed Games]]),0)</f>
        <v>165.632470588235</v>
      </c>
      <c r="I37" s="96" t="n">
        <f aca="false">AVERAGE(AVERAGE(Table2[[#This Row],[LOW]],Table2[[#This Row],[HIGH]]),Table2[[#This Row],[AVG]],VLOOKUP(Table2[[#This Row],[PLAYER]],ECR!L:N,3,FALSE()))</f>
        <v>86.2031882352941</v>
      </c>
      <c r="J37" s="96" t="n">
        <f aca="false">Table2[[#This Row],[Zscore Projection]]-$C$1</f>
        <v>-182.176177552941</v>
      </c>
      <c r="K37" s="97" t="e">
        <f aca="false">MAX(Table2[[#This Row],[VBD]]*Scoring!$B$48+1,1)</f>
        <v>#VALUE!</v>
      </c>
      <c r="L37" s="98" t="n">
        <f aca="false">VLOOKUP(Table2[[#This Row],[VBD]],BH:BJ,3,FALSE())</f>
        <v>15</v>
      </c>
      <c r="M37" s="99" t="n">
        <f aca="false">VLOOKUP(INDEX(ECR!$E:$E,MATCH(B37,ECR!$C:$C,0)),RISK!A:B,2,FALSE())</f>
        <v>3.2</v>
      </c>
      <c r="N37" s="100"/>
      <c r="O37" s="98" t="s">
        <v>269</v>
      </c>
      <c r="P37" s="93" t="str">
        <f aca="false">VLOOKUP(O37,ECR!E:L,8,FALSE())</f>
        <v>RJ Harvey</v>
      </c>
      <c r="Q37" s="94" t="str">
        <f aca="false">IFERROR(VLOOKUP(Table4[[#This Row],[PLAYER]],ECR!C:F,2,FALSE()),"-")</f>
        <v>DEN</v>
      </c>
      <c r="R37" s="94" t="n">
        <f aca="false">IFERROR(VLOOKUP(Table4[[#This Row],[PLAYER]],ECR!C:F,4,FALSE()),"-")</f>
        <v>10</v>
      </c>
      <c r="S37" s="94" t="str">
        <f aca="false">Table4[[#This Row],[Team]] &amp; "/" &amp; Table4[[#This Row],[Bye]]</f>
        <v>DEN/10</v>
      </c>
      <c r="T37" s="95" t="n">
        <f aca="false">IFERROR(VLOOKUP(Table4[[#This Row],[PLAYER]],RB!A:Q,13,FALSE())/17*(17-Table4[[#This Row],[Missed Games]]),0)</f>
        <v>95.2648635294118</v>
      </c>
      <c r="U37" s="95" t="n">
        <f aca="false">IFERROR(VLOOKUP(Table4[[#This Row],[PLAYER]],RB!A:Q,14,FALSE())/17*(17-Table4[[#This Row],[Missed Games]]),0)</f>
        <v>113.446174117647</v>
      </c>
      <c r="V37" s="95" t="n">
        <f aca="false">IFERROR(VLOOKUP(Table4[[#This Row],[PLAYER]],RB!A:Q,15,FALSE())/17*(17-Table4[[#This Row],[Missed Games]]),0)</f>
        <v>140.831976470588</v>
      </c>
      <c r="W37" s="96" t="n">
        <f aca="false">AVERAGE(AVERAGE(Table4[[#This Row],[LOW]],Table4[[#This Row],[HIGH]]),Table4[[#This Row],[AVG]],VLOOKUP(Table4[[#This Row],[PLAYER]],ECR!L:N,3,FALSE()))</f>
        <v>115.745262588235</v>
      </c>
      <c r="X37" s="96" t="n">
        <f aca="false">Table4[[#This Row],[Zscore Projection]]-$Q$1</f>
        <v>-11.8004758039216</v>
      </c>
      <c r="Y37" s="97" t="e">
        <f aca="false">MAX(Table4[[#This Row],[VBD]]*Scoring!$B$48+1,1)</f>
        <v>#VALUE!</v>
      </c>
      <c r="Z37" s="98" t="n">
        <f aca="false">VLOOKUP(Table4[[#This Row],[VBD]],BM:BO,3,FALSE())</f>
        <v>7</v>
      </c>
      <c r="AA37" s="99" t="n">
        <f aca="false">VLOOKUP(INDEX(ECR!$E:$E,MATCH(P37,ECR!$C:$C,0)),RISK!A:B,2,FALSE())</f>
        <v>3.177</v>
      </c>
      <c r="AB37" s="100"/>
      <c r="AC37" s="94" t="s">
        <v>270</v>
      </c>
      <c r="AD37" s="94" t="str">
        <f aca="false">VLOOKUP(AC37,ECR!E:L,8,FALSE())</f>
        <v>Chris Godwin Jr.</v>
      </c>
      <c r="AE37" s="94" t="str">
        <f aca="false">IFERROR(VLOOKUP(Table6[[#This Row],[PLAYER]],ECR!C:F,2,FALSE()),"-")</f>
        <v>TB</v>
      </c>
      <c r="AF37" s="94" t="n">
        <f aca="false">IFERROR(VLOOKUP(Table6[[#This Row],[PLAYER]],ECR!C:F,4,FALSE()),"-")</f>
        <v>10</v>
      </c>
      <c r="AG37" s="94" t="str">
        <f aca="false">Table6[[#This Row],[Team]] &amp; "/" &amp; Table6[[#This Row],[Bye]]</f>
        <v>TB/10</v>
      </c>
      <c r="AH37" s="95" t="n">
        <f aca="false">IFERROR(VLOOKUP(Table6[[#This Row],[PLAYER]],WR!A:Q,13,FALSE())/17*(17-Table6[[#This Row],[Missed Games]]),0)</f>
        <v>98.1810767647059</v>
      </c>
      <c r="AI37" s="95" t="n">
        <f aca="false">IFERROR(VLOOKUP(Table6[[#This Row],[PLAYER]],WR!A:Q,14,FALSE())/17*(17-Table6[[#This Row],[Missed Games]]),0)</f>
        <v>110.520902647059</v>
      </c>
      <c r="AJ37" s="95" t="n">
        <f aca="false">IFERROR(VLOOKUP(Table6[[#This Row],[PLAYER]],WR!A:Q,15,FALSE())/17*(17-Table6[[#This Row],[Missed Games]]),0)</f>
        <v>122.852938235294</v>
      </c>
      <c r="AK37" s="96" t="n">
        <f aca="false">AVERAGE(AVERAGE(Table6[[#This Row],[LOW]],Table6[[#This Row],[HIGH]]),Table6[[#This Row],[AVG]],VLOOKUP(Table6[[#This Row],[PLAYER]],ECR!L:N,3,FALSE()))</f>
        <v>114.110406286299</v>
      </c>
      <c r="AL37" s="96" t="n">
        <f aca="false">Table6[[#This Row],[Zscore Projection]]-$AE$1</f>
        <v>-11.5674724587987</v>
      </c>
      <c r="AM37" s="97" t="e">
        <f aca="false">MAX(Table6[[#This Row],[VBD]]*Scoring!$B$48+1,1)</f>
        <v>#VALUE!</v>
      </c>
      <c r="AN37" s="98" t="n">
        <f aca="false">VLOOKUP(Table6[[#This Row],[VBD]],BR:BT,3,FALSE())</f>
        <v>6</v>
      </c>
      <c r="AO37" s="99" t="n">
        <f aca="false">VLOOKUP(INDEX(ECR!$E:$E,MATCH(AD37,ECR!$C:$C,0)),RISK!A:B,2,FALSE())</f>
        <v>3.7565</v>
      </c>
      <c r="AP37" s="100"/>
      <c r="AQ37" s="101" t="s">
        <v>271</v>
      </c>
      <c r="AR37" s="101" t="str">
        <f aca="false">VLOOKUP(AQ37,ECR!E:L,8,FALSE())</f>
        <v>Eli Stowers</v>
      </c>
      <c r="AS37" s="101" t="str">
        <f aca="false">IFERROR(VLOOKUP(Table7[[#This Row],[PLAYER]],ECR!C:F,2,FALSE()),"-")</f>
        <v>PHI</v>
      </c>
      <c r="AT37" s="101" t="n">
        <f aca="false">IFERROR(VLOOKUP(Table7[[#This Row],[PLAYER]],ECR!C:F,4,FALSE()),"-")</f>
        <v>10</v>
      </c>
      <c r="AU37" s="101" t="str">
        <f aca="false">Table7[[#This Row],[Team]] &amp; "/" &amp; Table7[[#This Row],[Bye]]</f>
        <v>PHI/10</v>
      </c>
      <c r="AV37" s="95" t="n">
        <f aca="false">IFERROR(VLOOKUP(Table7[[#This Row],[PLAYER]],TE!A:K,9,FALSE())/17*(16-Table7[[#This Row],[Missed Games]]),0)</f>
        <v>14.4452941176471</v>
      </c>
      <c r="AW37" s="95" t="n">
        <f aca="false">IFERROR(VLOOKUP(Table7[[#This Row],[PLAYER]],TE!A:K,10,FALSE())/17*(16-Table7[[#This Row],[Missed Games]]),0)</f>
        <v>29.9305882352941</v>
      </c>
      <c r="AX37" s="95" t="n">
        <f aca="false">IFERROR(VLOOKUP(Table7[[#This Row],[PLAYER]],TE!A:K,11,FALSE())/17*(16-Table7[[#This Row],[Missed Games]]),0)</f>
        <v>45.5764705882353</v>
      </c>
      <c r="AY37" s="96" t="n">
        <f aca="false">AVERAGE(AVERAGE(Table7[[#This Row],[LOW]],Table7[[#This Row],[HIGH]]),Table7[[#This Row],[AVG]],VLOOKUP(Table7[[#This Row],[PLAYER]],ECR!L:N,3,FALSE()))</f>
        <v>38.2493137254902</v>
      </c>
      <c r="AZ37" s="96" t="n">
        <f aca="false">Table7[[#This Row],[Zscore Projection]]-$AS$1</f>
        <v>-74.3242837156863</v>
      </c>
      <c r="BA37" s="97" t="e">
        <f aca="false">MAX(Table7[[#This Row],[VBD]]*Scoring!$B$48+1,1)</f>
        <v>#VALUE!</v>
      </c>
      <c r="BB37" s="95" t="n">
        <f aca="false">VLOOKUP(Table7[[#This Row],[VBD]],BW:BY,3,FALSE())</f>
        <v>10</v>
      </c>
      <c r="BC37" s="99" t="n">
        <f aca="false">VLOOKUP(INDEX(ECR!$E:$E,MATCH(AR37,ECR!$C:$C,0)),RISK!A:B,2,FALSE())</f>
        <v>3</v>
      </c>
      <c r="BD37" s="95"/>
      <c r="BE37" s="100"/>
      <c r="BF37" s="102" t="n">
        <v>35</v>
      </c>
      <c r="BG37" s="100" t="n">
        <f aca="false">IFERROR(LARGE($G$3:$G$52,BF37),"")</f>
        <v>38.2113882352941</v>
      </c>
      <c r="BH37" s="100" t="n">
        <f aca="false">IFERROR(LARGE($J$3:$J$52,35),"")</f>
        <v>-214.349930494118</v>
      </c>
      <c r="BI37" s="100" t="n">
        <f aca="false">IF(BH37="",BI36,IF((BI36-BH37)&gt;0.2*LARGE($J$3:$J$52,2),BH37,BI36))</f>
        <v>-214.349930494118</v>
      </c>
      <c r="BJ37" s="103" t="n">
        <f aca="false">MIN(IF(BH37="",BJ36,IF((BI36-BH37)&gt;0.2*LARGE($J$3:$J$52,2),BJ36+1,BJ36)),15)</f>
        <v>15</v>
      </c>
      <c r="BK37" s="102" t="n">
        <v>35</v>
      </c>
      <c r="BL37" s="100" t="n">
        <f aca="false">IFERROR(LARGE($U$3:$U$102,BK37),"")</f>
        <v>115.741193647059</v>
      </c>
      <c r="BM37" s="104" t="n">
        <f aca="false">IFERROR(LARGE($X$3:$X$102,35),"")</f>
        <v>-11.8004758039216</v>
      </c>
      <c r="BN37" s="104" t="n">
        <f aca="false">IF(BM37="",BN36,IF((BN36-BM37)&gt;0.15*LARGE($X$3:$X$102,2),BM37,BN36))</f>
        <v>-4.11292754901962</v>
      </c>
      <c r="BO37" s="103" t="n">
        <f aca="false">IF(BM37="",BO36,IF((BN36-BM37)&gt;0.15*LARGE($X$3:$X$102,2),BO36+1,BO36))</f>
        <v>7</v>
      </c>
      <c r="BP37" s="105" t="n">
        <v>35</v>
      </c>
      <c r="BQ37" s="100" t="n">
        <f aca="false">IFERROR(LARGE($AI$3:$AI$102,BP37),"")</f>
        <v>121.293308711839</v>
      </c>
      <c r="BR37" s="104" t="n">
        <f aca="false">IFERROR(LARGE($AL$3:$AL$102,35),"")</f>
        <v>-2.44520651873914</v>
      </c>
      <c r="BS37" s="104" t="n">
        <f aca="false">IF(BR37="",BS36,IF((BS36-BR37)&gt;0.15*LARGE($AL$3:$AL$102,2),BR37,BS36))</f>
        <v>3.76372349019606</v>
      </c>
      <c r="BT37" s="103" t="n">
        <f aca="false">IF(BR37="",BT36,IF((BS36-BR37)&gt;0.15*LARGE($AL$3:$AL$102,2),BT36+1,BT36))</f>
        <v>6</v>
      </c>
      <c r="BU37" s="102" t="n">
        <v>35</v>
      </c>
      <c r="BV37" s="100" t="n">
        <f aca="false">IFERROR(LARGE($AW$3:$AW$52,BU37),"")</f>
        <v>54.8064705882353</v>
      </c>
      <c r="BW37" s="104" t="n">
        <f aca="false">IFERROR(LARGE($AZ$3:$AZ$52,35),"")</f>
        <v>-54.7503621470589</v>
      </c>
      <c r="BX37" s="104" t="n">
        <f aca="false">IF(BW37="",BX36,IF((BX36-BW37)&gt;0.2*LARGE($AZ$3:$AZ$52,2),BW37,BX36))</f>
        <v>-47.8297739117647</v>
      </c>
      <c r="BY37" s="106" t="n">
        <f aca="false">IF(BW37="",BY36,IF((BX36-BW37)&gt;0.2*LARGE($AZ$3:$AZ$52,2),BY36+1,BY36))</f>
        <v>8</v>
      </c>
      <c r="BZ37" s="104"/>
      <c r="CA37" s="104"/>
      <c r="CB37" s="104"/>
      <c r="CC37" s="104"/>
      <c r="CD37" s="104"/>
      <c r="CE37" s="104"/>
      <c r="CF37" s="104"/>
      <c r="CG37" s="104"/>
    </row>
    <row r="38" s="107" customFormat="true" ht="14.25" hidden="false" customHeight="true" outlineLevel="0" collapsed="false">
      <c r="A38" s="93" t="s">
        <v>272</v>
      </c>
      <c r="B38" s="93" t="str">
        <f aca="false">VLOOKUP(A38,ECR!E:L,8,FALSE())</f>
        <v>Carson Beck</v>
      </c>
      <c r="C38" s="94" t="str">
        <f aca="false">IFERROR(VLOOKUP(Table2[[#This Row],[PLAYER]],ECR!C:F,2,FALSE()),"-")</f>
        <v>ARI</v>
      </c>
      <c r="D38" s="94" t="n">
        <f aca="false">IFERROR(VLOOKUP(Table2[[#This Row],[PLAYER]],ECR!C:F,4,FALSE()),"-")</f>
        <v>14</v>
      </c>
      <c r="E38" s="94" t="str">
        <f aca="false">Table2[[#This Row],[Team]] &amp; "/" &amp; Table2[[#This Row],[Bye]]</f>
        <v>ARI/14</v>
      </c>
      <c r="F38" s="95" t="n">
        <f aca="false">IFERROR(VLOOKUP(Table2[[#This Row],[PLAYER]],QB!A:Q,15,FALSE())/17*(17-Table2[[#This Row],[Missed Games]]),0)</f>
        <v>22.5345882352941</v>
      </c>
      <c r="G38" s="95" t="n">
        <f aca="false">IFERROR(VLOOKUP(Table2[[#This Row],[PLAYER]],QB!A:Q,16,FALSE())/17*(17-Table2[[#This Row],[Missed Games]]),0)</f>
        <v>24.0785647058824</v>
      </c>
      <c r="H38" s="95" t="n">
        <f aca="false">IFERROR(VLOOKUP(Table2[[#This Row],[PLAYER]],QB!A:Q,17,FALSE())/17*(17-Table2[[#This Row],[Missed Games]]),0)</f>
        <v>26.1907764705882</v>
      </c>
      <c r="I38" s="96" t="n">
        <f aca="false">AVERAGE(AVERAGE(Table2[[#This Row],[LOW]],Table2[[#This Row],[HIGH]]),Table2[[#This Row],[AVG]],VLOOKUP(Table2[[#This Row],[PLAYER]],ECR!L:N,3,FALSE()))</f>
        <v>24.1732705882353</v>
      </c>
      <c r="J38" s="96" t="n">
        <f aca="false">Table2[[#This Row],[Zscore Projection]]-$C$1</f>
        <v>-244.2060952</v>
      </c>
      <c r="K38" s="97" t="e">
        <f aca="false">MAX(Table2[[#This Row],[VBD]]*Scoring!$B$48+1,1)</f>
        <v>#VALUE!</v>
      </c>
      <c r="L38" s="98" t="n">
        <f aca="false">VLOOKUP(Table2[[#This Row],[VBD]],BH:BJ,3,FALSE())</f>
        <v>15</v>
      </c>
      <c r="M38" s="99" t="n">
        <f aca="false">VLOOKUP(INDEX(ECR!$E:$E,MATCH(B38,ECR!$C:$C,0)),RISK!A:B,2,FALSE())</f>
        <v>3.2</v>
      </c>
      <c r="N38" s="100"/>
      <c r="O38" s="98" t="s">
        <v>273</v>
      </c>
      <c r="P38" s="93" t="str">
        <f aca="false">VLOOKUP(O38,ECR!E:L,8,FALSE())</f>
        <v>Jordan Mason</v>
      </c>
      <c r="Q38" s="94" t="str">
        <f aca="false">IFERROR(VLOOKUP(Table4[[#This Row],[PLAYER]],ECR!C:F,2,FALSE()),"-")</f>
        <v>MIN</v>
      </c>
      <c r="R38" s="94" t="n">
        <f aca="false">IFERROR(VLOOKUP(Table4[[#This Row],[PLAYER]],ECR!C:F,4,FALSE()),"-")</f>
        <v>6</v>
      </c>
      <c r="S38" s="94" t="str">
        <f aca="false">Table4[[#This Row],[Team]] &amp; "/" &amp; Table4[[#This Row],[Bye]]</f>
        <v>MIN/6</v>
      </c>
      <c r="T38" s="95" t="n">
        <f aca="false">IFERROR(VLOOKUP(Table4[[#This Row],[PLAYER]],RB!A:Q,13,FALSE())/17*(17-Table4[[#This Row],[Missed Games]]),0)</f>
        <v>99.64732</v>
      </c>
      <c r="U38" s="95" t="n">
        <f aca="false">IFERROR(VLOOKUP(Table4[[#This Row],[PLAYER]],RB!A:Q,14,FALSE())/17*(17-Table4[[#This Row],[Missed Games]]),0)</f>
        <v>112.344448</v>
      </c>
      <c r="V38" s="95" t="n">
        <f aca="false">IFERROR(VLOOKUP(Table4[[#This Row],[PLAYER]],RB!A:Q,15,FALSE())/17*(17-Table4[[#This Row],[Missed Games]]),0)</f>
        <v>121.8227</v>
      </c>
      <c r="W38" s="96" t="n">
        <f aca="false">AVERAGE(AVERAGE(Table4[[#This Row],[LOW]],Table4[[#This Row],[HIGH]]),Table4[[#This Row],[AVG]],VLOOKUP(Table4[[#This Row],[PLAYER]],ECR!L:N,3,FALSE()))</f>
        <v>112.676555803922</v>
      </c>
      <c r="X38" s="96" t="n">
        <f aca="false">Table4[[#This Row],[Zscore Projection]]-$Q$1</f>
        <v>-14.8691825882353</v>
      </c>
      <c r="Y38" s="97" t="e">
        <f aca="false">MAX(Table4[[#This Row],[VBD]]*Scoring!$B$48+1,1)</f>
        <v>#VALUE!</v>
      </c>
      <c r="Z38" s="98" t="n">
        <f aca="false">VLOOKUP(Table4[[#This Row],[VBD]],BM:BO,3,FALSE())</f>
        <v>7</v>
      </c>
      <c r="AA38" s="99" t="n">
        <f aca="false">VLOOKUP(INDEX(ECR!$E:$E,MATCH(P38,ECR!$C:$C,0)),RISK!A:B,2,FALSE())</f>
        <v>3.2164</v>
      </c>
      <c r="AB38" s="100"/>
      <c r="AC38" s="94" t="s">
        <v>274</v>
      </c>
      <c r="AD38" s="94" t="str">
        <f aca="false">VLOOKUP(AC38,ECR!E:L,8,FALSE())</f>
        <v>Courtland Sutton</v>
      </c>
      <c r="AE38" s="94" t="str">
        <f aca="false">IFERROR(VLOOKUP(Table6[[#This Row],[PLAYER]],ECR!C:F,2,FALSE()),"-")</f>
        <v>DEN</v>
      </c>
      <c r="AF38" s="94" t="n">
        <f aca="false">IFERROR(VLOOKUP(Table6[[#This Row],[PLAYER]],ECR!C:F,4,FALSE()),"-")</f>
        <v>10</v>
      </c>
      <c r="AG38" s="94" t="str">
        <f aca="false">Table6[[#This Row],[Team]] &amp; "/" &amp; Table6[[#This Row],[Bye]]</f>
        <v>DEN/10</v>
      </c>
      <c r="AH38" s="95" t="n">
        <f aca="false">IFERROR(VLOOKUP(Table6[[#This Row],[PLAYER]],WR!A:Q,13,FALSE())/17*(17-Table6[[#This Row],[Missed Games]]),0)</f>
        <v>122.114765882353</v>
      </c>
      <c r="AI38" s="95" t="n">
        <f aca="false">IFERROR(VLOOKUP(Table6[[#This Row],[PLAYER]],WR!A:Q,14,FALSE())/17*(17-Table6[[#This Row],[Missed Games]]),0)</f>
        <v>128.045832705882</v>
      </c>
      <c r="AJ38" s="95" t="n">
        <f aca="false">IFERROR(VLOOKUP(Table6[[#This Row],[PLAYER]],WR!A:Q,15,FALSE())/17*(17-Table6[[#This Row],[Missed Games]]),0)</f>
        <v>133.29374</v>
      </c>
      <c r="AK38" s="96" t="n">
        <f aca="false">AVERAGE(AVERAGE(Table6[[#This Row],[LOW]],Table6[[#This Row],[HIGH]]),Table6[[#This Row],[AVG]],VLOOKUP(Table6[[#This Row],[PLAYER]],ECR!L:N,3,FALSE()))</f>
        <v>125.677878745098</v>
      </c>
      <c r="AL38" s="96" t="n">
        <f aca="false">Table6[[#This Row],[Zscore Projection]]-$AE$1</f>
        <v>0</v>
      </c>
      <c r="AM38" s="97" t="e">
        <f aca="false">MAX(Table6[[#This Row],[VBD]]*Scoring!$B$48+1,1)</f>
        <v>#VALUE!</v>
      </c>
      <c r="AN38" s="98" t="n">
        <f aca="false">VLOOKUP(Table6[[#This Row],[VBD]],BR:BT,3,FALSE())</f>
        <v>6</v>
      </c>
      <c r="AO38" s="99" t="n">
        <f aca="false">VLOOKUP(INDEX(ECR!$E:$E,MATCH(AD38,ECR!$C:$C,0)),RISK!A:B,2,FALSE())</f>
        <v>3.8026</v>
      </c>
      <c r="AP38" s="100"/>
      <c r="AQ38" s="101" t="s">
        <v>275</v>
      </c>
      <c r="AR38" s="101" t="str">
        <f aca="false">VLOOKUP(AQ38,ECR!E:L,8,FALSE())</f>
        <v>Mike Gesicki</v>
      </c>
      <c r="AS38" s="101" t="str">
        <f aca="false">IFERROR(VLOOKUP(Table7[[#This Row],[PLAYER]],ECR!C:F,2,FALSE()),"-")</f>
        <v>CIN</v>
      </c>
      <c r="AT38" s="101" t="n">
        <f aca="false">IFERROR(VLOOKUP(Table7[[#This Row],[PLAYER]],ECR!C:F,4,FALSE()),"-")</f>
        <v>6</v>
      </c>
      <c r="AU38" s="101" t="str">
        <f aca="false">Table7[[#This Row],[Team]] &amp; "/" &amp; Table7[[#This Row],[Bye]]</f>
        <v>CIN/6</v>
      </c>
      <c r="AV38" s="95" t="n">
        <f aca="false">IFERROR(VLOOKUP(Table7[[#This Row],[PLAYER]],TE!A:K,9,FALSE())/17*(16-Table7[[#This Row],[Missed Games]]),0)</f>
        <v>54.2711764705882</v>
      </c>
      <c r="AW38" s="95" t="n">
        <f aca="false">IFERROR(VLOOKUP(Table7[[#This Row],[PLAYER]],TE!A:K,10,FALSE())/17*(16-Table7[[#This Row],[Missed Games]]),0)</f>
        <v>67.4011764705882</v>
      </c>
      <c r="AX38" s="95" t="n">
        <f aca="false">IFERROR(VLOOKUP(Table7[[#This Row],[PLAYER]],TE!A:K,11,FALSE())/17*(16-Table7[[#This Row],[Missed Games]]),0)</f>
        <v>79.3764705882353</v>
      </c>
      <c r="AY38" s="96" t="n">
        <f aca="false">AVERAGE(AVERAGE(Table7[[#This Row],[LOW]],Table7[[#This Row],[HIGH]]),Table7[[#This Row],[AVG]],VLOOKUP(Table7[[#This Row],[PLAYER]],ECR!L:N,3,FALSE()))</f>
        <v>62.6026470588235</v>
      </c>
      <c r="AZ38" s="96" t="n">
        <f aca="false">Table7[[#This Row],[Zscore Projection]]-$AS$1</f>
        <v>-49.970950382353</v>
      </c>
      <c r="BA38" s="97" t="e">
        <f aca="false">MAX(Table7[[#This Row],[VBD]]*Scoring!$B$48+1,1)</f>
        <v>#VALUE!</v>
      </c>
      <c r="BB38" s="95" t="n">
        <f aca="false">VLOOKUP(Table7[[#This Row],[VBD]],BW:BY,3,FALSE())</f>
        <v>8</v>
      </c>
      <c r="BC38" s="99" t="n">
        <f aca="false">VLOOKUP(INDEX(ECR!$E:$E,MATCH(AR38,ECR!$C:$C,0)),RISK!A:B,2,FALSE())</f>
        <v>3</v>
      </c>
      <c r="BD38" s="95"/>
      <c r="BE38" s="100"/>
      <c r="BF38" s="102" t="n">
        <v>36</v>
      </c>
      <c r="BG38" s="100" t="n">
        <f aca="false">IFERROR(LARGE($G$3:$G$52,BF38),"")</f>
        <v>24.0785647058824</v>
      </c>
      <c r="BH38" s="100" t="n">
        <f aca="false">IFERROR(LARGE($J$3:$J$52,36),"")</f>
        <v>-244.2060952</v>
      </c>
      <c r="BI38" s="100" t="n">
        <f aca="false">IF(BH38="",BI37,IF((BI37-BH38)&gt;0.2*LARGE($J$3:$J$52,2),BH38,BI37))</f>
        <v>-244.2060952</v>
      </c>
      <c r="BJ38" s="103" t="n">
        <f aca="false">MIN(IF(BH38="",BJ37,IF((BI37-BH38)&gt;0.2*LARGE($J$3:$J$52,2),BJ37+1,BJ37)),15)</f>
        <v>15</v>
      </c>
      <c r="BK38" s="102" t="n">
        <v>36</v>
      </c>
      <c r="BL38" s="100" t="n">
        <f aca="false">IFERROR(LARGE($U$3:$U$102,BK38),"")</f>
        <v>114.950209411765</v>
      </c>
      <c r="BM38" s="104" t="n">
        <f aca="false">IFERROR(LARGE($X$3:$X$102,36),"")</f>
        <v>-12.3529801960784</v>
      </c>
      <c r="BN38" s="104" t="n">
        <f aca="false">IF(BM38="",BN37,IF((BN37-BM38)&gt;0.15*LARGE($X$3:$X$102,2),BM38,BN37))</f>
        <v>-4.11292754901962</v>
      </c>
      <c r="BO38" s="103" t="n">
        <f aca="false">IF(BM38="",BO37,IF((BN37-BM38)&gt;0.15*LARGE($X$3:$X$102,2),BO37+1,BO37))</f>
        <v>7</v>
      </c>
      <c r="BP38" s="105" t="n">
        <v>36</v>
      </c>
      <c r="BQ38" s="100" t="n">
        <f aca="false">IFERROR(LARGE($AI$3:$AI$102,BP38),"")</f>
        <v>121.283550588235</v>
      </c>
      <c r="BR38" s="104" t="n">
        <f aca="false">IFERROR(LARGE($AL$3:$AL$102,36),"")</f>
        <v>-3.62247488508314</v>
      </c>
      <c r="BS38" s="104" t="n">
        <f aca="false">IF(BR38="",BS37,IF((BS37-BR38)&gt;0.15*LARGE($AL$3:$AL$102,2),BR38,BS37))</f>
        <v>3.76372349019606</v>
      </c>
      <c r="BT38" s="103" t="n">
        <f aca="false">IF(BR38="",BT37,IF((BS37-BR38)&gt;0.15*LARGE($AL$3:$AL$102,2),BT37+1,BT37))</f>
        <v>6</v>
      </c>
      <c r="BU38" s="102" t="n">
        <v>36</v>
      </c>
      <c r="BV38" s="100" t="n">
        <f aca="false">IFERROR(LARGE($AW$3:$AW$52,BU38),"")</f>
        <v>53.5829411764706</v>
      </c>
      <c r="BW38" s="104" t="n">
        <f aca="false">IFERROR(LARGE($AZ$3:$AZ$52,36),"")</f>
        <v>-60.6653621470588</v>
      </c>
      <c r="BX38" s="104" t="n">
        <f aca="false">IF(BW38="",BX37,IF((BX37-BW38)&gt;0.2*LARGE($AZ$3:$AZ$52,2),BW38,BX37))</f>
        <v>-60.6653621470588</v>
      </c>
      <c r="BY38" s="106" t="n">
        <f aca="false">IF(BW38="",BY37,IF((BX37-BW38)&gt;0.2*LARGE($AZ$3:$AZ$52,2),BY37+1,BY37))</f>
        <v>9</v>
      </c>
      <c r="BZ38" s="104"/>
      <c r="CA38" s="104"/>
      <c r="CB38" s="104"/>
      <c r="CC38" s="104"/>
      <c r="CD38" s="104"/>
      <c r="CE38" s="104"/>
      <c r="CF38" s="104"/>
      <c r="CG38" s="104"/>
    </row>
    <row r="39" s="107" customFormat="true" ht="14.25" hidden="false" customHeight="true" outlineLevel="0" collapsed="false">
      <c r="A39" s="93" t="s">
        <v>276</v>
      </c>
      <c r="B39" s="93" t="str">
        <f aca="false">VLOOKUP(A39,ECR!E:L,8,FALSE())</f>
        <v>Mac Jones</v>
      </c>
      <c r="C39" s="94" t="str">
        <f aca="false">IFERROR(VLOOKUP(Table2[[#This Row],[PLAYER]],ECR!C:F,2,FALSE()),"-")</f>
        <v>SF</v>
      </c>
      <c r="D39" s="94" t="n">
        <f aca="false">IFERROR(VLOOKUP(Table2[[#This Row],[PLAYER]],ECR!C:F,4,FALSE()),"-")</f>
        <v>8</v>
      </c>
      <c r="E39" s="94" t="str">
        <f aca="false">Table2[[#This Row],[Team]] &amp; "/" &amp; Table2[[#This Row],[Bye]]</f>
        <v>SF/8</v>
      </c>
      <c r="F39" s="95" t="n">
        <f aca="false">IFERROR(VLOOKUP(Table2[[#This Row],[PLAYER]],QB!A:Q,15,FALSE())/17*(17-Table2[[#This Row],[Missed Games]]),0)</f>
        <v>6.85454117647059</v>
      </c>
      <c r="G39" s="95" t="n">
        <f aca="false">IFERROR(VLOOKUP(Table2[[#This Row],[PLAYER]],QB!A:Q,16,FALSE())/17*(17-Table2[[#This Row],[Missed Games]]),0)</f>
        <v>8.56249411764706</v>
      </c>
      <c r="H39" s="95" t="n">
        <f aca="false">IFERROR(VLOOKUP(Table2[[#This Row],[PLAYER]],QB!A:Q,17,FALSE())/17*(17-Table2[[#This Row],[Missed Games]]),0)</f>
        <v>10.1632941176471</v>
      </c>
      <c r="I39" s="96" t="n">
        <f aca="false">AVERAGE(AVERAGE(Table2[[#This Row],[LOW]],Table2[[#This Row],[HIGH]]),Table2[[#This Row],[AVG]],VLOOKUP(Table2[[#This Row],[PLAYER]],ECR!L:N,3,FALSE()))</f>
        <v>10.7780705882353</v>
      </c>
      <c r="J39" s="96" t="n">
        <f aca="false">Table2[[#This Row],[Zscore Projection]]-$C$1</f>
        <v>-257.6012952</v>
      </c>
      <c r="K39" s="97" t="e">
        <f aca="false">MAX(Table2[[#This Row],[VBD]]*Scoring!$B$48+1,1)</f>
        <v>#VALUE!</v>
      </c>
      <c r="L39" s="98" t="n">
        <f aca="false">VLOOKUP(Table2[[#This Row],[VBD]],BH:BJ,3,FALSE())</f>
        <v>15</v>
      </c>
      <c r="M39" s="99" t="n">
        <f aca="false">VLOOKUP(INDEX(ECR!$E:$E,MATCH(B39,ECR!$C:$C,0)),RISK!A:B,2,FALSE())</f>
        <v>3.2</v>
      </c>
      <c r="N39" s="100"/>
      <c r="O39" s="98" t="s">
        <v>277</v>
      </c>
      <c r="P39" s="93" t="str">
        <f aca="false">VLOOKUP(O39,ECR!E:L,8,FALSE())</f>
        <v>Jacory Croskey-Merritt</v>
      </c>
      <c r="Q39" s="94" t="str">
        <f aca="false">IFERROR(VLOOKUP(Table4[[#This Row],[PLAYER]],ECR!C:F,2,FALSE()),"-")</f>
        <v>WAS</v>
      </c>
      <c r="R39" s="94" t="n">
        <f aca="false">IFERROR(VLOOKUP(Table4[[#This Row],[PLAYER]],ECR!C:F,4,FALSE()),"-")</f>
        <v>7</v>
      </c>
      <c r="S39" s="94" t="str">
        <f aca="false">Table4[[#This Row],[Team]] &amp; "/" &amp; Table4[[#This Row],[Bye]]</f>
        <v>WAS/7</v>
      </c>
      <c r="T39" s="95" t="n">
        <f aca="false">IFERROR(VLOOKUP(Table4[[#This Row],[PLAYER]],RB!A:Q,13,FALSE())/17*(17-Table4[[#This Row],[Missed Games]]),0)</f>
        <v>103.800070588235</v>
      </c>
      <c r="U39" s="95" t="n">
        <f aca="false">IFERROR(VLOOKUP(Table4[[#This Row],[PLAYER]],RB!A:Q,14,FALSE())/17*(17-Table4[[#This Row],[Missed Games]]),0)</f>
        <v>113.961806470588</v>
      </c>
      <c r="V39" s="95" t="n">
        <f aca="false">IFERROR(VLOOKUP(Table4[[#This Row],[PLAYER]],RB!A:Q,15,FALSE())/17*(17-Table4[[#This Row],[Missed Games]]),0)</f>
        <v>125.279571176471</v>
      </c>
      <c r="W39" s="96" t="n">
        <f aca="false">AVERAGE(AVERAGE(Table4[[#This Row],[LOW]],Table4[[#This Row],[HIGH]]),Table4[[#This Row],[AVG]],VLOOKUP(Table4[[#This Row],[PLAYER]],ECR!L:N,3,FALSE()))</f>
        <v>114.154477941176</v>
      </c>
      <c r="X39" s="96" t="n">
        <f aca="false">Table4[[#This Row],[Zscore Projection]]-$Q$1</f>
        <v>-13.3912604509804</v>
      </c>
      <c r="Y39" s="97" t="e">
        <f aca="false">MAX(Table4[[#This Row],[VBD]]*Scoring!$B$48+1,1)</f>
        <v>#VALUE!</v>
      </c>
      <c r="Z39" s="98" t="n">
        <f aca="false">VLOOKUP(Table4[[#This Row],[VBD]],BM:BO,3,FALSE())</f>
        <v>7</v>
      </c>
      <c r="AA39" s="99" t="n">
        <f aca="false">VLOOKUP(INDEX(ECR!$E:$E,MATCH(P39,ECR!$C:$C,0)),RISK!A:B,2,FALSE())</f>
        <v>3.257</v>
      </c>
      <c r="AB39" s="100"/>
      <c r="AC39" s="94" t="s">
        <v>278</v>
      </c>
      <c r="AD39" s="94" t="str">
        <f aca="false">VLOOKUP(AC39,ECR!E:L,8,FALSE())</f>
        <v>Quentin Johnston</v>
      </c>
      <c r="AE39" s="94" t="str">
        <f aca="false">IFERROR(VLOOKUP(Table6[[#This Row],[PLAYER]],ECR!C:F,2,FALSE()),"-")</f>
        <v>LAC</v>
      </c>
      <c r="AF39" s="94" t="n">
        <f aca="false">IFERROR(VLOOKUP(Table6[[#This Row],[PLAYER]],ECR!C:F,4,FALSE()),"-")</f>
        <v>7</v>
      </c>
      <c r="AG39" s="94" t="str">
        <f aca="false">Table6[[#This Row],[Team]] &amp; "/" &amp; Table6[[#This Row],[Bye]]</f>
        <v>LAC/7</v>
      </c>
      <c r="AH39" s="95" t="n">
        <f aca="false">IFERROR(VLOOKUP(Table6[[#This Row],[PLAYER]],WR!A:Q,13,FALSE())/17*(17-Table6[[#This Row],[Missed Games]]),0)</f>
        <v>100.418624705882</v>
      </c>
      <c r="AI39" s="95" t="n">
        <f aca="false">IFERROR(VLOOKUP(Table6[[#This Row],[PLAYER]],WR!A:Q,14,FALSE())/17*(17-Table6[[#This Row],[Missed Games]]),0)</f>
        <v>111.272810411765</v>
      </c>
      <c r="AJ39" s="95" t="n">
        <f aca="false">IFERROR(VLOOKUP(Table6[[#This Row],[PLAYER]],WR!A:Q,15,FALSE())/17*(17-Table6[[#This Row],[Missed Games]]),0)</f>
        <v>125.391761882353</v>
      </c>
      <c r="AK39" s="96" t="n">
        <f aca="false">AVERAGE(AVERAGE(Table6[[#This Row],[LOW]],Table6[[#This Row],[HIGH]]),Table6[[#This Row],[AVG]],VLOOKUP(Table6[[#This Row],[PLAYER]],ECR!L:N,3,FALSE()))</f>
        <v>114.411580803922</v>
      </c>
      <c r="AL39" s="96" t="n">
        <f aca="false">Table6[[#This Row],[Zscore Projection]]-$AE$1</f>
        <v>-11.2662979411765</v>
      </c>
      <c r="AM39" s="97" t="e">
        <f aca="false">MAX(Table6[[#This Row],[VBD]]*Scoring!$B$48+1,1)</f>
        <v>#VALUE!</v>
      </c>
      <c r="AN39" s="98" t="n">
        <f aca="false">VLOOKUP(Table6[[#This Row],[VBD]],BR:BT,3,FALSE())</f>
        <v>6</v>
      </c>
      <c r="AO39" s="99" t="n">
        <f aca="false">VLOOKUP(INDEX(ECR!$E:$E,MATCH(AD39,ECR!$C:$C,0)),RISK!A:B,2,FALSE())</f>
        <v>3.8481</v>
      </c>
      <c r="AP39" s="100"/>
      <c r="AQ39" s="101" t="s">
        <v>279</v>
      </c>
      <c r="AR39" s="101" t="str">
        <f aca="false">VLOOKUP(AQ39,ECR!E:L,8,FALSE())</f>
        <v>Darren Waller</v>
      </c>
      <c r="AS39" s="101" t="str">
        <f aca="false">IFERROR(VLOOKUP(Table7[[#This Row],[PLAYER]],ECR!C:F,2,FALSE()),"-")</f>
        <v>CAR</v>
      </c>
      <c r="AT39" s="101" t="n">
        <f aca="false">IFERROR(VLOOKUP(Table7[[#This Row],[PLAYER]],ECR!C:F,4,FALSE()),"-")</f>
        <v>5</v>
      </c>
      <c r="AU39" s="101" t="str">
        <f aca="false">Table7[[#This Row],[Team]] &amp; "/" &amp; Table7[[#This Row],[Bye]]</f>
        <v>CAR/5</v>
      </c>
      <c r="AV39" s="95" t="n">
        <f aca="false">IFERROR(VLOOKUP(Table7[[#This Row],[PLAYER]],TE!A:K,9,FALSE())/17*(16-Table7[[#This Row],[Missed Games]]),0)</f>
        <v>64.0823529411765</v>
      </c>
      <c r="AW39" s="95" t="n">
        <f aca="false">IFERROR(VLOOKUP(Table7[[#This Row],[PLAYER]],TE!A:K,10,FALSE())/17*(16-Table7[[#This Row],[Missed Games]]),0)</f>
        <v>72.0888235294118</v>
      </c>
      <c r="AX39" s="95" t="n">
        <f aca="false">IFERROR(VLOOKUP(Table7[[#This Row],[PLAYER]],TE!A:K,11,FALSE())/17*(16-Table7[[#This Row],[Missed Games]]),0)</f>
        <v>81.2652941176471</v>
      </c>
      <c r="AY39" s="96" t="n">
        <f aca="false">AVERAGE(AVERAGE(Table7[[#This Row],[LOW]],Table7[[#This Row],[HIGH]]),Table7[[#This Row],[AVG]],VLOOKUP(Table7[[#This Row],[PLAYER]],ECR!L:N,3,FALSE()))</f>
        <v>64.7438235294118</v>
      </c>
      <c r="AZ39" s="96" t="n">
        <f aca="false">Table7[[#This Row],[Zscore Projection]]-$AS$1</f>
        <v>-47.8297739117647</v>
      </c>
      <c r="BA39" s="97" t="e">
        <f aca="false">MAX(Table7[[#This Row],[VBD]]*Scoring!$B$48+1,1)</f>
        <v>#VALUE!</v>
      </c>
      <c r="BB39" s="95" t="n">
        <f aca="false">VLOOKUP(Table7[[#This Row],[VBD]],BW:BY,3,FALSE())</f>
        <v>8</v>
      </c>
      <c r="BC39" s="99" t="n">
        <f aca="false">VLOOKUP(INDEX(ECR!$E:$E,MATCH(AR39,ECR!$C:$C,0)),RISK!A:B,2,FALSE())</f>
        <v>3</v>
      </c>
      <c r="BD39" s="95"/>
      <c r="BE39" s="100"/>
      <c r="BF39" s="102" t="n">
        <v>37</v>
      </c>
      <c r="BG39" s="100" t="n">
        <f aca="false">IFERROR(LARGE($G$3:$G$52,BF39),"")</f>
        <v>15.2628</v>
      </c>
      <c r="BH39" s="100" t="n">
        <f aca="false">IFERROR(LARGE($J$3:$J$52,37),"")</f>
        <v>-253.680471670588</v>
      </c>
      <c r="BI39" s="100" t="n">
        <f aca="false">IF(BH39="",BI38,IF((BI38-BH39)&gt;0.2*LARGE($J$3:$J$52,2),BH39,BI38))</f>
        <v>-253.680471670588</v>
      </c>
      <c r="BJ39" s="103" t="n">
        <f aca="false">MIN(IF(BH39="",BJ38,IF((BI38-BH39)&gt;0.2*LARGE($J$3:$J$52,2),BJ38+1,BJ38)),15)</f>
        <v>15</v>
      </c>
      <c r="BK39" s="102" t="n">
        <v>37</v>
      </c>
      <c r="BL39" s="100" t="n">
        <f aca="false">IFERROR(LARGE($U$3:$U$102,BK39),"")</f>
        <v>113.961806470588</v>
      </c>
      <c r="BM39" s="104" t="n">
        <f aca="false">IFERROR(LARGE($X$3:$X$102,37),"")</f>
        <v>-12.6226838431373</v>
      </c>
      <c r="BN39" s="104" t="n">
        <f aca="false">IF(BM39="",BN38,IF((BN38-BM39)&gt;0.15*LARGE($X$3:$X$102,2),BM39,BN38))</f>
        <v>-4.11292754901962</v>
      </c>
      <c r="BO39" s="103" t="n">
        <f aca="false">IF(BM39="",BO38,IF((BN38-BM39)&gt;0.15*LARGE($X$3:$X$102,2),BO38+1,BO38))</f>
        <v>7</v>
      </c>
      <c r="BP39" s="105" t="n">
        <v>37</v>
      </c>
      <c r="BQ39" s="100" t="n">
        <f aca="false">IFERROR(LARGE($AI$3:$AI$102,BP39),"")</f>
        <v>119.056738705882</v>
      </c>
      <c r="BR39" s="104" t="n">
        <f aca="false">IFERROR(LARGE($AL$3:$AL$102,37),"")</f>
        <v>-8.85941331943405</v>
      </c>
      <c r="BS39" s="104" t="n">
        <f aca="false">IF(BR39="",BS38,IF((BS38-BR39)&gt;0.15*LARGE($AL$3:$AL$102,2),BR39,BS38))</f>
        <v>3.76372349019606</v>
      </c>
      <c r="BT39" s="103" t="n">
        <f aca="false">IF(BR39="",BT38,IF((BS38-BR39)&gt;0.15*LARGE($AL$3:$AL$102,2),BT38+1,BT38))</f>
        <v>6</v>
      </c>
      <c r="BU39" s="102" t="n">
        <v>37</v>
      </c>
      <c r="BV39" s="100" t="n">
        <f aca="false">IFERROR(LARGE($AW$3:$AW$52,BU39),"")</f>
        <v>49.4688235294118</v>
      </c>
      <c r="BW39" s="104" t="n">
        <f aca="false">IFERROR(LARGE($AZ$3:$AZ$52,37),"")</f>
        <v>-62.2075190098039</v>
      </c>
      <c r="BX39" s="104" t="n">
        <f aca="false">IF(BW39="",BX38,IF((BX38-BW39)&gt;0.2*LARGE($AZ$3:$AZ$52,2),BW39,BX38))</f>
        <v>-60.6653621470588</v>
      </c>
      <c r="BY39" s="106" t="n">
        <f aca="false">IF(BW39="",BY38,IF((BX38-BW39)&gt;0.2*LARGE($AZ$3:$AZ$52,2),BY38+1,BY38))</f>
        <v>9</v>
      </c>
      <c r="BZ39" s="104"/>
      <c r="CA39" s="104"/>
      <c r="CB39" s="104"/>
      <c r="CC39" s="104"/>
      <c r="CD39" s="104"/>
      <c r="CE39" s="104"/>
      <c r="CF39" s="104"/>
      <c r="CG39" s="104"/>
    </row>
    <row r="40" s="107" customFormat="true" ht="14.25" hidden="false" customHeight="true" outlineLevel="0" collapsed="false">
      <c r="A40" s="93" t="s">
        <v>280</v>
      </c>
      <c r="B40" s="93" t="str">
        <f aca="false">VLOOKUP(A40,ECR!E:L,8,FALSE())</f>
        <v>J.J. McCarthy</v>
      </c>
      <c r="C40" s="94" t="str">
        <f aca="false">IFERROR(VLOOKUP(Table2[[#This Row],[PLAYER]],ECR!C:F,2,FALSE()),"-")</f>
        <v>MIN</v>
      </c>
      <c r="D40" s="94" t="n">
        <f aca="false">IFERROR(VLOOKUP(Table2[[#This Row],[PLAYER]],ECR!C:F,4,FALSE()),"-")</f>
        <v>6</v>
      </c>
      <c r="E40" s="94" t="str">
        <f aca="false">Table2[[#This Row],[Team]] &amp; "/" &amp; Table2[[#This Row],[Bye]]</f>
        <v>MIN/6</v>
      </c>
      <c r="F40" s="95" t="n">
        <f aca="false">IFERROR(VLOOKUP(Table2[[#This Row],[PLAYER]],QB!A:Q,15,FALSE())/17*(17-Table2[[#This Row],[Missed Games]]),0)</f>
        <v>7.05423529411765</v>
      </c>
      <c r="G40" s="95" t="n">
        <f aca="false">IFERROR(VLOOKUP(Table2[[#This Row],[PLAYER]],QB!A:Q,16,FALSE())/17*(17-Table2[[#This Row],[Missed Games]]),0)</f>
        <v>9.88729411764706</v>
      </c>
      <c r="H40" s="95" t="n">
        <f aca="false">IFERROR(VLOOKUP(Table2[[#This Row],[PLAYER]],QB!A:Q,17,FALSE())/17*(17-Table2[[#This Row],[Missed Games]]),0)</f>
        <v>13.9948235294118</v>
      </c>
      <c r="I40" s="96" t="n">
        <f aca="false">AVERAGE(AVERAGE(Table2[[#This Row],[LOW]],Table2[[#This Row],[HIGH]]),Table2[[#This Row],[AVG]],VLOOKUP(Table2[[#This Row],[PLAYER]],ECR!L:N,3,FALSE()))</f>
        <v>11.6599176470588</v>
      </c>
      <c r="J40" s="96" t="n">
        <f aca="false">Table2[[#This Row],[Zscore Projection]]-$C$1</f>
        <v>-256.719448141176</v>
      </c>
      <c r="K40" s="97" t="e">
        <f aca="false">MAX(Table2[[#This Row],[VBD]]*Scoring!$B$48+1,1)</f>
        <v>#VALUE!</v>
      </c>
      <c r="L40" s="98" t="n">
        <f aca="false">VLOOKUP(Table2[[#This Row],[VBD]],BH:BJ,3,FALSE())</f>
        <v>15</v>
      </c>
      <c r="M40" s="99" t="n">
        <f aca="false">VLOOKUP(INDEX(ECR!$E:$E,MATCH(B40,ECR!$C:$C,0)),RISK!A:B,2,FALSE())</f>
        <v>3.2</v>
      </c>
      <c r="N40" s="100"/>
      <c r="O40" s="98" t="s">
        <v>281</v>
      </c>
      <c r="P40" s="93" t="str">
        <f aca="false">VLOOKUP(O40,ECR!E:L,8,FALSE())</f>
        <v>Kenny Gainwell</v>
      </c>
      <c r="Q40" s="94" t="str">
        <f aca="false">IFERROR(VLOOKUP(Table4[[#This Row],[PLAYER]],ECR!C:F,2,FALSE()),"-")</f>
        <v>TB</v>
      </c>
      <c r="R40" s="94" t="n">
        <f aca="false">IFERROR(VLOOKUP(Table4[[#This Row],[PLAYER]],ECR!C:F,4,FALSE()),"-")</f>
        <v>10</v>
      </c>
      <c r="S40" s="94" t="str">
        <f aca="false">Table4[[#This Row],[Team]] &amp; "/" &amp; Table4[[#This Row],[Bye]]</f>
        <v>TB/10</v>
      </c>
      <c r="T40" s="95" t="n">
        <f aca="false">IFERROR(VLOOKUP(Table4[[#This Row],[PLAYER]],RB!A:Q,13,FALSE())/17*(17-Table4[[#This Row],[Missed Games]]),0)</f>
        <v>103.081381176471</v>
      </c>
      <c r="U40" s="95" t="n">
        <f aca="false">IFERROR(VLOOKUP(Table4[[#This Row],[PLAYER]],RB!A:Q,14,FALSE())/17*(17-Table4[[#This Row],[Missed Games]]),0)</f>
        <v>118.168820235294</v>
      </c>
      <c r="V40" s="95" t="n">
        <f aca="false">IFERROR(VLOOKUP(Table4[[#This Row],[PLAYER]],RB!A:Q,15,FALSE())/17*(17-Table4[[#This Row],[Missed Games]]),0)</f>
        <v>133.304616470588</v>
      </c>
      <c r="W40" s="96" t="n">
        <f aca="false">AVERAGE(AVERAGE(Table4[[#This Row],[LOW]],Table4[[#This Row],[HIGH]]),Table4[[#This Row],[AVG]],VLOOKUP(Table4[[#This Row],[PLAYER]],ECR!L:N,3,FALSE()))</f>
        <v>116.602664392157</v>
      </c>
      <c r="X40" s="96" t="n">
        <f aca="false">Table4[[#This Row],[Zscore Projection]]-$Q$1</f>
        <v>-10.943074</v>
      </c>
      <c r="Y40" s="97" t="e">
        <f aca="false">MAX(Table4[[#This Row],[VBD]]*Scoring!$B$48+1,1)</f>
        <v>#VALUE!</v>
      </c>
      <c r="Z40" s="98" t="n">
        <f aca="false">VLOOKUP(Table4[[#This Row],[VBD]],BM:BO,3,FALSE())</f>
        <v>7</v>
      </c>
      <c r="AA40" s="99" t="n">
        <f aca="false">VLOOKUP(INDEX(ECR!$E:$E,MATCH(P40,ECR!$C:$C,0)),RISK!A:B,2,FALSE())</f>
        <v>3.2988</v>
      </c>
      <c r="AB40" s="100"/>
      <c r="AC40" s="94" t="s">
        <v>282</v>
      </c>
      <c r="AD40" s="94" t="str">
        <f aca="false">VLOOKUP(AC40,ECR!E:L,8,FALSE())</f>
        <v>Michael Pittman Jr.</v>
      </c>
      <c r="AE40" s="94" t="str">
        <f aca="false">IFERROR(VLOOKUP(Table6[[#This Row],[PLAYER]],ECR!C:F,2,FALSE()),"-")</f>
        <v>PIT</v>
      </c>
      <c r="AF40" s="94" t="n">
        <f aca="false">IFERROR(VLOOKUP(Table6[[#This Row],[PLAYER]],ECR!C:F,4,FALSE()),"-")</f>
        <v>9</v>
      </c>
      <c r="AG40" s="94" t="str">
        <f aca="false">Table6[[#This Row],[Team]] &amp; "/" &amp; Table6[[#This Row],[Bye]]</f>
        <v>PIT/9</v>
      </c>
      <c r="AH40" s="95" t="n">
        <f aca="false">IFERROR(VLOOKUP(Table6[[#This Row],[PLAYER]],WR!A:Q,13,FALSE())/17*(17-Table6[[#This Row],[Missed Games]]),0)</f>
        <v>98.7939687267312</v>
      </c>
      <c r="AI40" s="95" t="n">
        <f aca="false">IFERROR(VLOOKUP(Table6[[#This Row],[PLAYER]],WR!A:Q,14,FALSE())/17*(17-Table6[[#This Row],[Missed Games]]),0)</f>
        <v>116.208629932986</v>
      </c>
      <c r="AJ40" s="95" t="n">
        <f aca="false">IFERROR(VLOOKUP(Table6[[#This Row],[PLAYER]],WR!A:Q,15,FALSE())/17*(17-Table6[[#This Row],[Missed Games]]),0)</f>
        <v>129.89434102755</v>
      </c>
      <c r="AK40" s="96" t="n">
        <f aca="false">AVERAGE(AVERAGE(Table6[[#This Row],[LOW]],Table6[[#This Row],[HIGH]]),Table6[[#This Row],[AVG]],VLOOKUP(Table6[[#This Row],[PLAYER]],ECR!L:N,3,FALSE()))</f>
        <v>116.275678828493</v>
      </c>
      <c r="AL40" s="96" t="n">
        <f aca="false">Table6[[#This Row],[Zscore Projection]]-$AE$1</f>
        <v>-9.4021999166046</v>
      </c>
      <c r="AM40" s="97" t="e">
        <f aca="false">MAX(Table6[[#This Row],[VBD]]*Scoring!$B$48+1,1)</f>
        <v>#VALUE!</v>
      </c>
      <c r="AN40" s="98" t="n">
        <f aca="false">VLOOKUP(Table6[[#This Row],[VBD]],BR:BT,3,FALSE())</f>
        <v>6</v>
      </c>
      <c r="AO40" s="99" t="n">
        <f aca="false">VLOOKUP(INDEX(ECR!$E:$E,MATCH(AD40,ECR!$C:$C,0)),RISK!A:B,2,FALSE())</f>
        <v>3.84810126582278</v>
      </c>
      <c r="AP40" s="100"/>
      <c r="AQ40" s="101" t="s">
        <v>283</v>
      </c>
      <c r="AR40" s="101" t="str">
        <f aca="false">VLOOKUP(AQ40,ECR!E:L,8,FALSE())</f>
        <v>Jake Tonges</v>
      </c>
      <c r="AS40" s="101" t="str">
        <f aca="false">IFERROR(VLOOKUP(Table7[[#This Row],[PLAYER]],ECR!C:F,2,FALSE()),"-")</f>
        <v>SF</v>
      </c>
      <c r="AT40" s="101" t="n">
        <f aca="false">IFERROR(VLOOKUP(Table7[[#This Row],[PLAYER]],ECR!C:F,4,FALSE()),"-")</f>
        <v>8</v>
      </c>
      <c r="AU40" s="101" t="str">
        <f aca="false">Table7[[#This Row],[Team]] &amp; "/" &amp; Table7[[#This Row],[Bye]]</f>
        <v>SF/8</v>
      </c>
      <c r="AV40" s="95" t="n">
        <f aca="false">IFERROR(VLOOKUP(Table7[[#This Row],[PLAYER]],TE!A:K,9,FALSE())/17*(16-Table7[[#This Row],[Missed Games]]),0)</f>
        <v>12.09</v>
      </c>
      <c r="AW40" s="95" t="n">
        <f aca="false">IFERROR(VLOOKUP(Table7[[#This Row],[PLAYER]],TE!A:K,10,FALSE())/17*(16-Table7[[#This Row],[Missed Games]]),0)</f>
        <v>22.7423529411765</v>
      </c>
      <c r="AX40" s="95" t="n">
        <f aca="false">IFERROR(VLOOKUP(Table7[[#This Row],[PLAYER]],TE!A:K,11,FALSE())/17*(16-Table7[[#This Row],[Missed Games]]),0)</f>
        <v>39</v>
      </c>
      <c r="AY40" s="96" t="n">
        <f aca="false">AVERAGE(AVERAGE(Table7[[#This Row],[LOW]],Table7[[#This Row],[HIGH]]),Table7[[#This Row],[AVG]],VLOOKUP(Table7[[#This Row],[PLAYER]],ECR!L:N,3,FALSE()))</f>
        <v>32.0475490196078</v>
      </c>
      <c r="AZ40" s="96" t="n">
        <f aca="false">Table7[[#This Row],[Zscore Projection]]-$AS$1</f>
        <v>-80.5260484215687</v>
      </c>
      <c r="BA40" s="97" t="e">
        <f aca="false">MAX(Table7[[#This Row],[VBD]]*Scoring!$B$48+1,1)</f>
        <v>#VALUE!</v>
      </c>
      <c r="BB40" s="95" t="n">
        <f aca="false">VLOOKUP(Table7[[#This Row],[VBD]],BW:BY,3,FALSE())</f>
        <v>10</v>
      </c>
      <c r="BC40" s="99" t="n">
        <f aca="false">VLOOKUP(INDEX(ECR!$E:$E,MATCH(AR40,ECR!$C:$C,0)),RISK!A:B,2,FALSE())</f>
        <v>3</v>
      </c>
      <c r="BD40" s="95"/>
      <c r="BE40" s="100"/>
      <c r="BF40" s="102" t="n">
        <v>38</v>
      </c>
      <c r="BG40" s="100" t="n">
        <f aca="false">IFERROR(LARGE($G$3:$G$52,BF40),"")</f>
        <v>14.5679294117647</v>
      </c>
      <c r="BH40" s="100" t="n">
        <f aca="false">IFERROR(LARGE($J$3:$J$52,38),"")</f>
        <v>-255.745059905882</v>
      </c>
      <c r="BI40" s="100" t="n">
        <f aca="false">IF(BH40="",BI39,IF((BI39-BH40)&gt;0.2*LARGE($J$3:$J$52,2),BH40,BI39))</f>
        <v>-253.680471670588</v>
      </c>
      <c r="BJ40" s="103" t="n">
        <f aca="false">MIN(IF(BH40="",BJ39,IF((BI39-BH40)&gt;0.2*LARGE($J$3:$J$52,2),BJ39+1,BJ39)),15)</f>
        <v>15</v>
      </c>
      <c r="BK40" s="102" t="n">
        <v>38</v>
      </c>
      <c r="BL40" s="100" t="n">
        <f aca="false">IFERROR(LARGE($U$3:$U$102,BK40),"")</f>
        <v>113.446174117647</v>
      </c>
      <c r="BM40" s="104" t="n">
        <f aca="false">IFERROR(LARGE($X$3:$X$102,38),"")</f>
        <v>-13.3912604509804</v>
      </c>
      <c r="BN40" s="104" t="n">
        <f aca="false">IF(BM40="",BN39,IF((BN39-BM40)&gt;0.15*LARGE($X$3:$X$102,2),BM40,BN39))</f>
        <v>-4.11292754901962</v>
      </c>
      <c r="BO40" s="103" t="n">
        <f aca="false">IF(BM40="",BO39,IF((BN39-BM40)&gt;0.15*LARGE($X$3:$X$102,2),BO39+1,BO39))</f>
        <v>7</v>
      </c>
      <c r="BP40" s="105" t="n">
        <v>38</v>
      </c>
      <c r="BQ40" s="100" t="n">
        <f aca="false">IFERROR(LARGE($AI$3:$AI$102,BP40),"")</f>
        <v>118.274251675354</v>
      </c>
      <c r="BR40" s="104" t="n">
        <f aca="false">IFERROR(LARGE($AL$3:$AL$102,38),"")</f>
        <v>-9.4021999166046</v>
      </c>
      <c r="BS40" s="104" t="n">
        <f aca="false">IF(BR40="",BS39,IF((BS39-BR40)&gt;0.15*LARGE($AL$3:$AL$102,2),BR40,BS39))</f>
        <v>3.76372349019606</v>
      </c>
      <c r="BT40" s="103" t="n">
        <f aca="false">IF(BR40="",BT39,IF((BS39-BR40)&gt;0.15*LARGE($AL$3:$AL$102,2),BT39+1,BT39))</f>
        <v>6</v>
      </c>
      <c r="BU40" s="102" t="n">
        <v>38</v>
      </c>
      <c r="BV40" s="100" t="n">
        <f aca="false">IFERROR(LARGE($AW$3:$AW$52,BU40),"")</f>
        <v>47.8552941176471</v>
      </c>
      <c r="BW40" s="104" t="n">
        <f aca="false">IFERROR(LARGE($AZ$3:$AZ$52,38),"")</f>
        <v>-67.2392837156863</v>
      </c>
      <c r="BX40" s="104" t="n">
        <f aca="false">IF(BW40="",BX39,IF((BX39-BW40)&gt;0.2*LARGE($AZ$3:$AZ$52,2),BW40,BX39))</f>
        <v>-60.6653621470588</v>
      </c>
      <c r="BY40" s="106" t="n">
        <f aca="false">IF(BW40="",BY39,IF((BX39-BW40)&gt;0.2*LARGE($AZ$3:$AZ$52,2),BY39+1,BY39))</f>
        <v>9</v>
      </c>
      <c r="BZ40" s="104"/>
      <c r="CA40" s="104"/>
      <c r="CB40" s="104"/>
      <c r="CC40" s="104"/>
      <c r="CD40" s="104"/>
      <c r="CE40" s="104"/>
      <c r="CF40" s="104"/>
      <c r="CG40" s="104"/>
    </row>
    <row r="41" s="107" customFormat="true" ht="14.25" hidden="false" customHeight="true" outlineLevel="0" collapsed="false">
      <c r="A41" s="93" t="s">
        <v>284</v>
      </c>
      <c r="B41" s="93" t="str">
        <f aca="false">VLOOKUP(A41,ECR!E:L,8,FALSE())</f>
        <v>Justin Fields</v>
      </c>
      <c r="C41" s="94" t="str">
        <f aca="false">IFERROR(VLOOKUP(Table2[[#This Row],[PLAYER]],ECR!C:F,2,FALSE()),"-")</f>
        <v>KC</v>
      </c>
      <c r="D41" s="94" t="n">
        <f aca="false">IFERROR(VLOOKUP(Table2[[#This Row],[PLAYER]],ECR!C:F,4,FALSE()),"-")</f>
        <v>5</v>
      </c>
      <c r="E41" s="94" t="str">
        <f aca="false">Table2[[#This Row],[Team]] &amp; "/" &amp; Table2[[#This Row],[Bye]]</f>
        <v>KC/5</v>
      </c>
      <c r="F41" s="95" t="n">
        <f aca="false">IFERROR(VLOOKUP(Table2[[#This Row],[PLAYER]],QB!A:Q,15,FALSE())/17*(17-Table2[[#This Row],[Missed Games]]),0)</f>
        <v>7.59</v>
      </c>
      <c r="G41" s="95" t="n">
        <f aca="false">IFERROR(VLOOKUP(Table2[[#This Row],[PLAYER]],QB!A:Q,16,FALSE())/17*(17-Table2[[#This Row],[Missed Games]]),0)</f>
        <v>10.1048470588235</v>
      </c>
      <c r="H41" s="95" t="n">
        <f aca="false">IFERROR(VLOOKUP(Table2[[#This Row],[PLAYER]],QB!A:Q,17,FALSE())/17*(17-Table2[[#This Row],[Missed Games]]),0)</f>
        <v>13.2967058823529</v>
      </c>
      <c r="I41" s="96" t="n">
        <f aca="false">AVERAGE(AVERAGE(Table2[[#This Row],[LOW]],Table2[[#This Row],[HIGH]]),Table2[[#This Row],[AVG]],VLOOKUP(Table2[[#This Row],[PLAYER]],ECR!L:N,3,FALSE()))</f>
        <v>10.2176823529412</v>
      </c>
      <c r="J41" s="96" t="n">
        <f aca="false">Table2[[#This Row],[Zscore Projection]]-$C$1</f>
        <v>-258.161683435294</v>
      </c>
      <c r="K41" s="97" t="e">
        <f aca="false">MAX(Table2[[#This Row],[VBD]]*Scoring!$B$48+1,1)</f>
        <v>#VALUE!</v>
      </c>
      <c r="L41" s="98" t="n">
        <f aca="false">VLOOKUP(Table2[[#This Row],[VBD]],BH:BJ,3,FALSE())</f>
        <v>15</v>
      </c>
      <c r="M41" s="99" t="n">
        <f aca="false">VLOOKUP(INDEX(ECR!$E:$E,MATCH(B41,ECR!$C:$C,0)),RISK!A:B,2,FALSE())</f>
        <v>3.2</v>
      </c>
      <c r="N41" s="100"/>
      <c r="O41" s="98" t="s">
        <v>285</v>
      </c>
      <c r="P41" s="93" t="str">
        <f aca="false">VLOOKUP(O41,ECR!E:L,8,FALSE())</f>
        <v>Kyle Monangai</v>
      </c>
      <c r="Q41" s="94" t="str">
        <f aca="false">IFERROR(VLOOKUP(Table4[[#This Row],[PLAYER]],ECR!C:F,2,FALSE()),"-")</f>
        <v>CHI</v>
      </c>
      <c r="R41" s="94" t="n">
        <f aca="false">IFERROR(VLOOKUP(Table4[[#This Row],[PLAYER]],ECR!C:F,4,FALSE()),"-")</f>
        <v>10</v>
      </c>
      <c r="S41" s="94" t="str">
        <f aca="false">Table4[[#This Row],[Team]] &amp; "/" &amp; Table4[[#This Row],[Bye]]</f>
        <v>CHI/10</v>
      </c>
      <c r="T41" s="95" t="n">
        <f aca="false">IFERROR(VLOOKUP(Table4[[#This Row],[PLAYER]],RB!A:Q,13,FALSE())/17*(17-Table4[[#This Row],[Missed Games]]),0)</f>
        <v>100.990337647059</v>
      </c>
      <c r="U41" s="95" t="n">
        <f aca="false">IFERROR(VLOOKUP(Table4[[#This Row],[PLAYER]],RB!A:Q,14,FALSE())/17*(17-Table4[[#This Row],[Missed Games]]),0)</f>
        <v>115.741193647059</v>
      </c>
      <c r="V41" s="95" t="n">
        <f aca="false">IFERROR(VLOOKUP(Table4[[#This Row],[PLAYER]],RB!A:Q,15,FALSE())/17*(17-Table4[[#This Row],[Missed Games]]),0)</f>
        <v>132.902320235294</v>
      </c>
      <c r="W41" s="96" t="n">
        <f aca="false">AVERAGE(AVERAGE(Table4[[#This Row],[LOW]],Table4[[#This Row],[HIGH]]),Table4[[#This Row],[AVG]],VLOOKUP(Table4[[#This Row],[PLAYER]],ECR!L:N,3,FALSE()))</f>
        <v>115.192758196078</v>
      </c>
      <c r="X41" s="96" t="n">
        <f aca="false">Table4[[#This Row],[Zscore Projection]]-$Q$1</f>
        <v>-12.3529801960784</v>
      </c>
      <c r="Y41" s="97" t="e">
        <f aca="false">MAX(Table4[[#This Row],[VBD]]*Scoring!$B$48+1,1)</f>
        <v>#VALUE!</v>
      </c>
      <c r="Z41" s="98" t="n">
        <f aca="false">VLOOKUP(Table4[[#This Row],[VBD]],BM:BO,3,FALSE())</f>
        <v>7</v>
      </c>
      <c r="AA41" s="99" t="n">
        <f aca="false">VLOOKUP(INDEX(ECR!$E:$E,MATCH(P41,ECR!$C:$C,0)),RISK!A:B,2,FALSE())</f>
        <v>3.3418</v>
      </c>
      <c r="AB41" s="100"/>
      <c r="AC41" s="94" t="s">
        <v>286</v>
      </c>
      <c r="AD41" s="94" t="str">
        <f aca="false">VLOOKUP(AC41,ECR!E:L,8,FALSE())</f>
        <v>Michael Wilson</v>
      </c>
      <c r="AE41" s="94" t="str">
        <f aca="false">IFERROR(VLOOKUP(Table6[[#This Row],[PLAYER]],ECR!C:F,2,FALSE()),"-")</f>
        <v>ARI</v>
      </c>
      <c r="AF41" s="94" t="n">
        <f aca="false">IFERROR(VLOOKUP(Table6[[#This Row],[PLAYER]],ECR!C:F,4,FALSE()),"-")</f>
        <v>14</v>
      </c>
      <c r="AG41" s="94" t="str">
        <f aca="false">Table6[[#This Row],[Team]] &amp; "/" &amp; Table6[[#This Row],[Bye]]</f>
        <v>ARI/14</v>
      </c>
      <c r="AH41" s="95" t="n">
        <f aca="false">IFERROR(VLOOKUP(Table6[[#This Row],[PLAYER]],WR!A:Q,13,FALSE())/17*(17-Table6[[#This Row],[Missed Games]]),0)</f>
        <v>104.286820551005</v>
      </c>
      <c r="AI41" s="95" t="n">
        <f aca="false">IFERROR(VLOOKUP(Table6[[#This Row],[PLAYER]],WR!A:Q,14,FALSE())/17*(17-Table6[[#This Row],[Missed Games]]),0)</f>
        <v>111.706038719285</v>
      </c>
      <c r="AJ41" s="95" t="n">
        <f aca="false">IFERROR(VLOOKUP(Table6[[#This Row],[PLAYER]],WR!A:Q,15,FALSE())/17*(17-Table6[[#This Row],[Missed Games]]),0)</f>
        <v>121.809791511541</v>
      </c>
      <c r="AK41" s="96" t="n">
        <f aca="false">AVERAGE(AVERAGE(Table6[[#This Row],[LOW]],Table6[[#This Row],[HIGH]]),Table6[[#This Row],[AVG]],VLOOKUP(Table6[[#This Row],[PLAYER]],ECR!L:N,3,FALSE()))</f>
        <v>113.654324894515</v>
      </c>
      <c r="AL41" s="96" t="n">
        <f aca="false">Table6[[#This Row],[Zscore Projection]]-$AE$1</f>
        <v>-12.0235538505833</v>
      </c>
      <c r="AM41" s="97" t="e">
        <f aca="false">MAX(Table6[[#This Row],[VBD]]*Scoring!$B$48+1,1)</f>
        <v>#VALUE!</v>
      </c>
      <c r="AN41" s="98" t="n">
        <f aca="false">VLOOKUP(Table6[[#This Row],[VBD]],BR:BT,3,FALSE())</f>
        <v>6</v>
      </c>
      <c r="AO41" s="99" t="n">
        <f aca="false">VLOOKUP(INDEX(ECR!$E:$E,MATCH(AD41,ECR!$C:$C,0)),RISK!A:B,2,FALSE())</f>
        <v>3.84810126582278</v>
      </c>
      <c r="AP41" s="100"/>
      <c r="AQ41" s="101" t="s">
        <v>287</v>
      </c>
      <c r="AR41" s="101" t="str">
        <f aca="false">VLOOKUP(AQ41,ECR!E:L,8,FALSE())</f>
        <v>Darnell Washington</v>
      </c>
      <c r="AS41" s="101" t="str">
        <f aca="false">IFERROR(VLOOKUP(Table7[[#This Row],[PLAYER]],ECR!C:F,2,FALSE()),"-")</f>
        <v>PIT</v>
      </c>
      <c r="AT41" s="101" t="n">
        <f aca="false">IFERROR(VLOOKUP(Table7[[#This Row],[PLAYER]],ECR!C:F,4,FALSE()),"-")</f>
        <v>9</v>
      </c>
      <c r="AU41" s="101" t="str">
        <f aca="false">Table7[[#This Row],[Team]] &amp; "/" &amp; Table7[[#This Row],[Bye]]</f>
        <v>PIT/9</v>
      </c>
      <c r="AV41" s="95" t="n">
        <f aca="false">IFERROR(VLOOKUP(Table7[[#This Row],[PLAYER]],TE!A:K,9,FALSE())/17*(16-Table7[[#This Row],[Missed Games]]),0)</f>
        <v>39.9941176470588</v>
      </c>
      <c r="AW41" s="95" t="n">
        <f aca="false">IFERROR(VLOOKUP(Table7[[#This Row],[PLAYER]],TE!A:K,10,FALSE())/17*(16-Table7[[#This Row],[Missed Games]]),0)</f>
        <v>45.1558823529412</v>
      </c>
      <c r="AX41" s="95" t="n">
        <f aca="false">IFERROR(VLOOKUP(Table7[[#This Row],[PLAYER]],TE!A:K,11,FALSE())/17*(16-Table7[[#This Row],[Missed Games]]),0)</f>
        <v>51.3882352941177</v>
      </c>
      <c r="AY41" s="96" t="n">
        <f aca="false">AVERAGE(AVERAGE(Table7[[#This Row],[LOW]],Table7[[#This Row],[HIGH]]),Table7[[#This Row],[AVG]],VLOOKUP(Table7[[#This Row],[PLAYER]],ECR!L:N,3,FALSE()))</f>
        <v>45.3343137254902</v>
      </c>
      <c r="AZ41" s="96" t="n">
        <f aca="false">Table7[[#This Row],[Zscore Projection]]-$AS$1</f>
        <v>-67.2392837156863</v>
      </c>
      <c r="BA41" s="97" t="e">
        <f aca="false">MAX(Table7[[#This Row],[VBD]]*Scoring!$B$48+1,1)</f>
        <v>#VALUE!</v>
      </c>
      <c r="BB41" s="95" t="n">
        <f aca="false">VLOOKUP(Table7[[#This Row],[VBD]],BW:BY,3,FALSE())</f>
        <v>9</v>
      </c>
      <c r="BC41" s="99" t="n">
        <f aca="false">VLOOKUP(INDEX(ECR!$E:$E,MATCH(AR41,ECR!$C:$C,0)),RISK!A:B,2,FALSE())</f>
        <v>3</v>
      </c>
      <c r="BD41" s="95"/>
      <c r="BE41" s="100"/>
      <c r="BF41" s="102" t="n">
        <v>39</v>
      </c>
      <c r="BG41" s="100" t="n">
        <f aca="false">IFERROR(LARGE($G$3:$G$52,BF41),"")</f>
        <v>10.1048470588235</v>
      </c>
      <c r="BH41" s="100" t="n">
        <f aca="false">IFERROR(LARGE($J$3:$J$52,39),"")</f>
        <v>-256.719448141176</v>
      </c>
      <c r="BI41" s="100" t="n">
        <f aca="false">IF(BH41="",BI40,IF((BI40-BH41)&gt;0.2*LARGE($J$3:$J$52,2),BH41,BI40))</f>
        <v>-253.680471670588</v>
      </c>
      <c r="BJ41" s="103" t="n">
        <f aca="false">MIN(IF(BH41="",BJ40,IF((BI40-BH41)&gt;0.2*LARGE($J$3:$J$52,2),BJ40+1,BJ40)),15)</f>
        <v>15</v>
      </c>
      <c r="BK41" s="102" t="n">
        <v>39</v>
      </c>
      <c r="BL41" s="100" t="n">
        <f aca="false">IFERROR(LARGE($U$3:$U$102,BK41),"")</f>
        <v>112.890752</v>
      </c>
      <c r="BM41" s="104" t="n">
        <f aca="false">IFERROR(LARGE($X$3:$X$102,39),"")</f>
        <v>-13.4881408235294</v>
      </c>
      <c r="BN41" s="104" t="n">
        <f aca="false">IF(BM41="",BN40,IF((BN40-BM41)&gt;0.15*LARGE($X$3:$X$102,2),BM41,BN40))</f>
        <v>-4.11292754901962</v>
      </c>
      <c r="BO41" s="103" t="n">
        <f aca="false">IF(BM41="",BO40,IF((BN40-BM41)&gt;0.15*LARGE($X$3:$X$102,2),BO40+1,BO40))</f>
        <v>7</v>
      </c>
      <c r="BP41" s="105" t="n">
        <v>39</v>
      </c>
      <c r="BQ41" s="100" t="n">
        <f aca="false">IFERROR(LARGE($AI$3:$AI$102,BP41),"")</f>
        <v>116.208629932986</v>
      </c>
      <c r="BR41" s="104" t="n">
        <f aca="false">IFERROR(LARGE($AL$3:$AL$102,39),"")</f>
        <v>-10.9739807555224</v>
      </c>
      <c r="BS41" s="104" t="n">
        <f aca="false">IF(BR41="",BS40,IF((BS40-BR41)&gt;0.15*LARGE($AL$3:$AL$102,2),BR41,BS40))</f>
        <v>3.76372349019606</v>
      </c>
      <c r="BT41" s="103" t="n">
        <f aca="false">IF(BR41="",BT40,IF((BS40-BR41)&gt;0.15*LARGE($AL$3:$AL$102,2),BT40+1,BT40))</f>
        <v>6</v>
      </c>
      <c r="BU41" s="102" t="n">
        <v>39</v>
      </c>
      <c r="BV41" s="100" t="n">
        <f aca="false">IFERROR(LARGE($AW$3:$AW$52,BU41),"")</f>
        <v>45.1558823529412</v>
      </c>
      <c r="BW41" s="104" t="n">
        <f aca="false">IFERROR(LARGE($AZ$3:$AZ$52,39),"")</f>
        <v>-69.064381754902</v>
      </c>
      <c r="BX41" s="104" t="n">
        <f aca="false">IF(BW41="",BX40,IF((BX40-BW41)&gt;0.2*LARGE($AZ$3:$AZ$52,2),BW41,BX40))</f>
        <v>-60.6653621470588</v>
      </c>
      <c r="BY41" s="106" t="n">
        <f aca="false">IF(BW41="",BY40,IF((BX40-BW41)&gt;0.2*LARGE($AZ$3:$AZ$52,2),BY40+1,BY40))</f>
        <v>9</v>
      </c>
      <c r="BZ41" s="104"/>
      <c r="CA41" s="104"/>
      <c r="CB41" s="104"/>
      <c r="CC41" s="104"/>
      <c r="CD41" s="104"/>
      <c r="CE41" s="104"/>
      <c r="CF41" s="104"/>
      <c r="CG41" s="104"/>
    </row>
    <row r="42" s="107" customFormat="true" ht="14.25" hidden="false" customHeight="true" outlineLevel="0" collapsed="false">
      <c r="A42" s="93" t="s">
        <v>288</v>
      </c>
      <c r="B42" s="93" t="str">
        <f aca="false">VLOOKUP(A42,ECR!E:L,8,FALSE())</f>
        <v>Ty Simpson</v>
      </c>
      <c r="C42" s="94" t="str">
        <f aca="false">IFERROR(VLOOKUP(Table2[[#This Row],[PLAYER]],ECR!C:F,2,FALSE()),"-")</f>
        <v>LAR</v>
      </c>
      <c r="D42" s="94" t="n">
        <f aca="false">IFERROR(VLOOKUP(Table2[[#This Row],[PLAYER]],ECR!C:F,4,FALSE()),"-")</f>
        <v>11</v>
      </c>
      <c r="E42" s="94" t="str">
        <f aca="false">Table2[[#This Row],[Team]] &amp; "/" &amp; Table2[[#This Row],[Bye]]</f>
        <v>LAR/11</v>
      </c>
      <c r="F42" s="95" t="n">
        <f aca="false">IFERROR(VLOOKUP(Table2[[#This Row],[PLAYER]],QB!A:Q,15,FALSE())/17*(17-Table2[[#This Row],[Missed Games]]),0)</f>
        <v>6.78635294117647</v>
      </c>
      <c r="G42" s="95" t="n">
        <f aca="false">IFERROR(VLOOKUP(Table2[[#This Row],[PLAYER]],QB!A:Q,16,FALSE())/17*(17-Table2[[#This Row],[Missed Games]]),0)</f>
        <v>15.2628</v>
      </c>
      <c r="H42" s="95" t="n">
        <f aca="false">IFERROR(VLOOKUP(Table2[[#This Row],[PLAYER]],QB!A:Q,17,FALSE())/17*(17-Table2[[#This Row],[Missed Games]]),0)</f>
        <v>30.6847058823529</v>
      </c>
      <c r="I42" s="96" t="n">
        <f aca="false">AVERAGE(AVERAGE(Table2[[#This Row],[LOW]],Table2[[#This Row],[HIGH]]),Table2[[#This Row],[AVG]],VLOOKUP(Table2[[#This Row],[PLAYER]],ECR!L:N,3,FALSE()))</f>
        <v>14.6988941176471</v>
      </c>
      <c r="J42" s="96" t="n">
        <f aca="false">Table2[[#This Row],[Zscore Projection]]-$C$1</f>
        <v>-253.680471670588</v>
      </c>
      <c r="K42" s="97" t="e">
        <f aca="false">MAX(Table2[[#This Row],[VBD]]*Scoring!$B$48+1,1)</f>
        <v>#VALUE!</v>
      </c>
      <c r="L42" s="98" t="n">
        <f aca="false">VLOOKUP(Table2[[#This Row],[VBD]],BH:BJ,3,FALSE())</f>
        <v>15</v>
      </c>
      <c r="M42" s="99" t="n">
        <f aca="false">VLOOKUP(INDEX(ECR!$E:$E,MATCH(B42,ECR!$C:$C,0)),RISK!A:B,2,FALSE())</f>
        <v>3.2</v>
      </c>
      <c r="N42" s="100"/>
      <c r="O42" s="98" t="s">
        <v>289</v>
      </c>
      <c r="P42" s="93" t="str">
        <f aca="false">VLOOKUP(O42,ECR!E:L,8,FALSE())</f>
        <v>Rachaad White</v>
      </c>
      <c r="Q42" s="94" t="str">
        <f aca="false">IFERROR(VLOOKUP(Table4[[#This Row],[PLAYER]],ECR!C:F,2,FALSE()),"-")</f>
        <v>WAS</v>
      </c>
      <c r="R42" s="94" t="n">
        <f aca="false">IFERROR(VLOOKUP(Table4[[#This Row],[PLAYER]],ECR!C:F,4,FALSE()),"-")</f>
        <v>7</v>
      </c>
      <c r="S42" s="94" t="str">
        <f aca="false">Table4[[#This Row],[Team]] &amp; "/" &amp; Table4[[#This Row],[Bye]]</f>
        <v>WAS/7</v>
      </c>
      <c r="T42" s="95" t="n">
        <f aca="false">IFERROR(VLOOKUP(Table4[[#This Row],[PLAYER]],RB!A:Q,13,FALSE())/17*(17-Table4[[#This Row],[Missed Games]]),0)</f>
        <v>93.7764352941177</v>
      </c>
      <c r="U42" s="95" t="n">
        <f aca="false">IFERROR(VLOOKUP(Table4[[#This Row],[PLAYER]],RB!A:Q,14,FALSE())/17*(17-Table4[[#This Row],[Missed Games]]),0)</f>
        <v>114.950209411765</v>
      </c>
      <c r="V42" s="95" t="n">
        <f aca="false">IFERROR(VLOOKUP(Table4[[#This Row],[PLAYER]],RB!A:Q,15,FALSE())/17*(17-Table4[[#This Row],[Missed Games]]),0)</f>
        <v>135.979835294118</v>
      </c>
      <c r="W42" s="96" t="n">
        <f aca="false">AVERAGE(AVERAGE(Table4[[#This Row],[LOW]],Table4[[#This Row],[HIGH]]),Table4[[#This Row],[AVG]],VLOOKUP(Table4[[#This Row],[PLAYER]],ECR!L:N,3,FALSE()))</f>
        <v>114.057597568627</v>
      </c>
      <c r="X42" s="96" t="n">
        <f aca="false">Table4[[#This Row],[Zscore Projection]]-$Q$1</f>
        <v>-13.4881408235294</v>
      </c>
      <c r="Y42" s="97" t="e">
        <f aca="false">MAX(Table4[[#This Row],[VBD]]*Scoring!$B$48+1,1)</f>
        <v>#VALUE!</v>
      </c>
      <c r="Z42" s="98" t="n">
        <f aca="false">VLOOKUP(Table4[[#This Row],[VBD]],BM:BO,3,FALSE())</f>
        <v>7</v>
      </c>
      <c r="AA42" s="99" t="n">
        <f aca="false">VLOOKUP(INDEX(ECR!$E:$E,MATCH(P42,ECR!$C:$C,0)),RISK!A:B,2,FALSE())</f>
        <v>3.386</v>
      </c>
      <c r="AB42" s="100"/>
      <c r="AC42" s="94" t="s">
        <v>290</v>
      </c>
      <c r="AD42" s="94" t="str">
        <f aca="false">VLOOKUP(AC42,ECR!E:L,8,FALSE())</f>
        <v>Alec Pierce</v>
      </c>
      <c r="AE42" s="94" t="str">
        <f aca="false">IFERROR(VLOOKUP(Table6[[#This Row],[PLAYER]],ECR!C:F,2,FALSE()),"-")</f>
        <v>IND</v>
      </c>
      <c r="AF42" s="94" t="n">
        <f aca="false">IFERROR(VLOOKUP(Table6[[#This Row],[PLAYER]],ECR!C:F,4,FALSE()),"-")</f>
        <v>13</v>
      </c>
      <c r="AG42" s="94" t="str">
        <f aca="false">Table6[[#This Row],[Team]] &amp; "/" &amp; Table6[[#This Row],[Bye]]</f>
        <v>IND/13</v>
      </c>
      <c r="AH42" s="95" t="n">
        <f aca="false">IFERROR(VLOOKUP(Table6[[#This Row],[PLAYER]],WR!A:Q,13,FALSE())/17*(17-Table6[[#This Row],[Missed Games]]),0)</f>
        <v>112.332688011914</v>
      </c>
      <c r="AI42" s="95" t="n">
        <f aca="false">IFERROR(VLOOKUP(Table6[[#This Row],[PLAYER]],WR!A:Q,14,FALSE())/17*(17-Table6[[#This Row],[Missed Games]]),0)</f>
        <v>126.598629932986</v>
      </c>
      <c r="AJ42" s="95" t="n">
        <f aca="false">IFERROR(VLOOKUP(Table6[[#This Row],[PLAYER]],WR!A:Q,15,FALSE())/17*(17-Table6[[#This Row],[Missed Games]]),0)</f>
        <v>147.533358153388</v>
      </c>
      <c r="AK42" s="96" t="n">
        <f aca="false">AVERAGE(AVERAGE(Table6[[#This Row],[LOW]],Table6[[#This Row],[HIGH]]),Table6[[#This Row],[AVG]],VLOOKUP(Table6[[#This Row],[PLAYER]],ECR!L:N,3,FALSE()))</f>
        <v>123.232672226359</v>
      </c>
      <c r="AL42" s="96" t="n">
        <f aca="false">Table6[[#This Row],[Zscore Projection]]-$AE$1</f>
        <v>-2.44520651873914</v>
      </c>
      <c r="AM42" s="97" t="e">
        <f aca="false">MAX(Table6[[#This Row],[VBD]]*Scoring!$B$48+1,1)</f>
        <v>#VALUE!</v>
      </c>
      <c r="AN42" s="98" t="n">
        <f aca="false">VLOOKUP(Table6[[#This Row],[VBD]],BR:BT,3,FALSE())</f>
        <v>6</v>
      </c>
      <c r="AO42" s="99" t="n">
        <f aca="false">VLOOKUP(INDEX(ECR!$E:$E,MATCH(AD42,ECR!$C:$C,0)),RISK!A:B,2,FALSE())</f>
        <v>3.84810126582278</v>
      </c>
      <c r="AP42" s="100"/>
      <c r="AQ42" s="101" t="s">
        <v>291</v>
      </c>
      <c r="AR42" s="101" t="str">
        <f aca="false">VLOOKUP(AQ42,ECR!E:L,8,FALSE())</f>
        <v>Charlie Kolar</v>
      </c>
      <c r="AS42" s="101" t="str">
        <f aca="false">IFERROR(VLOOKUP(Table7[[#This Row],[PLAYER]],ECR!C:F,2,FALSE()),"-")</f>
        <v>LAC</v>
      </c>
      <c r="AT42" s="101" t="n">
        <f aca="false">IFERROR(VLOOKUP(Table7[[#This Row],[PLAYER]],ECR!C:F,4,FALSE()),"-")</f>
        <v>7</v>
      </c>
      <c r="AU42" s="101" t="str">
        <f aca="false">Table7[[#This Row],[Team]] &amp; "/" &amp; Table7[[#This Row],[Bye]]</f>
        <v>LAC/7</v>
      </c>
      <c r="AV42" s="95" t="n">
        <f aca="false">IFERROR(VLOOKUP(Table7[[#This Row],[PLAYER]],TE!A:K,9,FALSE())/17*(16-Table7[[#This Row],[Missed Games]]),0)</f>
        <v>21.4347058823529</v>
      </c>
      <c r="AW42" s="95" t="n">
        <f aca="false">IFERROR(VLOOKUP(Table7[[#This Row],[PLAYER]],TE!A:K,10,FALSE())/17*(16-Table7[[#This Row],[Missed Games]]),0)</f>
        <v>35.8876470588235</v>
      </c>
      <c r="AX42" s="95" t="n">
        <f aca="false">IFERROR(VLOOKUP(Table7[[#This Row],[PLAYER]],TE!A:K,11,FALSE())/17*(16-Table7[[#This Row],[Missed Games]]),0)</f>
        <v>53.3</v>
      </c>
      <c r="AY42" s="96" t="n">
        <f aca="false">AVERAGE(AVERAGE(Table7[[#This Row],[LOW]],Table7[[#This Row],[HIGH]]),Table7[[#This Row],[AVG]],VLOOKUP(Table7[[#This Row],[PLAYER]],ECR!L:N,3,FALSE()))</f>
        <v>39.1516666666667</v>
      </c>
      <c r="AZ42" s="96" t="n">
        <f aca="false">Table7[[#This Row],[Zscore Projection]]-$AS$1</f>
        <v>-73.4219307745098</v>
      </c>
      <c r="BA42" s="97" t="e">
        <f aca="false">MAX(Table7[[#This Row],[VBD]]*Scoring!$B$48+1,1)</f>
        <v>#VALUE!</v>
      </c>
      <c r="BB42" s="95" t="n">
        <f aca="false">VLOOKUP(Table7[[#This Row],[VBD]],BW:BY,3,FALSE())</f>
        <v>10</v>
      </c>
      <c r="BC42" s="99" t="n">
        <f aca="false">VLOOKUP(INDEX(ECR!$E:$E,MATCH(AR42,ECR!$C:$C,0)),RISK!A:B,2,FALSE())</f>
        <v>3</v>
      </c>
      <c r="BD42" s="95"/>
      <c r="BE42" s="100"/>
      <c r="BF42" s="102" t="n">
        <v>40</v>
      </c>
      <c r="BG42" s="100" t="n">
        <f aca="false">IFERROR(LARGE($G$3:$G$52,BF42),"")</f>
        <v>10.0983529411765</v>
      </c>
      <c r="BH42" s="100" t="n">
        <f aca="false">IFERROR(LARGE($J$3:$J$52,40),"")</f>
        <v>-257.6012952</v>
      </c>
      <c r="BI42" s="100" t="n">
        <f aca="false">IF(BH42="",BI41,IF((BI41-BH42)&gt;0.2*LARGE($J$3:$J$52,2),BH42,BI41))</f>
        <v>-257.6012952</v>
      </c>
      <c r="BJ42" s="103" t="n">
        <f aca="false">MIN(IF(BH42="",BJ41,IF((BI41-BH42)&gt;0.2*LARGE($J$3:$J$52,2),BJ41+1,BJ41)),15)</f>
        <v>15</v>
      </c>
      <c r="BK42" s="102" t="n">
        <v>40</v>
      </c>
      <c r="BL42" s="100" t="n">
        <f aca="false">IFERROR(LARGE($U$3:$U$102,BK42),"")</f>
        <v>112.344448</v>
      </c>
      <c r="BM42" s="104" t="n">
        <f aca="false">IFERROR(LARGE($X$3:$X$102,40),"")</f>
        <v>-14.8691825882353</v>
      </c>
      <c r="BN42" s="104" t="n">
        <f aca="false">IF(BM42="",BN41,IF((BN41-BM42)&gt;0.15*LARGE($X$3:$X$102,2),BM42,BN41))</f>
        <v>-4.11292754901962</v>
      </c>
      <c r="BO42" s="103" t="n">
        <f aca="false">IF(BM42="",BO41,IF((BN41-BM42)&gt;0.15*LARGE($X$3:$X$102,2),BO41+1,BO41))</f>
        <v>7</v>
      </c>
      <c r="BP42" s="105" t="n">
        <v>40</v>
      </c>
      <c r="BQ42" s="100" t="n">
        <f aca="false">IFERROR(LARGE($AI$3:$AI$102,BP42),"")</f>
        <v>113.16636366344</v>
      </c>
      <c r="BR42" s="104" t="n">
        <f aca="false">IFERROR(LARGE($AL$3:$AL$102,40),"")</f>
        <v>-11.2662979411765</v>
      </c>
      <c r="BS42" s="104" t="n">
        <f aca="false">IF(BR42="",BS41,IF((BS41-BR42)&gt;0.15*LARGE($AL$3:$AL$102,2),BR42,BS41))</f>
        <v>3.76372349019606</v>
      </c>
      <c r="BT42" s="103" t="n">
        <f aca="false">IF(BR42="",BT41,IF((BS41-BR42)&gt;0.15*LARGE($AL$3:$AL$102,2),BT41+1,BT41))</f>
        <v>6</v>
      </c>
      <c r="BU42" s="102" t="n">
        <v>40</v>
      </c>
      <c r="BV42" s="100" t="n">
        <f aca="false">IFERROR(LARGE($AW$3:$AW$52,BU42),"")</f>
        <v>44.2</v>
      </c>
      <c r="BW42" s="104" t="n">
        <f aca="false">IFERROR(LARGE($AZ$3:$AZ$52,40),"")</f>
        <v>-73.1236954803922</v>
      </c>
      <c r="BX42" s="104" t="n">
        <f aca="false">IF(BW42="",BX41,IF((BX41-BW42)&gt;0.2*LARGE($AZ$3:$AZ$52,2),BW42,BX41))</f>
        <v>-73.1236954803922</v>
      </c>
      <c r="BY42" s="106" t="n">
        <f aca="false">IF(BW42="",BY41,IF((BX41-BW42)&gt;0.2*LARGE($AZ$3:$AZ$52,2),BY41+1,BY41))</f>
        <v>10</v>
      </c>
      <c r="BZ42" s="104"/>
      <c r="CA42" s="104"/>
      <c r="CB42" s="104"/>
      <c r="CC42" s="104"/>
      <c r="CD42" s="104"/>
      <c r="CE42" s="104"/>
      <c r="CF42" s="104"/>
      <c r="CG42" s="104"/>
    </row>
    <row r="43" s="107" customFormat="true" ht="14.25" hidden="false" customHeight="true" outlineLevel="0" collapsed="false">
      <c r="A43" s="93" t="s">
        <v>292</v>
      </c>
      <c r="B43" s="93" t="str">
        <f aca="false">VLOOKUP(A43,ECR!E:L,8,FALSE())</f>
        <v>Anthony Richardson Sr.</v>
      </c>
      <c r="C43" s="94" t="str">
        <f aca="false">IFERROR(VLOOKUP(Table2[[#This Row],[PLAYER]],ECR!C:F,2,FALSE()),"-")</f>
        <v>IND</v>
      </c>
      <c r="D43" s="94" t="n">
        <f aca="false">IFERROR(VLOOKUP(Table2[[#This Row],[PLAYER]],ECR!C:F,4,FALSE()),"-")</f>
        <v>13</v>
      </c>
      <c r="E43" s="94" t="str">
        <f aca="false">Table2[[#This Row],[Team]] &amp; "/" &amp; Table2[[#This Row],[Bye]]</f>
        <v>IND/13</v>
      </c>
      <c r="F43" s="95" t="n">
        <f aca="false">IFERROR(VLOOKUP(Table2[[#This Row],[PLAYER]],QB!A:Q,15,FALSE())/17*(17-Table2[[#This Row],[Missed Games]]),0)</f>
        <v>10.0983529411765</v>
      </c>
      <c r="G43" s="95" t="n">
        <f aca="false">IFERROR(VLOOKUP(Table2[[#This Row],[PLAYER]],QB!A:Q,16,FALSE())/17*(17-Table2[[#This Row],[Missed Games]]),0)</f>
        <v>10.0983529411765</v>
      </c>
      <c r="H43" s="95" t="n">
        <f aca="false">IFERROR(VLOOKUP(Table2[[#This Row],[PLAYER]],QB!A:Q,17,FALSE())/17*(17-Table2[[#This Row],[Missed Games]]),0)</f>
        <v>10.0983529411765</v>
      </c>
      <c r="I43" s="96" t="n">
        <f aca="false">AVERAGE(AVERAGE(Table2[[#This Row],[LOW]],Table2[[#This Row],[HIGH]]),Table2[[#This Row],[AVG]],VLOOKUP(Table2[[#This Row],[PLAYER]],ECR!L:N,3,FALSE()))</f>
        <v>10.028</v>
      </c>
      <c r="J43" s="96" t="n">
        <f aca="false">Table2[[#This Row],[Zscore Projection]]-$C$1</f>
        <v>-258.351365788235</v>
      </c>
      <c r="K43" s="97" t="e">
        <f aca="false">MAX(Table2[[#This Row],[VBD]]*Scoring!$B$48+1,1)</f>
        <v>#VALUE!</v>
      </c>
      <c r="L43" s="98" t="n">
        <f aca="false">VLOOKUP(Table2[[#This Row],[VBD]],BH:BJ,3,FALSE())</f>
        <v>15</v>
      </c>
      <c r="M43" s="99" t="n">
        <f aca="false">VLOOKUP(INDEX(ECR!$E:$E,MATCH(B43,ECR!$C:$C,0)),RISK!A:B,2,FALSE())</f>
        <v>3.2</v>
      </c>
      <c r="N43" s="100"/>
      <c r="O43" s="98" t="s">
        <v>293</v>
      </c>
      <c r="P43" s="93" t="str">
        <f aca="false">VLOOKUP(O43,ECR!E:L,8,FALSE())</f>
        <v>Aaron Jones Sr.</v>
      </c>
      <c r="Q43" s="94" t="str">
        <f aca="false">IFERROR(VLOOKUP(Table4[[#This Row],[PLAYER]],ECR!C:F,2,FALSE()),"-")</f>
        <v>MIN</v>
      </c>
      <c r="R43" s="94" t="n">
        <f aca="false">IFERROR(VLOOKUP(Table4[[#This Row],[PLAYER]],ECR!C:F,4,FALSE()),"-")</f>
        <v>6</v>
      </c>
      <c r="S43" s="94" t="str">
        <f aca="false">Table4[[#This Row],[Team]] &amp; "/" &amp; Table4[[#This Row],[Bye]]</f>
        <v>MIN/6</v>
      </c>
      <c r="T43" s="95" t="n">
        <f aca="false">IFERROR(VLOOKUP(Table4[[#This Row],[PLAYER]],RB!A:Q,13,FALSE())/17*(17-Table4[[#This Row],[Missed Games]]),0)</f>
        <v>101.7645</v>
      </c>
      <c r="U43" s="95" t="n">
        <f aca="false">IFERROR(VLOOKUP(Table4[[#This Row],[PLAYER]],RB!A:Q,14,FALSE())/17*(17-Table4[[#This Row],[Missed Games]]),0)</f>
        <v>112.890752</v>
      </c>
      <c r="V43" s="95" t="n">
        <f aca="false">IFERROR(VLOOKUP(Table4[[#This Row],[PLAYER]],RB!A:Q,15,FALSE())/17*(17-Table4[[#This Row],[Missed Games]]),0)</f>
        <v>123.817465764706</v>
      </c>
      <c r="W43" s="96" t="n">
        <f aca="false">AVERAGE(AVERAGE(Table4[[#This Row],[LOW]],Table4[[#This Row],[HIGH]]),Table4[[#This Row],[AVG]],VLOOKUP(Table4[[#This Row],[PLAYER]],ECR!L:N,3,FALSE()))</f>
        <v>111.974754764706</v>
      </c>
      <c r="X43" s="96" t="n">
        <f aca="false">Table4[[#This Row],[Zscore Projection]]-$Q$1</f>
        <v>-15.570983627451</v>
      </c>
      <c r="Y43" s="97" t="e">
        <f aca="false">MAX(Table4[[#This Row],[VBD]]*Scoring!$B$48+1,1)</f>
        <v>#VALUE!</v>
      </c>
      <c r="Z43" s="98" t="n">
        <f aca="false">VLOOKUP(Table4[[#This Row],[VBD]],BM:BO,3,FALSE())</f>
        <v>7</v>
      </c>
      <c r="AA43" s="99" t="n">
        <f aca="false">VLOOKUP(INDEX(ECR!$E:$E,MATCH(P43,ECR!$C:$C,0)),RISK!A:B,2,FALSE())</f>
        <v>3.4314</v>
      </c>
      <c r="AB43" s="100"/>
      <c r="AC43" s="94" t="s">
        <v>294</v>
      </c>
      <c r="AD43" s="94" t="str">
        <f aca="false">VLOOKUP(AC43,ECR!E:L,8,FALSE())</f>
        <v>Josh Downs</v>
      </c>
      <c r="AE43" s="94" t="str">
        <f aca="false">IFERROR(VLOOKUP(Table6[[#This Row],[PLAYER]],ECR!C:F,2,FALSE()),"-")</f>
        <v>IND</v>
      </c>
      <c r="AF43" s="94" t="n">
        <f aca="false">IFERROR(VLOOKUP(Table6[[#This Row],[PLAYER]],ECR!C:F,4,FALSE()),"-")</f>
        <v>13</v>
      </c>
      <c r="AG43" s="94" t="str">
        <f aca="false">Table6[[#This Row],[Team]] &amp; "/" &amp; Table6[[#This Row],[Bye]]</f>
        <v>IND/13</v>
      </c>
      <c r="AH43" s="95" t="n">
        <f aca="false">IFERROR(VLOOKUP(Table6[[#This Row],[PLAYER]],WR!A:Q,13,FALSE())/17*(17-Table6[[#This Row],[Missed Games]]),0)</f>
        <v>91.1271854058079</v>
      </c>
      <c r="AI43" s="95" t="n">
        <f aca="false">IFERROR(VLOOKUP(Table6[[#This Row],[PLAYER]],WR!A:Q,14,FALSE())/17*(17-Table6[[#This Row],[Missed Games]]),0)</f>
        <v>99.7610201042442</v>
      </c>
      <c r="AJ43" s="95" t="n">
        <f aca="false">IFERROR(VLOOKUP(Table6[[#This Row],[PLAYER]],WR!A:Q,15,FALSE())/17*(17-Table6[[#This Row],[Missed Games]]),0)</f>
        <v>110.259329858526</v>
      </c>
      <c r="AK43" s="96" t="n">
        <f aca="false">AVERAGE(AVERAGE(Table6[[#This Row],[LOW]],Table6[[#This Row],[HIGH]]),Table6[[#This Row],[AVG]],VLOOKUP(Table6[[#This Row],[PLAYER]],ECR!L:N,3,FALSE()))</f>
        <v>104.329370811616</v>
      </c>
      <c r="AL43" s="96" t="n">
        <f aca="false">Table6[[#This Row],[Zscore Projection]]-$AE$1</f>
        <v>-21.3485079334822</v>
      </c>
      <c r="AM43" s="97" t="e">
        <f aca="false">MAX(Table6[[#This Row],[VBD]]*Scoring!$B$48+1,1)</f>
        <v>#VALUE!</v>
      </c>
      <c r="AN43" s="98" t="n">
        <f aca="false">VLOOKUP(Table6[[#This Row],[VBD]],BR:BT,3,FALSE())</f>
        <v>7</v>
      </c>
      <c r="AO43" s="99" t="n">
        <f aca="false">VLOOKUP(INDEX(ECR!$E:$E,MATCH(AD43,ECR!$C:$C,0)),RISK!A:B,2,FALSE())</f>
        <v>3.84810126582278</v>
      </c>
      <c r="AP43" s="100"/>
      <c r="AQ43" s="101" t="s">
        <v>295</v>
      </c>
      <c r="AR43" s="101" t="str">
        <f aca="false">VLOOKUP(AQ43,ECR!E:L,8,FALSE())</f>
        <v>Michael Mayer</v>
      </c>
      <c r="AS43" s="101" t="str">
        <f aca="false">IFERROR(VLOOKUP(Table7[[#This Row],[PLAYER]],ECR!C:F,2,FALSE()),"-")</f>
        <v>LV</v>
      </c>
      <c r="AT43" s="101" t="n">
        <f aca="false">IFERROR(VLOOKUP(Table7[[#This Row],[PLAYER]],ECR!C:F,4,FALSE()),"-")</f>
        <v>13</v>
      </c>
      <c r="AU43" s="101" t="str">
        <f aca="false">Table7[[#This Row],[Team]] &amp; "/" &amp; Table7[[#This Row],[Bye]]</f>
        <v>LV/13</v>
      </c>
      <c r="AV43" s="95" t="n">
        <f aca="false">IFERROR(VLOOKUP(Table7[[#This Row],[PLAYER]],TE!A:K,9,FALSE())/17*(16-Table7[[#This Row],[Missed Games]]),0)</f>
        <v>46.1117647058824</v>
      </c>
      <c r="AW43" s="95" t="n">
        <f aca="false">IFERROR(VLOOKUP(Table7[[#This Row],[PLAYER]],TE!A:K,10,FALSE())/17*(16-Table7[[#This Row],[Missed Games]]),0)</f>
        <v>53.5829411764706</v>
      </c>
      <c r="AX43" s="95" t="n">
        <f aca="false">IFERROR(VLOOKUP(Table7[[#This Row],[PLAYER]],TE!A:K,11,FALSE())/17*(16-Table7[[#This Row],[Missed Games]]),0)</f>
        <v>62.3235294117647</v>
      </c>
      <c r="AY43" s="96" t="n">
        <f aca="false">AVERAGE(AVERAGE(Table7[[#This Row],[LOW]],Table7[[#This Row],[HIGH]]),Table7[[#This Row],[AVG]],VLOOKUP(Table7[[#This Row],[PLAYER]],ECR!L:N,3,FALSE()))</f>
        <v>50.3660784313726</v>
      </c>
      <c r="AZ43" s="96" t="n">
        <f aca="false">Table7[[#This Row],[Zscore Projection]]-$AS$1</f>
        <v>-62.2075190098039</v>
      </c>
      <c r="BA43" s="97" t="e">
        <f aca="false">MAX(Table7[[#This Row],[VBD]]*Scoring!$B$48+1,1)</f>
        <v>#VALUE!</v>
      </c>
      <c r="BB43" s="95" t="n">
        <f aca="false">VLOOKUP(Table7[[#This Row],[VBD]],BW:BY,3,FALSE())</f>
        <v>9</v>
      </c>
      <c r="BC43" s="99" t="n">
        <f aca="false">VLOOKUP(INDEX(ECR!$E:$E,MATCH(AR43,ECR!$C:$C,0)),RISK!A:B,2,FALSE())</f>
        <v>3</v>
      </c>
      <c r="BD43" s="95"/>
      <c r="BE43" s="100"/>
      <c r="BF43" s="102" t="n">
        <v>41</v>
      </c>
      <c r="BG43" s="100" t="n">
        <f aca="false">IFERROR(LARGE($G$3:$G$52,BF43),"")</f>
        <v>9.88729411764706</v>
      </c>
      <c r="BH43" s="100" t="n">
        <f aca="false">IFERROR(LARGE($J$3:$J$52,41),"")</f>
        <v>-258.161683435294</v>
      </c>
      <c r="BI43" s="100" t="n">
        <f aca="false">IF(BH43="",BI42,IF((BI42-BH43)&gt;0.2*LARGE($J$3:$J$52,2),BH43,BI42))</f>
        <v>-257.6012952</v>
      </c>
      <c r="BJ43" s="103" t="n">
        <f aca="false">MIN(IF(BH43="",BJ42,IF((BI42-BH43)&gt;0.2*LARGE($J$3:$J$52,2),BJ42+1,BJ42)),15)</f>
        <v>15</v>
      </c>
      <c r="BK43" s="102" t="n">
        <v>41</v>
      </c>
      <c r="BL43" s="100" t="n">
        <f aca="false">IFERROR(LARGE($U$3:$U$102,BK43),"")</f>
        <v>110.242529411765</v>
      </c>
      <c r="BM43" s="104" t="n">
        <f aca="false">IFERROR(LARGE($X$3:$X$102,41),"")</f>
        <v>-15.570983627451</v>
      </c>
      <c r="BN43" s="104" t="n">
        <f aca="false">IF(BM43="",BN42,IF((BN42-BM43)&gt;0.15*LARGE($X$3:$X$102,2),BM43,BN42))</f>
        <v>-4.11292754901962</v>
      </c>
      <c r="BO43" s="103" t="n">
        <f aca="false">IF(BM43="",BO42,IF((BN42-BM43)&gt;0.15*LARGE($X$3:$X$102,2),BO42+1,BO42))</f>
        <v>7</v>
      </c>
      <c r="BP43" s="105" t="n">
        <v>41</v>
      </c>
      <c r="BQ43" s="100" t="n">
        <f aca="false">IFERROR(LARGE($AI$3:$AI$102,BP43),"")</f>
        <v>112.533834698436</v>
      </c>
      <c r="BR43" s="104" t="n">
        <f aca="false">IFERROR(LARGE($AL$3:$AL$102,41),"")</f>
        <v>-11.5674724587987</v>
      </c>
      <c r="BS43" s="104" t="n">
        <f aca="false">IF(BR43="",BS42,IF((BS42-BR43)&gt;0.15*LARGE($AL$3:$AL$102,2),BR43,BS42))</f>
        <v>3.76372349019606</v>
      </c>
      <c r="BT43" s="103" t="n">
        <f aca="false">IF(BR43="",BT42,IF((BS42-BR43)&gt;0.15*LARGE($AL$3:$AL$102,2),BT42+1,BT42))</f>
        <v>6</v>
      </c>
      <c r="BU43" s="102" t="n">
        <v>41</v>
      </c>
      <c r="BV43" s="100" t="n">
        <f aca="false">IFERROR(LARGE($AW$3:$AW$52,BU43),"")</f>
        <v>43.2976470588235</v>
      </c>
      <c r="BW43" s="104" t="n">
        <f aca="false">IFERROR(LARGE($AZ$3:$AZ$52,41),"")</f>
        <v>-73.4219307745098</v>
      </c>
      <c r="BX43" s="104" t="n">
        <f aca="false">IF(BW43="",BX42,IF((BX42-BW43)&gt;0.2*LARGE($AZ$3:$AZ$52,2),BW43,BX42))</f>
        <v>-73.1236954803922</v>
      </c>
      <c r="BY43" s="106" t="n">
        <f aca="false">IF(BW43="",BY42,IF((BX42-BW43)&gt;0.2*LARGE($AZ$3:$AZ$52,2),BY42+1,BY42))</f>
        <v>10</v>
      </c>
      <c r="BZ43" s="104"/>
      <c r="CA43" s="104"/>
      <c r="CB43" s="104"/>
      <c r="CC43" s="104"/>
      <c r="CD43" s="104"/>
      <c r="CE43" s="104"/>
      <c r="CF43" s="104"/>
      <c r="CG43" s="104"/>
    </row>
    <row r="44" s="107" customFormat="true" ht="14.25" hidden="false" customHeight="true" outlineLevel="0" collapsed="false">
      <c r="A44" s="93" t="s">
        <v>296</v>
      </c>
      <c r="B44" s="93" t="str">
        <f aca="false">VLOOKUP(A44,ECR!E:L,8,FALSE())</f>
        <v>Joe Flacco</v>
      </c>
      <c r="C44" s="94" t="str">
        <f aca="false">IFERROR(VLOOKUP(Table2[[#This Row],[PLAYER]],ECR!C:F,2,FALSE()),"-")</f>
        <v>CIN</v>
      </c>
      <c r="D44" s="94" t="n">
        <f aca="false">IFERROR(VLOOKUP(Table2[[#This Row],[PLAYER]],ECR!C:F,4,FALSE()),"-")</f>
        <v>6</v>
      </c>
      <c r="E44" s="94" t="str">
        <f aca="false">Table2[[#This Row],[Team]] &amp; "/" &amp; Table2[[#This Row],[Bye]]</f>
        <v>CIN/6</v>
      </c>
      <c r="F44" s="95" t="n">
        <f aca="false">IFERROR(VLOOKUP(Table2[[#This Row],[PLAYER]],QB!A:Q,15,FALSE())/17*(17-Table2[[#This Row],[Missed Games]]),0)</f>
        <v>6.26032941176471</v>
      </c>
      <c r="G44" s="95" t="n">
        <f aca="false">IFERROR(VLOOKUP(Table2[[#This Row],[PLAYER]],QB!A:Q,16,FALSE())/17*(17-Table2[[#This Row],[Missed Games]]),0)</f>
        <v>8.47157647058824</v>
      </c>
      <c r="H44" s="95" t="n">
        <f aca="false">IFERROR(VLOOKUP(Table2[[#This Row],[PLAYER]],QB!A:Q,17,FALSE())/17*(17-Table2[[#This Row],[Missed Games]]),0)</f>
        <v>10.2769411764706</v>
      </c>
      <c r="I44" s="96" t="n">
        <f aca="false">AVERAGE(AVERAGE(Table2[[#This Row],[LOW]],Table2[[#This Row],[HIGH]]),Table2[[#This Row],[AVG]],VLOOKUP(Table2[[#This Row],[PLAYER]],ECR!L:N,3,FALSE()))</f>
        <v>8.70861176470588</v>
      </c>
      <c r="J44" s="96" t="n">
        <f aca="false">Table2[[#This Row],[Zscore Projection]]-$C$1</f>
        <v>-259.670754023529</v>
      </c>
      <c r="K44" s="97" t="e">
        <f aca="false">MAX(Table2[[#This Row],[VBD]]*Scoring!$B$48+1,1)</f>
        <v>#VALUE!</v>
      </c>
      <c r="L44" s="98" t="n">
        <f aca="false">VLOOKUP(Table2[[#This Row],[VBD]],BH:BJ,3,FALSE())</f>
        <v>15</v>
      </c>
      <c r="M44" s="99" t="n">
        <f aca="false">VLOOKUP(INDEX(ECR!$E:$E,MATCH(B44,ECR!$C:$C,0)),RISK!A:B,2,FALSE())</f>
        <v>3.2</v>
      </c>
      <c r="N44" s="100"/>
      <c r="O44" s="98" t="s">
        <v>297</v>
      </c>
      <c r="P44" s="93" t="str">
        <f aca="false">VLOOKUP(O44,ECR!E:L,8,FALSE())</f>
        <v>Chris Rodriguez Jr.</v>
      </c>
      <c r="Q44" s="94" t="str">
        <f aca="false">IFERROR(VLOOKUP(Table4[[#This Row],[PLAYER]],ECR!C:F,2,FALSE()),"-")</f>
        <v>JAC</v>
      </c>
      <c r="R44" s="94" t="n">
        <f aca="false">IFERROR(VLOOKUP(Table4[[#This Row],[PLAYER]],ECR!C:F,4,FALSE()),"-")</f>
        <v>7</v>
      </c>
      <c r="S44" s="94" t="str">
        <f aca="false">Table4[[#This Row],[Team]] &amp; "/" &amp; Table4[[#This Row],[Bye]]</f>
        <v>JAC/7</v>
      </c>
      <c r="T44" s="95" t="n">
        <f aca="false">IFERROR(VLOOKUP(Table4[[#This Row],[PLAYER]],RB!A:Q,13,FALSE())/17*(17-Table4[[#This Row],[Missed Games]]),0)</f>
        <v>51.6699482352941</v>
      </c>
      <c r="U44" s="95" t="n">
        <f aca="false">IFERROR(VLOOKUP(Table4[[#This Row],[PLAYER]],RB!A:Q,14,FALSE())/17*(17-Table4[[#This Row],[Missed Games]]),0)</f>
        <v>74.1403305882353</v>
      </c>
      <c r="V44" s="95" t="n">
        <f aca="false">IFERROR(VLOOKUP(Table4[[#This Row],[PLAYER]],RB!A:Q,15,FALSE())/17*(17-Table4[[#This Row],[Missed Games]]),0)</f>
        <v>103.960317647059</v>
      </c>
      <c r="W44" s="96" t="n">
        <f aca="false">AVERAGE(AVERAGE(Table4[[#This Row],[LOW]],Table4[[#This Row],[HIGH]]),Table4[[#This Row],[AVG]],VLOOKUP(Table4[[#This Row],[PLAYER]],ECR!L:N,3,FALSE()))</f>
        <v>85.472775794902</v>
      </c>
      <c r="X44" s="96" t="n">
        <f aca="false">Table4[[#This Row],[Zscore Projection]]-$Q$1</f>
        <v>-42.0729625972549</v>
      </c>
      <c r="Y44" s="97" t="e">
        <f aca="false">MAX(Table4[[#This Row],[VBD]]*Scoring!$B$48+1,1)</f>
        <v>#VALUE!</v>
      </c>
      <c r="Z44" s="98" t="n">
        <f aca="false">VLOOKUP(Table4[[#This Row],[VBD]],BM:BO,3,FALSE())</f>
        <v>8</v>
      </c>
      <c r="AA44" s="99" t="n">
        <f aca="false">VLOOKUP(INDEX(ECR!$E:$E,MATCH(P44,ECR!$C:$C,0)),RISK!A:B,2,FALSE())</f>
        <v>3.478</v>
      </c>
      <c r="AB44" s="100"/>
      <c r="AC44" s="94" t="s">
        <v>298</v>
      </c>
      <c r="AD44" s="94" t="str">
        <f aca="false">VLOOKUP(AC44,ECR!E:L,8,FALSE())</f>
        <v>Stefon Diggs</v>
      </c>
      <c r="AE44" s="94" t="str">
        <f aca="false">IFERROR(VLOOKUP(Table6[[#This Row],[PLAYER]],ECR!C:F,2,FALSE()),"-")</f>
        <v>WAS</v>
      </c>
      <c r="AF44" s="94" t="n">
        <f aca="false">IFERROR(VLOOKUP(Table6[[#This Row],[PLAYER]],ECR!C:F,4,FALSE()),"-")</f>
        <v>7</v>
      </c>
      <c r="AG44" s="94" t="str">
        <f aca="false">Table6[[#This Row],[Team]] &amp; "/" &amp; Table6[[#This Row],[Bye]]</f>
        <v>WAS/7</v>
      </c>
      <c r="AH44" s="95" t="n">
        <f aca="false">IFERROR(VLOOKUP(Table6[[#This Row],[PLAYER]],WR!A:Q,13,FALSE())/17*(17-Table6[[#This Row],[Missed Games]]),0)</f>
        <v>97.7882352941177</v>
      </c>
      <c r="AI44" s="95" t="n">
        <f aca="false">IFERROR(VLOOKUP(Table6[[#This Row],[PLAYER]],WR!A:Q,14,FALSE())/17*(17-Table6[[#This Row],[Missed Games]]),0)</f>
        <v>104.387393894267</v>
      </c>
      <c r="AJ44" s="95" t="n">
        <f aca="false">IFERROR(VLOOKUP(Table6[[#This Row],[PLAYER]],WR!A:Q,15,FALSE())/17*(17-Table6[[#This Row],[Missed Games]]),0)</f>
        <v>111.822084884587</v>
      </c>
      <c r="AK44" s="96" t="n">
        <f aca="false">AVERAGE(AVERAGE(Table6[[#This Row],[LOW]],Table6[[#This Row],[HIGH]]),Table6[[#This Row],[AVG]],VLOOKUP(Table6[[#This Row],[PLAYER]],ECR!L:N,3,FALSE()))</f>
        <v>107.161464581782</v>
      </c>
      <c r="AL44" s="96" t="n">
        <f aca="false">Table6[[#This Row],[Zscore Projection]]-$AE$1</f>
        <v>-18.516414163316</v>
      </c>
      <c r="AM44" s="97" t="e">
        <f aca="false">MAX(Table6[[#This Row],[VBD]]*Scoring!$B$48+1,1)</f>
        <v>#VALUE!</v>
      </c>
      <c r="AN44" s="98" t="n">
        <f aca="false">VLOOKUP(Table6[[#This Row],[VBD]],BR:BT,3,FALSE())</f>
        <v>7</v>
      </c>
      <c r="AO44" s="99" t="n">
        <f aca="false">VLOOKUP(INDEX(ECR!$E:$E,MATCH(AD44,ECR!$C:$C,0)),RISK!A:B,2,FALSE())</f>
        <v>3.84810126582278</v>
      </c>
      <c r="AP44" s="100"/>
      <c r="AQ44" s="101" t="s">
        <v>299</v>
      </c>
      <c r="AR44" s="101" t="str">
        <f aca="false">VLOOKUP(AQ44,ECR!E:L,8,FALSE())</f>
        <v>Oscar Delp</v>
      </c>
      <c r="AS44" s="101" t="str">
        <f aca="false">IFERROR(VLOOKUP(Table7[[#This Row],[PLAYER]],ECR!C:F,2,FALSE()),"-")</f>
        <v>NO</v>
      </c>
      <c r="AT44" s="101" t="n">
        <f aca="false">IFERROR(VLOOKUP(Table7[[#This Row],[PLAYER]],ECR!C:F,4,FALSE()),"-")</f>
        <v>8</v>
      </c>
      <c r="AU44" s="101" t="str">
        <f aca="false">Table7[[#This Row],[Team]] &amp; "/" &amp; Table7[[#This Row],[Bye]]</f>
        <v>NO/8</v>
      </c>
      <c r="AV44" s="95" t="n">
        <f aca="false">IFERROR(VLOOKUP(Table7[[#This Row],[PLAYER]],TE!A:K,9,FALSE())/17*(16-Table7[[#This Row],[Missed Games]]),0)</f>
        <v>10.7823529411765</v>
      </c>
      <c r="AW44" s="95" t="n">
        <f aca="false">IFERROR(VLOOKUP(Table7[[#This Row],[PLAYER]],TE!A:K,10,FALSE())/17*(16-Table7[[#This Row],[Missed Games]]),0)</f>
        <v>14.0323529411765</v>
      </c>
      <c r="AX44" s="95" t="n">
        <f aca="false">IFERROR(VLOOKUP(Table7[[#This Row],[PLAYER]],TE!A:K,11,FALSE())/17*(16-Table7[[#This Row],[Missed Games]]),0)</f>
        <v>17.5882352941177</v>
      </c>
      <c r="AY44" s="96" t="n">
        <f aca="false">AVERAGE(AVERAGE(Table7[[#This Row],[LOW]],Table7[[#This Row],[HIGH]]),Table7[[#This Row],[AVG]],VLOOKUP(Table7[[#This Row],[PLAYER]],ECR!L:N,3,FALSE()))</f>
        <v>23.0635294117647</v>
      </c>
      <c r="AZ44" s="96" t="n">
        <f aca="false">Table7[[#This Row],[Zscore Projection]]-$AS$1</f>
        <v>-89.5100680294118</v>
      </c>
      <c r="BA44" s="97" t="e">
        <f aca="false">MAX(Table7[[#This Row],[VBD]]*Scoring!$B$48+1,1)</f>
        <v>#VALUE!</v>
      </c>
      <c r="BB44" s="95" t="n">
        <f aca="false">VLOOKUP(Table7[[#This Row],[VBD]],BW:BY,3,FALSE())</f>
        <v>11</v>
      </c>
      <c r="BC44" s="99" t="n">
        <f aca="false">VLOOKUP(INDEX(ECR!$E:$E,MATCH(AR44,ECR!$C:$C,0)),RISK!A:B,2,FALSE())</f>
        <v>3</v>
      </c>
      <c r="BD44" s="95"/>
      <c r="BE44" s="100"/>
      <c r="BF44" s="102" t="n">
        <v>42</v>
      </c>
      <c r="BG44" s="100" t="n">
        <f aca="false">IFERROR(LARGE($G$3:$G$52,BF44),"")</f>
        <v>9.38562352941177</v>
      </c>
      <c r="BH44" s="100" t="n">
        <f aca="false">IFERROR(LARGE($J$3:$J$52,42),"")</f>
        <v>-258.351365788235</v>
      </c>
      <c r="BI44" s="100" t="n">
        <f aca="false">IF(BH44="",BI43,IF((BI43-BH44)&gt;0.2*LARGE($J$3:$J$52,2),BH44,BI43))</f>
        <v>-257.6012952</v>
      </c>
      <c r="BJ44" s="103" t="n">
        <f aca="false">MIN(IF(BH44="",BJ43,IF((BI43-BH44)&gt;0.2*LARGE($J$3:$J$52,2),BJ43+1,BJ43)),15)</f>
        <v>15</v>
      </c>
      <c r="BK44" s="102" t="n">
        <v>42</v>
      </c>
      <c r="BL44" s="100" t="n">
        <f aca="false">IFERROR(LARGE($U$3:$U$102,BK44),"")</f>
        <v>104.462863855294</v>
      </c>
      <c r="BM44" s="104" t="n">
        <f aca="false">IFERROR(LARGE($X$3:$X$102,42),"")</f>
        <v>-29.9702534298039</v>
      </c>
      <c r="BN44" s="104" t="n">
        <f aca="false">IF(BM44="",BN43,IF((BN43-BM44)&gt;0.15*LARGE($X$3:$X$102,2),BM44,BN43))</f>
        <v>-29.9702534298039</v>
      </c>
      <c r="BO44" s="103" t="n">
        <f aca="false">IF(BM44="",BO43,IF((BN43-BM44)&gt;0.15*LARGE($X$3:$X$102,2),BO43+1,BO43))</f>
        <v>8</v>
      </c>
      <c r="BP44" s="105" t="n">
        <v>42</v>
      </c>
      <c r="BQ44" s="100" t="n">
        <f aca="false">IFERROR(LARGE($AI$3:$AI$102,BP44),"")</f>
        <v>112.291839761727</v>
      </c>
      <c r="BR44" s="104" t="n">
        <f aca="false">IFERROR(LARGE($AL$3:$AL$102,42),"")</f>
        <v>-12.0235538505833</v>
      </c>
      <c r="BS44" s="104" t="n">
        <f aca="false">IF(BR44="",BS43,IF((BS43-BR44)&gt;0.15*LARGE($AL$3:$AL$102,2),BR44,BS43))</f>
        <v>3.76372349019606</v>
      </c>
      <c r="BT44" s="103" t="n">
        <f aca="false">IF(BR44="",BT43,IF((BS43-BR44)&gt;0.15*LARGE($AL$3:$AL$102,2),BT43+1,BT43))</f>
        <v>6</v>
      </c>
      <c r="BU44" s="102" t="n">
        <v>42</v>
      </c>
      <c r="BV44" s="100" t="n">
        <f aca="false">IFERROR(LARGE($AW$3:$AW$52,BU44),"")</f>
        <v>40.9729411764706</v>
      </c>
      <c r="BW44" s="104" t="n">
        <f aca="false">IFERROR(LARGE($AZ$3:$AZ$52,42),"")</f>
        <v>-74.2771268529412</v>
      </c>
      <c r="BX44" s="104" t="n">
        <f aca="false">IF(BW44="",BX43,IF((BX43-BW44)&gt;0.2*LARGE($AZ$3:$AZ$52,2),BW44,BX43))</f>
        <v>-73.1236954803922</v>
      </c>
      <c r="BY44" s="106" t="n">
        <f aca="false">IF(BW44="",BY43,IF((BX43-BW44)&gt;0.2*LARGE($AZ$3:$AZ$52,2),BY43+1,BY43))</f>
        <v>10</v>
      </c>
      <c r="BZ44" s="104"/>
      <c r="CA44" s="104"/>
      <c r="CB44" s="104"/>
      <c r="CC44" s="104"/>
      <c r="CD44" s="104"/>
      <c r="CE44" s="104"/>
      <c r="CF44" s="104"/>
      <c r="CG44" s="104"/>
    </row>
    <row r="45" s="107" customFormat="true" ht="14.25" hidden="false" customHeight="true" outlineLevel="0" collapsed="false">
      <c r="A45" s="93" t="s">
        <v>300</v>
      </c>
      <c r="B45" s="93" t="str">
        <f aca="false">VLOOKUP(A45,ECR!E:L,8,FALSE())</f>
        <v>Marcus Mariota</v>
      </c>
      <c r="C45" s="94" t="str">
        <f aca="false">IFERROR(VLOOKUP(Table2[[#This Row],[PLAYER]],ECR!C:F,2,FALSE()),"-")</f>
        <v>WAS</v>
      </c>
      <c r="D45" s="94" t="n">
        <f aca="false">IFERROR(VLOOKUP(Table2[[#This Row],[PLAYER]],ECR!C:F,4,FALSE()),"-")</f>
        <v>7</v>
      </c>
      <c r="E45" s="94" t="str">
        <f aca="false">Table2[[#This Row],[Team]] &amp; "/" &amp; Table2[[#This Row],[Bye]]</f>
        <v>WAS/7</v>
      </c>
      <c r="F45" s="95" t="n">
        <f aca="false">IFERROR(VLOOKUP(Table2[[#This Row],[PLAYER]],QB!A:Q,15,FALSE())/17*(17-Table2[[#This Row],[Missed Games]]),0)</f>
        <v>7.98451764705882</v>
      </c>
      <c r="G45" s="95" t="n">
        <f aca="false">IFERROR(VLOOKUP(Table2[[#This Row],[PLAYER]],QB!A:Q,16,FALSE())/17*(17-Table2[[#This Row],[Missed Games]]),0)</f>
        <v>14.5679294117647</v>
      </c>
      <c r="H45" s="95" t="n">
        <f aca="false">IFERROR(VLOOKUP(Table2[[#This Row],[PLAYER]],QB!A:Q,17,FALSE())/17*(17-Table2[[#This Row],[Missed Games]]),0)</f>
        <v>21.5604705882353</v>
      </c>
      <c r="I45" s="96" t="n">
        <f aca="false">AVERAGE(AVERAGE(Table2[[#This Row],[LOW]],Table2[[#This Row],[HIGH]]),Table2[[#This Row],[AVG]],VLOOKUP(Table2[[#This Row],[PLAYER]],ECR!L:N,3,FALSE()))</f>
        <v>12.6343058823529</v>
      </c>
      <c r="J45" s="96" t="n">
        <f aca="false">Table2[[#This Row],[Zscore Projection]]-$C$1</f>
        <v>-255.745059905882</v>
      </c>
      <c r="K45" s="97" t="e">
        <f aca="false">MAX(Table2[[#This Row],[VBD]]*Scoring!$B$48+1,1)</f>
        <v>#VALUE!</v>
      </c>
      <c r="L45" s="98" t="n">
        <f aca="false">VLOOKUP(Table2[[#This Row],[VBD]],BH:BJ,3,FALSE())</f>
        <v>15</v>
      </c>
      <c r="M45" s="99" t="n">
        <f aca="false">VLOOKUP(INDEX(ECR!$E:$E,MATCH(B45,ECR!$C:$C,0)),RISK!A:B,2,FALSE())</f>
        <v>3.2</v>
      </c>
      <c r="N45" s="100"/>
      <c r="O45" s="98" t="s">
        <v>301</v>
      </c>
      <c r="P45" s="93" t="str">
        <f aca="false">VLOOKUP(O45,ECR!E:L,8,FALSE())</f>
        <v>Tyler Allgeier</v>
      </c>
      <c r="Q45" s="94" t="str">
        <f aca="false">IFERROR(VLOOKUP(Table4[[#This Row],[PLAYER]],ECR!C:F,2,FALSE()),"-")</f>
        <v>ARI</v>
      </c>
      <c r="R45" s="94" t="n">
        <f aca="false">IFERROR(VLOOKUP(Table4[[#This Row],[PLAYER]],ECR!C:F,4,FALSE()),"-")</f>
        <v>14</v>
      </c>
      <c r="S45" s="94" t="str">
        <f aca="false">Table4[[#This Row],[Team]] &amp; "/" &amp; Table4[[#This Row],[Bye]]</f>
        <v>ARI/14</v>
      </c>
      <c r="T45" s="95" t="n">
        <f aca="false">IFERROR(VLOOKUP(Table4[[#This Row],[PLAYER]],RB!A:Q,13,FALSE())/17*(17-Table4[[#This Row],[Missed Games]]),0)</f>
        <v>57.62202</v>
      </c>
      <c r="U45" s="95" t="n">
        <f aca="false">IFERROR(VLOOKUP(Table4[[#This Row],[PLAYER]],RB!A:Q,14,FALSE())/17*(17-Table4[[#This Row],[Missed Games]]),0)</f>
        <v>66.055284</v>
      </c>
      <c r="V45" s="95" t="n">
        <f aca="false">IFERROR(VLOOKUP(Table4[[#This Row],[PLAYER]],RB!A:Q,15,FALSE())/17*(17-Table4[[#This Row],[Missed Games]]),0)</f>
        <v>77.801616</v>
      </c>
      <c r="W45" s="96" t="n">
        <f aca="false">AVERAGE(AVERAGE(Table4[[#This Row],[LOW]],Table4[[#This Row],[HIGH]]),Table4[[#This Row],[AVG]],VLOOKUP(Table4[[#This Row],[PLAYER]],ECR!L:N,3,FALSE()))</f>
        <v>77.0269551764706</v>
      </c>
      <c r="X45" s="96" t="n">
        <f aca="false">Table4[[#This Row],[Zscore Projection]]-$Q$1</f>
        <v>-50.5187832156863</v>
      </c>
      <c r="Y45" s="97" t="e">
        <f aca="false">MAX(Table4[[#This Row],[VBD]]*Scoring!$B$48+1,1)</f>
        <v>#VALUE!</v>
      </c>
      <c r="Z45" s="98" t="n">
        <f aca="false">VLOOKUP(Table4[[#This Row],[VBD]],BM:BO,3,FALSE())</f>
        <v>8</v>
      </c>
      <c r="AA45" s="99" t="n">
        <f aca="false">VLOOKUP(INDEX(ECR!$E:$E,MATCH(P45,ECR!$C:$C,0)),RISK!A:B,2,FALSE())</f>
        <v>3.5258</v>
      </c>
      <c r="AB45" s="100"/>
      <c r="AC45" s="94" t="s">
        <v>302</v>
      </c>
      <c r="AD45" s="94" t="str">
        <f aca="false">VLOOKUP(AC45,ECR!E:L,8,FALSE())</f>
        <v>Wan'Dale Robinson</v>
      </c>
      <c r="AE45" s="94" t="str">
        <f aca="false">IFERROR(VLOOKUP(Table6[[#This Row],[PLAYER]],ECR!C:F,2,FALSE()),"-")</f>
        <v>TEN</v>
      </c>
      <c r="AF45" s="94" t="n">
        <f aca="false">IFERROR(VLOOKUP(Table6[[#This Row],[PLAYER]],ECR!C:F,4,FALSE()),"-")</f>
        <v>9</v>
      </c>
      <c r="AG45" s="94" t="str">
        <f aca="false">Table6[[#This Row],[Team]] &amp; "/" &amp; Table6[[#This Row],[Bye]]</f>
        <v>TEN/9</v>
      </c>
      <c r="AH45" s="95" t="n">
        <f aca="false">IFERROR(VLOOKUP(Table6[[#This Row],[PLAYER]],WR!A:Q,13,FALSE())/17*(17-Table6[[#This Row],[Missed Games]]),0)</f>
        <v>99.2581533879375</v>
      </c>
      <c r="AI45" s="95" t="n">
        <f aca="false">IFERROR(VLOOKUP(Table6[[#This Row],[PLAYER]],WR!A:Q,14,FALSE())/17*(17-Table6[[#This Row],[Missed Games]]),0)</f>
        <v>107.853306031273</v>
      </c>
      <c r="AJ45" s="95" t="n">
        <f aca="false">IFERROR(VLOOKUP(Table6[[#This Row],[PLAYER]],WR!A:Q,15,FALSE())/17*(17-Table6[[#This Row],[Missed Games]]),0)</f>
        <v>117.423246463142</v>
      </c>
      <c r="AK45" s="96" t="n">
        <f aca="false">AVERAGE(AVERAGE(Table6[[#This Row],[LOW]],Table6[[#This Row],[HIGH]]),Table6[[#This Row],[AVG]],VLOOKUP(Table6[[#This Row],[PLAYER]],ECR!L:N,3,FALSE()))</f>
        <v>109.300014892033</v>
      </c>
      <c r="AL45" s="96" t="n">
        <f aca="false">Table6[[#This Row],[Zscore Projection]]-$AE$1</f>
        <v>-16.3778638530653</v>
      </c>
      <c r="AM45" s="97" t="e">
        <f aca="false">MAX(Table6[[#This Row],[VBD]]*Scoring!$B$48+1,1)</f>
        <v>#VALUE!</v>
      </c>
      <c r="AN45" s="98" t="n">
        <f aca="false">VLOOKUP(Table6[[#This Row],[VBD]],BR:BT,3,FALSE())</f>
        <v>7</v>
      </c>
      <c r="AO45" s="99" t="n">
        <f aca="false">VLOOKUP(INDEX(ECR!$E:$E,MATCH(AD45,ECR!$C:$C,0)),RISK!A:B,2,FALSE())</f>
        <v>3.84810126582278</v>
      </c>
      <c r="AP45" s="100"/>
      <c r="AQ45" s="101" t="s">
        <v>303</v>
      </c>
      <c r="AR45" s="101" t="str">
        <f aca="false">VLOOKUP(AQ45,ECR!E:L,8,FALSE())</f>
        <v>Elijah Arroyo</v>
      </c>
      <c r="AS45" s="101" t="str">
        <f aca="false">IFERROR(VLOOKUP(Table7[[#This Row],[PLAYER]],ECR!C:F,2,FALSE()),"-")</f>
        <v>SEA</v>
      </c>
      <c r="AT45" s="101" t="n">
        <f aca="false">IFERROR(VLOOKUP(Table7[[#This Row],[PLAYER]],ECR!C:F,4,FALSE()),"-")</f>
        <v>11</v>
      </c>
      <c r="AU45" s="101" t="str">
        <f aca="false">Table7[[#This Row],[Team]] &amp; "/" &amp; Table7[[#This Row],[Bye]]</f>
        <v>SEA/11</v>
      </c>
      <c r="AV45" s="95" t="n">
        <f aca="false">IFERROR(VLOOKUP(Table7[[#This Row],[PLAYER]],TE!A:K,9,FALSE())/17*(16-Table7[[#This Row],[Missed Games]]),0)</f>
        <v>16.9</v>
      </c>
      <c r="AW45" s="95" t="n">
        <f aca="false">IFERROR(VLOOKUP(Table7[[#This Row],[PLAYER]],TE!A:K,10,FALSE())/17*(16-Table7[[#This Row],[Missed Games]]),0)</f>
        <v>29.6247058823529</v>
      </c>
      <c r="AX45" s="95" t="n">
        <f aca="false">IFERROR(VLOOKUP(Table7[[#This Row],[PLAYER]],TE!A:K,11,FALSE())/17*(16-Table7[[#This Row],[Missed Games]]),0)</f>
        <v>38.5947058823529</v>
      </c>
      <c r="AY45" s="96" t="n">
        <f aca="false">AVERAGE(AVERAGE(Table7[[#This Row],[LOW]],Table7[[#This Row],[HIGH]]),Table7[[#This Row],[AVG]],VLOOKUP(Table7[[#This Row],[PLAYER]],ECR!L:N,3,FALSE()))</f>
        <v>31.086568627451</v>
      </c>
      <c r="AZ45" s="96" t="n">
        <f aca="false">Table7[[#This Row],[Zscore Projection]]-$AS$1</f>
        <v>-81.4870288137255</v>
      </c>
      <c r="BA45" s="97" t="e">
        <f aca="false">MAX(Table7[[#This Row],[VBD]]*Scoring!$B$48+1,1)</f>
        <v>#VALUE!</v>
      </c>
      <c r="BB45" s="95" t="n">
        <f aca="false">VLOOKUP(Table7[[#This Row],[VBD]],BW:BY,3,FALSE())</f>
        <v>10</v>
      </c>
      <c r="BC45" s="99" t="n">
        <f aca="false">VLOOKUP(INDEX(ECR!$E:$E,MATCH(AR45,ECR!$C:$C,0)),RISK!A:B,2,FALSE())</f>
        <v>3</v>
      </c>
      <c r="BD45" s="95"/>
      <c r="BE45" s="100"/>
      <c r="BF45" s="102" t="n">
        <v>43</v>
      </c>
      <c r="BG45" s="100" t="n">
        <f aca="false">IFERROR(LARGE($G$3:$G$52,BF45),"")</f>
        <v>8.56249411764706</v>
      </c>
      <c r="BH45" s="100" t="n">
        <f aca="false">IFERROR(LARGE($J$3:$J$52,43),"")</f>
        <v>-258.941518729412</v>
      </c>
      <c r="BI45" s="100" t="n">
        <f aca="false">IF(BH45="",BI44,IF((BI44-BH45)&gt;0.2*LARGE($J$3:$J$52,2),BH45,BI44))</f>
        <v>-257.6012952</v>
      </c>
      <c r="BJ45" s="103" t="n">
        <f aca="false">MIN(IF(BH45="",BJ44,IF((BI44-BH45)&gt;0.2*LARGE($J$3:$J$52,2),BJ44+1,BJ44)),15)</f>
        <v>15</v>
      </c>
      <c r="BK45" s="102" t="n">
        <v>43</v>
      </c>
      <c r="BL45" s="100" t="n">
        <f aca="false">IFERROR(LARGE($U$3:$U$102,BK45),"")</f>
        <v>97.3137635294117</v>
      </c>
      <c r="BM45" s="104" t="n">
        <f aca="false">IFERROR(LARGE($X$3:$X$102,43),"")</f>
        <v>-35.170907254902</v>
      </c>
      <c r="BN45" s="104" t="n">
        <f aca="false">IF(BM45="",BN44,IF((BN44-BM45)&gt;0.15*LARGE($X$3:$X$102,2),BM45,BN44))</f>
        <v>-29.9702534298039</v>
      </c>
      <c r="BO45" s="103" t="n">
        <f aca="false">IF(BM45="",BO44,IF((BN44-BM45)&gt;0.15*LARGE($X$3:$X$102,2),BO44+1,BO44))</f>
        <v>8</v>
      </c>
      <c r="BP45" s="105" t="n">
        <v>43</v>
      </c>
      <c r="BQ45" s="100" t="n">
        <f aca="false">IFERROR(LARGE($AI$3:$AI$102,BP45),"")</f>
        <v>111.706038719285</v>
      </c>
      <c r="BR45" s="104" t="n">
        <f aca="false">IFERROR(LARGE($AL$3:$AL$102,43),"")</f>
        <v>-13.1749861208737</v>
      </c>
      <c r="BS45" s="104" t="n">
        <f aca="false">IF(BR45="",BS44,IF((BS44-BR45)&gt;0.15*LARGE($AL$3:$AL$102,2),BR45,BS44))</f>
        <v>3.76372349019606</v>
      </c>
      <c r="BT45" s="103" t="n">
        <f aca="false">IF(BR45="",BT44,IF((BS44-BR45)&gt;0.15*LARGE($AL$3:$AL$102,2),BT44+1,BT44))</f>
        <v>6</v>
      </c>
      <c r="BU45" s="102" t="n">
        <v>43</v>
      </c>
      <c r="BV45" s="100" t="n">
        <f aca="false">IFERROR(LARGE($AW$3:$AW$52,BU45),"")</f>
        <v>35.8876470588235</v>
      </c>
      <c r="BW45" s="104" t="n">
        <f aca="false">IFERROR(LARGE($AZ$3:$AZ$52,43),"")</f>
        <v>-74.3242837156863</v>
      </c>
      <c r="BX45" s="104" t="n">
        <f aca="false">IF(BW45="",BX44,IF((BX44-BW45)&gt;0.2*LARGE($AZ$3:$AZ$52,2),BW45,BX44))</f>
        <v>-73.1236954803922</v>
      </c>
      <c r="BY45" s="106" t="n">
        <f aca="false">IF(BW45="",BY44,IF((BX44-BW45)&gt;0.2*LARGE($AZ$3:$AZ$52,2),BY44+1,BY44))</f>
        <v>10</v>
      </c>
      <c r="BZ45" s="104"/>
      <c r="CA45" s="104"/>
      <c r="CB45" s="104"/>
      <c r="CC45" s="104"/>
      <c r="CD45" s="104"/>
      <c r="CE45" s="104"/>
      <c r="CF45" s="104"/>
      <c r="CG45" s="104"/>
    </row>
    <row r="46" s="107" customFormat="true" ht="14.25" hidden="false" customHeight="true" outlineLevel="0" collapsed="false">
      <c r="A46" s="93" t="s">
        <v>304</v>
      </c>
      <c r="B46" s="93" t="str">
        <f aca="false">VLOOKUP(A46,ECR!E:L,8,FALSE())</f>
        <v>Jameis Winston</v>
      </c>
      <c r="C46" s="94" t="str">
        <f aca="false">IFERROR(VLOOKUP(Table2[[#This Row],[PLAYER]],ECR!C:F,2,FALSE()),"-")</f>
        <v>NYG</v>
      </c>
      <c r="D46" s="94" t="n">
        <f aca="false">IFERROR(VLOOKUP(Table2[[#This Row],[PLAYER]],ECR!C:F,4,FALSE()),"-")</f>
        <v>8</v>
      </c>
      <c r="E46" s="94" t="str">
        <f aca="false">Table2[[#This Row],[Team]] &amp; "/" &amp; Table2[[#This Row],[Bye]]</f>
        <v>NYG/8</v>
      </c>
      <c r="F46" s="95" t="n">
        <f aca="false">IFERROR(VLOOKUP(Table2[[#This Row],[PLAYER]],QB!A:Q,15,FALSE())/17*(17-Table2[[#This Row],[Missed Games]]),0)</f>
        <v>4.53776470588235</v>
      </c>
      <c r="G46" s="95" t="n">
        <f aca="false">IFERROR(VLOOKUP(Table2[[#This Row],[PLAYER]],QB!A:Q,16,FALSE())/17*(17-Table2[[#This Row],[Missed Games]]),0)</f>
        <v>9.38562352941177</v>
      </c>
      <c r="H46" s="95" t="n">
        <f aca="false">IFERROR(VLOOKUP(Table2[[#This Row],[PLAYER]],QB!A:Q,17,FALSE())/17*(17-Table2[[#This Row],[Missed Games]]),0)</f>
        <v>16.2190588235294</v>
      </c>
      <c r="I46" s="96" t="n">
        <f aca="false">AVERAGE(AVERAGE(Table2[[#This Row],[LOW]],Table2[[#This Row],[HIGH]]),Table2[[#This Row],[AVG]],VLOOKUP(Table2[[#This Row],[PLAYER]],ECR!L:N,3,FALSE()))</f>
        <v>9.43784705882353</v>
      </c>
      <c r="J46" s="96" t="n">
        <f aca="false">Table2[[#This Row],[Zscore Projection]]-$C$1</f>
        <v>-258.941518729412</v>
      </c>
      <c r="K46" s="97" t="e">
        <f aca="false">MAX(Table2[[#This Row],[VBD]]*Scoring!$B$48+1,1)</f>
        <v>#VALUE!</v>
      </c>
      <c r="L46" s="98" t="n">
        <f aca="false">VLOOKUP(Table2[[#This Row],[VBD]],BH:BJ,3,FALSE())</f>
        <v>15</v>
      </c>
      <c r="M46" s="99" t="n">
        <f aca="false">VLOOKUP(INDEX(ECR!$E:$E,MATCH(B46,ECR!$C:$C,0)),RISK!A:B,2,FALSE())</f>
        <v>3.2</v>
      </c>
      <c r="N46" s="100"/>
      <c r="O46" s="98" t="s">
        <v>305</v>
      </c>
      <c r="P46" s="93" t="str">
        <f aca="false">VLOOKUP(O46,ECR!E:L,8,FALSE())</f>
        <v>Woody Marks</v>
      </c>
      <c r="Q46" s="94" t="str">
        <f aca="false">IFERROR(VLOOKUP(Table4[[#This Row],[PLAYER]],ECR!C:F,2,FALSE()),"-")</f>
        <v>HOU</v>
      </c>
      <c r="R46" s="94" t="n">
        <f aca="false">IFERROR(VLOOKUP(Table4[[#This Row],[PLAYER]],ECR!C:F,4,FALSE()),"-")</f>
        <v>8</v>
      </c>
      <c r="S46" s="94" t="str">
        <f aca="false">Table4[[#This Row],[Team]] &amp; "/" &amp; Table4[[#This Row],[Bye]]</f>
        <v>HOU/8</v>
      </c>
      <c r="T46" s="95" t="n">
        <f aca="false">IFERROR(VLOOKUP(Table4[[#This Row],[PLAYER]],RB!A:Q,13,FALSE())/17*(17-Table4[[#This Row],[Missed Games]]),0)</f>
        <v>76.6815835294118</v>
      </c>
      <c r="U46" s="95" t="n">
        <f aca="false">IFERROR(VLOOKUP(Table4[[#This Row],[PLAYER]],RB!A:Q,14,FALSE())/17*(17-Table4[[#This Row],[Missed Games]]),0)</f>
        <v>89.94884</v>
      </c>
      <c r="V46" s="95" t="n">
        <f aca="false">IFERROR(VLOOKUP(Table4[[#This Row],[PLAYER]],RB!A:Q,15,FALSE())/17*(17-Table4[[#This Row],[Missed Games]]),0)</f>
        <v>103.832076235294</v>
      </c>
      <c r="W46" s="96" t="n">
        <f aca="false">AVERAGE(AVERAGE(Table4[[#This Row],[LOW]],Table4[[#This Row],[HIGH]]),Table4[[#This Row],[AVG]],VLOOKUP(Table4[[#This Row],[PLAYER]],ECR!L:N,3,FALSE()))</f>
        <v>92.3748311372549</v>
      </c>
      <c r="X46" s="96" t="n">
        <f aca="false">Table4[[#This Row],[Zscore Projection]]-$Q$1</f>
        <v>-35.170907254902</v>
      </c>
      <c r="Y46" s="97" t="e">
        <f aca="false">MAX(Table4[[#This Row],[VBD]]*Scoring!$B$48+1,1)</f>
        <v>#VALUE!</v>
      </c>
      <c r="Z46" s="98" t="n">
        <f aca="false">VLOOKUP(Table4[[#This Row],[VBD]],BM:BO,3,FALSE())</f>
        <v>8</v>
      </c>
      <c r="AA46" s="99" t="n">
        <f aca="false">VLOOKUP(INDEX(ECR!$E:$E,MATCH(P46,ECR!$C:$C,0)),RISK!A:B,2,FALSE())</f>
        <v>3.5748</v>
      </c>
      <c r="AB46" s="100"/>
      <c r="AC46" s="94" t="s">
        <v>306</v>
      </c>
      <c r="AD46" s="94" t="str">
        <f aca="false">VLOOKUP(AC46,ECR!E:L,8,FALSE())</f>
        <v>Jayden Reed</v>
      </c>
      <c r="AE46" s="94" t="str">
        <f aca="false">IFERROR(VLOOKUP(Table6[[#This Row],[PLAYER]],ECR!C:F,2,FALSE()),"-")</f>
        <v>GB</v>
      </c>
      <c r="AF46" s="94" t="n">
        <f aca="false">IFERROR(VLOOKUP(Table6[[#This Row],[PLAYER]],ECR!C:F,4,FALSE()),"-")</f>
        <v>11</v>
      </c>
      <c r="AG46" s="94" t="str">
        <f aca="false">Table6[[#This Row],[Team]] &amp; "/" &amp; Table6[[#This Row],[Bye]]</f>
        <v>GB/11</v>
      </c>
      <c r="AH46" s="95" t="n">
        <f aca="false">IFERROR(VLOOKUP(Table6[[#This Row],[PLAYER]],WR!A:Q,13,FALSE())/17*(17-Table6[[#This Row],[Missed Games]]),0)</f>
        <v>101.610022338049</v>
      </c>
      <c r="AI46" s="95" t="n">
        <f aca="false">IFERROR(VLOOKUP(Table6[[#This Row],[PLAYER]],WR!A:Q,14,FALSE())/17*(17-Table6[[#This Row],[Missed Games]]),0)</f>
        <v>112.533834698436</v>
      </c>
      <c r="AJ46" s="95" t="n">
        <f aca="false">IFERROR(VLOOKUP(Table6[[#This Row],[PLAYER]],WR!A:Q,15,FALSE())/17*(17-Table6[[#This Row],[Missed Games]]),0)</f>
        <v>125.794043186895</v>
      </c>
      <c r="AK46" s="96" t="n">
        <f aca="false">AVERAGE(AVERAGE(Table6[[#This Row],[LOW]],Table6[[#This Row],[HIGH]]),Table6[[#This Row],[AVG]],VLOOKUP(Table6[[#This Row],[PLAYER]],ECR!L:N,3,FALSE()))</f>
        <v>112.502892624224</v>
      </c>
      <c r="AL46" s="96" t="n">
        <f aca="false">Table6[[#This Row],[Zscore Projection]]-$AE$1</f>
        <v>-13.1749861208737</v>
      </c>
      <c r="AM46" s="97" t="e">
        <f aca="false">MAX(Table6[[#This Row],[VBD]]*Scoring!$B$48+1,1)</f>
        <v>#VALUE!</v>
      </c>
      <c r="AN46" s="98" t="n">
        <f aca="false">VLOOKUP(Table6[[#This Row],[VBD]],BR:BT,3,FALSE())</f>
        <v>6</v>
      </c>
      <c r="AO46" s="99" t="n">
        <f aca="false">VLOOKUP(INDEX(ECR!$E:$E,MATCH(AD46,ECR!$C:$C,0)),RISK!A:B,2,FALSE())</f>
        <v>3.84810126582278</v>
      </c>
      <c r="AP46" s="100"/>
      <c r="AQ46" s="101" t="s">
        <v>307</v>
      </c>
      <c r="AR46" s="101" t="str">
        <f aca="false">VLOOKUP(AQ46,ECR!E:L,8,FALSE())</f>
        <v>Eli Raridon</v>
      </c>
      <c r="AS46" s="101" t="str">
        <f aca="false">IFERROR(VLOOKUP(Table7[[#This Row],[PLAYER]],ECR!C:F,2,FALSE()),"-")</f>
        <v>NE</v>
      </c>
      <c r="AT46" s="101" t="n">
        <f aca="false">IFERROR(VLOOKUP(Table7[[#This Row],[PLAYER]],ECR!C:F,4,FALSE()),"-")</f>
        <v>11</v>
      </c>
      <c r="AU46" s="101" t="str">
        <f aca="false">Table7[[#This Row],[Team]] &amp; "/" &amp; Table7[[#This Row],[Bye]]</f>
        <v>NE/11</v>
      </c>
      <c r="AV46" s="95" t="n">
        <f aca="false">IFERROR(VLOOKUP(Table7[[#This Row],[PLAYER]],TE!A:K,9,FALSE())/17*(16-Table7[[#This Row],[Missed Games]]),0)</f>
        <v>26.7723529411765</v>
      </c>
      <c r="AW46" s="95" t="n">
        <f aca="false">IFERROR(VLOOKUP(Table7[[#This Row],[PLAYER]],TE!A:K,10,FALSE())/17*(16-Table7[[#This Row],[Missed Games]]),0)</f>
        <v>31.2458823529412</v>
      </c>
      <c r="AX46" s="95" t="n">
        <f aca="false">IFERROR(VLOOKUP(Table7[[#This Row],[PLAYER]],TE!A:K,11,FALSE())/17*(16-Table7[[#This Row],[Missed Games]]),0)</f>
        <v>35.8647058823529</v>
      </c>
      <c r="AY46" s="96" t="n">
        <f aca="false">AVERAGE(AVERAGE(Table7[[#This Row],[LOW]],Table7[[#This Row],[HIGH]]),Table7[[#This Row],[AVG]],VLOOKUP(Table7[[#This Row],[PLAYER]],ECR!L:N,3,FALSE()))</f>
        <v>31.2700980392157</v>
      </c>
      <c r="AZ46" s="96" t="n">
        <f aca="false">Table7[[#This Row],[Zscore Projection]]-$AS$1</f>
        <v>-81.3034994019608</v>
      </c>
      <c r="BA46" s="97" t="e">
        <f aca="false">MAX(Table7[[#This Row],[VBD]]*Scoring!$B$48+1,1)</f>
        <v>#VALUE!</v>
      </c>
      <c r="BB46" s="95" t="n">
        <f aca="false">VLOOKUP(Table7[[#This Row],[VBD]],BW:BY,3,FALSE())</f>
        <v>10</v>
      </c>
      <c r="BC46" s="99" t="n">
        <f aca="false">VLOOKUP(INDEX(ECR!$E:$E,MATCH(AR46,ECR!$C:$C,0)),RISK!A:B,2,FALSE())</f>
        <v>3</v>
      </c>
      <c r="BD46" s="95"/>
      <c r="BE46" s="100"/>
      <c r="BF46" s="102" t="n">
        <v>44</v>
      </c>
      <c r="BG46" s="100" t="n">
        <f aca="false">IFERROR(LARGE($G$3:$G$52,BF46),"")</f>
        <v>8.54950588235294</v>
      </c>
      <c r="BH46" s="100" t="n">
        <f aca="false">IFERROR(LARGE($J$3:$J$52,44),"")</f>
        <v>-259.670754023529</v>
      </c>
      <c r="BI46" s="100" t="n">
        <f aca="false">IF(BH46="",BI45,IF((BI45-BH46)&gt;0.2*LARGE($J$3:$J$52,2),BH46,BI45))</f>
        <v>-257.6012952</v>
      </c>
      <c r="BJ46" s="103" t="n">
        <f aca="false">MIN(IF(BH46="",BJ45,IF((BI45-BH46)&gt;0.2*LARGE($J$3:$J$52,2),BJ45+1,BJ45)),15)</f>
        <v>15</v>
      </c>
      <c r="BK46" s="102" t="n">
        <v>44</v>
      </c>
      <c r="BL46" s="100" t="n">
        <f aca="false">IFERROR(LARGE($U$3:$U$102,BK46),"")</f>
        <v>96.9188235294118</v>
      </c>
      <c r="BM46" s="104" t="n">
        <f aca="false">IFERROR(LARGE($X$3:$X$102,44),"")</f>
        <v>-37.3257511372549</v>
      </c>
      <c r="BN46" s="104" t="n">
        <f aca="false">IF(BM46="",BN45,IF((BN45-BM46)&gt;0.15*LARGE($X$3:$X$102,2),BM46,BN45))</f>
        <v>-29.9702534298039</v>
      </c>
      <c r="BO46" s="103" t="n">
        <f aca="false">IF(BM46="",BO45,IF((BN45-BM46)&gt;0.15*LARGE($X$3:$X$102,2),BO45+1,BO45))</f>
        <v>8</v>
      </c>
      <c r="BP46" s="105" t="n">
        <v>44</v>
      </c>
      <c r="BQ46" s="100" t="n">
        <f aca="false">IFERROR(LARGE($AI$3:$AI$102,BP46),"")</f>
        <v>111.272810411765</v>
      </c>
      <c r="BR46" s="104" t="n">
        <f aca="false">IFERROR(LARGE($AL$3:$AL$102,44),"")</f>
        <v>-13.4212138654753</v>
      </c>
      <c r="BS46" s="104" t="n">
        <f aca="false">IF(BR46="",BS45,IF((BS45-BR46)&gt;0.15*LARGE($AL$3:$AL$102,2),BR46,BS45))</f>
        <v>3.76372349019606</v>
      </c>
      <c r="BT46" s="103" t="n">
        <f aca="false">IF(BR46="",BT45,IF((BS45-BR46)&gt;0.15*LARGE($AL$3:$AL$102,2),BT45+1,BT45))</f>
        <v>6</v>
      </c>
      <c r="BU46" s="102" t="n">
        <v>44</v>
      </c>
      <c r="BV46" s="100" t="n">
        <f aca="false">IFERROR(LARGE($AW$3:$AW$52,BU46),"")</f>
        <v>31.2458823529412</v>
      </c>
      <c r="BW46" s="104" t="n">
        <f aca="false">IFERROR(LARGE($AZ$3:$AZ$52,44),"")</f>
        <v>-74.6734994019608</v>
      </c>
      <c r="BX46" s="104" t="n">
        <f aca="false">IF(BW46="",BX45,IF((BX45-BW46)&gt;0.2*LARGE($AZ$3:$AZ$52,2),BW46,BX45))</f>
        <v>-73.1236954803922</v>
      </c>
      <c r="BY46" s="106" t="n">
        <f aca="false">IF(BW46="",BY45,IF((BX45-BW46)&gt;0.2*LARGE($AZ$3:$AZ$52,2),BY45+1,BY45))</f>
        <v>10</v>
      </c>
      <c r="BZ46" s="104"/>
      <c r="CA46" s="104"/>
      <c r="CB46" s="104"/>
      <c r="CC46" s="104"/>
      <c r="CD46" s="104"/>
      <c r="CE46" s="104"/>
      <c r="CF46" s="104"/>
      <c r="CG46" s="104"/>
    </row>
    <row r="47" s="107" customFormat="true" ht="14.25" hidden="false" customHeight="true" outlineLevel="0" collapsed="false">
      <c r="A47" s="93" t="s">
        <v>308</v>
      </c>
      <c r="B47" s="93" t="str">
        <f aca="false">VLOOKUP(A47,ECR!E:L,8,FALSE())</f>
        <v>Cade Klubnik</v>
      </c>
      <c r="C47" s="94" t="str">
        <f aca="false">IFERROR(VLOOKUP(Table2[[#This Row],[PLAYER]],ECR!C:F,2,FALSE()),"-")</f>
        <v>NYJ</v>
      </c>
      <c r="D47" s="94" t="n">
        <f aca="false">IFERROR(VLOOKUP(Table2[[#This Row],[PLAYER]],ECR!C:F,4,FALSE()),"-")</f>
        <v>13</v>
      </c>
      <c r="E47" s="94" t="str">
        <f aca="false">Table2[[#This Row],[Team]] &amp; "/" &amp; Table2[[#This Row],[Bye]]</f>
        <v>NYJ/13</v>
      </c>
      <c r="F47" s="95" t="n">
        <f aca="false">IFERROR(VLOOKUP(Table2[[#This Row],[PLAYER]],QB!A:Q,15,FALSE())/17*(17-Table2[[#This Row],[Missed Games]]),0)</f>
        <v>4.92741176470588</v>
      </c>
      <c r="G47" s="95" t="n">
        <f aca="false">IFERROR(VLOOKUP(Table2[[#This Row],[PLAYER]],QB!A:Q,16,FALSE())/17*(17-Table2[[#This Row],[Missed Games]]),0)</f>
        <v>7.38381176470589</v>
      </c>
      <c r="H47" s="95" t="n">
        <f aca="false">IFERROR(VLOOKUP(Table2[[#This Row],[PLAYER]],QB!A:Q,17,FALSE())/17*(17-Table2[[#This Row],[Missed Games]]),0)</f>
        <v>10.212</v>
      </c>
      <c r="I47" s="96" t="n">
        <f aca="false">AVERAGE(AVERAGE(Table2[[#This Row],[LOW]],Table2[[#This Row],[HIGH]]),Table2[[#This Row],[AVG]],VLOOKUP(Table2[[#This Row],[PLAYER]],ECR!L:N,3,FALSE()))</f>
        <v>7.80836470588235</v>
      </c>
      <c r="J47" s="96" t="n">
        <f aca="false">Table2[[#This Row],[Zscore Projection]]-$C$1</f>
        <v>-260.571001082353</v>
      </c>
      <c r="K47" s="97" t="e">
        <f aca="false">MAX(Table2[[#This Row],[VBD]]*Scoring!$B$48+1,1)</f>
        <v>#VALUE!</v>
      </c>
      <c r="L47" s="98" t="n">
        <f aca="false">VLOOKUP(Table2[[#This Row],[VBD]],BH:BJ,3,FALSE())</f>
        <v>15</v>
      </c>
      <c r="M47" s="99" t="n">
        <f aca="false">VLOOKUP(INDEX(ECR!$E:$E,MATCH(B47,ECR!$C:$C,0)),RISK!A:B,2,FALSE())</f>
        <v>3.2</v>
      </c>
      <c r="N47" s="100"/>
      <c r="O47" s="98" t="s">
        <v>309</v>
      </c>
      <c r="P47" s="93" t="str">
        <f aca="false">VLOOKUP(O47,ECR!E:L,8,FALSE())</f>
        <v>Jonah Coleman</v>
      </c>
      <c r="Q47" s="94" t="str">
        <f aca="false">IFERROR(VLOOKUP(Table4[[#This Row],[PLAYER]],ECR!C:F,2,FALSE()),"-")</f>
        <v>DEN</v>
      </c>
      <c r="R47" s="94" t="n">
        <f aca="false">IFERROR(VLOOKUP(Table4[[#This Row],[PLAYER]],ECR!C:F,4,FALSE()),"-")</f>
        <v>10</v>
      </c>
      <c r="S47" s="94" t="str">
        <f aca="false">Table4[[#This Row],[Team]] &amp; "/" &amp; Table4[[#This Row],[Bye]]</f>
        <v>DEN/10</v>
      </c>
      <c r="T47" s="95" t="n">
        <f aca="false">IFERROR(VLOOKUP(Table4[[#This Row],[PLAYER]],RB!A:Q,13,FALSE())/17*(17-Table4[[#This Row],[Missed Games]]),0)</f>
        <v>60.1662416176471</v>
      </c>
      <c r="U47" s="95" t="n">
        <f aca="false">IFERROR(VLOOKUP(Table4[[#This Row],[PLAYER]],RB!A:Q,14,FALSE())/17*(17-Table4[[#This Row],[Missed Games]]),0)</f>
        <v>77.3885210294118</v>
      </c>
      <c r="V47" s="95" t="n">
        <f aca="false">IFERROR(VLOOKUP(Table4[[#This Row],[PLAYER]],RB!A:Q,15,FALSE())/17*(17-Table4[[#This Row],[Missed Games]]),0)</f>
        <v>94.2803592647059</v>
      </c>
      <c r="W47" s="96" t="n">
        <f aca="false">AVERAGE(AVERAGE(Table4[[#This Row],[LOW]],Table4[[#This Row],[HIGH]]),Table4[[#This Row],[AVG]],VLOOKUP(Table4[[#This Row],[PLAYER]],ECR!L:N,3,FALSE()))</f>
        <v>81.6355474705882</v>
      </c>
      <c r="X47" s="96" t="n">
        <f aca="false">Table4[[#This Row],[Zscore Projection]]-$Q$1</f>
        <v>-45.9101909215686</v>
      </c>
      <c r="Y47" s="97" t="e">
        <f aca="false">MAX(Table4[[#This Row],[VBD]]*Scoring!$B$48+1,1)</f>
        <v>#VALUE!</v>
      </c>
      <c r="Z47" s="98" t="n">
        <f aca="false">VLOOKUP(Table4[[#This Row],[VBD]],BM:BO,3,FALSE())</f>
        <v>8</v>
      </c>
      <c r="AA47" s="99" t="n">
        <f aca="false">VLOOKUP(INDEX(ECR!$E:$E,MATCH(P47,ECR!$C:$C,0)),RISK!A:B,2,FALSE())</f>
        <v>3.625</v>
      </c>
      <c r="AB47" s="100"/>
      <c r="AC47" s="94" t="s">
        <v>310</v>
      </c>
      <c r="AD47" s="94" t="str">
        <f aca="false">VLOOKUP(AC47,ECR!E:L,8,FALSE())</f>
        <v>Jordan Addison</v>
      </c>
      <c r="AE47" s="94" t="str">
        <f aca="false">IFERROR(VLOOKUP(Table6[[#This Row],[PLAYER]],ECR!C:F,2,FALSE()),"-")</f>
        <v>MIN</v>
      </c>
      <c r="AF47" s="94" t="n">
        <f aca="false">IFERROR(VLOOKUP(Table6[[#This Row],[PLAYER]],ECR!C:F,4,FALSE()),"-")</f>
        <v>6</v>
      </c>
      <c r="AG47" s="94" t="str">
        <f aca="false">Table6[[#This Row],[Team]] &amp; "/" &amp; Table6[[#This Row],[Bye]]</f>
        <v>MIN/6</v>
      </c>
      <c r="AH47" s="95" t="n">
        <f aca="false">IFERROR(VLOOKUP(Table6[[#This Row],[PLAYER]],WR!A:Q,13,FALSE())/17*(17-Table6[[#This Row],[Missed Games]]),0)</f>
        <v>99.9931124348474</v>
      </c>
      <c r="AI47" s="95" t="n">
        <f aca="false">IFERROR(VLOOKUP(Table6[[#This Row],[PLAYER]],WR!A:Q,14,FALSE())/17*(17-Table6[[#This Row],[Missed Games]]),0)</f>
        <v>109.578525688757</v>
      </c>
      <c r="AJ47" s="95" t="n">
        <f aca="false">IFERROR(VLOOKUP(Table6[[#This Row],[PLAYER]],WR!A:Q,15,FALSE())/17*(17-Table6[[#This Row],[Missed Games]]),0)</f>
        <v>121.577699180938</v>
      </c>
      <c r="AK47" s="96" t="n">
        <f aca="false">AVERAGE(AVERAGE(Table6[[#This Row],[LOW]],Table6[[#This Row],[HIGH]]),Table6[[#This Row],[AVG]],VLOOKUP(Table6[[#This Row],[PLAYER]],ECR!L:N,3,FALSE()))</f>
        <v>110.294944714569</v>
      </c>
      <c r="AL47" s="96" t="n">
        <f aca="false">Table6[[#This Row],[Zscore Projection]]-$AE$1</f>
        <v>-15.3829340305286</v>
      </c>
      <c r="AM47" s="97" t="e">
        <f aca="false">MAX(Table6[[#This Row],[VBD]]*Scoring!$B$48+1,1)</f>
        <v>#VALUE!</v>
      </c>
      <c r="AN47" s="98" t="n">
        <f aca="false">VLOOKUP(Table6[[#This Row],[VBD]],BR:BT,3,FALSE())</f>
        <v>7</v>
      </c>
      <c r="AO47" s="99" t="n">
        <f aca="false">VLOOKUP(INDEX(ECR!$E:$E,MATCH(AD47,ECR!$C:$C,0)),RISK!A:B,2,FALSE())</f>
        <v>3.84810126582278</v>
      </c>
      <c r="AP47" s="100"/>
      <c r="AQ47" s="101" t="s">
        <v>311</v>
      </c>
      <c r="AR47" s="101" t="str">
        <f aca="false">VLOOKUP(AQ47,ECR!E:L,8,FALSE())</f>
        <v>Dawson Knox</v>
      </c>
      <c r="AS47" s="101" t="str">
        <f aca="false">IFERROR(VLOOKUP(Table7[[#This Row],[PLAYER]],ECR!C:F,2,FALSE()),"-")</f>
        <v>BUF</v>
      </c>
      <c r="AT47" s="101" t="n">
        <f aca="false">IFERROR(VLOOKUP(Table7[[#This Row],[PLAYER]],ECR!C:F,4,FALSE()),"-")</f>
        <v>7</v>
      </c>
      <c r="AU47" s="101" t="str">
        <f aca="false">Table7[[#This Row],[Team]] &amp; "/" &amp; Table7[[#This Row],[Bye]]</f>
        <v>BUF/7</v>
      </c>
      <c r="AV47" s="95" t="n">
        <f aca="false">IFERROR(VLOOKUP(Table7[[#This Row],[PLAYER]],TE!A:K,9,FALSE())/17*(16-Table7[[#This Row],[Missed Games]]),0)</f>
        <v>42.5329411764706</v>
      </c>
      <c r="AW47" s="95" t="n">
        <f aca="false">IFERROR(VLOOKUP(Table7[[#This Row],[PLAYER]],TE!A:K,10,FALSE())/17*(16-Table7[[#This Row],[Missed Games]]),0)</f>
        <v>49.4688235294118</v>
      </c>
      <c r="AX47" s="95" t="n">
        <f aca="false">IFERROR(VLOOKUP(Table7[[#This Row],[PLAYER]],TE!A:K,11,FALSE())/17*(16-Table7[[#This Row],[Missed Games]]),0)</f>
        <v>57.7352941176471</v>
      </c>
      <c r="AY47" s="96" t="n">
        <f aca="false">AVERAGE(AVERAGE(Table7[[#This Row],[LOW]],Table7[[#This Row],[HIGH]]),Table7[[#This Row],[AVG]],VLOOKUP(Table7[[#This Row],[PLAYER]],ECR!L:N,3,FALSE()))</f>
        <v>43.5092156862745</v>
      </c>
      <c r="AZ47" s="96" t="n">
        <f aca="false">Table7[[#This Row],[Zscore Projection]]-$AS$1</f>
        <v>-69.064381754902</v>
      </c>
      <c r="BA47" s="97" t="e">
        <f aca="false">MAX(Table7[[#This Row],[VBD]]*Scoring!$B$48+1,1)</f>
        <v>#VALUE!</v>
      </c>
      <c r="BB47" s="95" t="n">
        <f aca="false">VLOOKUP(Table7[[#This Row],[VBD]],BW:BY,3,FALSE())</f>
        <v>9</v>
      </c>
      <c r="BC47" s="99" t="n">
        <f aca="false">VLOOKUP(INDEX(ECR!$E:$E,MATCH(AR47,ECR!$C:$C,0)),RISK!A:B,2,FALSE())</f>
        <v>3</v>
      </c>
      <c r="BD47" s="95"/>
      <c r="BE47" s="100"/>
      <c r="BF47" s="102" t="n">
        <v>45</v>
      </c>
      <c r="BG47" s="100" t="n">
        <f aca="false">IFERROR(LARGE($G$3:$G$52,BF47),"")</f>
        <v>8.47157647058824</v>
      </c>
      <c r="BH47" s="100" t="n">
        <f aca="false">IFERROR(LARGE($J$3:$J$52,45),"")</f>
        <v>-260.571001082353</v>
      </c>
      <c r="BI47" s="100" t="n">
        <f aca="false">IF(BH47="",BI46,IF((BI46-BH47)&gt;0.2*LARGE($J$3:$J$52,2),BH47,BI46))</f>
        <v>-257.6012952</v>
      </c>
      <c r="BJ47" s="103" t="n">
        <f aca="false">MIN(IF(BH47="",BJ46,IF((BI46-BH47)&gt;0.2*LARGE($J$3:$J$52,2),BJ46+1,BJ46)),15)</f>
        <v>15</v>
      </c>
      <c r="BK47" s="102" t="n">
        <v>45</v>
      </c>
      <c r="BL47" s="100" t="n">
        <f aca="false">IFERROR(LARGE($U$3:$U$102,BK47),"")</f>
        <v>90.2948209411765</v>
      </c>
      <c r="BM47" s="104" t="n">
        <f aca="false">IFERROR(LARGE($X$3:$X$102,45),"")</f>
        <v>-41.0345619215686</v>
      </c>
      <c r="BN47" s="104" t="n">
        <f aca="false">IF(BM47="",BN46,IF((BN46-BM47)&gt;0.15*LARGE($X$3:$X$102,2),BM47,BN46))</f>
        <v>-29.9702534298039</v>
      </c>
      <c r="BO47" s="103" t="n">
        <f aca="false">IF(BM47="",BO46,IF((BN46-BM47)&gt;0.15*LARGE($X$3:$X$102,2),BO46+1,BO46))</f>
        <v>8</v>
      </c>
      <c r="BP47" s="105" t="n">
        <v>45</v>
      </c>
      <c r="BQ47" s="100" t="n">
        <f aca="false">IFERROR(LARGE($AI$3:$AI$102,BP47),"")</f>
        <v>110.520902647059</v>
      </c>
      <c r="BR47" s="104" t="n">
        <f aca="false">IFERROR(LARGE($AL$3:$AL$102,45),"")</f>
        <v>-15.3829340305286</v>
      </c>
      <c r="BS47" s="104" t="n">
        <f aca="false">IF(BR47="",BS46,IF((BS46-BR47)&gt;0.15*LARGE($AL$3:$AL$102,2),BR47,BS46))</f>
        <v>-15.3829340305286</v>
      </c>
      <c r="BT47" s="103" t="n">
        <f aca="false">IF(BR47="",BT46,IF((BS46-BR47)&gt;0.15*LARGE($AL$3:$AL$102,2),BT46+1,BT46))</f>
        <v>7</v>
      </c>
      <c r="BU47" s="102" t="n">
        <v>45</v>
      </c>
      <c r="BV47" s="100" t="n">
        <f aca="false">IFERROR(LARGE($AW$3:$AW$52,BU47),"")</f>
        <v>30.9247058823529</v>
      </c>
      <c r="BW47" s="104" t="n">
        <f aca="false">IFERROR(LARGE($AZ$3:$AZ$52,45),"")</f>
        <v>-80.5260484215687</v>
      </c>
      <c r="BX47" s="104" t="n">
        <f aca="false">IF(BW47="",BX46,IF((BX46-BW47)&gt;0.2*LARGE($AZ$3:$AZ$52,2),BW47,BX46))</f>
        <v>-73.1236954803922</v>
      </c>
      <c r="BY47" s="106" t="n">
        <f aca="false">IF(BW47="",BY46,IF((BX46-BW47)&gt;0.2*LARGE($AZ$3:$AZ$52,2),BY46+1,BY46))</f>
        <v>10</v>
      </c>
      <c r="BZ47" s="104"/>
      <c r="CA47" s="104"/>
      <c r="CB47" s="104"/>
      <c r="CC47" s="104"/>
      <c r="CD47" s="104"/>
      <c r="CE47" s="104"/>
      <c r="CF47" s="104"/>
      <c r="CG47" s="104"/>
    </row>
    <row r="48" s="107" customFormat="true" ht="14.25" hidden="false" customHeight="true" outlineLevel="0" collapsed="false">
      <c r="A48" s="93" t="s">
        <v>312</v>
      </c>
      <c r="B48" s="93" t="str">
        <f aca="false">VLOOKUP(A48,ECR!E:L,8,FALSE())</f>
        <v>Joe Milton III</v>
      </c>
      <c r="C48" s="94" t="str">
        <f aca="false">IFERROR(VLOOKUP(Table2[[#This Row],[PLAYER]],ECR!C:F,2,FALSE()),"-")</f>
        <v>DAL</v>
      </c>
      <c r="D48" s="94" t="n">
        <f aca="false">IFERROR(VLOOKUP(Table2[[#This Row],[PLAYER]],ECR!C:F,4,FALSE()),"-")</f>
        <v>14</v>
      </c>
      <c r="E48" s="94" t="str">
        <f aca="false">Table2[[#This Row],[Team]] &amp; "/" &amp; Table2[[#This Row],[Bye]]</f>
        <v>DAL/14</v>
      </c>
      <c r="F48" s="95" t="n">
        <f aca="false">IFERROR(VLOOKUP(Table2[[#This Row],[PLAYER]],QB!A:Q,15,FALSE())/17*(17-Table2[[#This Row],[Missed Games]]),0)</f>
        <v>0</v>
      </c>
      <c r="G48" s="95" t="n">
        <f aca="false">IFERROR(VLOOKUP(Table2[[#This Row],[PLAYER]],QB!A:Q,16,FALSE())/17*(17-Table2[[#This Row],[Missed Games]]),0)</f>
        <v>4.98423529411765</v>
      </c>
      <c r="H48" s="95" t="n">
        <f aca="false">IFERROR(VLOOKUP(Table2[[#This Row],[PLAYER]],QB!A:Q,17,FALSE())/17*(17-Table2[[#This Row],[Missed Games]]),0)</f>
        <v>10.7802352941176</v>
      </c>
      <c r="I48" s="96" t="n">
        <f aca="false">AVERAGE(AVERAGE(Table2[[#This Row],[LOW]],Table2[[#This Row],[HIGH]]),Table2[[#This Row],[AVG]],VLOOKUP(Table2[[#This Row],[PLAYER]],ECR!L:N,3,FALSE()))</f>
        <v>5.91938823529412</v>
      </c>
      <c r="J48" s="96" t="n">
        <f aca="false">Table2[[#This Row],[Zscore Projection]]-$C$1</f>
        <v>-262.459977552941</v>
      </c>
      <c r="K48" s="97" t="e">
        <f aca="false">MAX(Table2[[#This Row],[VBD]]*Scoring!$B$48+1,1)</f>
        <v>#VALUE!</v>
      </c>
      <c r="L48" s="98" t="n">
        <f aca="false">VLOOKUP(Table2[[#This Row],[VBD]],BH:BJ,3,FALSE())</f>
        <v>15</v>
      </c>
      <c r="M48" s="99" t="n">
        <f aca="false">VLOOKUP(INDEX(ECR!$E:$E,MATCH(B48,ECR!$C:$C,0)),RISK!A:B,2,FALSE())</f>
        <v>3.2</v>
      </c>
      <c r="N48" s="100"/>
      <c r="O48" s="98" t="s">
        <v>313</v>
      </c>
      <c r="P48" s="93" t="str">
        <f aca="false">VLOOKUP(O48,ECR!E:L,8,FALSE())</f>
        <v>Tyjae Spears</v>
      </c>
      <c r="Q48" s="94" t="str">
        <f aca="false">IFERROR(VLOOKUP(Table4[[#This Row],[PLAYER]],ECR!C:F,2,FALSE()),"-")</f>
        <v>TEN</v>
      </c>
      <c r="R48" s="94" t="n">
        <f aca="false">IFERROR(VLOOKUP(Table4[[#This Row],[PLAYER]],ECR!C:F,4,FALSE()),"-")</f>
        <v>9</v>
      </c>
      <c r="S48" s="94" t="str">
        <f aca="false">Table4[[#This Row],[Team]] &amp; "/" &amp; Table4[[#This Row],[Bye]]</f>
        <v>TEN/9</v>
      </c>
      <c r="T48" s="95" t="n">
        <f aca="false">IFERROR(VLOOKUP(Table4[[#This Row],[PLAYER]],RB!A:Q,13,FALSE())/17*(17-Table4[[#This Row],[Missed Games]]),0)</f>
        <v>74.3770376470588</v>
      </c>
      <c r="U48" s="95" t="n">
        <f aca="false">IFERROR(VLOOKUP(Table4[[#This Row],[PLAYER]],RB!A:Q,14,FALSE())/17*(17-Table4[[#This Row],[Missed Games]]),0)</f>
        <v>90.2948209411765</v>
      </c>
      <c r="V48" s="95" t="n">
        <f aca="false">IFERROR(VLOOKUP(Table4[[#This Row],[PLAYER]],RB!A:Q,15,FALSE())/17*(17-Table4[[#This Row],[Missed Games]]),0)</f>
        <v>106.455564</v>
      </c>
      <c r="W48" s="96" t="n">
        <f aca="false">AVERAGE(AVERAGE(Table4[[#This Row],[LOW]],Table4[[#This Row],[HIGH]]),Table4[[#This Row],[AVG]],VLOOKUP(Table4[[#This Row],[PLAYER]],ECR!L:N,3,FALSE()))</f>
        <v>90.219987254902</v>
      </c>
      <c r="X48" s="96" t="n">
        <f aca="false">Table4[[#This Row],[Zscore Projection]]-$Q$1</f>
        <v>-37.3257511372549</v>
      </c>
      <c r="Y48" s="97" t="e">
        <f aca="false">MAX(Table4[[#This Row],[VBD]]*Scoring!$B$48+1,1)</f>
        <v>#VALUE!</v>
      </c>
      <c r="Z48" s="98" t="n">
        <f aca="false">VLOOKUP(Table4[[#This Row],[VBD]],BM:BO,3,FALSE())</f>
        <v>8</v>
      </c>
      <c r="AA48" s="99" t="n">
        <f aca="false">VLOOKUP(INDEX(ECR!$E:$E,MATCH(P48,ECR!$C:$C,0)),RISK!A:B,2,FALSE())</f>
        <v>3.6764</v>
      </c>
      <c r="AB48" s="100"/>
      <c r="AC48" s="94" t="s">
        <v>314</v>
      </c>
      <c r="AD48" s="94" t="str">
        <f aca="false">VLOOKUP(AC48,ECR!E:L,8,FALSE())</f>
        <v>Makai Lemon</v>
      </c>
      <c r="AE48" s="94" t="str">
        <f aca="false">IFERROR(VLOOKUP(Table6[[#This Row],[PLAYER]],ECR!C:F,2,FALSE()),"-")</f>
        <v>PHI</v>
      </c>
      <c r="AF48" s="94" t="n">
        <f aca="false">IFERROR(VLOOKUP(Table6[[#This Row],[PLAYER]],ECR!C:F,4,FALSE()),"-")</f>
        <v>10</v>
      </c>
      <c r="AG48" s="94" t="str">
        <f aca="false">Table6[[#This Row],[Team]] &amp; "/" &amp; Table6[[#This Row],[Bye]]</f>
        <v>PHI/10</v>
      </c>
      <c r="AH48" s="95" t="n">
        <f aca="false">IFERROR(VLOOKUP(Table6[[#This Row],[PLAYER]],WR!A:Q,13,FALSE())/17*(17-Table6[[#This Row],[Missed Games]]),0)</f>
        <v>109.893861801936</v>
      </c>
      <c r="AI48" s="95" t="n">
        <f aca="false">IFERROR(VLOOKUP(Table6[[#This Row],[PLAYER]],WR!A:Q,14,FALSE())/17*(17-Table6[[#This Row],[Missed Games]]),0)</f>
        <v>113.16636366344</v>
      </c>
      <c r="AJ48" s="95" t="n">
        <f aca="false">IFERROR(VLOOKUP(Table6[[#This Row],[PLAYER]],WR!A:Q,15,FALSE())/17*(17-Table6[[#This Row],[Missed Games]]),0)</f>
        <v>117.011359940432</v>
      </c>
      <c r="AK48" s="96" t="n">
        <f aca="false">AVERAGE(AVERAGE(Table6[[#This Row],[LOW]],Table6[[#This Row],[HIGH]]),Table6[[#This Row],[AVG]],VLOOKUP(Table6[[#This Row],[PLAYER]],ECR!L:N,3,FALSE()))</f>
        <v>112.256664879623</v>
      </c>
      <c r="AL48" s="96" t="n">
        <f aca="false">Table6[[#This Row],[Zscore Projection]]-$AE$1</f>
        <v>-13.4212138654753</v>
      </c>
      <c r="AM48" s="97" t="e">
        <f aca="false">MAX(Table6[[#This Row],[VBD]]*Scoring!$B$48+1,1)</f>
        <v>#VALUE!</v>
      </c>
      <c r="AN48" s="98" t="n">
        <f aca="false">VLOOKUP(Table6[[#This Row],[VBD]],BR:BT,3,FALSE())</f>
        <v>6</v>
      </c>
      <c r="AO48" s="99" t="n">
        <f aca="false">VLOOKUP(INDEX(ECR!$E:$E,MATCH(AD48,ECR!$C:$C,0)),RISK!A:B,2,FALSE())</f>
        <v>3.84810126582278</v>
      </c>
      <c r="AP48" s="100"/>
      <c r="AQ48" s="101" t="s">
        <v>315</v>
      </c>
      <c r="AR48" s="101" t="str">
        <f aca="false">VLOOKUP(AQ48,ECR!E:L,8,FALSE())</f>
        <v>Erick All Jr.</v>
      </c>
      <c r="AS48" s="101" t="str">
        <f aca="false">IFERROR(VLOOKUP(Table7[[#This Row],[PLAYER]],ECR!C:F,2,FALSE()),"-")</f>
        <v>CIN</v>
      </c>
      <c r="AT48" s="101" t="n">
        <f aca="false">IFERROR(VLOOKUP(Table7[[#This Row],[PLAYER]],ECR!C:F,4,FALSE()),"-")</f>
        <v>6</v>
      </c>
      <c r="AU48" s="101" t="str">
        <f aca="false">Table7[[#This Row],[Team]] &amp; "/" &amp; Table7[[#This Row],[Bye]]</f>
        <v>CIN/6</v>
      </c>
      <c r="AV48" s="95" t="n">
        <f aca="false">IFERROR(VLOOKUP(Table7[[#This Row],[PLAYER]],TE!A:K,9,FALSE())/17*(16-Table7[[#This Row],[Missed Games]]),0)</f>
        <v>41.4852941176471</v>
      </c>
      <c r="AW48" s="95" t="n">
        <f aca="false">IFERROR(VLOOKUP(Table7[[#This Row],[PLAYER]],TE!A:K,10,FALSE())/17*(16-Table7[[#This Row],[Missed Games]]),0)</f>
        <v>44.2</v>
      </c>
      <c r="AX48" s="95" t="n">
        <f aca="false">IFERROR(VLOOKUP(Table7[[#This Row],[PLAYER]],TE!A:K,11,FALSE())/17*(16-Table7[[#This Row],[Missed Games]]),0)</f>
        <v>46.9529411764706</v>
      </c>
      <c r="AY48" s="96" t="n">
        <f aca="false">AVERAGE(AVERAGE(Table7[[#This Row],[LOW]],Table7[[#This Row],[HIGH]]),Table7[[#This Row],[AVG]],VLOOKUP(Table7[[#This Row],[PLAYER]],ECR!L:N,3,FALSE()))</f>
        <v>39.4499019607843</v>
      </c>
      <c r="AZ48" s="96" t="n">
        <f aca="false">Table7[[#This Row],[Zscore Projection]]-$AS$1</f>
        <v>-73.1236954803922</v>
      </c>
      <c r="BA48" s="97" t="e">
        <f aca="false">MAX(Table7[[#This Row],[VBD]]*Scoring!$B$48+1,1)</f>
        <v>#VALUE!</v>
      </c>
      <c r="BB48" s="95" t="n">
        <f aca="false">VLOOKUP(Table7[[#This Row],[VBD]],BW:BY,3,FALSE())</f>
        <v>10</v>
      </c>
      <c r="BC48" s="99" t="n">
        <f aca="false">VLOOKUP(INDEX(ECR!$E:$E,MATCH(AR48,ECR!$C:$C,0)),RISK!A:B,2,FALSE())</f>
        <v>3</v>
      </c>
      <c r="BD48" s="95"/>
      <c r="BE48" s="100"/>
      <c r="BF48" s="102" t="n">
        <v>46</v>
      </c>
      <c r="BG48" s="100" t="n">
        <f aca="false">IFERROR(LARGE($G$3:$G$52,BF48),"")</f>
        <v>7.38381176470589</v>
      </c>
      <c r="BH48" s="100" t="n">
        <f aca="false">IFERROR(LARGE($J$3:$J$52,46),"")</f>
        <v>-262.459977552941</v>
      </c>
      <c r="BI48" s="100" t="n">
        <f aca="false">IF(BH48="",BI47,IF((BI47-BH48)&gt;0.2*LARGE($J$3:$J$52,2),BH48,BI47))</f>
        <v>-262.459977552941</v>
      </c>
      <c r="BJ48" s="103" t="n">
        <f aca="false">MIN(IF(BH48="",BJ47,IF((BI47-BH48)&gt;0.2*LARGE($J$3:$J$52,2),BJ47+1,BJ47)),15)</f>
        <v>15</v>
      </c>
      <c r="BK48" s="102" t="n">
        <v>46</v>
      </c>
      <c r="BL48" s="100" t="n">
        <f aca="false">IFERROR(LARGE($U$3:$U$102,BK48),"")</f>
        <v>89.94884</v>
      </c>
      <c r="BM48" s="104" t="n">
        <f aca="false">IFERROR(LARGE($X$3:$X$102,46),"")</f>
        <v>-42.0729625972549</v>
      </c>
      <c r="BN48" s="104" t="n">
        <f aca="false">IF(BM48="",BN47,IF((BN47-BM48)&gt;0.15*LARGE($X$3:$X$102,2),BM48,BN47))</f>
        <v>-29.9702534298039</v>
      </c>
      <c r="BO48" s="103" t="n">
        <f aca="false">IF(BM48="",BO47,IF((BN47-BM48)&gt;0.15*LARGE($X$3:$X$102,2),BO47+1,BO47))</f>
        <v>8</v>
      </c>
      <c r="BP48" s="105" t="n">
        <v>46</v>
      </c>
      <c r="BQ48" s="100" t="n">
        <f aca="false">IFERROR(LARGE($AI$3:$AI$102,BP48),"")</f>
        <v>110.151020104244</v>
      </c>
      <c r="BR48" s="104" t="n">
        <f aca="false">IFERROR(LARGE($AL$3:$AL$102,46),"")</f>
        <v>-15.5964863400347</v>
      </c>
      <c r="BS48" s="104" t="n">
        <f aca="false">IF(BR48="",BS47,IF((BS47-BR48)&gt;0.15*LARGE($AL$3:$AL$102,2),BR48,BS47))</f>
        <v>-15.3829340305286</v>
      </c>
      <c r="BT48" s="103" t="n">
        <f aca="false">IF(BR48="",BT47,IF((BS47-BR48)&gt;0.15*LARGE($AL$3:$AL$102,2),BT47+1,BT47))</f>
        <v>7</v>
      </c>
      <c r="BU48" s="102" t="n">
        <v>46</v>
      </c>
      <c r="BV48" s="100" t="n">
        <f aca="false">IFERROR(LARGE($AW$3:$AW$52,BU48),"")</f>
        <v>29.9305882352941</v>
      </c>
      <c r="BW48" s="104" t="n">
        <f aca="false">IFERROR(LARGE($AZ$3:$AZ$52,46),"")</f>
        <v>-81.3034994019608</v>
      </c>
      <c r="BX48" s="104" t="n">
        <f aca="false">IF(BW48="",BX47,IF((BX47-BW48)&gt;0.2*LARGE($AZ$3:$AZ$52,2),BW48,BX47))</f>
        <v>-73.1236954803922</v>
      </c>
      <c r="BY48" s="106" t="n">
        <f aca="false">IF(BW48="",BY47,IF((BX47-BW48)&gt;0.2*LARGE($AZ$3:$AZ$52,2),BY47+1,BY47))</f>
        <v>10</v>
      </c>
      <c r="BZ48" s="104"/>
      <c r="CA48" s="104"/>
      <c r="CB48" s="104"/>
      <c r="CC48" s="104"/>
      <c r="CD48" s="104"/>
      <c r="CE48" s="104"/>
      <c r="CF48" s="104"/>
      <c r="CG48" s="104"/>
    </row>
    <row r="49" s="107" customFormat="true" ht="14.25" hidden="false" customHeight="true" outlineLevel="0" collapsed="false">
      <c r="A49" s="93" t="s">
        <v>316</v>
      </c>
      <c r="B49" s="93" t="str">
        <f aca="false">VLOOKUP(A49,ECR!E:L,8,FALSE())</f>
        <v>Taylen Green</v>
      </c>
      <c r="C49" s="94" t="str">
        <f aca="false">IFERROR(VLOOKUP(Table2[[#This Row],[PLAYER]],ECR!C:F,2,FALSE()),"-")</f>
        <v>CLE</v>
      </c>
      <c r="D49" s="94" t="n">
        <f aca="false">IFERROR(VLOOKUP(Table2[[#This Row],[PLAYER]],ECR!C:F,4,FALSE()),"-")</f>
        <v>11</v>
      </c>
      <c r="E49" s="94" t="str">
        <f aca="false">Table2[[#This Row],[Team]] &amp; "/" &amp; Table2[[#This Row],[Bye]]</f>
        <v>CLE/11</v>
      </c>
      <c r="F49" s="95" t="n">
        <f aca="false">IFERROR(VLOOKUP(Table2[[#This Row],[PLAYER]],QB!A:Q,15,FALSE())/17*(17-Table2[[#This Row],[Missed Games]]),0)</f>
        <v>0</v>
      </c>
      <c r="G49" s="95" t="n">
        <f aca="false">IFERROR(VLOOKUP(Table2[[#This Row],[PLAYER]],QB!A:Q,16,FALSE())/17*(17-Table2[[#This Row],[Missed Games]]),0)</f>
        <v>0</v>
      </c>
      <c r="H49" s="95" t="n">
        <f aca="false">IFERROR(VLOOKUP(Table2[[#This Row],[PLAYER]],QB!A:Q,17,FALSE())/17*(17-Table2[[#This Row],[Missed Games]]),0)</f>
        <v>0</v>
      </c>
      <c r="I49" s="96" t="n">
        <f aca="false">AVERAGE(AVERAGE(Table2[[#This Row],[LOW]],Table2[[#This Row],[HIGH]]),Table2[[#This Row],[AVG]],VLOOKUP(Table2[[#This Row],[PLAYER]],ECR!L:N,3,FALSE()))</f>
        <v>1.66141176470588</v>
      </c>
      <c r="J49" s="96" t="n">
        <f aca="false">Table2[[#This Row],[Zscore Projection]]-$C$1</f>
        <v>-266.717954023529</v>
      </c>
      <c r="K49" s="97" t="e">
        <f aca="false">MAX(Table2[[#This Row],[VBD]]*Scoring!$B$48+1,1)</f>
        <v>#VALUE!</v>
      </c>
      <c r="L49" s="98" t="n">
        <f aca="false">VLOOKUP(Table2[[#This Row],[VBD]],BH:BJ,3,FALSE())</f>
        <v>15</v>
      </c>
      <c r="M49" s="99" t="n">
        <f aca="false">VLOOKUP(INDEX(ECR!$E:$E,MATCH(B49,ECR!$C:$C,0)),RISK!A:B,2,FALSE())</f>
        <v>3.2</v>
      </c>
      <c r="N49" s="100"/>
      <c r="O49" s="98" t="s">
        <v>317</v>
      </c>
      <c r="P49" s="93" t="str">
        <f aca="false">VLOOKUP(O49,ECR!E:L,8,FALSE())</f>
        <v>Mike Washington Jr.</v>
      </c>
      <c r="Q49" s="94" t="str">
        <f aca="false">IFERROR(VLOOKUP(Table4[[#This Row],[PLAYER]],ECR!C:F,2,FALSE()),"-")</f>
        <v>LV</v>
      </c>
      <c r="R49" s="94" t="n">
        <f aca="false">IFERROR(VLOOKUP(Table4[[#This Row],[PLAYER]],ECR!C:F,4,FALSE()),"-")</f>
        <v>13</v>
      </c>
      <c r="S49" s="94" t="str">
        <f aca="false">Table4[[#This Row],[Team]] &amp; "/" &amp; Table4[[#This Row],[Bye]]</f>
        <v>LV/13</v>
      </c>
      <c r="T49" s="95" t="n">
        <f aca="false">IFERROR(VLOOKUP(Table4[[#This Row],[PLAYER]],RB!A:Q,13,FALSE())/17*(17-Table4[[#This Row],[Missed Games]]),0)</f>
        <v>78.7093173847059</v>
      </c>
      <c r="U49" s="95" t="n">
        <f aca="false">IFERROR(VLOOKUP(Table4[[#This Row],[PLAYER]],RB!A:Q,14,FALSE())/17*(17-Table4[[#This Row],[Missed Games]]),0)</f>
        <v>104.462863855294</v>
      </c>
      <c r="V49" s="95" t="n">
        <f aca="false">IFERROR(VLOOKUP(Table4[[#This Row],[PLAYER]],RB!A:Q,15,FALSE())/17*(17-Table4[[#This Row],[Missed Games]]),0)</f>
        <v>131.184412678824</v>
      </c>
      <c r="W49" s="96" t="n">
        <f aca="false">AVERAGE(AVERAGE(Table4[[#This Row],[LOW]],Table4[[#This Row],[HIGH]]),Table4[[#This Row],[AVG]],VLOOKUP(Table4[[#This Row],[PLAYER]],ECR!L:N,3,FALSE()))</f>
        <v>97.575484962353</v>
      </c>
      <c r="X49" s="96" t="n">
        <f aca="false">Table4[[#This Row],[Zscore Projection]]-$Q$1</f>
        <v>-29.9702534298039</v>
      </c>
      <c r="Y49" s="97" t="e">
        <f aca="false">MAX(Table4[[#This Row],[VBD]]*Scoring!$B$48+1,1)</f>
        <v>#VALUE!</v>
      </c>
      <c r="Z49" s="98" t="n">
        <f aca="false">VLOOKUP(Table4[[#This Row],[VBD]],BM:BO,3,FALSE())</f>
        <v>8</v>
      </c>
      <c r="AA49" s="99" t="n">
        <f aca="false">VLOOKUP(INDEX(ECR!$E:$E,MATCH(P49,ECR!$C:$C,0)),RISK!A:B,2,FALSE())</f>
        <v>3.729</v>
      </c>
      <c r="AB49" s="100"/>
      <c r="AC49" s="94" t="s">
        <v>318</v>
      </c>
      <c r="AD49" s="94" t="str">
        <f aca="false">VLOOKUP(AC49,ECR!E:L,8,FALSE())</f>
        <v>Jakobi Meyers</v>
      </c>
      <c r="AE49" s="94" t="str">
        <f aca="false">IFERROR(VLOOKUP(Table6[[#This Row],[PLAYER]],ECR!C:F,2,FALSE()),"-")</f>
        <v>JAC</v>
      </c>
      <c r="AF49" s="94" t="n">
        <f aca="false">IFERROR(VLOOKUP(Table6[[#This Row],[PLAYER]],ECR!C:F,4,FALSE()),"-")</f>
        <v>7</v>
      </c>
      <c r="AG49" s="94" t="str">
        <f aca="false">Table6[[#This Row],[Team]] &amp; "/" &amp; Table6[[#This Row],[Bye]]</f>
        <v>JAC/7</v>
      </c>
      <c r="AH49" s="95" t="n">
        <f aca="false">IFERROR(VLOOKUP(Table6[[#This Row],[PLAYER]],WR!A:Q,13,FALSE())/17*(17-Table6[[#This Row],[Missed Games]]),0)</f>
        <v>103.977364110201</v>
      </c>
      <c r="AI49" s="95" t="n">
        <f aca="false">IFERROR(VLOOKUP(Table6[[#This Row],[PLAYER]],WR!A:Q,14,FALSE())/17*(17-Table6[[#This Row],[Missed Games]]),0)</f>
        <v>110.151020104244</v>
      </c>
      <c r="AJ49" s="95" t="n">
        <f aca="false">IFERROR(VLOOKUP(Table6[[#This Row],[PLAYER]],WR!A:Q,15,FALSE())/17*(17-Table6[[#This Row],[Missed Games]]),0)</f>
        <v>117.051898734177</v>
      </c>
      <c r="AK49" s="96" t="n">
        <f aca="false">AVERAGE(AVERAGE(Table6[[#This Row],[LOW]],Table6[[#This Row],[HIGH]]),Table6[[#This Row],[AVG]],VLOOKUP(Table6[[#This Row],[PLAYER]],ECR!L:N,3,FALSE()))</f>
        <v>110.081392405063</v>
      </c>
      <c r="AL49" s="96" t="n">
        <f aca="false">Table6[[#This Row],[Zscore Projection]]-$AE$1</f>
        <v>-15.5964863400347</v>
      </c>
      <c r="AM49" s="97" t="e">
        <f aca="false">MAX(Table6[[#This Row],[VBD]]*Scoring!$B$48+1,1)</f>
        <v>#VALUE!</v>
      </c>
      <c r="AN49" s="98" t="n">
        <f aca="false">VLOOKUP(Table6[[#This Row],[VBD]],BR:BT,3,FALSE())</f>
        <v>7</v>
      </c>
      <c r="AO49" s="99" t="n">
        <f aca="false">VLOOKUP(INDEX(ECR!$E:$E,MATCH(AD49,ECR!$C:$C,0)),RISK!A:B,2,FALSE())</f>
        <v>3.84810126582278</v>
      </c>
      <c r="AP49" s="100"/>
      <c r="AQ49" s="101" t="s">
        <v>319</v>
      </c>
      <c r="AR49" s="101" t="str">
        <f aca="false">VLOOKUP(AQ49,ECR!E:L,8,FALSE())</f>
        <v>Cole Kmet</v>
      </c>
      <c r="AS49" s="101" t="str">
        <f aca="false">IFERROR(VLOOKUP(Table7[[#This Row],[PLAYER]],ECR!C:F,2,FALSE()),"-")</f>
        <v>CHI</v>
      </c>
      <c r="AT49" s="101" t="n">
        <f aca="false">IFERROR(VLOOKUP(Table7[[#This Row],[PLAYER]],ECR!C:F,4,FALSE()),"-")</f>
        <v>10</v>
      </c>
      <c r="AU49" s="101" t="str">
        <f aca="false">Table7[[#This Row],[Team]] &amp; "/" &amp; Table7[[#This Row],[Bye]]</f>
        <v>CHI/10</v>
      </c>
      <c r="AV49" s="95" t="n">
        <f aca="false">IFERROR(VLOOKUP(Table7[[#This Row],[PLAYER]],TE!A:K,9,FALSE())/17*(16-Table7[[#This Row],[Missed Games]]),0)</f>
        <v>32.8364705882353</v>
      </c>
      <c r="AW49" s="95" t="n">
        <f aca="false">IFERROR(VLOOKUP(Table7[[#This Row],[PLAYER]],TE!A:K,10,FALSE())/17*(16-Table7[[#This Row],[Missed Games]]),0)</f>
        <v>40.9729411764706</v>
      </c>
      <c r="AX49" s="95" t="n">
        <f aca="false">IFERROR(VLOOKUP(Table7[[#This Row],[PLAYER]],TE!A:K,11,FALSE())/17*(16-Table7[[#This Row],[Missed Games]]),0)</f>
        <v>55.7470588235294</v>
      </c>
      <c r="AY49" s="96" t="n">
        <f aca="false">AVERAGE(AVERAGE(Table7[[#This Row],[LOW]],Table7[[#This Row],[HIGH]]),Table7[[#This Row],[AVG]],VLOOKUP(Table7[[#This Row],[PLAYER]],ECR!L:N,3,FALSE()))</f>
        <v>38.2964705882353</v>
      </c>
      <c r="AZ49" s="96" t="n">
        <f aca="false">Table7[[#This Row],[Zscore Projection]]-$AS$1</f>
        <v>-74.2771268529412</v>
      </c>
      <c r="BA49" s="97" t="e">
        <f aca="false">MAX(Table7[[#This Row],[VBD]]*Scoring!$B$48+1,1)</f>
        <v>#VALUE!</v>
      </c>
      <c r="BB49" s="95" t="n">
        <f aca="false">VLOOKUP(Table7[[#This Row],[VBD]],BW:BY,3,FALSE())</f>
        <v>10</v>
      </c>
      <c r="BC49" s="99" t="n">
        <f aca="false">VLOOKUP(INDEX(ECR!$E:$E,MATCH(AR49,ECR!$C:$C,0)),RISK!A:B,2,FALSE())</f>
        <v>3</v>
      </c>
      <c r="BD49" s="95"/>
      <c r="BE49" s="100"/>
      <c r="BF49" s="102" t="n">
        <v>47</v>
      </c>
      <c r="BG49" s="100" t="n">
        <f aca="false">IFERROR(LARGE($G$3:$G$52,BF49),"")</f>
        <v>4.98423529411765</v>
      </c>
      <c r="BH49" s="100" t="n">
        <f aca="false">IFERROR(LARGE($J$3:$J$52,47),"")</f>
        <v>-262.530871670588</v>
      </c>
      <c r="BI49" s="100" t="n">
        <f aca="false">IF(BH49="",BI48,IF((BI48-BH49)&gt;0.2*LARGE($J$3:$J$52,2),BH49,BI48))</f>
        <v>-262.459977552941</v>
      </c>
      <c r="BJ49" s="103" t="n">
        <f aca="false">MIN(IF(BH49="",BJ48,IF((BI48-BH49)&gt;0.2*LARGE($J$3:$J$52,2),BJ48+1,BJ48)),15)</f>
        <v>15</v>
      </c>
      <c r="BK49" s="102" t="n">
        <v>47</v>
      </c>
      <c r="BL49" s="100" t="n">
        <f aca="false">IFERROR(LARGE($U$3:$U$102,BK49),"")</f>
        <v>83.316726</v>
      </c>
      <c r="BM49" s="104" t="n">
        <f aca="false">IFERROR(LARGE($X$3:$X$102,47),"")</f>
        <v>-42.752413372549</v>
      </c>
      <c r="BN49" s="104" t="n">
        <f aca="false">IF(BM49="",BN48,IF((BN48-BM49)&gt;0.15*LARGE($X$3:$X$102,2),BM49,BN48))</f>
        <v>-29.9702534298039</v>
      </c>
      <c r="BO49" s="103" t="n">
        <f aca="false">IF(BM49="",BO48,IF((BN48-BM49)&gt;0.15*LARGE($X$3:$X$102,2),BO48+1,BO48))</f>
        <v>8</v>
      </c>
      <c r="BP49" s="105" t="n">
        <v>47</v>
      </c>
      <c r="BQ49" s="100" t="n">
        <f aca="false">IFERROR(LARGE($AI$3:$AI$102,BP49),"")</f>
        <v>109.578525688757</v>
      </c>
      <c r="BR49" s="104" t="n">
        <f aca="false">IFERROR(LARGE($AL$3:$AL$102,47),"")</f>
        <v>-16.3778638530653</v>
      </c>
      <c r="BS49" s="104" t="n">
        <f aca="false">IF(BR49="",BS48,IF((BS48-BR49)&gt;0.15*LARGE($AL$3:$AL$102,2),BR49,BS48))</f>
        <v>-15.3829340305286</v>
      </c>
      <c r="BT49" s="103" t="n">
        <f aca="false">IF(BR49="",BT48,IF((BS48-BR49)&gt;0.15*LARGE($AL$3:$AL$102,2),BT48+1,BT48))</f>
        <v>7</v>
      </c>
      <c r="BU49" s="102" t="n">
        <v>47</v>
      </c>
      <c r="BV49" s="100" t="n">
        <f aca="false">IFERROR(LARGE($AW$3:$AW$52,BU49),"")</f>
        <v>29.6247058823529</v>
      </c>
      <c r="BW49" s="104" t="n">
        <f aca="false">IFERROR(LARGE($AZ$3:$AZ$52,47),"")</f>
        <v>-81.4870288137255</v>
      </c>
      <c r="BX49" s="104" t="n">
        <f aca="false">IF(BW49="",BX48,IF((BX48-BW49)&gt;0.2*LARGE($AZ$3:$AZ$52,2),BW49,BX48))</f>
        <v>-73.1236954803922</v>
      </c>
      <c r="BY49" s="106" t="n">
        <f aca="false">IF(BW49="",BY48,IF((BX48-BW49)&gt;0.2*LARGE($AZ$3:$AZ$52,2),BY48+1,BY48))</f>
        <v>10</v>
      </c>
      <c r="BZ49" s="104"/>
      <c r="CA49" s="104"/>
      <c r="CB49" s="104"/>
      <c r="CC49" s="104"/>
      <c r="CD49" s="104"/>
      <c r="CE49" s="104"/>
      <c r="CF49" s="104"/>
      <c r="CG49" s="104"/>
    </row>
    <row r="50" s="107" customFormat="true" ht="14.25" hidden="false" customHeight="true" outlineLevel="0" collapsed="false">
      <c r="A50" s="93" t="s">
        <v>320</v>
      </c>
      <c r="B50" s="93" t="str">
        <f aca="false">VLOOKUP(A50,ECR!E:L,8,FALSE())</f>
        <v>Tyrod Taylor</v>
      </c>
      <c r="C50" s="94" t="str">
        <f aca="false">IFERROR(VLOOKUP(Table2[[#This Row],[PLAYER]],ECR!C:F,2,FALSE()),"-")</f>
        <v>GB</v>
      </c>
      <c r="D50" s="94" t="n">
        <f aca="false">IFERROR(VLOOKUP(Table2[[#This Row],[PLAYER]],ECR!C:F,4,FALSE()),"-")</f>
        <v>11</v>
      </c>
      <c r="E50" s="94" t="str">
        <f aca="false">Table2[[#This Row],[Team]] &amp; "/" &amp; Table2[[#This Row],[Bye]]</f>
        <v>GB/11</v>
      </c>
      <c r="F50" s="95" t="n">
        <f aca="false">IFERROR(VLOOKUP(Table2[[#This Row],[PLAYER]],QB!A:Q,15,FALSE())/17*(17-Table2[[#This Row],[Missed Games]]),0)</f>
        <v>7.68254117647059</v>
      </c>
      <c r="G50" s="95" t="n">
        <f aca="false">IFERROR(VLOOKUP(Table2[[#This Row],[PLAYER]],QB!A:Q,16,FALSE())/17*(17-Table2[[#This Row],[Missed Games]]),0)</f>
        <v>8.54950588235294</v>
      </c>
      <c r="H50" s="95" t="n">
        <f aca="false">IFERROR(VLOOKUP(Table2[[#This Row],[PLAYER]],QB!A:Q,17,FALSE())/17*(17-Table2[[#This Row],[Missed Games]]),0)</f>
        <v>10.3094117647059</v>
      </c>
      <c r="I50" s="96" t="n">
        <f aca="false">AVERAGE(AVERAGE(Table2[[#This Row],[LOW]],Table2[[#This Row],[HIGH]]),Table2[[#This Row],[AVG]],VLOOKUP(Table2[[#This Row],[PLAYER]],ECR!L:N,3,FALSE()))</f>
        <v>5.84849411764706</v>
      </c>
      <c r="J50" s="96" t="n">
        <f aca="false">Table2[[#This Row],[Zscore Projection]]-$C$1</f>
        <v>-262.530871670588</v>
      </c>
      <c r="K50" s="97" t="e">
        <f aca="false">MAX(Table2[[#This Row],[VBD]]*Scoring!$B$48+1,1)</f>
        <v>#VALUE!</v>
      </c>
      <c r="L50" s="98" t="n">
        <f aca="false">VLOOKUP(Table2[[#This Row],[VBD]],BH:BJ,3,FALSE())</f>
        <v>15</v>
      </c>
      <c r="M50" s="99" t="n">
        <f aca="false">VLOOKUP(INDEX(ECR!$E:$E,MATCH(B50,ECR!$C:$C,0)),RISK!A:B,2,FALSE())</f>
        <v>3.2</v>
      </c>
      <c r="N50" s="100"/>
      <c r="O50" s="98" t="s">
        <v>321</v>
      </c>
      <c r="P50" s="93" t="str">
        <f aca="false">VLOOKUP(O50,ECR!E:L,8,FALSE())</f>
        <v>Keaton Mitchell</v>
      </c>
      <c r="Q50" s="94" t="str">
        <f aca="false">IFERROR(VLOOKUP(Table4[[#This Row],[PLAYER]],ECR!C:F,2,FALSE()),"-")</f>
        <v>LAC</v>
      </c>
      <c r="R50" s="94" t="n">
        <f aca="false">IFERROR(VLOOKUP(Table4[[#This Row],[PLAYER]],ECR!C:F,4,FALSE()),"-")</f>
        <v>7</v>
      </c>
      <c r="S50" s="94" t="str">
        <f aca="false">Table4[[#This Row],[Team]] &amp; "/" &amp; Table4[[#This Row],[Bye]]</f>
        <v>LAC/7</v>
      </c>
      <c r="T50" s="95" t="n">
        <f aca="false">IFERROR(VLOOKUP(Table4[[#This Row],[PLAYER]],RB!A:Q,13,FALSE())/17*(17-Table4[[#This Row],[Missed Games]]),0)</f>
        <v>48.1728065882353</v>
      </c>
      <c r="U50" s="95" t="n">
        <f aca="false">IFERROR(VLOOKUP(Table4[[#This Row],[PLAYER]],RB!A:Q,14,FALSE())/17*(17-Table4[[#This Row],[Missed Games]]),0)</f>
        <v>59.6950950588235</v>
      </c>
      <c r="V50" s="95" t="n">
        <f aca="false">IFERROR(VLOOKUP(Table4[[#This Row],[PLAYER]],RB!A:Q,15,FALSE())/17*(17-Table4[[#This Row],[Missed Games]]),0)</f>
        <v>71.0541122352941</v>
      </c>
      <c r="W50" s="96" t="n">
        <f aca="false">AVERAGE(AVERAGE(Table4[[#This Row],[LOW]],Table4[[#This Row],[HIGH]]),Table4[[#This Row],[AVG]],VLOOKUP(Table4[[#This Row],[PLAYER]],ECR!L:N,3,FALSE()))</f>
        <v>65.5656918333333</v>
      </c>
      <c r="X50" s="96" t="n">
        <f aca="false">Table4[[#This Row],[Zscore Projection]]-$Q$1</f>
        <v>-61.9800465588235</v>
      </c>
      <c r="Y50" s="97" t="e">
        <f aca="false">MAX(Table4[[#This Row],[VBD]]*Scoring!$B$48+1,1)</f>
        <v>#VALUE!</v>
      </c>
      <c r="Z50" s="98" t="n">
        <f aca="false">VLOOKUP(Table4[[#This Row],[VBD]],BM:BO,3,FALSE())</f>
        <v>9</v>
      </c>
      <c r="AA50" s="99" t="n">
        <f aca="false">VLOOKUP(INDEX(ECR!$E:$E,MATCH(P50,ECR!$C:$C,0)),RISK!A:B,2,FALSE())</f>
        <v>3.7828</v>
      </c>
      <c r="AB50" s="100"/>
      <c r="AC50" s="94" t="s">
        <v>322</v>
      </c>
      <c r="AD50" s="94" t="str">
        <f aca="false">VLOOKUP(AC50,ECR!E:L,8,FALSE())</f>
        <v>KC Concepcion</v>
      </c>
      <c r="AE50" s="94" t="str">
        <f aca="false">IFERROR(VLOOKUP(Table6[[#This Row],[PLAYER]],ECR!C:F,2,FALSE()),"-")</f>
        <v>CLE</v>
      </c>
      <c r="AF50" s="94" t="n">
        <f aca="false">IFERROR(VLOOKUP(Table6[[#This Row],[PLAYER]],ECR!C:F,4,FALSE()),"-")</f>
        <v>11</v>
      </c>
      <c r="AG50" s="94" t="str">
        <f aca="false">Table6[[#This Row],[Team]] &amp; "/" &amp; Table6[[#This Row],[Bye]]</f>
        <v>CLE/11</v>
      </c>
      <c r="AH50" s="95" t="n">
        <f aca="false">IFERROR(VLOOKUP(Table6[[#This Row],[PLAYER]],WR!A:Q,13,FALSE())/17*(17-Table6[[#This Row],[Missed Games]]),0)</f>
        <v>107.257602382725</v>
      </c>
      <c r="AI50" s="95" t="n">
        <f aca="false">IFERROR(VLOOKUP(Table6[[#This Row],[PLAYER]],WR!A:Q,14,FALSE())/17*(17-Table6[[#This Row],[Missed Games]]),0)</f>
        <v>118.274251675354</v>
      </c>
      <c r="AJ50" s="95" t="n">
        <f aca="false">IFERROR(VLOOKUP(Table6[[#This Row],[PLAYER]],WR!A:Q,15,FALSE())/17*(17-Table6[[#This Row],[Missed Games]]),0)</f>
        <v>128.710670141474</v>
      </c>
      <c r="AK50" s="96" t="n">
        <f aca="false">AVERAGE(AVERAGE(Table6[[#This Row],[LOW]],Table6[[#This Row],[HIGH]]),Table6[[#This Row],[AVG]],VLOOKUP(Table6[[#This Row],[PLAYER]],ECR!L:N,3,FALSE()))</f>
        <v>114.703897989576</v>
      </c>
      <c r="AL50" s="96" t="n">
        <f aca="false">Table6[[#This Row],[Zscore Projection]]-$AE$1</f>
        <v>-10.9739807555224</v>
      </c>
      <c r="AM50" s="97" t="e">
        <f aca="false">MAX(Table6[[#This Row],[VBD]]*Scoring!$B$48+1,1)</f>
        <v>#VALUE!</v>
      </c>
      <c r="AN50" s="98" t="n">
        <f aca="false">VLOOKUP(Table6[[#This Row],[VBD]],BR:BT,3,FALSE())</f>
        <v>6</v>
      </c>
      <c r="AO50" s="99" t="n">
        <f aca="false">VLOOKUP(INDEX(ECR!$E:$E,MATCH(AD50,ECR!$C:$C,0)),RISK!A:B,2,FALSE())</f>
        <v>3.84810126582278</v>
      </c>
      <c r="AP50" s="100"/>
      <c r="AQ50" s="101" t="s">
        <v>323</v>
      </c>
      <c r="AR50" s="101" t="str">
        <f aca="false">VLOOKUP(AQ50,ECR!E:L,8,FALSE())</f>
        <v>Tyler Higbee</v>
      </c>
      <c r="AS50" s="101" t="str">
        <f aca="false">IFERROR(VLOOKUP(Table7[[#This Row],[PLAYER]],ECR!C:F,2,FALSE()),"-")</f>
        <v>LAR</v>
      </c>
      <c r="AT50" s="101" t="n">
        <f aca="false">IFERROR(VLOOKUP(Table7[[#This Row],[PLAYER]],ECR!C:F,4,FALSE()),"-")</f>
        <v>11</v>
      </c>
      <c r="AU50" s="101" t="str">
        <f aca="false">Table7[[#This Row],[Team]] &amp; "/" &amp; Table7[[#This Row],[Bye]]</f>
        <v>LAR/11</v>
      </c>
      <c r="AV50" s="95" t="n">
        <f aca="false">IFERROR(VLOOKUP(Table7[[#This Row],[PLAYER]],TE!A:K,9,FALSE())/17*(16-Table7[[#This Row],[Missed Games]]),0)</f>
        <v>23.4382352941176</v>
      </c>
      <c r="AW50" s="95" t="n">
        <f aca="false">IFERROR(VLOOKUP(Table7[[#This Row],[PLAYER]],TE!A:K,10,FALSE())/17*(16-Table7[[#This Row],[Missed Games]]),0)</f>
        <v>43.2976470588235</v>
      </c>
      <c r="AX50" s="95" t="n">
        <f aca="false">IFERROR(VLOOKUP(Table7[[#This Row],[PLAYER]],TE!A:K,11,FALSE())/17*(16-Table7[[#This Row],[Missed Games]]),0)</f>
        <v>71.8823529411765</v>
      </c>
      <c r="AY50" s="96" t="n">
        <f aca="false">AVERAGE(AVERAGE(Table7[[#This Row],[LOW]],Table7[[#This Row],[HIGH]]),Table7[[#This Row],[AVG]],VLOOKUP(Table7[[#This Row],[PLAYER]],ECR!L:N,3,FALSE()))</f>
        <v>37.9000980392157</v>
      </c>
      <c r="AZ50" s="96" t="n">
        <f aca="false">Table7[[#This Row],[Zscore Projection]]-$AS$1</f>
        <v>-74.6734994019608</v>
      </c>
      <c r="BA50" s="97" t="e">
        <f aca="false">MAX(Table7[[#This Row],[VBD]]*Scoring!$B$48+1,1)</f>
        <v>#VALUE!</v>
      </c>
      <c r="BB50" s="95" t="n">
        <f aca="false">VLOOKUP(Table7[[#This Row],[VBD]],BW:BY,3,FALSE())</f>
        <v>10</v>
      </c>
      <c r="BC50" s="99" t="n">
        <f aca="false">VLOOKUP(INDEX(ECR!$E:$E,MATCH(AR50,ECR!$C:$C,0)),RISK!A:B,2,FALSE())</f>
        <v>3</v>
      </c>
      <c r="BD50" s="95"/>
      <c r="BE50" s="100"/>
      <c r="BF50" s="102" t="n">
        <v>48</v>
      </c>
      <c r="BG50" s="100" t="n">
        <f aca="false">IFERROR(LARGE($G$3:$G$52,BF50),"")</f>
        <v>0</v>
      </c>
      <c r="BH50" s="100" t="n">
        <f aca="false">IFERROR(LARGE($J$3:$J$52,48),"")</f>
        <v>-266.717954023529</v>
      </c>
      <c r="BI50" s="100" t="n">
        <f aca="false">IF(BH50="",BI49,IF((BI49-BH50)&gt;0.2*LARGE($J$3:$J$52,2),BH50,BI49))</f>
        <v>-266.717954023529</v>
      </c>
      <c r="BJ50" s="103" t="n">
        <f aca="false">MIN(IF(BH50="",BJ49,IF((BI49-BH50)&gt;0.2*LARGE($J$3:$J$52,2),BJ49+1,BJ49)),15)</f>
        <v>15</v>
      </c>
      <c r="BK50" s="102" t="n">
        <v>48</v>
      </c>
      <c r="BL50" s="100" t="n">
        <f aca="false">IFERROR(LARGE($U$3:$U$102,BK50),"")</f>
        <v>77.3885210294118</v>
      </c>
      <c r="BM50" s="104" t="n">
        <f aca="false">IFERROR(LARGE($X$3:$X$102,48),"")</f>
        <v>-45.9101909215686</v>
      </c>
      <c r="BN50" s="104" t="n">
        <f aca="false">IF(BM50="",BN49,IF((BN49-BM50)&gt;0.15*LARGE($X$3:$X$102,2),BM50,BN49))</f>
        <v>-29.9702534298039</v>
      </c>
      <c r="BO50" s="103" t="n">
        <f aca="false">IF(BM50="",BO49,IF((BN49-BM50)&gt;0.15*LARGE($X$3:$X$102,2),BO49+1,BO49))</f>
        <v>8</v>
      </c>
      <c r="BP50" s="105" t="n">
        <v>48</v>
      </c>
      <c r="BQ50" s="100" t="n">
        <f aca="false">IFERROR(LARGE($AI$3:$AI$102,BP50),"")</f>
        <v>107.853306031273</v>
      </c>
      <c r="BR50" s="104" t="n">
        <f aca="false">IFERROR(LARGE($AL$3:$AL$102,48),"")</f>
        <v>-18.0310317359146</v>
      </c>
      <c r="BS50" s="104" t="n">
        <f aca="false">IF(BR50="",BS49,IF((BS49-BR50)&gt;0.15*LARGE($AL$3:$AL$102,2),BR50,BS49))</f>
        <v>-15.3829340305286</v>
      </c>
      <c r="BT50" s="103" t="n">
        <f aca="false">IF(BR50="",BT49,IF((BS49-BR50)&gt;0.15*LARGE($AL$3:$AL$102,2),BT49+1,BT49))</f>
        <v>7</v>
      </c>
      <c r="BU50" s="102" t="n">
        <v>48</v>
      </c>
      <c r="BV50" s="100" t="n">
        <f aca="false">IFERROR(LARGE($AW$3:$AW$52,BU50),"")</f>
        <v>22.7423529411765</v>
      </c>
      <c r="BW50" s="104" t="n">
        <f aca="false">IFERROR(LARGE($AZ$3:$AZ$52,48),"")</f>
        <v>-87.6008523431373</v>
      </c>
      <c r="BX50" s="104" t="n">
        <f aca="false">IF(BW50="",BX49,IF((BX49-BW50)&gt;0.2*LARGE($AZ$3:$AZ$52,2),BW50,BX49))</f>
        <v>-87.6008523431373</v>
      </c>
      <c r="BY50" s="106" t="n">
        <f aca="false">IF(BW50="",BY49,IF((BX49-BW50)&gt;0.2*LARGE($AZ$3:$AZ$52,2),BY49+1,BY49))</f>
        <v>11</v>
      </c>
      <c r="BZ50" s="104"/>
      <c r="CA50" s="104"/>
      <c r="CB50" s="104"/>
      <c r="CC50" s="104"/>
      <c r="CD50" s="104"/>
      <c r="CE50" s="104"/>
      <c r="CF50" s="104"/>
      <c r="CG50" s="104"/>
    </row>
    <row r="51" s="107" customFormat="true" ht="14.25" hidden="false" customHeight="true" outlineLevel="0" collapsed="false">
      <c r="A51" s="93"/>
      <c r="B51" s="93"/>
      <c r="C51" s="94"/>
      <c r="D51" s="94"/>
      <c r="E51" s="94"/>
      <c r="F51" s="95"/>
      <c r="G51" s="95"/>
      <c r="H51" s="95"/>
      <c r="I51" s="96"/>
      <c r="J51" s="96"/>
      <c r="K51" s="97"/>
      <c r="L51" s="98"/>
      <c r="M51" s="99"/>
      <c r="N51" s="100"/>
      <c r="O51" s="98" t="s">
        <v>324</v>
      </c>
      <c r="P51" s="93" t="str">
        <f aca="false">VLOOKUP(O51,ECR!E:L,8,FALSE())</f>
        <v>Zach Charbonnet</v>
      </c>
      <c r="Q51" s="94" t="str">
        <f aca="false">IFERROR(VLOOKUP(Table4[[#This Row],[PLAYER]],ECR!C:F,2,FALSE()),"-")</f>
        <v>SEA</v>
      </c>
      <c r="R51" s="94" t="n">
        <f aca="false">IFERROR(VLOOKUP(Table4[[#This Row],[PLAYER]],ECR!C:F,4,FALSE()),"-")</f>
        <v>11</v>
      </c>
      <c r="S51" s="94" t="str">
        <f aca="false">Table4[[#This Row],[Team]] &amp; "/" &amp; Table4[[#This Row],[Bye]]</f>
        <v>SEA/11</v>
      </c>
      <c r="T51" s="95" t="n">
        <f aca="false">IFERROR(VLOOKUP(Table4[[#This Row],[PLAYER]],RB!A:Q,13,FALSE())/17*(17-Table4[[#This Row],[Missed Games]]),0)</f>
        <v>63.3334094117647</v>
      </c>
      <c r="U51" s="95" t="n">
        <f aca="false">IFERROR(VLOOKUP(Table4[[#This Row],[PLAYER]],RB!A:Q,14,FALSE())/17*(17-Table4[[#This Row],[Missed Games]]),0)</f>
        <v>83.316726</v>
      </c>
      <c r="V51" s="95" t="n">
        <f aca="false">IFERROR(VLOOKUP(Table4[[#This Row],[PLAYER]],RB!A:Q,15,FALSE())/17*(17-Table4[[#This Row],[Missed Games]]),0)</f>
        <v>98.3138915294118</v>
      </c>
      <c r="W51" s="96" t="n">
        <f aca="false">AVERAGE(AVERAGE(Table4[[#This Row],[LOW]],Table4[[#This Row],[HIGH]]),Table4[[#This Row],[AVG]],VLOOKUP(Table4[[#This Row],[PLAYER]],ECR!L:N,3,FALSE()))</f>
        <v>79.8213019607843</v>
      </c>
      <c r="X51" s="96" t="n">
        <f aca="false">Table4[[#This Row],[Zscore Projection]]-$Q$1</f>
        <v>-47.7244364313726</v>
      </c>
      <c r="Y51" s="97" t="e">
        <f aca="false">MAX(Table4[[#This Row],[VBD]]*Scoring!$B$48+1,1)</f>
        <v>#VALUE!</v>
      </c>
      <c r="Z51" s="98" t="n">
        <f aca="false">VLOOKUP(Table4[[#This Row],[VBD]],BM:BO,3,FALSE())</f>
        <v>8</v>
      </c>
      <c r="AA51" s="99" t="n">
        <f aca="false">VLOOKUP(INDEX(ECR!$E:$E,MATCH(P51,ECR!$C:$C,0)),RISK!A:B,2,FALSE())</f>
        <v>3.8378</v>
      </c>
      <c r="AB51" s="100"/>
      <c r="AC51" s="94" t="s">
        <v>325</v>
      </c>
      <c r="AD51" s="94" t="str">
        <f aca="false">VLOOKUP(AC51,ECR!E:L,8,FALSE())</f>
        <v>De'Zhaun Stribling</v>
      </c>
      <c r="AE51" s="94" t="str">
        <f aca="false">IFERROR(VLOOKUP(Table6[[#This Row],[PLAYER]],ECR!C:F,2,FALSE()),"-")</f>
        <v>SF</v>
      </c>
      <c r="AF51" s="94" t="n">
        <f aca="false">IFERROR(VLOOKUP(Table6[[#This Row],[PLAYER]],ECR!C:F,4,FALSE()),"-")</f>
        <v>8</v>
      </c>
      <c r="AG51" s="94" t="str">
        <f aca="false">Table6[[#This Row],[Team]] &amp; "/" &amp; Table6[[#This Row],[Bye]]</f>
        <v>SF/8</v>
      </c>
      <c r="AH51" s="95" t="n">
        <f aca="false">IFERROR(VLOOKUP(Table6[[#This Row],[PLAYER]],WR!A:Q,13,FALSE())/17*(17-Table6[[#This Row],[Missed Games]]),0)</f>
        <v>115.39816351452</v>
      </c>
      <c r="AI51" s="95" t="n">
        <f aca="false">IFERROR(VLOOKUP(Table6[[#This Row],[PLAYER]],WR!A:Q,14,FALSE())/17*(17-Table6[[#This Row],[Missed Games]]),0)</f>
        <v>121.293308711839</v>
      </c>
      <c r="AJ51" s="95" t="n">
        <f aca="false">IFERROR(VLOOKUP(Table6[[#This Row],[PLAYER]],WR!A:Q,15,FALSE())/17*(17-Table6[[#This Row],[Missed Games]]),0)</f>
        <v>127.389600595681</v>
      </c>
      <c r="AK51" s="96" t="n">
        <f aca="false">AVERAGE(AVERAGE(Table6[[#This Row],[LOW]],Table6[[#This Row],[HIGH]]),Table6[[#This Row],[AVG]],VLOOKUP(Table6[[#This Row],[PLAYER]],ECR!L:N,3,FALSE()))</f>
        <v>116.818465425664</v>
      </c>
      <c r="AL51" s="96" t="n">
        <f aca="false">Table6[[#This Row],[Zscore Projection]]-$AE$1</f>
        <v>-8.85941331943405</v>
      </c>
      <c r="AM51" s="97" t="e">
        <f aca="false">MAX(Table6[[#This Row],[VBD]]*Scoring!$B$48+1,1)</f>
        <v>#VALUE!</v>
      </c>
      <c r="AN51" s="98" t="n">
        <f aca="false">VLOOKUP(Table6[[#This Row],[VBD]],BR:BT,3,FALSE())</f>
        <v>6</v>
      </c>
      <c r="AO51" s="99" t="n">
        <f aca="false">VLOOKUP(INDEX(ECR!$E:$E,MATCH(AD51,ECR!$C:$C,0)),RISK!A:B,2,FALSE())</f>
        <v>3.84810126582278</v>
      </c>
      <c r="AP51" s="100"/>
      <c r="AQ51" s="101" t="s">
        <v>326</v>
      </c>
      <c r="AR51" s="101" t="str">
        <f aca="false">VLOOKUP(AQ51,ECR!E:L,8,FALSE())</f>
        <v>Noah Gray</v>
      </c>
      <c r="AS51" s="101" t="str">
        <f aca="false">IFERROR(VLOOKUP(Table7[[#This Row],[PLAYER]],ECR!C:F,2,FALSE()),"-")</f>
        <v>KC</v>
      </c>
      <c r="AT51" s="101" t="n">
        <f aca="false">IFERROR(VLOOKUP(Table7[[#This Row],[PLAYER]],ECR!C:F,4,FALSE()),"-")</f>
        <v>5</v>
      </c>
      <c r="AU51" s="101" t="str">
        <f aca="false">Table7[[#This Row],[Team]] &amp; "/" &amp; Table7[[#This Row],[Bye]]</f>
        <v>KC/5</v>
      </c>
      <c r="AV51" s="95" t="n">
        <f aca="false">IFERROR(VLOOKUP(Table7[[#This Row],[PLAYER]],TE!A:K,9,FALSE())/17*(16-Table7[[#This Row],[Missed Games]]),0)</f>
        <v>20.7235294117647</v>
      </c>
      <c r="AW51" s="95" t="n">
        <f aca="false">IFERROR(VLOOKUP(Table7[[#This Row],[PLAYER]],TE!A:K,10,FALSE())/17*(16-Table7[[#This Row],[Missed Games]]),0)</f>
        <v>30.9247058823529</v>
      </c>
      <c r="AX51" s="95" t="n">
        <f aca="false">IFERROR(VLOOKUP(Table7[[#This Row],[PLAYER]],TE!A:K,11,FALSE())/17*(16-Table7[[#This Row],[Missed Games]]),0)</f>
        <v>39.1988235294118</v>
      </c>
      <c r="AY51" s="96" t="n">
        <f aca="false">AVERAGE(AVERAGE(Table7[[#This Row],[LOW]],Table7[[#This Row],[HIGH]]),Table7[[#This Row],[AVG]],VLOOKUP(Table7[[#This Row],[PLAYER]],ECR!L:N,3,FALSE()))</f>
        <v>24.9727450980392</v>
      </c>
      <c r="AZ51" s="96" t="n">
        <f aca="false">Table7[[#This Row],[Zscore Projection]]-$AS$1</f>
        <v>-87.6008523431373</v>
      </c>
      <c r="BA51" s="97" t="e">
        <f aca="false">MAX(Table7[[#This Row],[VBD]]*Scoring!$B$48+1,1)</f>
        <v>#VALUE!</v>
      </c>
      <c r="BB51" s="95" t="n">
        <f aca="false">VLOOKUP(Table7[[#This Row],[VBD]],BW:BY,3,FALSE())</f>
        <v>11</v>
      </c>
      <c r="BC51" s="99" t="n">
        <f aca="false">VLOOKUP(INDEX(ECR!$E:$E,MATCH(AR51,ECR!$C:$C,0)),RISK!A:B,2,FALSE())</f>
        <v>3</v>
      </c>
      <c r="BD51" s="95"/>
      <c r="BE51" s="100"/>
      <c r="BF51" s="102" t="n">
        <v>49</v>
      </c>
      <c r="BG51" s="100" t="str">
        <f aca="false">IFERROR(LARGE($G$3:$G$52,BF51),"")</f>
        <v/>
      </c>
      <c r="BH51" s="100" t="str">
        <f aca="false">IFERROR(LARGE($J$3:$J$52,49),"")</f>
        <v/>
      </c>
      <c r="BI51" s="100" t="n">
        <f aca="false">IF(BH51="",BI50,IF((BI50-BH51)&gt;0.2*LARGE($J$3:$J$52,2),BH51,BI50))</f>
        <v>-266.717954023529</v>
      </c>
      <c r="BJ51" s="103" t="n">
        <f aca="false">MIN(IF(BH51="",BJ50,IF((BI50-BH51)&gt;0.2*LARGE($J$3:$J$52,2),BJ50+1,BJ50)),15)</f>
        <v>15</v>
      </c>
      <c r="BK51" s="102" t="n">
        <v>49</v>
      </c>
      <c r="BL51" s="100" t="n">
        <f aca="false">IFERROR(LARGE($U$3:$U$102,BK51),"")</f>
        <v>75.3235294117647</v>
      </c>
      <c r="BM51" s="104" t="n">
        <f aca="false">IFERROR(LARGE($X$3:$X$102,49),"")</f>
        <v>-47.7244364313726</v>
      </c>
      <c r="BN51" s="104" t="n">
        <f aca="false">IF(BM51="",BN50,IF((BN50-BM51)&gt;0.15*LARGE($X$3:$X$102,2),BM51,BN50))</f>
        <v>-29.9702534298039</v>
      </c>
      <c r="BO51" s="103" t="n">
        <f aca="false">IF(BM51="",BO50,IF((BN50-BM51)&gt;0.15*LARGE($X$3:$X$102,2),BO50+1,BO50))</f>
        <v>8</v>
      </c>
      <c r="BP51" s="105" t="n">
        <v>49</v>
      </c>
      <c r="BQ51" s="100" t="n">
        <f aca="false">IFERROR(LARGE($AI$3:$AI$102,BP51),"")</f>
        <v>107.768205510052</v>
      </c>
      <c r="BR51" s="104" t="n">
        <f aca="false">IFERROR(LARGE($AL$3:$AL$102,49),"")</f>
        <v>-18.516414163316</v>
      </c>
      <c r="BS51" s="104" t="n">
        <f aca="false">IF(BR51="",BS50,IF((BS50-BR51)&gt;0.15*LARGE($AL$3:$AL$102,2),BR51,BS50))</f>
        <v>-15.3829340305286</v>
      </c>
      <c r="BT51" s="103" t="n">
        <f aca="false">IF(BR51="",BT50,IF((BS50-BR51)&gt;0.15*LARGE($AL$3:$AL$102,2),BT50+1,BT50))</f>
        <v>7</v>
      </c>
      <c r="BU51" s="102" t="n">
        <v>49</v>
      </c>
      <c r="BV51" s="100" t="n">
        <f aca="false">IFERROR(LARGE($AW$3:$AW$52,BU51),"")</f>
        <v>14.0323529411765</v>
      </c>
      <c r="BW51" s="104" t="n">
        <f aca="false">IFERROR(LARGE($AZ$3:$AZ$52,49),"")</f>
        <v>-89.5100680294118</v>
      </c>
      <c r="BX51" s="104" t="n">
        <f aca="false">IF(BW51="",BX50,IF((BX50-BW51)&gt;0.2*LARGE($AZ$3:$AZ$52,2),BW51,BX50))</f>
        <v>-87.6008523431373</v>
      </c>
      <c r="BY51" s="106" t="n">
        <f aca="false">IF(BW51="",BY50,IF((BX50-BW51)&gt;0.2*LARGE($AZ$3:$AZ$52,2),BY50+1,BY50))</f>
        <v>11</v>
      </c>
      <c r="BZ51" s="104"/>
      <c r="CA51" s="104"/>
      <c r="CB51" s="104"/>
      <c r="CC51" s="104"/>
      <c r="CD51" s="104"/>
      <c r="CE51" s="104"/>
      <c r="CF51" s="104"/>
      <c r="CG51" s="104"/>
    </row>
    <row r="52" s="107" customFormat="true" ht="14.25" hidden="false" customHeight="true" outlineLevel="0" collapsed="false">
      <c r="A52" s="93"/>
      <c r="B52" s="93"/>
      <c r="C52" s="94"/>
      <c r="D52" s="94"/>
      <c r="E52" s="94"/>
      <c r="F52" s="95"/>
      <c r="G52" s="95"/>
      <c r="H52" s="95"/>
      <c r="I52" s="96"/>
      <c r="J52" s="96"/>
      <c r="K52" s="97"/>
      <c r="L52" s="98"/>
      <c r="M52" s="99"/>
      <c r="N52" s="100"/>
      <c r="O52" s="98" t="s">
        <v>327</v>
      </c>
      <c r="P52" s="93" t="str">
        <f aca="false">VLOOKUP(O52,ECR!E:L,8,FALSE())</f>
        <v>Tank Bigsby</v>
      </c>
      <c r="Q52" s="94" t="str">
        <f aca="false">IFERROR(VLOOKUP(Table4[[#This Row],[PLAYER]],ECR!C:F,2,FALSE()),"-")</f>
        <v>PHI</v>
      </c>
      <c r="R52" s="94" t="n">
        <f aca="false">IFERROR(VLOOKUP(Table4[[#This Row],[PLAYER]],ECR!C:F,4,FALSE()),"-")</f>
        <v>10</v>
      </c>
      <c r="S52" s="94" t="str">
        <f aca="false">Table4[[#This Row],[Team]] &amp; "/" &amp; Table4[[#This Row],[Bye]]</f>
        <v>PHI/10</v>
      </c>
      <c r="T52" s="95" t="n">
        <f aca="false">IFERROR(VLOOKUP(Table4[[#This Row],[PLAYER]],RB!A:Q,13,FALSE())/17*(17-Table4[[#This Row],[Missed Games]]),0)</f>
        <v>46.4954623529412</v>
      </c>
      <c r="U52" s="95" t="n">
        <f aca="false">IFERROR(VLOOKUP(Table4[[#This Row],[PLAYER]],RB!A:Q,14,FALSE())/17*(17-Table4[[#This Row],[Missed Games]]),0)</f>
        <v>62.0993117647059</v>
      </c>
      <c r="V52" s="95" t="n">
        <f aca="false">IFERROR(VLOOKUP(Table4[[#This Row],[PLAYER]],RB!A:Q,15,FALSE())/17*(17-Table4[[#This Row],[Missed Games]]),0)</f>
        <v>77.248305882353</v>
      </c>
      <c r="W52" s="96" t="n">
        <f aca="false">AVERAGE(AVERAGE(Table4[[#This Row],[LOW]],Table4[[#This Row],[HIGH]]),Table4[[#This Row],[AVG]],VLOOKUP(Table4[[#This Row],[PLAYER]],ECR!L:N,3,FALSE()))</f>
        <v>66.0371754901961</v>
      </c>
      <c r="X52" s="96" t="n">
        <f aca="false">Table4[[#This Row],[Zscore Projection]]-$Q$1</f>
        <v>-61.5085629019608</v>
      </c>
      <c r="Y52" s="97" t="e">
        <f aca="false">MAX(Table4[[#This Row],[VBD]]*Scoring!$B$48+1,1)</f>
        <v>#VALUE!</v>
      </c>
      <c r="Z52" s="98" t="n">
        <f aca="false">VLOOKUP(Table4[[#This Row],[VBD]],BM:BO,3,FALSE())</f>
        <v>9</v>
      </c>
      <c r="AA52" s="99" t="n">
        <f aca="false">VLOOKUP(INDEX(ECR!$E:$E,MATCH(P52,ECR!$C:$C,0)),RISK!A:B,2,FALSE())</f>
        <v>3.894</v>
      </c>
      <c r="AB52" s="100"/>
      <c r="AC52" s="94" t="s">
        <v>328</v>
      </c>
      <c r="AD52" s="94" t="str">
        <f aca="false">VLOOKUP(AC52,ECR!E:L,8,FALSE())</f>
        <v>Matthew Golden</v>
      </c>
      <c r="AE52" s="94" t="str">
        <f aca="false">IFERROR(VLOOKUP(Table6[[#This Row],[PLAYER]],ECR!C:F,2,FALSE()),"-")</f>
        <v>GB</v>
      </c>
      <c r="AF52" s="94" t="n">
        <f aca="false">IFERROR(VLOOKUP(Table6[[#This Row],[PLAYER]],ECR!C:F,4,FALSE()),"-")</f>
        <v>11</v>
      </c>
      <c r="AG52" s="94" t="str">
        <f aca="false">Table6[[#This Row],[Team]] &amp; "/" &amp; Table6[[#This Row],[Bye]]</f>
        <v>GB/11</v>
      </c>
      <c r="AH52" s="95" t="n">
        <f aca="false">IFERROR(VLOOKUP(Table6[[#This Row],[PLAYER]],WR!A:Q,13,FALSE())/17*(17-Table6[[#This Row],[Missed Games]]),0)</f>
        <v>91.9085629188384</v>
      </c>
      <c r="AI52" s="95" t="n">
        <f aca="false">IFERROR(VLOOKUP(Table6[[#This Row],[PLAYER]],WR!A:Q,14,FALSE())/17*(17-Table6[[#This Row],[Missed Games]]),0)</f>
        <v>106.313760238273</v>
      </c>
      <c r="AJ52" s="95" t="n">
        <f aca="false">IFERROR(VLOOKUP(Table6[[#This Row],[PLAYER]],WR!A:Q,15,FALSE())/17*(17-Table6[[#This Row],[Missed Games]]),0)</f>
        <v>124.269970215934</v>
      </c>
      <c r="AK52" s="96" t="n">
        <f aca="false">AVERAGE(AVERAGE(Table6[[#This Row],[LOW]],Table6[[#This Row],[HIGH]]),Table6[[#This Row],[AVG]],VLOOKUP(Table6[[#This Row],[PLAYER]],ECR!L:N,3,FALSE()))</f>
        <v>106.90559568131</v>
      </c>
      <c r="AL52" s="96" t="n">
        <f aca="false">Table6[[#This Row],[Zscore Projection]]-$AE$1</f>
        <v>-18.7722830637875</v>
      </c>
      <c r="AM52" s="97" t="e">
        <f aca="false">MAX(Table6[[#This Row],[VBD]]*Scoring!$B$48+1,1)</f>
        <v>#VALUE!</v>
      </c>
      <c r="AN52" s="98" t="n">
        <f aca="false">VLOOKUP(Table6[[#This Row],[VBD]],BR:BT,3,FALSE())</f>
        <v>7</v>
      </c>
      <c r="AO52" s="99" t="n">
        <f aca="false">VLOOKUP(INDEX(ECR!$E:$E,MATCH(AD52,ECR!$C:$C,0)),RISK!A:B,2,FALSE())</f>
        <v>3.84810126582278</v>
      </c>
      <c r="AP52" s="100"/>
      <c r="AQ52" s="101" t="s">
        <v>329</v>
      </c>
      <c r="AR52" s="101" t="str">
        <f aca="false">VLOOKUP(AQ52,ECR!E:L,8,FALSE())</f>
        <v>Max Klare</v>
      </c>
      <c r="AS52" s="101" t="str">
        <f aca="false">IFERROR(VLOOKUP(Table7[[#This Row],[PLAYER]],ECR!C:F,2,FALSE()),"-")</f>
        <v>LAR</v>
      </c>
      <c r="AT52" s="101" t="n">
        <f aca="false">IFERROR(VLOOKUP(Table7[[#This Row],[PLAYER]],ECR!C:F,4,FALSE()),"-")</f>
        <v>11</v>
      </c>
      <c r="AU52" s="101" t="str">
        <f aca="false">Table7[[#This Row],[Team]] &amp; "/" &amp; Table7[[#This Row],[Bye]]</f>
        <v>LAR/11</v>
      </c>
      <c r="AV52" s="95" t="n">
        <f aca="false">IFERROR(VLOOKUP(Table7[[#This Row],[PLAYER]],TE!A:K,9,FALSE())/17*(16-Table7[[#This Row],[Missed Games]]),0)</f>
        <v>6.27823529411765</v>
      </c>
      <c r="AW52" s="95" t="n">
        <f aca="false">IFERROR(VLOOKUP(Table7[[#This Row],[PLAYER]],TE!A:K,10,FALSE())/17*(16-Table7[[#This Row],[Missed Games]]),0)</f>
        <v>12.3882352941176</v>
      </c>
      <c r="AX52" s="95" t="n">
        <f aca="false">IFERROR(VLOOKUP(Table7[[#This Row],[PLAYER]],TE!A:K,11,FALSE())/17*(16-Table7[[#This Row],[Missed Games]]),0)</f>
        <v>18.5058823529412</v>
      </c>
      <c r="AY52" s="96" t="n">
        <f aca="false">AVERAGE(AVERAGE(Table7[[#This Row],[LOW]],Table7[[#This Row],[HIGH]]),Table7[[#This Row],[AVG]],VLOOKUP(Table7[[#This Row],[PLAYER]],ECR!L:N,3,FALSE()))</f>
        <v>12.3895098039216</v>
      </c>
      <c r="AZ52" s="96" t="n">
        <f aca="false">Table7[[#This Row],[Zscore Projection]]-$AS$1</f>
        <v>-100.184087637255</v>
      </c>
      <c r="BA52" s="97" t="e">
        <f aca="false">MAX(Table7[[#This Row],[VBD]]*Scoring!$B$48+1,1)</f>
        <v>#VALUE!</v>
      </c>
      <c r="BB52" s="95" t="n">
        <f aca="false">VLOOKUP(Table7[[#This Row],[VBD]],BW:BY,3,FALSE())</f>
        <v>12</v>
      </c>
      <c r="BC52" s="99" t="n">
        <f aca="false">VLOOKUP(INDEX(ECR!$E:$E,MATCH(AR52,ECR!$C:$C,0)),RISK!A:B,2,FALSE())</f>
        <v>3</v>
      </c>
      <c r="BD52" s="95"/>
      <c r="BE52" s="100"/>
      <c r="BF52" s="102" t="n">
        <v>50</v>
      </c>
      <c r="BG52" s="100" t="str">
        <f aca="false">IFERROR(LARGE($G$3:$G$52,BF52),"")</f>
        <v/>
      </c>
      <c r="BH52" s="100" t="str">
        <f aca="false">IFERROR(LARGE($J$3:$J$52,50),"")</f>
        <v/>
      </c>
      <c r="BI52" s="100" t="n">
        <f aca="false">IF(BH52="",BI51,IF((BI51-BH52)&gt;0.2*LARGE($J$3:$J$52,2),BH52,BI51))</f>
        <v>-266.717954023529</v>
      </c>
      <c r="BJ52" s="103" t="n">
        <f aca="false">MIN(IF(BH52="",BJ51,IF((BI51-BH52)&gt;0.2*LARGE($J$3:$J$52,2),BJ51+1,BJ51)),15)</f>
        <v>15</v>
      </c>
      <c r="BK52" s="102" t="n">
        <v>50</v>
      </c>
      <c r="BL52" s="100" t="n">
        <f aca="false">IFERROR(LARGE($U$3:$U$102,BK52),"")</f>
        <v>74.1403305882353</v>
      </c>
      <c r="BM52" s="104" t="n">
        <f aca="false">IFERROR(LARGE($X$3:$X$102,50),"")</f>
        <v>-50.5187832156863</v>
      </c>
      <c r="BN52" s="104" t="n">
        <f aca="false">IF(BM52="",BN51,IF((BN51-BM52)&gt;0.15*LARGE($X$3:$X$102,2),BM52,BN51))</f>
        <v>-29.9702534298039</v>
      </c>
      <c r="BO52" s="103" t="n">
        <f aca="false">IF(BM52="",BO51,IF((BN51-BM52)&gt;0.15*LARGE($X$3:$X$102,2),BO51+1,BO51))</f>
        <v>8</v>
      </c>
      <c r="BP52" s="105" t="n">
        <v>50</v>
      </c>
      <c r="BQ52" s="100" t="n">
        <f aca="false">IFERROR(LARGE($AI$3:$AI$102,BP52),"")</f>
        <v>106.313760238273</v>
      </c>
      <c r="BR52" s="104" t="n">
        <f aca="false">IFERROR(LARGE($AL$3:$AL$102,50),"")</f>
        <v>-18.5724257791015</v>
      </c>
      <c r="BS52" s="104" t="n">
        <f aca="false">IF(BR52="",BS51,IF((BS51-BR52)&gt;0.15*LARGE($AL$3:$AL$102,2),BR52,BS51))</f>
        <v>-15.3829340305286</v>
      </c>
      <c r="BT52" s="103" t="n">
        <f aca="false">IF(BR52="",BT51,IF((BS51-BR52)&gt;0.15*LARGE($AL$3:$AL$102,2),BT51+1,BT51))</f>
        <v>7</v>
      </c>
      <c r="BU52" s="102" t="n">
        <v>50</v>
      </c>
      <c r="BV52" s="100" t="n">
        <f aca="false">IFERROR(LARGE($AW$3:$AW$52,BU52),"")</f>
        <v>12.3882352941176</v>
      </c>
      <c r="BW52" s="104" t="n">
        <f aca="false">IFERROR(LARGE($AZ$3:$AZ$52,50),"")</f>
        <v>-100.184087637255</v>
      </c>
      <c r="BX52" s="104" t="n">
        <f aca="false">IF(BW52="",BX51,IF((BX51-BW52)&gt;0.2*LARGE($AZ$3:$AZ$52,2),BW52,BX51))</f>
        <v>-100.184087637255</v>
      </c>
      <c r="BY52" s="106" t="n">
        <f aca="false">IF(BW52="",BY51,IF((BX51-BW52)&gt;0.2*LARGE($AZ$3:$AZ$52,2),BY51+1,BY51))</f>
        <v>12</v>
      </c>
      <c r="BZ52" s="104"/>
      <c r="CA52" s="104"/>
      <c r="CB52" s="104"/>
      <c r="CC52" s="104"/>
      <c r="CD52" s="104"/>
      <c r="CE52" s="104"/>
      <c r="CF52" s="104"/>
      <c r="CG52" s="104"/>
    </row>
    <row r="53" s="107" customFormat="true" ht="14.25" hidden="false" customHeight="true" outlineLevel="0" collapsed="false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M53" s="80"/>
      <c r="O53" s="98" t="s">
        <v>330</v>
      </c>
      <c r="P53" s="93" t="str">
        <f aca="false">VLOOKUP(O53,ECR!E:L,8,FALSE())</f>
        <v>Dylan Sampson</v>
      </c>
      <c r="Q53" s="94" t="str">
        <f aca="false">IFERROR(VLOOKUP(Table4[[#This Row],[PLAYER]],ECR!C:F,2,FALSE()),"-")</f>
        <v>CLE</v>
      </c>
      <c r="R53" s="94" t="n">
        <f aca="false">IFERROR(VLOOKUP(Table4[[#This Row],[PLAYER]],ECR!C:F,4,FALSE()),"-")</f>
        <v>11</v>
      </c>
      <c r="S53" s="94" t="str">
        <f aca="false">Table4[[#This Row],[Team]] &amp; "/" &amp; Table4[[#This Row],[Bye]]</f>
        <v>CLE/11</v>
      </c>
      <c r="T53" s="95" t="n">
        <f aca="false">IFERROR(VLOOKUP(Table4[[#This Row],[PLAYER]],RB!A:Q,13,FALSE())/17*(17-Table4[[#This Row],[Missed Games]]),0)</f>
        <v>52.5935336470588</v>
      </c>
      <c r="U53" s="95" t="n">
        <f aca="false">IFERROR(VLOOKUP(Table4[[#This Row],[PLAYER]],RB!A:Q,14,FALSE())/17*(17-Table4[[#This Row],[Missed Games]]),0)</f>
        <v>70.9153031764706</v>
      </c>
      <c r="V53" s="95" t="n">
        <f aca="false">IFERROR(VLOOKUP(Table4[[#This Row],[PLAYER]],RB!A:Q,15,FALSE())/17*(17-Table4[[#This Row],[Missed Games]]),0)</f>
        <v>88.4234541176471</v>
      </c>
      <c r="W53" s="96" t="n">
        <f aca="false">AVERAGE(AVERAGE(Table4[[#This Row],[LOW]],Table4[[#This Row],[HIGH]]),Table4[[#This Row],[AVG]],VLOOKUP(Table4[[#This Row],[PLAYER]],ECR!L:N,3,FALSE()))</f>
        <v>71.1479323529412</v>
      </c>
      <c r="X53" s="96" t="n">
        <f aca="false">Table4[[#This Row],[Zscore Projection]]-$Q$1</f>
        <v>-56.3978060392157</v>
      </c>
      <c r="Y53" s="97" t="e">
        <f aca="false">MAX(Table4[[#This Row],[VBD]]*Scoring!$B$48+1,1)</f>
        <v>#VALUE!</v>
      </c>
      <c r="Z53" s="98" t="n">
        <f aca="false">VLOOKUP(Table4[[#This Row],[VBD]],BM:BO,3,FALSE())</f>
        <v>9</v>
      </c>
      <c r="AA53" s="99" t="n">
        <f aca="false">VLOOKUP(INDEX(ECR!$E:$E,MATCH(P53,ECR!$C:$C,0)),RISK!A:B,2,FALSE())</f>
        <v>3.9514</v>
      </c>
      <c r="AB53" s="100"/>
      <c r="AC53" s="94" t="s">
        <v>331</v>
      </c>
      <c r="AD53" s="94" t="str">
        <f aca="false">VLOOKUP(AC53,ECR!E:L,8,FALSE())</f>
        <v>Romeo Doubs</v>
      </c>
      <c r="AE53" s="94" t="str">
        <f aca="false">IFERROR(VLOOKUP(Table6[[#This Row],[PLAYER]],ECR!C:F,2,FALSE()),"-")</f>
        <v>NE</v>
      </c>
      <c r="AF53" s="94" t="n">
        <f aca="false">IFERROR(VLOOKUP(Table6[[#This Row],[PLAYER]],ECR!C:F,4,FALSE()),"-")</f>
        <v>11</v>
      </c>
      <c r="AG53" s="94" t="str">
        <f aca="false">Table6[[#This Row],[Team]] &amp; "/" &amp; Table6[[#This Row],[Bye]]</f>
        <v>NE/11</v>
      </c>
      <c r="AH53" s="95" t="n">
        <f aca="false">IFERROR(VLOOKUP(Table6[[#This Row],[PLAYER]],WR!A:Q,13,FALSE())/17*(17-Table6[[#This Row],[Missed Games]]),0)</f>
        <v>94.322323157111</v>
      </c>
      <c r="AI53" s="95" t="n">
        <f aca="false">IFERROR(VLOOKUP(Table6[[#This Row],[PLAYER]],WR!A:Q,14,FALSE())/17*(17-Table6[[#This Row],[Missed Games]]),0)</f>
        <v>104.874787788533</v>
      </c>
      <c r="AJ53" s="95" t="n">
        <f aca="false">IFERROR(VLOOKUP(Table6[[#This Row],[PLAYER]],WR!A:Q,15,FALSE())/17*(17-Table6[[#This Row],[Missed Games]]),0)</f>
        <v>114.26679076694</v>
      </c>
      <c r="AK53" s="96" t="n">
        <f aca="false">AVERAGE(AVERAGE(Table6[[#This Row],[LOW]],Table6[[#This Row],[HIGH]]),Table6[[#This Row],[AVG]],VLOOKUP(Table6[[#This Row],[PLAYER]],ECR!L:N,3,FALSE()))</f>
        <v>104.990627649541</v>
      </c>
      <c r="AL53" s="96" t="n">
        <f aca="false">Table6[[#This Row],[Zscore Projection]]-$AE$1</f>
        <v>-20.6872510955572</v>
      </c>
      <c r="AM53" s="97" t="e">
        <f aca="false">MAX(Table6[[#This Row],[VBD]]*Scoring!$B$48+1,1)</f>
        <v>#VALUE!</v>
      </c>
      <c r="AN53" s="98" t="n">
        <f aca="false">VLOOKUP(Table6[[#This Row],[VBD]],BR:BT,3,FALSE())</f>
        <v>7</v>
      </c>
      <c r="AO53" s="99" t="n">
        <f aca="false">VLOOKUP(INDEX(ECR!$E:$E,MATCH(AD53,ECR!$C:$C,0)),RISK!A:B,2,FALSE())</f>
        <v>3.84810126582278</v>
      </c>
      <c r="AP53" s="100"/>
      <c r="AQ53" s="101" t="s">
        <v>332</v>
      </c>
      <c r="AR53" s="80"/>
      <c r="AT53" s="80"/>
      <c r="AU53" s="80"/>
      <c r="AV53" s="80"/>
      <c r="AW53" s="80"/>
      <c r="AX53" s="80"/>
      <c r="AY53" s="80"/>
      <c r="AZ53" s="80"/>
      <c r="BA53" s="80"/>
      <c r="BC53" s="80"/>
      <c r="BD53" s="80"/>
      <c r="BF53" s="102" t="n">
        <v>51</v>
      </c>
      <c r="BG53" s="100" t="str">
        <f aca="false">IFERROR(LARGE($G$3:$G$52,BF53),"")</f>
        <v/>
      </c>
      <c r="BH53" s="100"/>
      <c r="BI53" s="100"/>
      <c r="BJ53" s="103"/>
      <c r="BK53" s="102" t="n">
        <v>51</v>
      </c>
      <c r="BL53" s="100" t="n">
        <f aca="false">IFERROR(LARGE($U$3:$U$102,BK53),"")</f>
        <v>72.02</v>
      </c>
      <c r="BM53" s="104" t="n">
        <f aca="false">IFERROR(LARGE($X$3:$X$102,51),"")</f>
        <v>-56.3978060392157</v>
      </c>
      <c r="BN53" s="104" t="n">
        <f aca="false">IF(BM53="",BN52,IF((BN52-BM53)&gt;0.15*LARGE($X$3:$X$102,2),BM53,BN52))</f>
        <v>-56.3978060392157</v>
      </c>
      <c r="BO53" s="103" t="n">
        <f aca="false">IF(BM53="",BO52,IF((BN52-BM53)&gt;0.15*LARGE($X$3:$X$102,2),BO52+1,BO52))</f>
        <v>9</v>
      </c>
      <c r="BP53" s="105" t="n">
        <v>51</v>
      </c>
      <c r="BQ53" s="100" t="n">
        <f aca="false">IFERROR(LARGE($AI$3:$AI$102,BP53),"")</f>
        <v>105.802538198064</v>
      </c>
      <c r="BR53" s="104" t="n">
        <f aca="false">IFERROR(LARGE($AL$3:$AL$102,51),"")</f>
        <v>-18.7722830637875</v>
      </c>
      <c r="BS53" s="104" t="n">
        <f aca="false">IF(BR53="",BS52,IF((BS52-BR53)&gt;0.15*LARGE($AL$3:$AL$102,2),BR53,BS52))</f>
        <v>-15.3829340305286</v>
      </c>
      <c r="BT53" s="103" t="n">
        <f aca="false">IF(BR53="",BT52,IF((BS52-BR53)&gt;0.15*LARGE($AL$3:$AL$102,2),BT52+1,BT52))</f>
        <v>7</v>
      </c>
      <c r="BU53" s="102" t="n">
        <v>51</v>
      </c>
      <c r="BV53" s="100" t="str">
        <f aca="false">IFERROR(LARGE($AW$3:$AW$52,BU53),"")</f>
        <v/>
      </c>
      <c r="BW53" s="104"/>
      <c r="BX53" s="104"/>
      <c r="BY53" s="106" t="n">
        <f aca="false">IFERROR(VALUE(RIGHT(INDEX(ECR!$E:$E,MATCH(P53,ECR!$C:$C,0)),LEN(INDEX(ECR!$E:$E,MATCH(P53,ECR!$C:$C,0)))-2)),"")</f>
        <v>51</v>
      </c>
      <c r="BZ53" s="104"/>
      <c r="CA53" s="104"/>
      <c r="CB53" s="104"/>
      <c r="CC53" s="104"/>
      <c r="CD53" s="104"/>
      <c r="CE53" s="104"/>
      <c r="CF53" s="104"/>
      <c r="CG53" s="104"/>
    </row>
    <row r="54" s="107" customFormat="true" ht="14.25" hidden="false" customHeight="true" outlineLevel="0" collapsed="false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M54" s="80"/>
      <c r="O54" s="98" t="s">
        <v>333</v>
      </c>
      <c r="P54" s="93" t="str">
        <f aca="false">VLOOKUP(O54,ECR!E:L,8,FALSE())</f>
        <v>Braelon Allen</v>
      </c>
      <c r="Q54" s="94" t="str">
        <f aca="false">IFERROR(VLOOKUP(Table4[[#This Row],[PLAYER]],ECR!C:F,2,FALSE()),"-")</f>
        <v>NYJ</v>
      </c>
      <c r="R54" s="94" t="n">
        <f aca="false">IFERROR(VLOOKUP(Table4[[#This Row],[PLAYER]],ECR!C:F,4,FALSE()),"-")</f>
        <v>13</v>
      </c>
      <c r="S54" s="94" t="str">
        <f aca="false">Table4[[#This Row],[Team]] &amp; "/" &amp; Table4[[#This Row],[Bye]]</f>
        <v>NYJ/13</v>
      </c>
      <c r="T54" s="95" t="n">
        <f aca="false">IFERROR(VLOOKUP(Table4[[#This Row],[PLAYER]],RB!A:Q,13,FALSE())/17*(17-Table4[[#This Row],[Missed Games]]),0)</f>
        <v>48.9564705882353</v>
      </c>
      <c r="U54" s="95" t="n">
        <f aca="false">IFERROR(VLOOKUP(Table4[[#This Row],[PLAYER]],RB!A:Q,14,FALSE())/17*(17-Table4[[#This Row],[Missed Games]]),0)</f>
        <v>68.6094117647059</v>
      </c>
      <c r="V54" s="95" t="n">
        <f aca="false">IFERROR(VLOOKUP(Table4[[#This Row],[PLAYER]],RB!A:Q,15,FALSE())/17*(17-Table4[[#This Row],[Missed Games]]),0)</f>
        <v>87.7882352941176</v>
      </c>
      <c r="W54" s="96" t="n">
        <f aca="false">AVERAGE(AVERAGE(Table4[[#This Row],[LOW]],Table4[[#This Row],[HIGH]]),Table4[[#This Row],[AVG]],VLOOKUP(Table4[[#This Row],[PLAYER]],ECR!L:N,3,FALSE()))</f>
        <v>69.299022627451</v>
      </c>
      <c r="X54" s="96" t="n">
        <f aca="false">Table4[[#This Row],[Zscore Projection]]-$Q$1</f>
        <v>-58.2467157647059</v>
      </c>
      <c r="Y54" s="97" t="e">
        <f aca="false">MAX(Table4[[#This Row],[VBD]]*Scoring!$B$48+1,1)</f>
        <v>#VALUE!</v>
      </c>
      <c r="Z54" s="98" t="n">
        <f aca="false">VLOOKUP(Table4[[#This Row],[VBD]],BM:BO,3,FALSE())</f>
        <v>9</v>
      </c>
      <c r="AA54" s="99" t="n">
        <f aca="false">VLOOKUP(INDEX(ECR!$E:$E,MATCH(P54,ECR!$C:$C,0)),RISK!A:B,2,FALSE())</f>
        <v>4</v>
      </c>
      <c r="AB54" s="100"/>
      <c r="AC54" s="94" t="s">
        <v>334</v>
      </c>
      <c r="AD54" s="94" t="str">
        <f aca="false">VLOOKUP(AC54,ECR!E:L,8,FALSE())</f>
        <v>Xavier Worthy</v>
      </c>
      <c r="AE54" s="94" t="str">
        <f aca="false">IFERROR(VLOOKUP(Table6[[#This Row],[PLAYER]],ECR!C:F,2,FALSE()),"-")</f>
        <v>KC</v>
      </c>
      <c r="AF54" s="94" t="n">
        <f aca="false">IFERROR(VLOOKUP(Table6[[#This Row],[PLAYER]],ECR!C:F,4,FALSE()),"-")</f>
        <v>5</v>
      </c>
      <c r="AG54" s="94" t="str">
        <f aca="false">Table6[[#This Row],[Team]] &amp; "/" &amp; Table6[[#This Row],[Bye]]</f>
        <v>KC/5</v>
      </c>
      <c r="AH54" s="95" t="n">
        <f aca="false">IFERROR(VLOOKUP(Table6[[#This Row],[PLAYER]],WR!A:Q,13,FALSE())/17*(17-Table6[[#This Row],[Missed Games]]),0)</f>
        <v>96.9372300819062</v>
      </c>
      <c r="AI54" s="95" t="n">
        <f aca="false">IFERROR(VLOOKUP(Table6[[#This Row],[PLAYER]],WR!A:Q,14,FALSE())/17*(17-Table6[[#This Row],[Missed Games]]),0)</f>
        <v>107.768205510052</v>
      </c>
      <c r="AJ54" s="95" t="n">
        <f aca="false">IFERROR(VLOOKUP(Table6[[#This Row],[PLAYER]],WR!A:Q,15,FALSE())/17*(17-Table6[[#This Row],[Missed Games]]),0)</f>
        <v>120.409501116902</v>
      </c>
      <c r="AK54" s="96" t="n">
        <f aca="false">AVERAGE(AVERAGE(Table6[[#This Row],[LOW]],Table6[[#This Row],[HIGH]]),Table6[[#This Row],[AVG]],VLOOKUP(Table6[[#This Row],[PLAYER]],ECR!L:N,3,FALSE()))</f>
        <v>107.105452965997</v>
      </c>
      <c r="AL54" s="96" t="n">
        <f aca="false">Table6[[#This Row],[Zscore Projection]]-$AE$1</f>
        <v>-18.5724257791015</v>
      </c>
      <c r="AM54" s="97" t="e">
        <f aca="false">MAX(Table6[[#This Row],[VBD]]*Scoring!$B$48+1,1)</f>
        <v>#VALUE!</v>
      </c>
      <c r="AN54" s="98" t="n">
        <f aca="false">VLOOKUP(Table6[[#This Row],[VBD]],BR:BT,3,FALSE())</f>
        <v>7</v>
      </c>
      <c r="AO54" s="99" t="n">
        <f aca="false">VLOOKUP(INDEX(ECR!$E:$E,MATCH(AD54,ECR!$C:$C,0)),RISK!A:B,2,FALSE())</f>
        <v>3.84810126582278</v>
      </c>
      <c r="AP54" s="100"/>
      <c r="AQ54" s="101" t="s">
        <v>335</v>
      </c>
      <c r="AR54" s="80"/>
      <c r="AT54" s="80"/>
      <c r="AU54" s="80"/>
      <c r="AV54" s="80"/>
      <c r="AW54" s="80"/>
      <c r="AX54" s="80"/>
      <c r="AY54" s="80"/>
      <c r="AZ54" s="80"/>
      <c r="BA54" s="80"/>
      <c r="BC54" s="80"/>
      <c r="BD54" s="80"/>
      <c r="BF54" s="102" t="n">
        <v>52</v>
      </c>
      <c r="BG54" s="100" t="str">
        <f aca="false">IFERROR(LARGE($G$3:$G$52,BF54),"")</f>
        <v/>
      </c>
      <c r="BH54" s="100"/>
      <c r="BI54" s="100"/>
      <c r="BJ54" s="103"/>
      <c r="BK54" s="102" t="n">
        <v>52</v>
      </c>
      <c r="BL54" s="100" t="n">
        <f aca="false">IFERROR(LARGE($U$3:$U$102,BK54),"")</f>
        <v>70.9153031764706</v>
      </c>
      <c r="BM54" s="104" t="n">
        <f aca="false">IFERROR(LARGE($X$3:$X$102,52),"")</f>
        <v>-56.5060811372549</v>
      </c>
      <c r="BN54" s="104" t="n">
        <f aca="false">IF(BM54="",BN53,IF((BN53-BM54)&gt;0.15*LARGE($X$3:$X$102,2),BM54,BN53))</f>
        <v>-56.3978060392157</v>
      </c>
      <c r="BO54" s="103" t="n">
        <f aca="false">IF(BM54="",BO53,IF((BN53-BM54)&gt;0.15*LARGE($X$3:$X$102,2),BO53+1,BO53))</f>
        <v>9</v>
      </c>
      <c r="BP54" s="105" t="n">
        <v>52</v>
      </c>
      <c r="BQ54" s="100" t="n">
        <f aca="false">IFERROR(LARGE($AI$3:$AI$102,BP54),"")</f>
        <v>104.874787788533</v>
      </c>
      <c r="BR54" s="104" t="n">
        <f aca="false">IFERROR(LARGE($AL$3:$AL$102,52),"")</f>
        <v>-20.6872510955572</v>
      </c>
      <c r="BS54" s="104" t="n">
        <f aca="false">IF(BR54="",BS53,IF((BS53-BR54)&gt;0.15*LARGE($AL$3:$AL$102,2),BR54,BS53))</f>
        <v>-15.3829340305286</v>
      </c>
      <c r="BT54" s="103" t="n">
        <f aca="false">IF(BR54="",BT53,IF((BS53-BR54)&gt;0.15*LARGE($AL$3:$AL$102,2),BT53+1,BT53))</f>
        <v>7</v>
      </c>
      <c r="BU54" s="102" t="n">
        <v>52</v>
      </c>
      <c r="BV54" s="100" t="str">
        <f aca="false">IFERROR(LARGE($AW$3:$AW$52,BU54),"")</f>
        <v/>
      </c>
      <c r="BW54" s="104"/>
      <c r="BX54" s="104"/>
      <c r="BY54" s="106" t="n">
        <f aca="false">IFERROR(VALUE(RIGHT(INDEX(ECR!$E:$E,MATCH(P54,ECR!$C:$C,0)),LEN(INDEX(ECR!$E:$E,MATCH(P54,ECR!$C:$C,0)))-2)),"")</f>
        <v>52</v>
      </c>
      <c r="BZ54" s="104"/>
      <c r="CA54" s="104"/>
      <c r="CB54" s="104"/>
      <c r="CC54" s="104"/>
      <c r="CD54" s="104"/>
      <c r="CE54" s="104"/>
      <c r="CF54" s="104"/>
      <c r="CG54" s="104"/>
    </row>
    <row r="55" s="107" customFormat="true" ht="14.25" hidden="false" customHeight="true" outlineLevel="0" collapsed="false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M55" s="80"/>
      <c r="O55" s="98" t="s">
        <v>336</v>
      </c>
      <c r="P55" s="93" t="str">
        <f aca="false">VLOOKUP(O55,ECR!E:L,8,FALSE())</f>
        <v>Alvin Kamara</v>
      </c>
      <c r="Q55" s="94" t="str">
        <f aca="false">IFERROR(VLOOKUP(Table4[[#This Row],[PLAYER]],ECR!C:F,2,FALSE()),"-")</f>
        <v>NO</v>
      </c>
      <c r="R55" s="94" t="n">
        <f aca="false">IFERROR(VLOOKUP(Table4[[#This Row],[PLAYER]],ECR!C:F,4,FALSE()),"-")</f>
        <v>8</v>
      </c>
      <c r="S55" s="94" t="str">
        <f aca="false">Table4[[#This Row],[Team]] &amp; "/" &amp; Table4[[#This Row],[Bye]]</f>
        <v>NO/8</v>
      </c>
      <c r="T55" s="95" t="n">
        <f aca="false">IFERROR(VLOOKUP(Table4[[#This Row],[PLAYER]],RB!A:Q,13,FALSE())/17*(17-Table4[[#This Row],[Missed Games]]),0)</f>
        <v>60.3735294117647</v>
      </c>
      <c r="U55" s="95" t="n">
        <f aca="false">IFERROR(VLOOKUP(Table4[[#This Row],[PLAYER]],RB!A:Q,14,FALSE())/17*(17-Table4[[#This Row],[Missed Games]]),0)</f>
        <v>72.02</v>
      </c>
      <c r="V55" s="95" t="n">
        <f aca="false">IFERROR(VLOOKUP(Table4[[#This Row],[PLAYER]],RB!A:Q,15,FALSE())/17*(17-Table4[[#This Row],[Missed Games]]),0)</f>
        <v>81.1123529411765</v>
      </c>
      <c r="W55" s="96" t="n">
        <f aca="false">AVERAGE(AVERAGE(Table4[[#This Row],[LOW]],Table4[[#This Row],[HIGH]]),Table4[[#This Row],[AVG]],VLOOKUP(Table4[[#This Row],[PLAYER]],ECR!L:N,3,FALSE()))</f>
        <v>71.039657254902</v>
      </c>
      <c r="X55" s="96" t="n">
        <f aca="false">Table4[[#This Row],[Zscore Projection]]-$Q$1</f>
        <v>-56.5060811372549</v>
      </c>
      <c r="Y55" s="97" t="e">
        <f aca="false">MAX(Table4[[#This Row],[VBD]]*Scoring!$B$48+1,1)</f>
        <v>#VALUE!</v>
      </c>
      <c r="Z55" s="98" t="n">
        <f aca="false">VLOOKUP(Table4[[#This Row],[VBD]],BM:BO,3,FALSE())</f>
        <v>9</v>
      </c>
      <c r="AA55" s="99" t="n">
        <f aca="false">VLOOKUP(INDEX(ECR!$E:$E,MATCH(P55,ECR!$C:$C,0)),RISK!A:B,2,FALSE())</f>
        <v>4</v>
      </c>
      <c r="AB55" s="100"/>
      <c r="AC55" s="94" t="s">
        <v>337</v>
      </c>
      <c r="AD55" s="94" t="str">
        <f aca="false">VLOOKUP(AC55,ECR!E:L,8,FALSE())</f>
        <v>Jalen Coker</v>
      </c>
      <c r="AE55" s="94" t="str">
        <f aca="false">IFERROR(VLOOKUP(Table6[[#This Row],[PLAYER]],ECR!C:F,2,FALSE()),"-")</f>
        <v>CAR</v>
      </c>
      <c r="AF55" s="94" t="n">
        <f aca="false">IFERROR(VLOOKUP(Table6[[#This Row],[PLAYER]],ECR!C:F,4,FALSE()),"-")</f>
        <v>5</v>
      </c>
      <c r="AG55" s="94" t="str">
        <f aca="false">Table6[[#This Row],[Team]] &amp; "/" &amp; Table6[[#This Row],[Bye]]</f>
        <v>CAR/5</v>
      </c>
      <c r="AH55" s="95" t="n">
        <f aca="false">IFERROR(VLOOKUP(Table6[[#This Row],[PLAYER]],WR!A:Q,13,FALSE())/17*(17-Table6[[#This Row],[Missed Games]]),0)</f>
        <v>88.4039687267312</v>
      </c>
      <c r="AI55" s="95" t="n">
        <f aca="false">IFERROR(VLOOKUP(Table6[[#This Row],[PLAYER]],WR!A:Q,14,FALSE())/17*(17-Table6[[#This Row],[Missed Games]]),0)</f>
        <v>98.3529932985853</v>
      </c>
      <c r="AJ55" s="95" t="n">
        <f aca="false">IFERROR(VLOOKUP(Table6[[#This Row],[PLAYER]],WR!A:Q,15,FALSE())/17*(17-Table6[[#This Row],[Missed Games]]),0)</f>
        <v>108.309754281459</v>
      </c>
      <c r="AK55" s="96" t="n">
        <f aca="false">AVERAGE(AVERAGE(Table6[[#This Row],[LOW]],Table6[[#This Row],[HIGH]]),Table6[[#This Row],[AVG]],VLOOKUP(Table6[[#This Row],[PLAYER]],ECR!L:N,3,FALSE()))</f>
        <v>100.365749565649</v>
      </c>
      <c r="AL55" s="96" t="n">
        <f aca="false">Table6[[#This Row],[Zscore Projection]]-$AE$1</f>
        <v>-25.312129179449</v>
      </c>
      <c r="AM55" s="97" t="e">
        <f aca="false">MAX(Table6[[#This Row],[VBD]]*Scoring!$B$48+1,1)</f>
        <v>#VALUE!</v>
      </c>
      <c r="AN55" s="98" t="n">
        <f aca="false">VLOOKUP(Table6[[#This Row],[VBD]],BR:BT,3,FALSE())</f>
        <v>7</v>
      </c>
      <c r="AO55" s="99" t="n">
        <f aca="false">VLOOKUP(INDEX(ECR!$E:$E,MATCH(AD55,ECR!$C:$C,0)),RISK!A:B,2,FALSE())</f>
        <v>3.84810126582278</v>
      </c>
      <c r="AP55" s="100"/>
      <c r="AQ55" s="101" t="s">
        <v>338</v>
      </c>
      <c r="AR55" s="80"/>
      <c r="AT55" s="80"/>
      <c r="AU55" s="80"/>
      <c r="AV55" s="80"/>
      <c r="AW55" s="80"/>
      <c r="AX55" s="80"/>
      <c r="AY55" s="80"/>
      <c r="AZ55" s="80"/>
      <c r="BA55" s="80"/>
      <c r="BC55" s="80"/>
      <c r="BD55" s="80"/>
      <c r="BF55" s="102" t="n">
        <v>53</v>
      </c>
      <c r="BG55" s="100" t="str">
        <f aca="false">IFERROR(LARGE($G$3:$G$52,BF55),"")</f>
        <v/>
      </c>
      <c r="BH55" s="100"/>
      <c r="BI55" s="100"/>
      <c r="BJ55" s="103"/>
      <c r="BK55" s="102" t="n">
        <v>53</v>
      </c>
      <c r="BL55" s="100" t="n">
        <f aca="false">IFERROR(LARGE($U$3:$U$102,BK55),"")</f>
        <v>70.3560305882353</v>
      </c>
      <c r="BM55" s="104" t="n">
        <f aca="false">IFERROR(LARGE($X$3:$X$102,53),"")</f>
        <v>-57.7999532941176</v>
      </c>
      <c r="BN55" s="104" t="n">
        <f aca="false">IF(BM55="",BN54,IF((BN54-BM55)&gt;0.15*LARGE($X$3:$X$102,2),BM55,BN54))</f>
        <v>-56.3978060392157</v>
      </c>
      <c r="BO55" s="103" t="n">
        <f aca="false">IF(BM55="",BO54,IF((BN54-BM55)&gt;0.15*LARGE($X$3:$X$102,2),BO54+1,BO54))</f>
        <v>9</v>
      </c>
      <c r="BP55" s="105" t="n">
        <v>53</v>
      </c>
      <c r="BQ55" s="100" t="n">
        <f aca="false">IFERROR(LARGE($AI$3:$AI$102,BP55),"")</f>
        <v>104.387393894267</v>
      </c>
      <c r="BR55" s="104" t="n">
        <f aca="false">IFERROR(LARGE($AL$3:$AL$102,53),"")</f>
        <v>-21.3485079334822</v>
      </c>
      <c r="BS55" s="104" t="n">
        <f aca="false">IF(BR55="",BS54,IF((BS54-BR55)&gt;0.15*LARGE($AL$3:$AL$102,2),BR55,BS54))</f>
        <v>-15.3829340305286</v>
      </c>
      <c r="BT55" s="103" t="n">
        <f aca="false">IF(BR55="",BT54,IF((BS54-BR55)&gt;0.15*LARGE($AL$3:$AL$102,2),BT54+1,BT54))</f>
        <v>7</v>
      </c>
      <c r="BU55" s="102" t="n">
        <v>53</v>
      </c>
      <c r="BV55" s="100" t="str">
        <f aca="false">IFERROR(LARGE($AW$3:$AW$52,BU55),"")</f>
        <v/>
      </c>
      <c r="BW55" s="104"/>
      <c r="BX55" s="104"/>
      <c r="BY55" s="106" t="n">
        <f aca="false">IFERROR(VALUE(RIGHT(INDEX(ECR!$E:$E,MATCH(P55,ECR!$C:$C,0)),LEN(INDEX(ECR!$E:$E,MATCH(P55,ECR!$C:$C,0)))-2)),"")</f>
        <v>53</v>
      </c>
      <c r="BZ55" s="104"/>
      <c r="CA55" s="104"/>
      <c r="CB55" s="104"/>
      <c r="CC55" s="104"/>
      <c r="CD55" s="104"/>
      <c r="CE55" s="104"/>
      <c r="CF55" s="104"/>
      <c r="CG55" s="104"/>
    </row>
    <row r="56" s="107" customFormat="true" ht="14.25" hidden="false" customHeight="true" outlineLevel="0" collapsed="false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M56" s="80"/>
      <c r="O56" s="98" t="s">
        <v>339</v>
      </c>
      <c r="P56" s="93" t="str">
        <f aca="false">VLOOKUP(O56,ECR!E:L,8,FALSE())</f>
        <v>Tyrone Tracy Jr.</v>
      </c>
      <c r="Q56" s="94" t="str">
        <f aca="false">IFERROR(VLOOKUP(Table4[[#This Row],[PLAYER]],ECR!C:F,2,FALSE()),"-")</f>
        <v>NYG</v>
      </c>
      <c r="R56" s="94" t="n">
        <f aca="false">IFERROR(VLOOKUP(Table4[[#This Row],[PLAYER]],ECR!C:F,4,FALSE()),"-")</f>
        <v>8</v>
      </c>
      <c r="S56" s="94" t="str">
        <f aca="false">Table4[[#This Row],[Team]] &amp; "/" &amp; Table4[[#This Row],[Bye]]</f>
        <v>NYG/8</v>
      </c>
      <c r="T56" s="95" t="n">
        <f aca="false">IFERROR(VLOOKUP(Table4[[#This Row],[PLAYER]],RB!A:Q,13,FALSE())/17*(17-Table4[[#This Row],[Missed Games]]),0)</f>
        <v>25.4035294117647</v>
      </c>
      <c r="U56" s="95" t="n">
        <f aca="false">IFERROR(VLOOKUP(Table4[[#This Row],[PLAYER]],RB!A:Q,14,FALSE())/17*(17-Table4[[#This Row],[Missed Games]]),0)</f>
        <v>48.6582352941177</v>
      </c>
      <c r="V56" s="95" t="n">
        <f aca="false">IFERROR(VLOOKUP(Table4[[#This Row],[PLAYER]],RB!A:Q,15,FALSE())/17*(17-Table4[[#This Row],[Missed Games]]),0)</f>
        <v>71.5</v>
      </c>
      <c r="W56" s="96" t="n">
        <f aca="false">AVERAGE(AVERAGE(Table4[[#This Row],[LOW]],Table4[[#This Row],[HIGH]]),Table4[[#This Row],[AVG]],VLOOKUP(Table4[[#This Row],[PLAYER]],ECR!L:N,3,FALSE()))</f>
        <v>55.6952882352941</v>
      </c>
      <c r="X56" s="96" t="n">
        <f aca="false">Table4[[#This Row],[Zscore Projection]]-$Q$1</f>
        <v>-71.8504501568627</v>
      </c>
      <c r="Y56" s="97" t="e">
        <f aca="false">MAX(Table4[[#This Row],[VBD]]*Scoring!$B$48+1,1)</f>
        <v>#VALUE!</v>
      </c>
      <c r="Z56" s="98" t="n">
        <f aca="false">VLOOKUP(Table4[[#This Row],[VBD]],BM:BO,3,FALSE())</f>
        <v>9</v>
      </c>
      <c r="AA56" s="99" t="n">
        <f aca="false">VLOOKUP(INDEX(ECR!$E:$E,MATCH(P56,ECR!$C:$C,0)),RISK!A:B,2,FALSE())</f>
        <v>4</v>
      </c>
      <c r="AB56" s="100"/>
      <c r="AC56" s="94" t="s">
        <v>340</v>
      </c>
      <c r="AD56" s="94" t="str">
        <f aca="false">VLOOKUP(AC56,ECR!E:L,8,FALSE())</f>
        <v>Khalil Shakir</v>
      </c>
      <c r="AE56" s="94" t="str">
        <f aca="false">IFERROR(VLOOKUP(Table6[[#This Row],[PLAYER]],ECR!C:F,2,FALSE()),"-")</f>
        <v>BUF</v>
      </c>
      <c r="AF56" s="94" t="n">
        <f aca="false">IFERROR(VLOOKUP(Table6[[#This Row],[PLAYER]],ECR!C:F,4,FALSE()),"-")</f>
        <v>7</v>
      </c>
      <c r="AG56" s="94" t="str">
        <f aca="false">Table6[[#This Row],[Team]] &amp; "/" &amp; Table6[[#This Row],[Bye]]</f>
        <v>BUF/7</v>
      </c>
      <c r="AH56" s="95" t="n">
        <f aca="false">IFERROR(VLOOKUP(Table6[[#This Row],[PLAYER]],WR!A:Q,13,FALSE())/17*(17-Table6[[#This Row],[Missed Games]]),0)</f>
        <v>91.5217423678332</v>
      </c>
      <c r="AI56" s="95" t="n">
        <f aca="false">IFERROR(VLOOKUP(Table6[[#This Row],[PLAYER]],WR!A:Q,14,FALSE())/17*(17-Table6[[#This Row],[Missed Games]]),0)</f>
        <v>100.403142218913</v>
      </c>
      <c r="AJ56" s="95" t="n">
        <f aca="false">IFERROR(VLOOKUP(Table6[[#This Row],[PLAYER]],WR!A:Q,15,FALSE())/17*(17-Table6[[#This Row],[Missed Games]]),0)</f>
        <v>106.182241250931</v>
      </c>
      <c r="AK56" s="96" t="n">
        <f aca="false">AVERAGE(AVERAGE(Table6[[#This Row],[LOW]],Table6[[#This Row],[HIGH]]),Table6[[#This Row],[AVG]],VLOOKUP(Table6[[#This Row],[PLAYER]],ECR!L:N,3,FALSE()))</f>
        <v>101.165178704393</v>
      </c>
      <c r="AL56" s="96" t="n">
        <f aca="false">Table6[[#This Row],[Zscore Projection]]-$AE$1</f>
        <v>-24.5127000407049</v>
      </c>
      <c r="AM56" s="97" t="e">
        <f aca="false">MAX(Table6[[#This Row],[VBD]]*Scoring!$B$48+1,1)</f>
        <v>#VALUE!</v>
      </c>
      <c r="AN56" s="98" t="n">
        <f aca="false">VLOOKUP(Table6[[#This Row],[VBD]],BR:BT,3,FALSE())</f>
        <v>7</v>
      </c>
      <c r="AO56" s="99" t="n">
        <f aca="false">VLOOKUP(INDEX(ECR!$E:$E,MATCH(AD56,ECR!$C:$C,0)),RISK!A:B,2,FALSE())</f>
        <v>3.84810126582278</v>
      </c>
      <c r="AP56" s="100"/>
      <c r="AQ56" s="101" t="s">
        <v>341</v>
      </c>
      <c r="AR56" s="80"/>
      <c r="AT56" s="80"/>
      <c r="AU56" s="80"/>
      <c r="AV56" s="80"/>
      <c r="AW56" s="80"/>
      <c r="AX56" s="80"/>
      <c r="AY56" s="80"/>
      <c r="AZ56" s="80"/>
      <c r="BA56" s="80"/>
      <c r="BC56" s="80"/>
      <c r="BD56" s="80"/>
      <c r="BF56" s="102" t="n">
        <v>54</v>
      </c>
      <c r="BG56" s="100" t="str">
        <f aca="false">IFERROR(LARGE($G$3:$G$52,BF56),"")</f>
        <v/>
      </c>
      <c r="BH56" s="100"/>
      <c r="BI56" s="100"/>
      <c r="BJ56" s="103"/>
      <c r="BK56" s="102" t="n">
        <v>54</v>
      </c>
      <c r="BL56" s="100" t="n">
        <f aca="false">IFERROR(LARGE($U$3:$U$102,BK56),"")</f>
        <v>69.9758647058824</v>
      </c>
      <c r="BM56" s="104" t="n">
        <f aca="false">IFERROR(LARGE($X$3:$X$102,54),"")</f>
        <v>-58.2467157647059</v>
      </c>
      <c r="BN56" s="104" t="n">
        <f aca="false">IF(BM56="",BN55,IF((BN55-BM56)&gt;0.15*LARGE($X$3:$X$102,2),BM56,BN55))</f>
        <v>-56.3978060392157</v>
      </c>
      <c r="BO56" s="103" t="n">
        <f aca="false">IF(BM56="",BO55,IF((BN55-BM56)&gt;0.15*LARGE($X$3:$X$102,2),BO55+1,BO55))</f>
        <v>9</v>
      </c>
      <c r="BP56" s="105" t="n">
        <v>54</v>
      </c>
      <c r="BQ56" s="100" t="n">
        <f aca="false">IFERROR(LARGE($AI$3:$AI$102,BP56),"")</f>
        <v>104.240402084885</v>
      </c>
      <c r="BR56" s="104" t="n">
        <f aca="false">IFERROR(LARGE($AL$3:$AL$102,54),"")</f>
        <v>-22.2240117805907</v>
      </c>
      <c r="BS56" s="104" t="n">
        <f aca="false">IF(BR56="",BS55,IF((BS55-BR56)&gt;0.15*LARGE($AL$3:$AL$102,2),BR56,BS55))</f>
        <v>-15.3829340305286</v>
      </c>
      <c r="BT56" s="103" t="n">
        <f aca="false">IF(BR56="",BT55,IF((BS55-BR56)&gt;0.15*LARGE($AL$3:$AL$102,2),BT55+1,BT55))</f>
        <v>7</v>
      </c>
      <c r="BU56" s="102" t="n">
        <v>54</v>
      </c>
      <c r="BV56" s="100" t="str">
        <f aca="false">IFERROR(LARGE($AW$3:$AW$52,BU56),"")</f>
        <v/>
      </c>
      <c r="BW56" s="104"/>
      <c r="BX56" s="104"/>
      <c r="BY56" s="106" t="n">
        <f aca="false">IFERROR(VALUE(RIGHT(INDEX(ECR!$E:$E,MATCH(P56,ECR!$C:$C,0)),LEN(INDEX(ECR!$E:$E,MATCH(P56,ECR!$C:$C,0)))-2)),"")</f>
        <v>54</v>
      </c>
      <c r="BZ56" s="104"/>
      <c r="CA56" s="104"/>
      <c r="CB56" s="104"/>
      <c r="CC56" s="104"/>
      <c r="CD56" s="104"/>
      <c r="CE56" s="104"/>
      <c r="CF56" s="104"/>
      <c r="CG56" s="104"/>
    </row>
    <row r="57" s="107" customFormat="true" ht="14.25" hidden="false" customHeight="true" outlineLevel="0" collapsed="false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M57" s="80"/>
      <c r="O57" s="98" t="s">
        <v>342</v>
      </c>
      <c r="P57" s="93" t="str">
        <f aca="false">VLOOKUP(O57,ECR!E:L,8,FALSE())</f>
        <v>Emmett Johnson</v>
      </c>
      <c r="Q57" s="94" t="str">
        <f aca="false">IFERROR(VLOOKUP(Table4[[#This Row],[PLAYER]],ECR!C:F,2,FALSE()),"-")</f>
        <v>KC</v>
      </c>
      <c r="R57" s="94" t="n">
        <f aca="false">IFERROR(VLOOKUP(Table4[[#This Row],[PLAYER]],ECR!C:F,4,FALSE()),"-")</f>
        <v>5</v>
      </c>
      <c r="S57" s="94" t="str">
        <f aca="false">Table4[[#This Row],[Team]] &amp; "/" &amp; Table4[[#This Row],[Bye]]</f>
        <v>KC/5</v>
      </c>
      <c r="T57" s="95" t="n">
        <f aca="false">IFERROR(VLOOKUP(Table4[[#This Row],[PLAYER]],RB!A:Q,13,FALSE())/17*(17-Table4[[#This Row],[Missed Games]]),0)</f>
        <v>59.1760305882353</v>
      </c>
      <c r="U57" s="95" t="n">
        <f aca="false">IFERROR(VLOOKUP(Table4[[#This Row],[PLAYER]],RB!A:Q,14,FALSE())/17*(17-Table4[[#This Row],[Missed Games]]),0)</f>
        <v>70.3560305882353</v>
      </c>
      <c r="V57" s="95" t="n">
        <f aca="false">IFERROR(VLOOKUP(Table4[[#This Row],[PLAYER]],RB!A:Q,15,FALSE())/17*(17-Table4[[#This Row],[Missed Games]]),0)</f>
        <v>81.3677952941177</v>
      </c>
      <c r="W57" s="96" t="n">
        <f aca="false">AVERAGE(AVERAGE(Table4[[#This Row],[LOW]],Table4[[#This Row],[HIGH]]),Table4[[#This Row],[AVG]],VLOOKUP(Table4[[#This Row],[PLAYER]],ECR!L:N,3,FALSE()))</f>
        <v>69.7457850980392</v>
      </c>
      <c r="X57" s="96" t="n">
        <f aca="false">Table4[[#This Row],[Zscore Projection]]-$Q$1</f>
        <v>-57.7999532941176</v>
      </c>
      <c r="Y57" s="97" t="e">
        <f aca="false">MAX(Table4[[#This Row],[VBD]]*Scoring!$B$48+1,1)</f>
        <v>#VALUE!</v>
      </c>
      <c r="Z57" s="98" t="n">
        <f aca="false">VLOOKUP(Table4[[#This Row],[VBD]],BM:BO,3,FALSE())</f>
        <v>9</v>
      </c>
      <c r="AA57" s="99" t="n">
        <f aca="false">VLOOKUP(INDEX(ECR!$E:$E,MATCH(P57,ECR!$C:$C,0)),RISK!A:B,2,FALSE())</f>
        <v>4</v>
      </c>
      <c r="AB57" s="100"/>
      <c r="AC57" s="94" t="s">
        <v>343</v>
      </c>
      <c r="AD57" s="94" t="str">
        <f aca="false">VLOOKUP(AC57,ECR!E:L,8,FALSE())</f>
        <v>Deebo Samuel Sr.</v>
      </c>
      <c r="AE57" s="94" t="str">
        <f aca="false">IFERROR(VLOOKUP(Table6[[#This Row],[PLAYER]],ECR!C:F,2,FALSE()),"-")</f>
        <v>SF</v>
      </c>
      <c r="AF57" s="94" t="n">
        <f aca="false">IFERROR(VLOOKUP(Table6[[#This Row],[PLAYER]],ECR!C:F,4,FALSE()),"-")</f>
        <v>8</v>
      </c>
      <c r="AG57" s="94" t="str">
        <f aca="false">Table6[[#This Row],[Team]] &amp; "/" &amp; Table6[[#This Row],[Bye]]</f>
        <v>SF/8</v>
      </c>
      <c r="AH57" s="95" t="n">
        <f aca="false">IFERROR(VLOOKUP(Table6[[#This Row],[PLAYER]],WR!A:Q,13,FALSE())/17*(17-Table6[[#This Row],[Missed Games]]),0)</f>
        <v>95.4982576321668</v>
      </c>
      <c r="AI57" s="95" t="n">
        <f aca="false">IFERROR(VLOOKUP(Table6[[#This Row],[PLAYER]],WR!A:Q,14,FALSE())/17*(17-Table6[[#This Row],[Missed Games]]),0)</f>
        <v>104.240402084885</v>
      </c>
      <c r="AJ57" s="95" t="n">
        <f aca="false">IFERROR(VLOOKUP(Table6[[#This Row],[PLAYER]],WR!A:Q,15,FALSE())/17*(17-Table6[[#This Row],[Missed Games]]),0)</f>
        <v>112.255323901713</v>
      </c>
      <c r="AK57" s="96" t="n">
        <f aca="false">AVERAGE(AVERAGE(Table6[[#This Row],[LOW]],Table6[[#This Row],[HIGH]]),Table6[[#This Row],[AVG]],VLOOKUP(Table6[[#This Row],[PLAYER]],ECR!L:N,3,FALSE()))</f>
        <v>103.453866964507</v>
      </c>
      <c r="AL57" s="96" t="n">
        <f aca="false">Table6[[#This Row],[Zscore Projection]]-$AE$1</f>
        <v>-22.2240117805907</v>
      </c>
      <c r="AM57" s="97" t="e">
        <f aca="false">MAX(Table6[[#This Row],[VBD]]*Scoring!$B$48+1,1)</f>
        <v>#VALUE!</v>
      </c>
      <c r="AN57" s="98" t="n">
        <f aca="false">VLOOKUP(Table6[[#This Row],[VBD]],BR:BT,3,FALSE())</f>
        <v>7</v>
      </c>
      <c r="AO57" s="99" t="n">
        <f aca="false">VLOOKUP(INDEX(ECR!$E:$E,MATCH(AD57,ECR!$C:$C,0)),RISK!A:B,2,FALSE())</f>
        <v>3.84810126582278</v>
      </c>
      <c r="AP57" s="100"/>
      <c r="AQ57" s="101" t="s">
        <v>344</v>
      </c>
      <c r="AR57" s="80"/>
      <c r="AT57" s="80"/>
      <c r="AU57" s="80"/>
      <c r="AV57" s="80"/>
      <c r="AW57" s="80"/>
      <c r="AX57" s="80"/>
      <c r="AY57" s="80"/>
      <c r="AZ57" s="80"/>
      <c r="BA57" s="80"/>
      <c r="BC57" s="80"/>
      <c r="BD57" s="80"/>
      <c r="BF57" s="102" t="n">
        <v>55</v>
      </c>
      <c r="BG57" s="100" t="str">
        <f aca="false">IFERROR(LARGE($G$3:$G$52,BF57),"")</f>
        <v/>
      </c>
      <c r="BH57" s="100"/>
      <c r="BI57" s="100"/>
      <c r="BJ57" s="103"/>
      <c r="BK57" s="102" t="n">
        <v>55</v>
      </c>
      <c r="BL57" s="100" t="n">
        <f aca="false">IFERROR(LARGE($U$3:$U$102,BK57),"")</f>
        <v>68.6094117647059</v>
      </c>
      <c r="BM57" s="104" t="n">
        <f aca="false">IFERROR(LARGE($X$3:$X$102,55),"")</f>
        <v>-59.7023070196079</v>
      </c>
      <c r="BN57" s="104" t="n">
        <f aca="false">IF(BM57="",BN56,IF((BN56-BM57)&gt;0.15*LARGE($X$3:$X$102,2),BM57,BN56))</f>
        <v>-56.3978060392157</v>
      </c>
      <c r="BO57" s="103" t="n">
        <f aca="false">IF(BM57="",BO56,IF((BN56-BM57)&gt;0.15*LARGE($X$3:$X$102,2),BO56+1,BO56))</f>
        <v>9</v>
      </c>
      <c r="BP57" s="105" t="n">
        <v>55</v>
      </c>
      <c r="BQ57" s="100" t="n">
        <f aca="false">IFERROR(LARGE($AI$3:$AI$102,BP57),"")</f>
        <v>102.244408041698</v>
      </c>
      <c r="BR57" s="104" t="n">
        <f aca="false">IFERROR(LARGE($AL$3:$AL$102,55),"")</f>
        <v>-24.4172843047902</v>
      </c>
      <c r="BS57" s="104" t="n">
        <f aca="false">IF(BR57="",BS56,IF((BS56-BR57)&gt;0.15*LARGE($AL$3:$AL$102,2),BR57,BS56))</f>
        <v>-15.3829340305286</v>
      </c>
      <c r="BT57" s="103" t="n">
        <f aca="false">IF(BR57="",BT56,IF((BS56-BR57)&gt;0.15*LARGE($AL$3:$AL$102,2),BT56+1,BT56))</f>
        <v>7</v>
      </c>
      <c r="BU57" s="102" t="n">
        <v>55</v>
      </c>
      <c r="BV57" s="100" t="str">
        <f aca="false">IFERROR(LARGE($AW$3:$AW$52,BU57),"")</f>
        <v/>
      </c>
      <c r="BW57" s="104"/>
      <c r="BX57" s="104"/>
      <c r="BY57" s="106" t="n">
        <f aca="false">IFERROR(VALUE(RIGHT(INDEX(ECR!$E:$E,MATCH(P57,ECR!$C:$C,0)),LEN(INDEX(ECR!$E:$E,MATCH(P57,ECR!$C:$C,0)))-2)),"")</f>
        <v>55</v>
      </c>
      <c r="BZ57" s="104"/>
      <c r="CA57" s="104"/>
      <c r="CB57" s="104"/>
      <c r="CC57" s="104"/>
      <c r="CD57" s="104"/>
      <c r="CE57" s="104"/>
      <c r="CF57" s="104"/>
      <c r="CG57" s="104"/>
    </row>
    <row r="58" s="107" customFormat="true" ht="14.25" hidden="false" customHeight="true" outlineLevel="0" collapsed="false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M58" s="80"/>
      <c r="O58" s="98" t="s">
        <v>345</v>
      </c>
      <c r="P58" s="93" t="str">
        <f aca="false">VLOOKUP(O58,ECR!E:L,8,FALSE())</f>
        <v>Brian Robinson Jr.</v>
      </c>
      <c r="Q58" s="94" t="str">
        <f aca="false">IFERROR(VLOOKUP(Table4[[#This Row],[PLAYER]],ECR!C:F,2,FALSE()),"-")</f>
        <v>ATL</v>
      </c>
      <c r="R58" s="94" t="n">
        <f aca="false">IFERROR(VLOOKUP(Table4[[#This Row],[PLAYER]],ECR!C:F,4,FALSE()),"-")</f>
        <v>11</v>
      </c>
      <c r="S58" s="94" t="str">
        <f aca="false">Table4[[#This Row],[Team]] &amp; "/" &amp; Table4[[#This Row],[Bye]]</f>
        <v>ATL/11</v>
      </c>
      <c r="T58" s="95" t="n">
        <f aca="false">IFERROR(VLOOKUP(Table4[[#This Row],[PLAYER]],RB!A:Q,13,FALSE())/17*(17-Table4[[#This Row],[Missed Games]]),0)</f>
        <v>54.0647058823529</v>
      </c>
      <c r="U58" s="95" t="n">
        <f aca="false">IFERROR(VLOOKUP(Table4[[#This Row],[PLAYER]],RB!A:Q,14,FALSE())/17*(17-Table4[[#This Row],[Missed Games]]),0)</f>
        <v>63.1876470588235</v>
      </c>
      <c r="V58" s="95" t="n">
        <f aca="false">IFERROR(VLOOKUP(Table4[[#This Row],[PLAYER]],RB!A:Q,15,FALSE())/17*(17-Table4[[#This Row],[Missed Games]]),0)</f>
        <v>69.7794117647059</v>
      </c>
      <c r="W58" s="96" t="n">
        <f aca="false">AVERAGE(AVERAGE(Table4[[#This Row],[LOW]],Table4[[#This Row],[HIGH]]),Table4[[#This Row],[AVG]],VLOOKUP(Table4[[#This Row],[PLAYER]],ECR!L:N,3,FALSE()))</f>
        <v>64.2019937254902</v>
      </c>
      <c r="X58" s="96" t="n">
        <f aca="false">Table4[[#This Row],[Zscore Projection]]-$Q$1</f>
        <v>-63.3437446666667</v>
      </c>
      <c r="Y58" s="97" t="e">
        <f aca="false">MAX(Table4[[#This Row],[VBD]]*Scoring!$B$48+1,1)</f>
        <v>#VALUE!</v>
      </c>
      <c r="Z58" s="98" t="n">
        <f aca="false">VLOOKUP(Table4[[#This Row],[VBD]],BM:BO,3,FALSE())</f>
        <v>9</v>
      </c>
      <c r="AA58" s="99" t="n">
        <f aca="false">VLOOKUP(INDEX(ECR!$E:$E,MATCH(P58,ECR!$C:$C,0)),RISK!A:B,2,FALSE())</f>
        <v>4</v>
      </c>
      <c r="AB58" s="100"/>
      <c r="AC58" s="94" t="s">
        <v>346</v>
      </c>
      <c r="AD58" s="94" t="str">
        <f aca="false">VLOOKUP(AC58,ECR!E:L,8,FALSE())</f>
        <v>Jordyn Tyson</v>
      </c>
      <c r="AE58" s="94" t="str">
        <f aca="false">IFERROR(VLOOKUP(Table6[[#This Row],[PLAYER]],ECR!C:F,2,FALSE()),"-")</f>
        <v>NO</v>
      </c>
      <c r="AF58" s="94" t="n">
        <f aca="false">IFERROR(VLOOKUP(Table6[[#This Row],[PLAYER]],ECR!C:F,4,FALSE()),"-")</f>
        <v>8</v>
      </c>
      <c r="AG58" s="94" t="str">
        <f aca="false">Table6[[#This Row],[Team]] &amp; "/" &amp; Table6[[#This Row],[Bye]]</f>
        <v>NO/8</v>
      </c>
      <c r="AH58" s="95" t="n">
        <f aca="false">IFERROR(VLOOKUP(Table6[[#This Row],[PLAYER]],WR!A:Q,13,FALSE())/17*(17-Table6[[#This Row],[Missed Games]]),0)</f>
        <v>86.9922284437826</v>
      </c>
      <c r="AI58" s="95" t="n">
        <f aca="false">IFERROR(VLOOKUP(Table6[[#This Row],[PLAYER]],WR!A:Q,14,FALSE())/17*(17-Table6[[#This Row],[Missed Games]]),0)</f>
        <v>94.1329358153388</v>
      </c>
      <c r="AJ58" s="95" t="n">
        <f aca="false">IFERROR(VLOOKUP(Table6[[#This Row],[PLAYER]],WR!A:Q,15,FALSE())/17*(17-Table6[[#This Row],[Missed Games]]),0)</f>
        <v>100.817194936709</v>
      </c>
      <c r="AK58" s="96" t="n">
        <f aca="false">AVERAGE(AVERAGE(Table6[[#This Row],[LOW]],Table6[[#This Row],[HIGH]]),Table6[[#This Row],[AVG]],VLOOKUP(Table6[[#This Row],[PLAYER]],ECR!L:N,3,FALSE()))</f>
        <v>96.1469299081658</v>
      </c>
      <c r="AL58" s="96" t="n">
        <f aca="false">Table6[[#This Row],[Zscore Projection]]-$AE$1</f>
        <v>-29.5309488369322</v>
      </c>
      <c r="AM58" s="97" t="e">
        <f aca="false">MAX(Table6[[#This Row],[VBD]]*Scoring!$B$48+1,1)</f>
        <v>#VALUE!</v>
      </c>
      <c r="AN58" s="98" t="n">
        <f aca="false">VLOOKUP(Table6[[#This Row],[VBD]],BR:BT,3,FALSE())</f>
        <v>7</v>
      </c>
      <c r="AO58" s="99" t="n">
        <f aca="false">VLOOKUP(INDEX(ECR!$E:$E,MATCH(AD58,ECR!$C:$C,0)),RISK!A:B,2,FALSE())</f>
        <v>3.84810126582278</v>
      </c>
      <c r="AP58" s="100"/>
      <c r="AQ58" s="101" t="s">
        <v>347</v>
      </c>
      <c r="AR58" s="80"/>
      <c r="AT58" s="80"/>
      <c r="AU58" s="80"/>
      <c r="AV58" s="80"/>
      <c r="AW58" s="80"/>
      <c r="AX58" s="80"/>
      <c r="AY58" s="80"/>
      <c r="AZ58" s="80"/>
      <c r="BA58" s="80"/>
      <c r="BC58" s="80"/>
      <c r="BD58" s="80"/>
      <c r="BF58" s="102" t="n">
        <v>56</v>
      </c>
      <c r="BG58" s="100" t="str">
        <f aca="false">IFERROR(LARGE($G$3:$G$52,BF58),"")</f>
        <v/>
      </c>
      <c r="BH58" s="100"/>
      <c r="BI58" s="100"/>
      <c r="BJ58" s="103"/>
      <c r="BK58" s="102" t="n">
        <v>56</v>
      </c>
      <c r="BL58" s="100" t="n">
        <f aca="false">IFERROR(LARGE($U$3:$U$102,BK58),"")</f>
        <v>67.4962752941176</v>
      </c>
      <c r="BM58" s="104" t="n">
        <f aca="false">IFERROR(LARGE($X$3:$X$102,56),"")</f>
        <v>-61.5085629019608</v>
      </c>
      <c r="BN58" s="104" t="n">
        <f aca="false">IF(BM58="",BN57,IF((BN57-BM58)&gt;0.15*LARGE($X$3:$X$102,2),BM58,BN57))</f>
        <v>-56.3978060392157</v>
      </c>
      <c r="BO58" s="103" t="n">
        <f aca="false">IF(BM58="",BO57,IF((BN57-BM58)&gt;0.15*LARGE($X$3:$X$102,2),BO57+1,BO57))</f>
        <v>9</v>
      </c>
      <c r="BP58" s="105" t="n">
        <v>56</v>
      </c>
      <c r="BQ58" s="100" t="n">
        <f aca="false">IFERROR(LARGE($AI$3:$AI$102,BP58),"")</f>
        <v>100.403142218913</v>
      </c>
      <c r="BR58" s="104" t="n">
        <f aca="false">IFERROR(LARGE($AL$3:$AL$102,56),"")</f>
        <v>-24.5127000407049</v>
      </c>
      <c r="BS58" s="104" t="n">
        <f aca="false">IF(BR58="",BS57,IF((BS57-BR58)&gt;0.15*LARGE($AL$3:$AL$102,2),BR58,BS57))</f>
        <v>-15.3829340305286</v>
      </c>
      <c r="BT58" s="103" t="n">
        <f aca="false">IF(BR58="",BT57,IF((BS57-BR58)&gt;0.15*LARGE($AL$3:$AL$102,2),BT57+1,BT57))</f>
        <v>7</v>
      </c>
      <c r="BU58" s="102" t="n">
        <v>56</v>
      </c>
      <c r="BV58" s="100" t="str">
        <f aca="false">IFERROR(LARGE($AW$3:$AW$52,BU58),"")</f>
        <v/>
      </c>
      <c r="BW58" s="104"/>
      <c r="BX58" s="104"/>
      <c r="BY58" s="106" t="n">
        <f aca="false">IFERROR(VALUE(RIGHT(INDEX(ECR!$E:$E,MATCH(P58,ECR!$C:$C,0)),LEN(INDEX(ECR!$E:$E,MATCH(P58,ECR!$C:$C,0)))-2)),"")</f>
        <v>56</v>
      </c>
      <c r="BZ58" s="104"/>
      <c r="CA58" s="104"/>
      <c r="CB58" s="104"/>
      <c r="CC58" s="104"/>
      <c r="CD58" s="104"/>
      <c r="CE58" s="104"/>
      <c r="CF58" s="104"/>
      <c r="CG58" s="104"/>
    </row>
    <row r="59" s="107" customFormat="true" ht="14.25" hidden="false" customHeight="true" outlineLevel="0" collapsed="false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M59" s="80"/>
      <c r="O59" s="98" t="s">
        <v>348</v>
      </c>
      <c r="P59" s="93" t="str">
        <f aca="false">VLOOKUP(O59,ECR!E:L,8,FALSE())</f>
        <v>Josh Jacobs</v>
      </c>
      <c r="Q59" s="94" t="str">
        <f aca="false">IFERROR(VLOOKUP(Table4[[#This Row],[PLAYER]],ECR!C:F,2,FALSE()),"-")</f>
        <v>GB</v>
      </c>
      <c r="R59" s="94" t="n">
        <f aca="false">IFERROR(VLOOKUP(Table4[[#This Row],[PLAYER]],ECR!C:F,4,FALSE()),"-")</f>
        <v>11</v>
      </c>
      <c r="S59" s="94" t="str">
        <f aca="false">Table4[[#This Row],[Team]] &amp; "/" &amp; Table4[[#This Row],[Bye]]</f>
        <v>GB/11</v>
      </c>
      <c r="T59" s="95" t="n">
        <f aca="false">IFERROR(VLOOKUP(Table4[[#This Row],[PLAYER]],RB!A:Q,13,FALSE())/17*(17-Table4[[#This Row],[Missed Games]]),0)</f>
        <v>75.0941176470588</v>
      </c>
      <c r="U59" s="95" t="n">
        <f aca="false">IFERROR(VLOOKUP(Table4[[#This Row],[PLAYER]],RB!A:Q,14,FALSE())/17*(17-Table4[[#This Row],[Missed Games]]),0)</f>
        <v>96.9188235294118</v>
      </c>
      <c r="V59" s="95" t="n">
        <f aca="false">IFERROR(VLOOKUP(Table4[[#This Row],[PLAYER]],RB!A:Q,15,FALSE())/17*(17-Table4[[#This Row],[Missed Games]]),0)</f>
        <v>116.403529411765</v>
      </c>
      <c r="W59" s="96" t="n">
        <f aca="false">AVERAGE(AVERAGE(Table4[[#This Row],[LOW]],Table4[[#This Row],[HIGH]]),Table4[[#This Row],[AVG]],VLOOKUP(Table4[[#This Row],[PLAYER]],ECR!L:N,3,FALSE()))</f>
        <v>86.5111764705882</v>
      </c>
      <c r="X59" s="96" t="n">
        <f aca="false">Table4[[#This Row],[Zscore Projection]]-$Q$1</f>
        <v>-41.0345619215686</v>
      </c>
      <c r="Y59" s="97" t="e">
        <f aca="false">MAX(Table4[[#This Row],[VBD]]*Scoring!$B$48+1,1)</f>
        <v>#VALUE!</v>
      </c>
      <c r="Z59" s="98" t="n">
        <f aca="false">VLOOKUP(Table4[[#This Row],[VBD]],BM:BO,3,FALSE())</f>
        <v>8</v>
      </c>
      <c r="AA59" s="99" t="n">
        <f aca="false">VLOOKUP(INDEX(ECR!$E:$E,MATCH(P59,ECR!$C:$C,0)),RISK!A:B,2,FALSE())</f>
        <v>4</v>
      </c>
      <c r="AB59" s="100"/>
      <c r="AC59" s="94" t="s">
        <v>349</v>
      </c>
      <c r="AD59" s="94" t="str">
        <f aca="false">VLOOKUP(AC59,ECR!E:L,8,FALSE())</f>
        <v>Rashid Shaheed</v>
      </c>
      <c r="AE59" s="94" t="str">
        <f aca="false">IFERROR(VLOOKUP(Table6[[#This Row],[PLAYER]],ECR!C:F,2,FALSE()),"-")</f>
        <v>SEA</v>
      </c>
      <c r="AF59" s="94" t="n">
        <f aca="false">IFERROR(VLOOKUP(Table6[[#This Row],[PLAYER]],ECR!C:F,4,FALSE()),"-")</f>
        <v>11</v>
      </c>
      <c r="AG59" s="94" t="str">
        <f aca="false">Table6[[#This Row],[Team]] &amp; "/" &amp; Table6[[#This Row],[Bye]]</f>
        <v>SEA/11</v>
      </c>
      <c r="AH59" s="95" t="n">
        <f aca="false">IFERROR(VLOOKUP(Table6[[#This Row],[PLAYER]],WR!A:Q,13,FALSE())/17*(17-Table6[[#This Row],[Missed Games]]),0)</f>
        <v>87.9707297096054</v>
      </c>
      <c r="AI59" s="95" t="n">
        <f aca="false">IFERROR(VLOOKUP(Table6[[#This Row],[PLAYER]],WR!A:Q,14,FALSE())/17*(17-Table6[[#This Row],[Missed Games]]),0)</f>
        <v>102.244408041698</v>
      </c>
      <c r="AJ59" s="95" t="n">
        <f aca="false">IFERROR(VLOOKUP(Table6[[#This Row],[PLAYER]],WR!A:Q,15,FALSE())/17*(17-Table6[[#This Row],[Missed Games]]),0)</f>
        <v>115.581980640357</v>
      </c>
      <c r="AK59" s="96" t="n">
        <f aca="false">AVERAGE(AVERAGE(Table6[[#This Row],[LOW]],Table6[[#This Row],[HIGH]]),Table6[[#This Row],[AVG]],VLOOKUP(Table6[[#This Row],[PLAYER]],ECR!L:N,3,FALSE()))</f>
        <v>101.260594440308</v>
      </c>
      <c r="AL59" s="96" t="n">
        <f aca="false">Table6[[#This Row],[Zscore Projection]]-$AE$1</f>
        <v>-24.4172843047902</v>
      </c>
      <c r="AM59" s="97" t="e">
        <f aca="false">MAX(Table6[[#This Row],[VBD]]*Scoring!$B$48+1,1)</f>
        <v>#VALUE!</v>
      </c>
      <c r="AN59" s="98" t="n">
        <f aca="false">VLOOKUP(Table6[[#This Row],[VBD]],BR:BT,3,FALSE())</f>
        <v>7</v>
      </c>
      <c r="AO59" s="99" t="n">
        <f aca="false">VLOOKUP(INDEX(ECR!$E:$E,MATCH(AD59,ECR!$C:$C,0)),RISK!A:B,2,FALSE())</f>
        <v>3.84810126582278</v>
      </c>
      <c r="AP59" s="100"/>
      <c r="AQ59" s="101" t="s">
        <v>350</v>
      </c>
      <c r="AR59" s="80"/>
      <c r="AT59" s="80"/>
      <c r="AU59" s="80"/>
      <c r="AV59" s="80"/>
      <c r="AW59" s="80"/>
      <c r="AX59" s="80"/>
      <c r="AY59" s="80"/>
      <c r="AZ59" s="80"/>
      <c r="BA59" s="80"/>
      <c r="BC59" s="80"/>
      <c r="BD59" s="80"/>
      <c r="BF59" s="102" t="n">
        <v>57</v>
      </c>
      <c r="BG59" s="100" t="str">
        <f aca="false">IFERROR(LARGE($G$3:$G$52,BF59),"")</f>
        <v/>
      </c>
      <c r="BH59" s="104"/>
      <c r="BI59" s="104"/>
      <c r="BJ59" s="106"/>
      <c r="BK59" s="102" t="n">
        <v>57</v>
      </c>
      <c r="BL59" s="100" t="n">
        <f aca="false">IFERROR(LARGE($U$3:$U$102,BK59),"")</f>
        <v>66.8658823529412</v>
      </c>
      <c r="BM59" s="104" t="n">
        <f aca="false">IFERROR(LARGE($X$3:$X$102,57),"")</f>
        <v>-61.9800465588235</v>
      </c>
      <c r="BN59" s="104" t="n">
        <f aca="false">IF(BM59="",BN58,IF((BN58-BM59)&gt;0.15*LARGE($X$3:$X$102,2),BM59,BN58))</f>
        <v>-56.3978060392157</v>
      </c>
      <c r="BO59" s="103" t="n">
        <f aca="false">IF(BM59="",BO58,IF((BN58-BM59)&gt;0.15*LARGE($X$3:$X$102,2),BO58+1,BO58))</f>
        <v>9</v>
      </c>
      <c r="BP59" s="105" t="n">
        <v>57</v>
      </c>
      <c r="BQ59" s="100" t="n">
        <f aca="false">IFERROR(LARGE($AI$3:$AI$102,BP59),"")</f>
        <v>99.7610201042442</v>
      </c>
      <c r="BR59" s="104" t="n">
        <f aca="false">IFERROR(LARGE($AL$3:$AL$102,57),"")</f>
        <v>-25.312129179449</v>
      </c>
      <c r="BS59" s="104" t="n">
        <f aca="false">IF(BR59="",BS58,IF((BS58-BR59)&gt;0.15*LARGE($AL$3:$AL$102,2),BR59,BS58))</f>
        <v>-15.3829340305286</v>
      </c>
      <c r="BT59" s="103" t="n">
        <f aca="false">IF(BR59="",BT58,IF((BS58-BR59)&gt;0.15*LARGE($AL$3:$AL$102,2),BT58+1,BT58))</f>
        <v>7</v>
      </c>
      <c r="BU59" s="102" t="n">
        <v>57</v>
      </c>
      <c r="BV59" s="100" t="str">
        <f aca="false">IFERROR(LARGE($AW$3:$AW$52,BU59),"")</f>
        <v/>
      </c>
      <c r="BW59" s="104"/>
      <c r="BX59" s="104"/>
      <c r="BY59" s="106" t="n">
        <f aca="false">IFERROR(VALUE(RIGHT(INDEX(ECR!$E:$E,MATCH(P59,ECR!$C:$C,0)),LEN(INDEX(ECR!$E:$E,MATCH(P59,ECR!$C:$C,0)))-2)),"")</f>
        <v>57</v>
      </c>
      <c r="BZ59" s="104"/>
      <c r="CA59" s="104"/>
      <c r="CB59" s="104"/>
      <c r="CC59" s="104"/>
      <c r="CD59" s="104"/>
      <c r="CE59" s="104"/>
      <c r="CF59" s="104"/>
      <c r="CG59" s="104"/>
    </row>
    <row r="60" s="107" customFormat="true" ht="14.25" hidden="false" customHeight="true" outlineLevel="0" collapsed="false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M60" s="80"/>
      <c r="O60" s="98" t="s">
        <v>351</v>
      </c>
      <c r="P60" s="93" t="str">
        <f aca="false">VLOOKUP(O60,ECR!E:L,8,FALSE())</f>
        <v>Ray Davis</v>
      </c>
      <c r="Q60" s="94" t="str">
        <f aca="false">IFERROR(VLOOKUP(Table4[[#This Row],[PLAYER]],ECR!C:F,2,FALSE()),"-")</f>
        <v>BUF</v>
      </c>
      <c r="R60" s="94" t="n">
        <f aca="false">IFERROR(VLOOKUP(Table4[[#This Row],[PLAYER]],ECR!C:F,4,FALSE()),"-")</f>
        <v>7</v>
      </c>
      <c r="S60" s="94" t="str">
        <f aca="false">Table4[[#This Row],[Team]] &amp; "/" &amp; Table4[[#This Row],[Bye]]</f>
        <v>BUF/7</v>
      </c>
      <c r="T60" s="95" t="n">
        <f aca="false">IFERROR(VLOOKUP(Table4[[#This Row],[PLAYER]],RB!A:Q,13,FALSE())/17*(17-Table4[[#This Row],[Missed Games]]),0)</f>
        <v>24.7229411764706</v>
      </c>
      <c r="U60" s="95" t="n">
        <f aca="false">IFERROR(VLOOKUP(Table4[[#This Row],[PLAYER]],RB!A:Q,14,FALSE())/17*(17-Table4[[#This Row],[Missed Games]]),0)</f>
        <v>24.7229411764706</v>
      </c>
      <c r="V60" s="95" t="n">
        <f aca="false">IFERROR(VLOOKUP(Table4[[#This Row],[PLAYER]],RB!A:Q,15,FALSE())/17*(17-Table4[[#This Row],[Missed Games]]),0)</f>
        <v>24.7229411764706</v>
      </c>
      <c r="W60" s="96" t="n">
        <f aca="false">AVERAGE(AVERAGE(Table4[[#This Row],[LOW]],Table4[[#This Row],[HIGH]]),Table4[[#This Row],[AVG]],VLOOKUP(Table4[[#This Row],[PLAYER]],ECR!L:N,3,FALSE()))</f>
        <v>38.5003887843137</v>
      </c>
      <c r="X60" s="96" t="n">
        <f aca="false">Table4[[#This Row],[Zscore Projection]]-$Q$1</f>
        <v>-89.0453496078432</v>
      </c>
      <c r="Y60" s="97" t="e">
        <f aca="false">MAX(Table4[[#This Row],[VBD]]*Scoring!$B$48+1,1)</f>
        <v>#VALUE!</v>
      </c>
      <c r="Z60" s="98" t="n">
        <f aca="false">VLOOKUP(Table4[[#This Row],[VBD]],BM:BO,3,FALSE())</f>
        <v>10</v>
      </c>
      <c r="AA60" s="99" t="n">
        <f aca="false">VLOOKUP(INDEX(ECR!$E:$E,MATCH(P60,ECR!$C:$C,0)),RISK!A:B,2,FALSE())</f>
        <v>4</v>
      </c>
      <c r="AB60" s="100"/>
      <c r="AC60" s="94" t="s">
        <v>352</v>
      </c>
      <c r="AD60" s="94" t="str">
        <f aca="false">VLOOKUP(AC60,ECR!E:L,8,FALSE())</f>
        <v>Denzel Boston</v>
      </c>
      <c r="AE60" s="94" t="str">
        <f aca="false">IFERROR(VLOOKUP(Table6[[#This Row],[PLAYER]],ECR!C:F,2,FALSE()),"-")</f>
        <v>CLE</v>
      </c>
      <c r="AF60" s="94" t="n">
        <f aca="false">IFERROR(VLOOKUP(Table6[[#This Row],[PLAYER]],ECR!C:F,4,FALSE()),"-")</f>
        <v>11</v>
      </c>
      <c r="AG60" s="94" t="str">
        <f aca="false">Table6[[#This Row],[Team]] &amp; "/" &amp; Table6[[#This Row],[Bye]]</f>
        <v>CLE/11</v>
      </c>
      <c r="AH60" s="95" t="n">
        <f aca="false">IFERROR(VLOOKUP(Table6[[#This Row],[PLAYER]],WR!A:Q,13,FALSE())/17*(17-Table6[[#This Row],[Missed Games]]),0)</f>
        <v>103.60385018615</v>
      </c>
      <c r="AI60" s="95" t="n">
        <f aca="false">IFERROR(VLOOKUP(Table6[[#This Row],[PLAYER]],WR!A:Q,14,FALSE())/17*(17-Table6[[#This Row],[Missed Games]]),0)</f>
        <v>112.291839761727</v>
      </c>
      <c r="AJ60" s="95" t="n">
        <f aca="false">IFERROR(VLOOKUP(Table6[[#This Row],[PLAYER]],WR!A:Q,15,FALSE())/17*(17-Table6[[#This Row],[Missed Games]]),0)</f>
        <v>120.987565748325</v>
      </c>
      <c r="AK60" s="96" t="n">
        <f aca="false">AVERAGE(AVERAGE(Table6[[#This Row],[LOW]],Table6[[#This Row],[HIGH]]),Table6[[#This Row],[AVG]],VLOOKUP(Table6[[#This Row],[PLAYER]],ECR!L:N,3,FALSE()))</f>
        <v>107.646847009183</v>
      </c>
      <c r="AL60" s="96" t="n">
        <f aca="false">Table6[[#This Row],[Zscore Projection]]-$AE$1</f>
        <v>-18.0310317359146</v>
      </c>
      <c r="AM60" s="97" t="e">
        <f aca="false">MAX(Table6[[#This Row],[VBD]]*Scoring!$B$48+1,1)</f>
        <v>#VALUE!</v>
      </c>
      <c r="AN60" s="98" t="n">
        <f aca="false">VLOOKUP(Table6[[#This Row],[VBD]],BR:BT,3,FALSE())</f>
        <v>7</v>
      </c>
      <c r="AO60" s="99" t="n">
        <f aca="false">VLOOKUP(INDEX(ECR!$E:$E,MATCH(AD60,ECR!$C:$C,0)),RISK!A:B,2,FALSE())</f>
        <v>3.84810126582278</v>
      </c>
      <c r="AP60" s="100"/>
      <c r="AQ60" s="101" t="s">
        <v>353</v>
      </c>
      <c r="AR60" s="80"/>
      <c r="AT60" s="80"/>
      <c r="AU60" s="80"/>
      <c r="AV60" s="80"/>
      <c r="AW60" s="80"/>
      <c r="AX60" s="80"/>
      <c r="AY60" s="80"/>
      <c r="AZ60" s="80"/>
      <c r="BA60" s="80"/>
      <c r="BC60" s="80"/>
      <c r="BD60" s="80"/>
      <c r="BF60" s="102" t="n">
        <v>58</v>
      </c>
      <c r="BG60" s="100" t="str">
        <f aca="false">IFERROR(LARGE($G$3:$G$52,BF60),"")</f>
        <v/>
      </c>
      <c r="BH60" s="104"/>
      <c r="BI60" s="104"/>
      <c r="BJ60" s="106"/>
      <c r="BK60" s="102" t="n">
        <v>58</v>
      </c>
      <c r="BL60" s="100" t="n">
        <f aca="false">IFERROR(LARGE($U$3:$U$102,BK60),"")</f>
        <v>66.055284</v>
      </c>
      <c r="BM60" s="104" t="n">
        <f aca="false">IFERROR(LARGE($X$3:$X$102,58),"")</f>
        <v>-63.3437446666667</v>
      </c>
      <c r="BN60" s="104" t="n">
        <f aca="false">IF(BM60="",BN59,IF((BN59-BM60)&gt;0.15*LARGE($X$3:$X$102,2),BM60,BN59))</f>
        <v>-56.3978060392157</v>
      </c>
      <c r="BO60" s="103" t="n">
        <f aca="false">IF(BM60="",BO59,IF((BN59-BM60)&gt;0.15*LARGE($X$3:$X$102,2),BO59+1,BO59))</f>
        <v>9</v>
      </c>
      <c r="BP60" s="105" t="n">
        <v>58</v>
      </c>
      <c r="BQ60" s="100" t="n">
        <f aca="false">IFERROR(LARGE($AI$3:$AI$102,BP60),"")</f>
        <v>98.3529932985853</v>
      </c>
      <c r="BR60" s="104" t="n">
        <f aca="false">IFERROR(LARGE($AL$3:$AL$102,58),"")</f>
        <v>-29.0621223291139</v>
      </c>
      <c r="BS60" s="104" t="n">
        <f aca="false">IF(BR60="",BS59,IF((BS59-BR60)&gt;0.15*LARGE($AL$3:$AL$102,2),BR60,BS59))</f>
        <v>-15.3829340305286</v>
      </c>
      <c r="BT60" s="103" t="n">
        <f aca="false">IF(BR60="",BT59,IF((BS59-BR60)&gt;0.15*LARGE($AL$3:$AL$102,2),BT59+1,BT59))</f>
        <v>7</v>
      </c>
      <c r="BU60" s="102" t="n">
        <v>58</v>
      </c>
      <c r="BV60" s="100" t="str">
        <f aca="false">IFERROR(LARGE($AW$3:$AW$52,BU60),"")</f>
        <v/>
      </c>
      <c r="BW60" s="104"/>
      <c r="BX60" s="104"/>
      <c r="BY60" s="106" t="n">
        <f aca="false">IFERROR(VALUE(RIGHT(INDEX(ECR!$E:$E,MATCH(P60,ECR!$C:$C,0)),LEN(INDEX(ECR!$E:$E,MATCH(P60,ECR!$C:$C,0)))-2)),"")</f>
        <v>58</v>
      </c>
      <c r="BZ60" s="104"/>
      <c r="CA60" s="104"/>
      <c r="CB60" s="104"/>
      <c r="CC60" s="104"/>
      <c r="CD60" s="104"/>
      <c r="CE60" s="104"/>
      <c r="CF60" s="104"/>
      <c r="CG60" s="104"/>
    </row>
    <row r="61" s="107" customFormat="true" ht="14.25" hidden="false" customHeight="true" outlineLevel="0" collapsed="false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M61" s="80"/>
      <c r="O61" s="98" t="s">
        <v>354</v>
      </c>
      <c r="P61" s="93" t="str">
        <f aca="false">VLOOKUP(O61,ECR!E:L,8,FALSE())</f>
        <v>Kimani Vidal</v>
      </c>
      <c r="Q61" s="94" t="str">
        <f aca="false">IFERROR(VLOOKUP(Table4[[#This Row],[PLAYER]],ECR!C:F,2,FALSE()),"-")</f>
        <v>LAC</v>
      </c>
      <c r="R61" s="94" t="n">
        <f aca="false">IFERROR(VLOOKUP(Table4[[#This Row],[PLAYER]],ECR!C:F,4,FALSE()),"-")</f>
        <v>7</v>
      </c>
      <c r="S61" s="94" t="str">
        <f aca="false">Table4[[#This Row],[Team]] &amp; "/" &amp; Table4[[#This Row],[Bye]]</f>
        <v>LAC/7</v>
      </c>
      <c r="T61" s="95" t="n">
        <f aca="false">IFERROR(VLOOKUP(Table4[[#This Row],[PLAYER]],RB!A:Q,13,FALSE())/17*(17-Table4[[#This Row],[Missed Games]]),0)</f>
        <v>24.8070588235294</v>
      </c>
      <c r="U61" s="95" t="n">
        <f aca="false">IFERROR(VLOOKUP(Table4[[#This Row],[PLAYER]],RB!A:Q,14,FALSE())/17*(17-Table4[[#This Row],[Missed Games]]),0)</f>
        <v>40.8888235294118</v>
      </c>
      <c r="V61" s="95" t="n">
        <f aca="false">IFERROR(VLOOKUP(Table4[[#This Row],[PLAYER]],RB!A:Q,15,FALSE())/17*(17-Table4[[#This Row],[Missed Games]]),0)</f>
        <v>56.5117647058824</v>
      </c>
      <c r="W61" s="96" t="n">
        <f aca="false">AVERAGE(AVERAGE(Table4[[#This Row],[LOW]],Table4[[#This Row],[HIGH]]),Table4[[#This Row],[AVG]],VLOOKUP(Table4[[#This Row],[PLAYER]],ECR!L:N,3,FALSE()))</f>
        <v>48.456862745098</v>
      </c>
      <c r="X61" s="96" t="n">
        <f aca="false">Table4[[#This Row],[Zscore Projection]]-$Q$1</f>
        <v>-79.0888756470588</v>
      </c>
      <c r="Y61" s="97" t="e">
        <f aca="false">MAX(Table4[[#This Row],[VBD]]*Scoring!$B$48+1,1)</f>
        <v>#VALUE!</v>
      </c>
      <c r="Z61" s="98" t="n">
        <f aca="false">VLOOKUP(Table4[[#This Row],[VBD]],BM:BO,3,FALSE())</f>
        <v>10</v>
      </c>
      <c r="AA61" s="99" t="n">
        <f aca="false">VLOOKUP(INDEX(ECR!$E:$E,MATCH(P61,ECR!$C:$C,0)),RISK!A:B,2,FALSE())</f>
        <v>4</v>
      </c>
      <c r="AB61" s="100"/>
      <c r="AC61" s="94" t="s">
        <v>355</v>
      </c>
      <c r="AD61" s="94" t="str">
        <f aca="false">VLOOKUP(AC61,ECR!E:L,8,FALSE())</f>
        <v>Tre Tucker</v>
      </c>
      <c r="AE61" s="94" t="str">
        <f aca="false">IFERROR(VLOOKUP(Table6[[#This Row],[PLAYER]],ECR!C:F,2,FALSE()),"-")</f>
        <v>LV</v>
      </c>
      <c r="AF61" s="94" t="n">
        <f aca="false">IFERROR(VLOOKUP(Table6[[#This Row],[PLAYER]],ECR!C:F,4,FALSE()),"-")</f>
        <v>13</v>
      </c>
      <c r="AG61" s="94" t="str">
        <f aca="false">Table6[[#This Row],[Team]] &amp; "/" &amp; Table6[[#This Row],[Bye]]</f>
        <v>LV/13</v>
      </c>
      <c r="AH61" s="95" t="n">
        <f aca="false">IFERROR(VLOOKUP(Table6[[#This Row],[PLAYER]],WR!A:Q,13,FALSE())/17*(17-Table6[[#This Row],[Missed Games]]),0)</f>
        <v>80.6520848845868</v>
      </c>
      <c r="AI61" s="95" t="n">
        <f aca="false">IFERROR(VLOOKUP(Table6[[#This Row],[PLAYER]],WR!A:Q,14,FALSE())/17*(17-Table6[[#This Row],[Missed Games]]),0)</f>
        <v>90.9415115413254</v>
      </c>
      <c r="AJ61" s="95" t="n">
        <f aca="false">IFERROR(VLOOKUP(Table6[[#This Row],[PLAYER]],WR!A:Q,15,FALSE())/17*(17-Table6[[#This Row],[Missed Games]]),0)</f>
        <v>100.101422189129</v>
      </c>
      <c r="AK61" s="96" t="n">
        <f aca="false">AVERAGE(AVERAGE(Table6[[#This Row],[LOW]],Table6[[#This Row],[HIGH]]),Table6[[#This Row],[AVG]],VLOOKUP(Table6[[#This Row],[PLAYER]],ECR!L:N,3,FALSE()))</f>
        <v>92.9942392653264</v>
      </c>
      <c r="AL61" s="96" t="n">
        <f aca="false">Table6[[#This Row],[Zscore Projection]]-$AE$1</f>
        <v>-32.6836394797716</v>
      </c>
      <c r="AM61" s="97" t="e">
        <f aca="false">MAX(Table6[[#This Row],[VBD]]*Scoring!$B$48+1,1)</f>
        <v>#VALUE!</v>
      </c>
      <c r="AN61" s="98" t="n">
        <f aca="false">VLOOKUP(Table6[[#This Row],[VBD]],BR:BT,3,FALSE())</f>
        <v>7</v>
      </c>
      <c r="AO61" s="99" t="n">
        <f aca="false">VLOOKUP(INDEX(ECR!$E:$E,MATCH(AD61,ECR!$C:$C,0)),RISK!A:B,2,FALSE())</f>
        <v>3.84810126582278</v>
      </c>
      <c r="AP61" s="100"/>
      <c r="AQ61" s="101" t="s">
        <v>356</v>
      </c>
      <c r="AR61" s="80"/>
      <c r="AT61" s="80"/>
      <c r="AU61" s="80"/>
      <c r="AV61" s="80"/>
      <c r="AW61" s="80"/>
      <c r="AX61" s="80"/>
      <c r="AY61" s="80"/>
      <c r="AZ61" s="80"/>
      <c r="BA61" s="80"/>
      <c r="BC61" s="80"/>
      <c r="BD61" s="80"/>
      <c r="BF61" s="102" t="n">
        <v>59</v>
      </c>
      <c r="BG61" s="100" t="str">
        <f aca="false">IFERROR(LARGE($G$3:$G$52,BF61),"")</f>
        <v/>
      </c>
      <c r="BH61" s="104"/>
      <c r="BI61" s="104"/>
      <c r="BJ61" s="106"/>
      <c r="BK61" s="102" t="n">
        <v>59</v>
      </c>
      <c r="BL61" s="100" t="n">
        <f aca="false">IFERROR(LARGE($U$3:$U$102,BK61),"")</f>
        <v>63.8223529411765</v>
      </c>
      <c r="BM61" s="104" t="n">
        <f aca="false">IFERROR(LARGE($X$3:$X$102,59),"")</f>
        <v>-66.5193948627451</v>
      </c>
      <c r="BN61" s="104" t="n">
        <f aca="false">IF(BM61="",BN60,IF((BN60-BM61)&gt;0.15*LARGE($X$3:$X$102,2),BM61,BN60))</f>
        <v>-56.3978060392157</v>
      </c>
      <c r="BO61" s="103" t="n">
        <f aca="false">IF(BM61="",BO60,IF((BN60-BM61)&gt;0.15*LARGE($X$3:$X$102,2),BO60+1,BO60))</f>
        <v>9</v>
      </c>
      <c r="BP61" s="105" t="n">
        <v>59</v>
      </c>
      <c r="BQ61" s="100" t="n">
        <f aca="false">IFERROR(LARGE($AI$3:$AI$102,BP61),"")</f>
        <v>97.664452717796</v>
      </c>
      <c r="BR61" s="104" t="n">
        <f aca="false">IFERROR(LARGE($AL$3:$AL$102,59),"")</f>
        <v>-29.5309488369322</v>
      </c>
      <c r="BS61" s="104" t="n">
        <f aca="false">IF(BR61="",BS60,IF((BS60-BR61)&gt;0.15*LARGE($AL$3:$AL$102,2),BR61,BS60))</f>
        <v>-15.3829340305286</v>
      </c>
      <c r="BT61" s="103" t="n">
        <f aca="false">IF(BR61="",BT60,IF((BS60-BR61)&gt;0.15*LARGE($AL$3:$AL$102,2),BT60+1,BT60))</f>
        <v>7</v>
      </c>
      <c r="BU61" s="102" t="n">
        <v>59</v>
      </c>
      <c r="BV61" s="100" t="str">
        <f aca="false">IFERROR(LARGE($AW$3:$AW$52,BU61),"")</f>
        <v/>
      </c>
      <c r="BW61" s="104"/>
      <c r="BX61" s="104"/>
      <c r="BY61" s="106" t="n">
        <f aca="false">IFERROR(VALUE(RIGHT(INDEX(ECR!$E:$E,MATCH(P61,ECR!$C:$C,0)),LEN(INDEX(ECR!$E:$E,MATCH(P61,ECR!$C:$C,0)))-2)),"")</f>
        <v>59</v>
      </c>
      <c r="BZ61" s="104"/>
      <c r="CA61" s="104"/>
      <c r="CB61" s="104"/>
      <c r="CC61" s="104"/>
      <c r="CD61" s="104"/>
      <c r="CE61" s="104"/>
      <c r="CF61" s="104"/>
      <c r="CG61" s="104"/>
    </row>
    <row r="62" s="107" customFormat="true" ht="14.25" hidden="false" customHeight="true" outlineLevel="0" collapsed="false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M62" s="80"/>
      <c r="O62" s="98" t="s">
        <v>357</v>
      </c>
      <c r="P62" s="93" t="str">
        <f aca="false">VLOOKUP(O62,ECR!E:L,8,FALSE())</f>
        <v>Isiah Pacheco</v>
      </c>
      <c r="Q62" s="94" t="str">
        <f aca="false">IFERROR(VLOOKUP(Table4[[#This Row],[PLAYER]],ECR!C:F,2,FALSE()),"-")</f>
        <v>DET</v>
      </c>
      <c r="R62" s="94" t="n">
        <f aca="false">IFERROR(VLOOKUP(Table4[[#This Row],[PLAYER]],ECR!C:F,4,FALSE()),"-")</f>
        <v>6</v>
      </c>
      <c r="S62" s="94" t="str">
        <f aca="false">Table4[[#This Row],[Team]] &amp; "/" &amp; Table4[[#This Row],[Bye]]</f>
        <v>DET/6</v>
      </c>
      <c r="T62" s="95" t="n">
        <f aca="false">IFERROR(VLOOKUP(Table4[[#This Row],[PLAYER]],RB!A:Q,13,FALSE())/17*(17-Table4[[#This Row],[Missed Games]]),0)</f>
        <v>46.6623529411765</v>
      </c>
      <c r="U62" s="95" t="n">
        <f aca="false">IFERROR(VLOOKUP(Table4[[#This Row],[PLAYER]],RB!A:Q,14,FALSE())/17*(17-Table4[[#This Row],[Missed Games]]),0)</f>
        <v>57.7582352941176</v>
      </c>
      <c r="V62" s="95" t="n">
        <f aca="false">IFERROR(VLOOKUP(Table4[[#This Row],[PLAYER]],RB!A:Q,15,FALSE())/17*(17-Table4[[#This Row],[Missed Games]]),0)</f>
        <v>69.4352941176471</v>
      </c>
      <c r="W62" s="96" t="n">
        <f aca="false">AVERAGE(AVERAGE(Table4[[#This Row],[LOW]],Table4[[#This Row],[HIGH]]),Table4[[#This Row],[AVG]],VLOOKUP(Table4[[#This Row],[PLAYER]],ECR!L:N,3,FALSE()))</f>
        <v>59.6649019607843</v>
      </c>
      <c r="X62" s="96" t="n">
        <f aca="false">Table4[[#This Row],[Zscore Projection]]-$Q$1</f>
        <v>-67.8808364313726</v>
      </c>
      <c r="Y62" s="97" t="e">
        <f aca="false">MAX(Table4[[#This Row],[VBD]]*Scoring!$B$48+1,1)</f>
        <v>#VALUE!</v>
      </c>
      <c r="Z62" s="98" t="n">
        <f aca="false">VLOOKUP(Table4[[#This Row],[VBD]],BM:BO,3,FALSE())</f>
        <v>9</v>
      </c>
      <c r="AA62" s="99" t="n">
        <f aca="false">VLOOKUP(INDEX(ECR!$E:$E,MATCH(P62,ECR!$C:$C,0)),RISK!A:B,2,FALSE())</f>
        <v>4</v>
      </c>
      <c r="AB62" s="100"/>
      <c r="AC62" s="94" t="s">
        <v>358</v>
      </c>
      <c r="AD62" s="94" t="str">
        <f aca="false">VLOOKUP(AC62,ECR!E:L,8,FALSE())</f>
        <v>Adonai Mitchell</v>
      </c>
      <c r="AE62" s="94" t="str">
        <f aca="false">IFERROR(VLOOKUP(Table6[[#This Row],[PLAYER]],ECR!C:F,2,FALSE()),"-")</f>
        <v>NYJ</v>
      </c>
      <c r="AF62" s="94" t="n">
        <f aca="false">IFERROR(VLOOKUP(Table6[[#This Row],[PLAYER]],ECR!C:F,4,FALSE()),"-")</f>
        <v>13</v>
      </c>
      <c r="AG62" s="94" t="str">
        <f aca="false">Table6[[#This Row],[Team]] &amp; "/" &amp; Table6[[#This Row],[Bye]]</f>
        <v>NYJ/13</v>
      </c>
      <c r="AH62" s="95" t="n">
        <f aca="false">IFERROR(VLOOKUP(Table6[[#This Row],[PLAYER]],WR!A:Q,13,FALSE())/17*(17-Table6[[#This Row],[Missed Games]]),0)</f>
        <v>64.1348473566642</v>
      </c>
      <c r="AI62" s="95" t="n">
        <f aca="false">IFERROR(VLOOKUP(Table6[[#This Row],[PLAYER]],WR!A:Q,14,FALSE())/17*(17-Table6[[#This Row],[Missed Games]]),0)</f>
        <v>73.2173938942666</v>
      </c>
      <c r="AJ62" s="95" t="n">
        <f aca="false">IFERROR(VLOOKUP(Table6[[#This Row],[PLAYER]],WR!A:Q,15,FALSE())/17*(17-Table6[[#This Row],[Missed Games]]),0)</f>
        <v>82.1452122114669</v>
      </c>
      <c r="AK62" s="96" t="n">
        <f aca="false">AVERAGE(AVERAGE(Table6[[#This Row],[LOW]],Table6[[#This Row],[HIGH]]),Table6[[#This Row],[AVG]],VLOOKUP(Table6[[#This Row],[PLAYER]],ECR!L:N,3,FALSE()))</f>
        <v>80.9357532886572</v>
      </c>
      <c r="AL62" s="96" t="n">
        <f aca="false">Table6[[#This Row],[Zscore Projection]]-$AE$1</f>
        <v>-44.7421254564408</v>
      </c>
      <c r="AM62" s="97" t="e">
        <f aca="false">MAX(Table6[[#This Row],[VBD]]*Scoring!$B$48+1,1)</f>
        <v>#VALUE!</v>
      </c>
      <c r="AN62" s="98" t="n">
        <f aca="false">VLOOKUP(Table6[[#This Row],[VBD]],BR:BT,3,FALSE())</f>
        <v>8</v>
      </c>
      <c r="AO62" s="99" t="n">
        <f aca="false">VLOOKUP(INDEX(ECR!$E:$E,MATCH(AD62,ECR!$C:$C,0)),RISK!A:B,2,FALSE())</f>
        <v>3.84810126582278</v>
      </c>
      <c r="AP62" s="100"/>
      <c r="AQ62" s="101" t="s">
        <v>359</v>
      </c>
      <c r="AR62" s="80"/>
      <c r="AT62" s="80"/>
      <c r="AU62" s="80"/>
      <c r="AV62" s="80"/>
      <c r="AW62" s="80"/>
      <c r="AX62" s="80"/>
      <c r="AY62" s="80"/>
      <c r="AZ62" s="80"/>
      <c r="BA62" s="80"/>
      <c r="BC62" s="80"/>
      <c r="BD62" s="80"/>
      <c r="BF62" s="102" t="n">
        <v>60</v>
      </c>
      <c r="BG62" s="100" t="str">
        <f aca="false">IFERROR(LARGE($G$3:$G$52,BF62),"")</f>
        <v/>
      </c>
      <c r="BH62" s="104"/>
      <c r="BI62" s="104"/>
      <c r="BJ62" s="106"/>
      <c r="BK62" s="102" t="n">
        <v>60</v>
      </c>
      <c r="BL62" s="100" t="n">
        <f aca="false">IFERROR(LARGE($U$3:$U$102,BK62),"")</f>
        <v>63.1876470588235</v>
      </c>
      <c r="BM62" s="104" t="n">
        <f aca="false">IFERROR(LARGE($X$3:$X$102,60),"")</f>
        <v>-66.9356242745098</v>
      </c>
      <c r="BN62" s="104" t="n">
        <f aca="false">IF(BM62="",BN61,IF((BN61-BM62)&gt;0.15*LARGE($X$3:$X$102,2),BM62,BN61))</f>
        <v>-56.3978060392157</v>
      </c>
      <c r="BO62" s="103" t="n">
        <f aca="false">IF(BM62="",BO61,IF((BN61-BM62)&gt;0.15*LARGE($X$3:$X$102,2),BO61+1,BO61))</f>
        <v>9</v>
      </c>
      <c r="BP62" s="105" t="n">
        <v>60</v>
      </c>
      <c r="BQ62" s="100" t="n">
        <f aca="false">IFERROR(LARGE($AI$3:$AI$102,BP62),"")</f>
        <v>96.4498361876396</v>
      </c>
      <c r="BR62" s="104" t="n">
        <f aca="false">IFERROR(LARGE($AL$3:$AL$102,60),"")</f>
        <v>-29.9884801846612</v>
      </c>
      <c r="BS62" s="104" t="n">
        <f aca="false">IF(BR62="",BS61,IF((BS61-BR62)&gt;0.15*LARGE($AL$3:$AL$102,2),BR62,BS61))</f>
        <v>-15.3829340305286</v>
      </c>
      <c r="BT62" s="103" t="n">
        <f aca="false">IF(BR62="",BT61,IF((BS61-BR62)&gt;0.15*LARGE($AL$3:$AL$102,2),BT61+1,BT61))</f>
        <v>7</v>
      </c>
      <c r="BU62" s="102" t="n">
        <v>60</v>
      </c>
      <c r="BV62" s="100" t="str">
        <f aca="false">IFERROR(LARGE($AW$3:$AW$52,BU62),"")</f>
        <v/>
      </c>
      <c r="BW62" s="104"/>
      <c r="BX62" s="104"/>
      <c r="BY62" s="106" t="n">
        <f aca="false">IFERROR(VALUE(RIGHT(INDEX(ECR!$E:$E,MATCH(P62,ECR!$C:$C,0)),LEN(INDEX(ECR!$E:$E,MATCH(P62,ECR!$C:$C,0)))-2)),"")</f>
        <v>60</v>
      </c>
      <c r="BZ62" s="104"/>
      <c r="CA62" s="104"/>
      <c r="CB62" s="104"/>
      <c r="CC62" s="104"/>
      <c r="CD62" s="104"/>
      <c r="CE62" s="104"/>
      <c r="CF62" s="104"/>
      <c r="CG62" s="104"/>
    </row>
    <row r="63" s="107" customFormat="true" ht="14.25" hidden="false" customHeight="true" outlineLevel="0" collapsed="false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M63" s="80"/>
      <c r="O63" s="98" t="s">
        <v>360</v>
      </c>
      <c r="P63" s="93" t="str">
        <f aca="false">VLOOKUP(O63,ECR!E:L,8,FALSE())</f>
        <v>Malik Davis</v>
      </c>
      <c r="Q63" s="94" t="str">
        <f aca="false">IFERROR(VLOOKUP(Table4[[#This Row],[PLAYER]],ECR!C:F,2,FALSE()),"-")</f>
        <v>DAL</v>
      </c>
      <c r="R63" s="94" t="n">
        <f aca="false">IFERROR(VLOOKUP(Table4[[#This Row],[PLAYER]],ECR!C:F,4,FALSE()),"-")</f>
        <v>14</v>
      </c>
      <c r="S63" s="94" t="str">
        <f aca="false">Table4[[#This Row],[Team]] &amp; "/" &amp; Table4[[#This Row],[Bye]]</f>
        <v>DAL/14</v>
      </c>
      <c r="T63" s="95" t="n">
        <f aca="false">IFERROR(VLOOKUP(Table4[[#This Row],[PLAYER]],RB!A:Q,13,FALSE())/17*(17-Table4[[#This Row],[Missed Games]]),0)</f>
        <v>37.9829411764706</v>
      </c>
      <c r="U63" s="95" t="n">
        <f aca="false">IFERROR(VLOOKUP(Table4[[#This Row],[PLAYER]],RB!A:Q,14,FALSE())/17*(17-Table4[[#This Row],[Missed Games]]),0)</f>
        <v>54.9211764705882</v>
      </c>
      <c r="V63" s="95" t="n">
        <f aca="false">IFERROR(VLOOKUP(Table4[[#This Row],[PLAYER]],RB!A:Q,15,FALSE())/17*(17-Table4[[#This Row],[Missed Games]]),0)</f>
        <v>70.9647058823529</v>
      </c>
      <c r="W63" s="96" t="n">
        <f aca="false">AVERAGE(AVERAGE(Table4[[#This Row],[LOW]],Table4[[#This Row],[HIGH]]),Table4[[#This Row],[AVG]],VLOOKUP(Table4[[#This Row],[PLAYER]],ECR!L:N,3,FALSE()))</f>
        <v>57.1647705882353</v>
      </c>
      <c r="X63" s="96" t="n">
        <f aca="false">Table4[[#This Row],[Zscore Projection]]-$Q$1</f>
        <v>-70.3809678039216</v>
      </c>
      <c r="Y63" s="97" t="e">
        <f aca="false">MAX(Table4[[#This Row],[VBD]]*Scoring!$B$48+1,1)</f>
        <v>#VALUE!</v>
      </c>
      <c r="Z63" s="98" t="n">
        <f aca="false">VLOOKUP(Table4[[#This Row],[VBD]],BM:BO,3,FALSE())</f>
        <v>9</v>
      </c>
      <c r="AA63" s="99" t="n">
        <f aca="false">VLOOKUP(INDEX(ECR!$E:$E,MATCH(P63,ECR!$C:$C,0)),RISK!A:B,2,FALSE())</f>
        <v>4</v>
      </c>
      <c r="AB63" s="100"/>
      <c r="AC63" s="94" t="s">
        <v>361</v>
      </c>
      <c r="AD63" s="94" t="str">
        <f aca="false">VLOOKUP(AC63,ECR!E:L,8,FALSE())</f>
        <v>Kayshon Boutte</v>
      </c>
      <c r="AE63" s="94" t="str">
        <f aca="false">IFERROR(VLOOKUP(Table6[[#This Row],[PLAYER]],ECR!C:F,2,FALSE()),"-")</f>
        <v>HOU</v>
      </c>
      <c r="AF63" s="94" t="n">
        <f aca="false">IFERROR(VLOOKUP(Table6[[#This Row],[PLAYER]],ECR!C:F,4,FALSE()),"-")</f>
        <v>8</v>
      </c>
      <c r="AG63" s="94" t="str">
        <f aca="false">Table6[[#This Row],[Team]] &amp; "/" &amp; Table6[[#This Row],[Bye]]</f>
        <v>HOU/8</v>
      </c>
      <c r="AH63" s="95" t="n">
        <f aca="false">IFERROR(VLOOKUP(Table6[[#This Row],[PLAYER]],WR!A:Q,13,FALSE())/17*(17-Table6[[#This Row],[Missed Games]]),0)</f>
        <v>76.8225614296351</v>
      </c>
      <c r="AI63" s="95" t="n">
        <f aca="false">IFERROR(VLOOKUP(Table6[[#This Row],[PLAYER]],WR!A:Q,14,FALSE())/17*(17-Table6[[#This Row],[Missed Games]]),0)</f>
        <v>88.017148175726</v>
      </c>
      <c r="AJ63" s="95" t="n">
        <f aca="false">IFERROR(VLOOKUP(Table6[[#This Row],[PLAYER]],WR!A:Q,15,FALSE())/17*(17-Table6[[#This Row],[Missed Games]]),0)</f>
        <v>99.1730528667163</v>
      </c>
      <c r="AK63" s="96" t="n">
        <f aca="false">AVERAGE(AVERAGE(Table6[[#This Row],[LOW]],Table6[[#This Row],[HIGH]]),Table6[[#This Row],[AVG]],VLOOKUP(Table6[[#This Row],[PLAYER]],ECR!L:N,3,FALSE()))</f>
        <v>90.0492970464135</v>
      </c>
      <c r="AL63" s="96" t="n">
        <f aca="false">Table6[[#This Row],[Zscore Projection]]-$AE$1</f>
        <v>-35.6285816986845</v>
      </c>
      <c r="AM63" s="97" t="e">
        <f aca="false">MAX(Table6[[#This Row],[VBD]]*Scoring!$B$48+1,1)</f>
        <v>#VALUE!</v>
      </c>
      <c r="AN63" s="98" t="n">
        <f aca="false">VLOOKUP(Table6[[#This Row],[VBD]],BR:BT,3,FALSE())</f>
        <v>8</v>
      </c>
      <c r="AO63" s="99" t="n">
        <f aca="false">VLOOKUP(INDEX(ECR!$E:$E,MATCH(AD63,ECR!$C:$C,0)),RISK!A:B,2,FALSE())</f>
        <v>3.84810126582278</v>
      </c>
      <c r="AP63" s="100"/>
      <c r="AQ63" s="101" t="s">
        <v>362</v>
      </c>
      <c r="AR63" s="80"/>
      <c r="AT63" s="80"/>
      <c r="AU63" s="80"/>
      <c r="AV63" s="80"/>
      <c r="AW63" s="80"/>
      <c r="AX63" s="80"/>
      <c r="AY63" s="80"/>
      <c r="AZ63" s="80"/>
      <c r="BA63" s="80"/>
      <c r="BC63" s="80"/>
      <c r="BD63" s="80"/>
      <c r="BF63" s="102" t="n">
        <v>61</v>
      </c>
      <c r="BG63" s="100" t="str">
        <f aca="false">IFERROR(LARGE($G$3:$G$52,BF63),"")</f>
        <v/>
      </c>
      <c r="BH63" s="104"/>
      <c r="BI63" s="104"/>
      <c r="BJ63" s="106"/>
      <c r="BK63" s="102" t="n">
        <v>61</v>
      </c>
      <c r="BL63" s="100" t="n">
        <f aca="false">IFERROR(LARGE($U$3:$U$102,BK63),"")</f>
        <v>62.0993117647059</v>
      </c>
      <c r="BM63" s="104" t="n">
        <f aca="false">IFERROR(LARGE($X$3:$X$102,61),"")</f>
        <v>-67.8808364313726</v>
      </c>
      <c r="BN63" s="104" t="n">
        <f aca="false">IF(BM63="",BN62,IF((BN62-BM63)&gt;0.15*LARGE($X$3:$X$102,2),BM63,BN62))</f>
        <v>-56.3978060392157</v>
      </c>
      <c r="BO63" s="103" t="n">
        <f aca="false">IF(BM63="",BO62,IF((BN62-BM63)&gt;0.15*LARGE($X$3:$X$102,2),BO62+1,BO62))</f>
        <v>9</v>
      </c>
      <c r="BP63" s="105" t="n">
        <v>61</v>
      </c>
      <c r="BQ63" s="100" t="n">
        <f aca="false">IFERROR(LARGE($AI$3:$AI$102,BP63),"")</f>
        <v>94.1329358153388</v>
      </c>
      <c r="BR63" s="104" t="n">
        <f aca="false">IFERROR(LARGE($AL$3:$AL$102,61),"")</f>
        <v>-32.6836394797716</v>
      </c>
      <c r="BS63" s="104" t="n">
        <f aca="false">IF(BR63="",BS62,IF((BS62-BR63)&gt;0.15*LARGE($AL$3:$AL$102,2),BR63,BS62))</f>
        <v>-15.3829340305286</v>
      </c>
      <c r="BT63" s="103" t="n">
        <f aca="false">IF(BR63="",BT62,IF((BS62-BR63)&gt;0.15*LARGE($AL$3:$AL$102,2),BT62+1,BT62))</f>
        <v>7</v>
      </c>
      <c r="BU63" s="102" t="n">
        <v>61</v>
      </c>
      <c r="BV63" s="100" t="str">
        <f aca="false">IFERROR(LARGE($AW$3:$AW$52,BU63),"")</f>
        <v/>
      </c>
      <c r="BW63" s="104"/>
      <c r="BX63" s="104"/>
      <c r="BY63" s="106" t="n">
        <f aca="false">IFERROR(VALUE(RIGHT(INDEX(ECR!$E:$E,MATCH(P63,ECR!$C:$C,0)),LEN(INDEX(ECR!$E:$E,MATCH(P63,ECR!$C:$C,0)))-2)),"")</f>
        <v>61</v>
      </c>
      <c r="BZ63" s="104"/>
      <c r="CA63" s="104"/>
      <c r="CB63" s="104"/>
      <c r="CC63" s="104"/>
      <c r="CD63" s="104"/>
      <c r="CE63" s="104"/>
      <c r="CF63" s="104"/>
      <c r="CG63" s="104"/>
    </row>
    <row r="64" s="107" customFormat="true" ht="14.25" hidden="false" customHeight="true" outlineLevel="0" collapsed="false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M64" s="80"/>
      <c r="O64" s="98" t="s">
        <v>363</v>
      </c>
      <c r="P64" s="93" t="str">
        <f aca="false">VLOOKUP(O64,ECR!E:L,8,FALSE())</f>
        <v>Sean Tucker</v>
      </c>
      <c r="Q64" s="94" t="str">
        <f aca="false">IFERROR(VLOOKUP(Table4[[#This Row],[PLAYER]],ECR!C:F,2,FALSE()),"-")</f>
        <v>TB</v>
      </c>
      <c r="R64" s="94" t="n">
        <f aca="false">IFERROR(VLOOKUP(Table4[[#This Row],[PLAYER]],ECR!C:F,4,FALSE()),"-")</f>
        <v>10</v>
      </c>
      <c r="S64" s="94" t="str">
        <f aca="false">Table4[[#This Row],[Team]] &amp; "/" &amp; Table4[[#This Row],[Bye]]</f>
        <v>TB/10</v>
      </c>
      <c r="T64" s="95" t="n">
        <f aca="false">IFERROR(VLOOKUP(Table4[[#This Row],[PLAYER]],RB!A:Q,13,FALSE())/17*(17-Table4[[#This Row],[Missed Games]]),0)</f>
        <v>20.6470588235294</v>
      </c>
      <c r="U64" s="95" t="n">
        <f aca="false">IFERROR(VLOOKUP(Table4[[#This Row],[PLAYER]],RB!A:Q,14,FALSE())/17*(17-Table4[[#This Row],[Missed Games]]),0)</f>
        <v>23.8052941176471</v>
      </c>
      <c r="V64" s="95" t="n">
        <f aca="false">IFERROR(VLOOKUP(Table4[[#This Row],[PLAYER]],RB!A:Q,15,FALSE())/17*(17-Table4[[#This Row],[Missed Games]]),0)</f>
        <v>27.2694117647059</v>
      </c>
      <c r="W64" s="96" t="n">
        <f aca="false">AVERAGE(AVERAGE(Table4[[#This Row],[LOW]],Table4[[#This Row],[HIGH]]),Table4[[#This Row],[AVG]],VLOOKUP(Table4[[#This Row],[PLAYER]],ECR!L:N,3,FALSE()))</f>
        <v>36.3507733333333</v>
      </c>
      <c r="X64" s="96" t="n">
        <f aca="false">Table4[[#This Row],[Zscore Projection]]-$Q$1</f>
        <v>-91.1949650588235</v>
      </c>
      <c r="Y64" s="97" t="e">
        <f aca="false">MAX(Table4[[#This Row],[VBD]]*Scoring!$B$48+1,1)</f>
        <v>#VALUE!</v>
      </c>
      <c r="Z64" s="98" t="n">
        <f aca="false">VLOOKUP(Table4[[#This Row],[VBD]],BM:BO,3,FALSE())</f>
        <v>10</v>
      </c>
      <c r="AA64" s="99" t="n">
        <f aca="false">VLOOKUP(INDEX(ECR!$E:$E,MATCH(P64,ECR!$C:$C,0)),RISK!A:B,2,FALSE())</f>
        <v>4</v>
      </c>
      <c r="AB64" s="100"/>
      <c r="AC64" s="94" t="s">
        <v>364</v>
      </c>
      <c r="AD64" s="94" t="str">
        <f aca="false">VLOOKUP(AC64,ECR!E:L,8,FALSE())</f>
        <v>Jalen McMillan</v>
      </c>
      <c r="AE64" s="94" t="str">
        <f aca="false">IFERROR(VLOOKUP(Table6[[#This Row],[PLAYER]],ECR!C:F,2,FALSE()),"-")</f>
        <v>TB</v>
      </c>
      <c r="AF64" s="94" t="n">
        <f aca="false">IFERROR(VLOOKUP(Table6[[#This Row],[PLAYER]],ECR!C:F,4,FALSE()),"-")</f>
        <v>10</v>
      </c>
      <c r="AG64" s="94" t="str">
        <f aca="false">Table6[[#This Row],[Team]] &amp; "/" &amp; Table6[[#This Row],[Bye]]</f>
        <v>TB/10</v>
      </c>
      <c r="AH64" s="95" t="n">
        <f aca="false">IFERROR(VLOOKUP(Table6[[#This Row],[PLAYER]],WR!A:Q,13,FALSE())/17*(17-Table6[[#This Row],[Missed Games]]),0)</f>
        <v>82.6944973938943</v>
      </c>
      <c r="AI64" s="95" t="n">
        <f aca="false">IFERROR(VLOOKUP(Table6[[#This Row],[PLAYER]],WR!A:Q,14,FALSE())/17*(17-Table6[[#This Row],[Missed Games]]),0)</f>
        <v>85.2475130305287</v>
      </c>
      <c r="AJ64" s="95" t="n">
        <f aca="false">IFERROR(VLOOKUP(Table6[[#This Row],[PLAYER]],WR!A:Q,15,FALSE())/17*(17-Table6[[#This Row],[Missed Games]]),0)</f>
        <v>88.31113179449</v>
      </c>
      <c r="AK64" s="96" t="n">
        <f aca="false">AVERAGE(AVERAGE(Table6[[#This Row],[LOW]],Table6[[#This Row],[HIGH]]),Table6[[#This Row],[AVG]],VLOOKUP(Table6[[#This Row],[PLAYER]],ECR!L:N,3,FALSE()))</f>
        <v>88.0678990320179</v>
      </c>
      <c r="AL64" s="96" t="n">
        <f aca="false">Table6[[#This Row],[Zscore Projection]]-$AE$1</f>
        <v>-37.6099797130802</v>
      </c>
      <c r="AM64" s="97" t="e">
        <f aca="false">MAX(Table6[[#This Row],[VBD]]*Scoring!$B$48+1,1)</f>
        <v>#VALUE!</v>
      </c>
      <c r="AN64" s="98" t="n">
        <f aca="false">VLOOKUP(Table6[[#This Row],[VBD]],BR:BT,3,FALSE())</f>
        <v>8</v>
      </c>
      <c r="AO64" s="99" t="n">
        <f aca="false">VLOOKUP(INDEX(ECR!$E:$E,MATCH(AD64,ECR!$C:$C,0)),RISK!A:B,2,FALSE())</f>
        <v>3.84810126582278</v>
      </c>
      <c r="AP64" s="100"/>
      <c r="AQ64" s="101" t="s">
        <v>365</v>
      </c>
      <c r="AR64" s="80"/>
      <c r="AT64" s="80"/>
      <c r="AU64" s="80"/>
      <c r="AV64" s="80"/>
      <c r="AW64" s="80"/>
      <c r="AX64" s="80"/>
      <c r="AY64" s="80"/>
      <c r="AZ64" s="80"/>
      <c r="BA64" s="80"/>
      <c r="BC64" s="80"/>
      <c r="BD64" s="80"/>
      <c r="BF64" s="102" t="n">
        <v>62</v>
      </c>
      <c r="BG64" s="100" t="str">
        <f aca="false">IFERROR(LARGE($G$3:$G$52,BF64),"")</f>
        <v/>
      </c>
      <c r="BH64" s="104"/>
      <c r="BI64" s="104"/>
      <c r="BJ64" s="106"/>
      <c r="BK64" s="102" t="n">
        <v>62</v>
      </c>
      <c r="BL64" s="100" t="n">
        <f aca="false">IFERROR(LARGE($U$3:$U$102,BK64),"")</f>
        <v>61.2887905882353</v>
      </c>
      <c r="BM64" s="104" t="n">
        <f aca="false">IFERROR(LARGE($X$3:$X$102,62),"")</f>
        <v>-69.4918168235294</v>
      </c>
      <c r="BN64" s="104" t="n">
        <f aca="false">IF(BM64="",BN63,IF((BN63-BM64)&gt;0.15*LARGE($X$3:$X$102,2),BM64,BN63))</f>
        <v>-56.3978060392157</v>
      </c>
      <c r="BO64" s="103" t="n">
        <f aca="false">IF(BM64="",BO63,IF((BN63-BM64)&gt;0.15*LARGE($X$3:$X$102,2),BO63+1,BO63))</f>
        <v>9</v>
      </c>
      <c r="BP64" s="105" t="n">
        <v>62</v>
      </c>
      <c r="BQ64" s="100" t="n">
        <f aca="false">IFERROR(LARGE($AI$3:$AI$102,BP64),"")</f>
        <v>93.4533694713329</v>
      </c>
      <c r="BR64" s="104" t="n">
        <f aca="false">IFERROR(LARGE($AL$3:$AL$102,62),"")</f>
        <v>-33.6236134187143</v>
      </c>
      <c r="BS64" s="104" t="n">
        <f aca="false">IF(BR64="",BS63,IF((BS63-BR64)&gt;0.15*LARGE($AL$3:$AL$102,2),BR64,BS63))</f>
        <v>-33.6236134187143</v>
      </c>
      <c r="BT64" s="103" t="n">
        <f aca="false">IF(BR64="",BT63,IF((BS63-BR64)&gt;0.15*LARGE($AL$3:$AL$102,2),BT63+1,BT63))</f>
        <v>8</v>
      </c>
      <c r="BU64" s="102" t="n">
        <v>62</v>
      </c>
      <c r="BV64" s="100" t="str">
        <f aca="false">IFERROR(LARGE($AW$3:$AW$52,BU64),"")</f>
        <v/>
      </c>
      <c r="BW64" s="104"/>
      <c r="BX64" s="104"/>
      <c r="BY64" s="106" t="n">
        <f aca="false">IFERROR(VALUE(RIGHT(INDEX(ECR!$E:$E,MATCH(P64,ECR!$C:$C,0)),LEN(INDEX(ECR!$E:$E,MATCH(P64,ECR!$C:$C,0)))-2)),"")</f>
        <v>62</v>
      </c>
      <c r="BZ64" s="104"/>
      <c r="CA64" s="104"/>
      <c r="CB64" s="104"/>
      <c r="CC64" s="104"/>
      <c r="CD64" s="104"/>
      <c r="CE64" s="104"/>
      <c r="CF64" s="104"/>
      <c r="CG64" s="104"/>
    </row>
    <row r="65" s="107" customFormat="true" ht="14.25" hidden="false" customHeight="true" outlineLevel="0" collapsed="false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M65" s="80"/>
      <c r="O65" s="98" t="s">
        <v>366</v>
      </c>
      <c r="P65" s="93" t="str">
        <f aca="false">VLOOKUP(O65,ECR!E:L,8,FALSE())</f>
        <v>Nicholas Singleton</v>
      </c>
      <c r="Q65" s="94" t="str">
        <f aca="false">IFERROR(VLOOKUP(Table4[[#This Row],[PLAYER]],ECR!C:F,2,FALSE()),"-")</f>
        <v>TEN</v>
      </c>
      <c r="R65" s="94" t="n">
        <f aca="false">IFERROR(VLOOKUP(Table4[[#This Row],[PLAYER]],ECR!C:F,4,FALSE()),"-")</f>
        <v>9</v>
      </c>
      <c r="S65" s="94" t="str">
        <f aca="false">Table4[[#This Row],[Team]] &amp; "/" &amp; Table4[[#This Row],[Bye]]</f>
        <v>TEN/9</v>
      </c>
      <c r="T65" s="95" t="n">
        <f aca="false">IFERROR(VLOOKUP(Table4[[#This Row],[PLAYER]],RB!A:Q,13,FALSE())/17*(17-Table4[[#This Row],[Missed Games]]),0)</f>
        <v>57.6507023529412</v>
      </c>
      <c r="U65" s="95" t="n">
        <f aca="false">IFERROR(VLOOKUP(Table4[[#This Row],[PLAYER]],RB!A:Q,14,FALSE())/17*(17-Table4[[#This Row],[Missed Games]]),0)</f>
        <v>60.5795258823529</v>
      </c>
      <c r="V65" s="95" t="n">
        <f aca="false">IFERROR(VLOOKUP(Table4[[#This Row],[PLAYER]],RB!A:Q,15,FALSE())/17*(17-Table4[[#This Row],[Missed Games]]),0)</f>
        <v>63.6918788235294</v>
      </c>
      <c r="W65" s="96" t="n">
        <f aca="false">AVERAGE(AVERAGE(Table4[[#This Row],[LOW]],Table4[[#This Row],[HIGH]]),Table4[[#This Row],[AVG]],VLOOKUP(Table4[[#This Row],[PLAYER]],ECR!L:N,3,FALSE()))</f>
        <v>60.6101141176471</v>
      </c>
      <c r="X65" s="96" t="n">
        <f aca="false">Table4[[#This Row],[Zscore Projection]]-$Q$1</f>
        <v>-66.9356242745098</v>
      </c>
      <c r="Y65" s="97" t="e">
        <f aca="false">MAX(Table4[[#This Row],[VBD]]*Scoring!$B$48+1,1)</f>
        <v>#VALUE!</v>
      </c>
      <c r="Z65" s="98" t="n">
        <f aca="false">VLOOKUP(Table4[[#This Row],[VBD]],BM:BO,3,FALSE())</f>
        <v>9</v>
      </c>
      <c r="AA65" s="99" t="n">
        <f aca="false">VLOOKUP(INDEX(ECR!$E:$E,MATCH(P65,ECR!$C:$C,0)),RISK!A:B,2,FALSE())</f>
        <v>4</v>
      </c>
      <c r="AB65" s="100"/>
      <c r="AC65" s="94" t="s">
        <v>367</v>
      </c>
      <c r="AD65" s="94" t="str">
        <f aca="false">VLOOKUP(AC65,ECR!E:L,8,FALSE())</f>
        <v>Dontayvion Wicks</v>
      </c>
      <c r="AE65" s="94" t="str">
        <f aca="false">IFERROR(VLOOKUP(Table6[[#This Row],[PLAYER]],ECR!C:F,2,FALSE()),"-")</f>
        <v>PHI</v>
      </c>
      <c r="AF65" s="94" t="n">
        <f aca="false">IFERROR(VLOOKUP(Table6[[#This Row],[PLAYER]],ECR!C:F,4,FALSE()),"-")</f>
        <v>10</v>
      </c>
      <c r="AG65" s="94" t="str">
        <f aca="false">Table6[[#This Row],[Team]] &amp; "/" &amp; Table6[[#This Row],[Bye]]</f>
        <v>PHI/10</v>
      </c>
      <c r="AH65" s="95" t="n">
        <f aca="false">IFERROR(VLOOKUP(Table6[[#This Row],[PLAYER]],WR!A:Q,13,FALSE())/17*(17-Table6[[#This Row],[Missed Games]]),0)</f>
        <v>58.5646314221891</v>
      </c>
      <c r="AI65" s="95" t="n">
        <f aca="false">IFERROR(VLOOKUP(Table6[[#This Row],[PLAYER]],WR!A:Q,14,FALSE())/17*(17-Table6[[#This Row],[Missed Games]]),0)</f>
        <v>64.4520402084885</v>
      </c>
      <c r="AJ65" s="95" t="n">
        <f aca="false">IFERROR(VLOOKUP(Table6[[#This Row],[PLAYER]],WR!A:Q,15,FALSE())/17*(17-Table6[[#This Row],[Missed Games]]),0)</f>
        <v>69.906209977662</v>
      </c>
      <c r="AK65" s="96" t="n">
        <f aca="false">AVERAGE(AVERAGE(Table6[[#This Row],[LOW]],Table6[[#This Row],[HIGH]]),Table6[[#This Row],[AVG]],VLOOKUP(Table6[[#This Row],[PLAYER]],ECR!L:N,3,FALSE()))</f>
        <v>73.9392526185158</v>
      </c>
      <c r="AL65" s="96" t="n">
        <f aca="false">Table6[[#This Row],[Zscore Projection]]-$AE$1</f>
        <v>-51.7386261265823</v>
      </c>
      <c r="AM65" s="97" t="e">
        <f aca="false">MAX(Table6[[#This Row],[VBD]]*Scoring!$B$48+1,1)</f>
        <v>#VALUE!</v>
      </c>
      <c r="AN65" s="98" t="n">
        <f aca="false">VLOOKUP(Table6[[#This Row],[VBD]],BR:BT,3,FALSE())</f>
        <v>8</v>
      </c>
      <c r="AO65" s="99" t="n">
        <f aca="false">VLOOKUP(INDEX(ECR!$E:$E,MATCH(AD65,ECR!$C:$C,0)),RISK!A:B,2,FALSE())</f>
        <v>3.84810126582278</v>
      </c>
      <c r="AP65" s="100"/>
      <c r="AQ65" s="101" t="s">
        <v>368</v>
      </c>
      <c r="AR65" s="80"/>
      <c r="AT65" s="80"/>
      <c r="AU65" s="80"/>
      <c r="AV65" s="80"/>
      <c r="AW65" s="80"/>
      <c r="AX65" s="80"/>
      <c r="AY65" s="80"/>
      <c r="AZ65" s="80"/>
      <c r="BA65" s="80"/>
      <c r="BC65" s="80"/>
      <c r="BD65" s="80"/>
      <c r="BF65" s="102" t="n">
        <v>63</v>
      </c>
      <c r="BG65" s="100" t="str">
        <f aca="false">IFERROR(LARGE($G$3:$G$52,BF65),"")</f>
        <v/>
      </c>
      <c r="BH65" s="104"/>
      <c r="BI65" s="104"/>
      <c r="BJ65" s="106"/>
      <c r="BK65" s="102" t="n">
        <v>63</v>
      </c>
      <c r="BL65" s="100" t="n">
        <f aca="false">IFERROR(LARGE($U$3:$U$102,BK65),"")</f>
        <v>60.5795258823529</v>
      </c>
      <c r="BM65" s="104" t="n">
        <f aca="false">IFERROR(LARGE($X$3:$X$102,63),"")</f>
        <v>-70.3809678039216</v>
      </c>
      <c r="BN65" s="104" t="n">
        <f aca="false">IF(BM65="",BN64,IF((BN64-BM65)&gt;0.15*LARGE($X$3:$X$102,2),BM65,BN64))</f>
        <v>-56.3978060392157</v>
      </c>
      <c r="BO65" s="103" t="n">
        <f aca="false">IF(BM65="",BO64,IF((BN64-BM65)&gt;0.15*LARGE($X$3:$X$102,2),BO64+1,BO64))</f>
        <v>9</v>
      </c>
      <c r="BP65" s="105" t="n">
        <v>63</v>
      </c>
      <c r="BQ65" s="100" t="n">
        <f aca="false">IFERROR(LARGE($AI$3:$AI$102,BP65),"")</f>
        <v>93.1302969471333</v>
      </c>
      <c r="BR65" s="104" t="n">
        <f aca="false">IFERROR(LARGE($AL$3:$AL$102,63),"")</f>
        <v>-35.6285816986845</v>
      </c>
      <c r="BS65" s="104" t="n">
        <f aca="false">IF(BR65="",BS64,IF((BS64-BR65)&gt;0.15*LARGE($AL$3:$AL$102,2),BR65,BS64))</f>
        <v>-33.6236134187143</v>
      </c>
      <c r="BT65" s="103" t="n">
        <f aca="false">IF(BR65="",BT64,IF((BS64-BR65)&gt;0.15*LARGE($AL$3:$AL$102,2),BT64+1,BT64))</f>
        <v>8</v>
      </c>
      <c r="BU65" s="102" t="n">
        <v>63</v>
      </c>
      <c r="BV65" s="100" t="str">
        <f aca="false">IFERROR(LARGE($AW$3:$AW$52,BU65),"")</f>
        <v/>
      </c>
      <c r="BW65" s="104"/>
      <c r="BX65" s="104"/>
      <c r="BY65" s="106" t="n">
        <f aca="false">IFERROR(VALUE(RIGHT(INDEX(ECR!$E:$E,MATCH(P65,ECR!$C:$C,0)),LEN(INDEX(ECR!$E:$E,MATCH(P65,ECR!$C:$C,0)))-2)),"")</f>
        <v>63</v>
      </c>
      <c r="BZ65" s="104"/>
      <c r="CA65" s="104"/>
      <c r="CB65" s="104"/>
      <c r="CC65" s="104"/>
      <c r="CD65" s="104"/>
      <c r="CE65" s="104"/>
      <c r="CF65" s="104"/>
      <c r="CG65" s="104"/>
    </row>
    <row r="66" s="107" customFormat="true" ht="14.25" hidden="false" customHeight="true" outlineLevel="0" collapsed="false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M66" s="80"/>
      <c r="O66" s="98" t="s">
        <v>369</v>
      </c>
      <c r="P66" s="93" t="str">
        <f aca="false">VLOOKUP(O66,ECR!E:L,8,FALSE())</f>
        <v>Kaytron Allen</v>
      </c>
      <c r="Q66" s="94" t="str">
        <f aca="false">IFERROR(VLOOKUP(Table4[[#This Row],[PLAYER]],ECR!C:F,2,FALSE()),"-")</f>
        <v>WAS</v>
      </c>
      <c r="R66" s="94" t="n">
        <f aca="false">IFERROR(VLOOKUP(Table4[[#This Row],[PLAYER]],ECR!C:F,4,FALSE()),"-")</f>
        <v>7</v>
      </c>
      <c r="S66" s="94" t="str">
        <f aca="false">Table4[[#This Row],[Team]] &amp; "/" &amp; Table4[[#This Row],[Bye]]</f>
        <v>WAS/7</v>
      </c>
      <c r="T66" s="95" t="n">
        <f aca="false">IFERROR(VLOOKUP(Table4[[#This Row],[PLAYER]],RB!A:Q,13,FALSE())/17*(17-Table4[[#This Row],[Missed Games]]),0)</f>
        <v>54.0470258823529</v>
      </c>
      <c r="U66" s="95" t="n">
        <f aca="false">IFERROR(VLOOKUP(Table4[[#This Row],[PLAYER]],RB!A:Q,14,FALSE())/17*(17-Table4[[#This Row],[Missed Games]]),0)</f>
        <v>61.2887905882353</v>
      </c>
      <c r="V66" s="95" t="n">
        <f aca="false">IFERROR(VLOOKUP(Table4[[#This Row],[PLAYER]],RB!A:Q,15,FALSE())/17*(17-Table4[[#This Row],[Missed Games]]),0)</f>
        <v>68.4311435294118</v>
      </c>
      <c r="W66" s="96" t="n">
        <f aca="false">AVERAGE(AVERAGE(Table4[[#This Row],[LOW]],Table4[[#This Row],[HIGH]]),Table4[[#This Row],[AVG]],VLOOKUP(Table4[[#This Row],[PLAYER]],ECR!L:N,3,FALSE()))</f>
        <v>61.0263435294118</v>
      </c>
      <c r="X66" s="96" t="n">
        <f aca="false">Table4[[#This Row],[Zscore Projection]]-$Q$1</f>
        <v>-66.5193948627451</v>
      </c>
      <c r="Y66" s="97" t="e">
        <f aca="false">MAX(Table4[[#This Row],[VBD]]*Scoring!$B$48+1,1)</f>
        <v>#VALUE!</v>
      </c>
      <c r="Z66" s="98" t="n">
        <f aca="false">VLOOKUP(Table4[[#This Row],[VBD]],BM:BO,3,FALSE())</f>
        <v>9</v>
      </c>
      <c r="AA66" s="99" t="n">
        <f aca="false">VLOOKUP(INDEX(ECR!$E:$E,MATCH(P66,ECR!$C:$C,0)),RISK!A:B,2,FALSE())</f>
        <v>4</v>
      </c>
      <c r="AB66" s="100"/>
      <c r="AC66" s="94" t="s">
        <v>370</v>
      </c>
      <c r="AD66" s="94" t="str">
        <f aca="false">VLOOKUP(AC66,ECR!E:L,8,FALSE())</f>
        <v>Jerry Jeudy</v>
      </c>
      <c r="AE66" s="94" t="str">
        <f aca="false">IFERROR(VLOOKUP(Table6[[#This Row],[PLAYER]],ECR!C:F,2,FALSE()),"-")</f>
        <v>CLE</v>
      </c>
      <c r="AF66" s="94" t="n">
        <f aca="false">IFERROR(VLOOKUP(Table6[[#This Row],[PLAYER]],ECR!C:F,4,FALSE()),"-")</f>
        <v>11</v>
      </c>
      <c r="AG66" s="94" t="str">
        <f aca="false">Table6[[#This Row],[Team]] &amp; "/" &amp; Table6[[#This Row],[Bye]]</f>
        <v>CLE/11</v>
      </c>
      <c r="AH66" s="95" t="n">
        <f aca="false">IFERROR(VLOOKUP(Table6[[#This Row],[PLAYER]],WR!A:Q,13,FALSE())/17*(17-Table6[[#This Row],[Missed Games]]),0)</f>
        <v>86.8180044676098</v>
      </c>
      <c r="AI66" s="95" t="n">
        <f aca="false">IFERROR(VLOOKUP(Table6[[#This Row],[PLAYER]],WR!A:Q,14,FALSE())/17*(17-Table6[[#This Row],[Missed Games]]),0)</f>
        <v>97.664452717796</v>
      </c>
      <c r="AJ66" s="95" t="n">
        <f aca="false">IFERROR(VLOOKUP(Table6[[#This Row],[PLAYER]],WR!A:Q,15,FALSE())/17*(17-Table6[[#This Row],[Missed Games]]),0)</f>
        <v>107.845569620253</v>
      </c>
      <c r="AK66" s="96" t="n">
        <f aca="false">AVERAGE(AVERAGE(Table6[[#This Row],[LOW]],Table6[[#This Row],[HIGH]]),Table6[[#This Row],[AVG]],VLOOKUP(Table6[[#This Row],[PLAYER]],ECR!L:N,3,FALSE()))</f>
        <v>95.6893985604368</v>
      </c>
      <c r="AL66" s="96" t="n">
        <f aca="false">Table6[[#This Row],[Zscore Projection]]-$AE$1</f>
        <v>-29.9884801846612</v>
      </c>
      <c r="AM66" s="97" t="e">
        <f aca="false">MAX(Table6[[#This Row],[VBD]]*Scoring!$B$48+1,1)</f>
        <v>#VALUE!</v>
      </c>
      <c r="AN66" s="98" t="n">
        <f aca="false">VLOOKUP(Table6[[#This Row],[VBD]],BR:BT,3,FALSE())</f>
        <v>7</v>
      </c>
      <c r="AO66" s="99" t="n">
        <f aca="false">VLOOKUP(INDEX(ECR!$E:$E,MATCH(AD66,ECR!$C:$C,0)),RISK!A:B,2,FALSE())</f>
        <v>3.84810126582278</v>
      </c>
      <c r="AP66" s="100"/>
      <c r="AQ66" s="101" t="s">
        <v>371</v>
      </c>
      <c r="AR66" s="80"/>
      <c r="AT66" s="80"/>
      <c r="AU66" s="80"/>
      <c r="AV66" s="80"/>
      <c r="AW66" s="80"/>
      <c r="AX66" s="80"/>
      <c r="AY66" s="80"/>
      <c r="AZ66" s="80"/>
      <c r="BA66" s="80"/>
      <c r="BC66" s="80"/>
      <c r="BD66" s="80"/>
      <c r="BF66" s="102" t="n">
        <v>64</v>
      </c>
      <c r="BG66" s="100" t="str">
        <f aca="false">IFERROR(LARGE($G$3:$G$52,BF66),"")</f>
        <v/>
      </c>
      <c r="BH66" s="104"/>
      <c r="BI66" s="104"/>
      <c r="BJ66" s="106"/>
      <c r="BK66" s="102" t="n">
        <v>64</v>
      </c>
      <c r="BL66" s="100" t="n">
        <f aca="false">IFERROR(LARGE($U$3:$U$102,BK66),"")</f>
        <v>60.5511552941177</v>
      </c>
      <c r="BM66" s="104" t="n">
        <f aca="false">IFERROR(LARGE($X$3:$X$102,64),"")</f>
        <v>-71.8504501568627</v>
      </c>
      <c r="BN66" s="104" t="n">
        <f aca="false">IF(BM66="",BN65,IF((BN65-BM66)&gt;0.15*LARGE($X$3:$X$102,2),BM66,BN65))</f>
        <v>-56.3978060392157</v>
      </c>
      <c r="BO66" s="103" t="n">
        <f aca="false">IF(BM66="",BO65,IF((BN65-BM66)&gt;0.15*LARGE($X$3:$X$102,2),BO65+1,BO65))</f>
        <v>9</v>
      </c>
      <c r="BP66" s="105" t="n">
        <v>64</v>
      </c>
      <c r="BQ66" s="100" t="n">
        <f aca="false">IFERROR(LARGE($AI$3:$AI$102,BP66),"")</f>
        <v>92.071955919583</v>
      </c>
      <c r="BR66" s="104" t="n">
        <f aca="false">IFERROR(LARGE($AL$3:$AL$102,64),"")</f>
        <v>-35.7255962928766</v>
      </c>
      <c r="BS66" s="104" t="n">
        <f aca="false">IF(BR66="",BS65,IF((BS65-BR66)&gt;0.15*LARGE($AL$3:$AL$102,2),BR66,BS65))</f>
        <v>-33.6236134187143</v>
      </c>
      <c r="BT66" s="103" t="n">
        <f aca="false">IF(BR66="",BT65,IF((BS65-BR66)&gt;0.15*LARGE($AL$3:$AL$102,2),BT65+1,BT65))</f>
        <v>8</v>
      </c>
      <c r="BU66" s="102" t="n">
        <v>64</v>
      </c>
      <c r="BV66" s="100" t="str">
        <f aca="false">IFERROR(LARGE($AW$3:$AW$52,BU66),"")</f>
        <v/>
      </c>
      <c r="BW66" s="104"/>
      <c r="BX66" s="104"/>
      <c r="BY66" s="106" t="n">
        <f aca="false">IFERROR(VALUE(RIGHT(INDEX(ECR!$E:$E,MATCH(P66,ECR!$C:$C,0)),LEN(INDEX(ECR!$E:$E,MATCH(P66,ECR!$C:$C,0)))-2)),"")</f>
        <v>64</v>
      </c>
      <c r="BZ66" s="104"/>
      <c r="CA66" s="104"/>
      <c r="CB66" s="104"/>
      <c r="CC66" s="104"/>
      <c r="CD66" s="104"/>
      <c r="CE66" s="104"/>
      <c r="CF66" s="104"/>
      <c r="CG66" s="104"/>
    </row>
    <row r="67" s="107" customFormat="true" ht="14.25" hidden="false" customHeight="true" outlineLevel="0" collapsed="false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M67" s="80"/>
      <c r="O67" s="98" t="s">
        <v>372</v>
      </c>
      <c r="P67" s="93" t="str">
        <f aca="false">VLOOKUP(O67,ECR!E:L,8,FALSE())</f>
        <v>Kaelon Black</v>
      </c>
      <c r="Q67" s="94" t="str">
        <f aca="false">IFERROR(VLOOKUP(Table4[[#This Row],[PLAYER]],ECR!C:F,2,FALSE()),"-")</f>
        <v>SF</v>
      </c>
      <c r="R67" s="94" t="n">
        <f aca="false">IFERROR(VLOOKUP(Table4[[#This Row],[PLAYER]],ECR!C:F,4,FALSE()),"-")</f>
        <v>8</v>
      </c>
      <c r="S67" s="94" t="str">
        <f aca="false">Table4[[#This Row],[Team]] &amp; "/" &amp; Table4[[#This Row],[Bye]]</f>
        <v>SF/8</v>
      </c>
      <c r="T67" s="95" t="n">
        <f aca="false">IFERROR(VLOOKUP(Table4[[#This Row],[PLAYER]],RB!A:Q,13,FALSE())/17*(17-Table4[[#This Row],[Missed Games]]),0)</f>
        <v>74.0514105882353</v>
      </c>
      <c r="U67" s="95" t="n">
        <f aca="false">IFERROR(VLOOKUP(Table4[[#This Row],[PLAYER]],RB!A:Q,14,FALSE())/17*(17-Table4[[#This Row],[Missed Games]]),0)</f>
        <v>97.3137635294117</v>
      </c>
      <c r="V67" s="95" t="n">
        <f aca="false">IFERROR(VLOOKUP(Table4[[#This Row],[PLAYER]],RB!A:Q,15,FALSE())/17*(17-Table4[[#This Row],[Missed Games]]),0)</f>
        <v>120.690822352941</v>
      </c>
      <c r="W67" s="96" t="n">
        <f aca="false">AVERAGE(AVERAGE(Table4[[#This Row],[LOW]],Table4[[#This Row],[HIGH]]),Table4[[#This Row],[AVG]],VLOOKUP(Table4[[#This Row],[PLAYER]],ECR!L:N,3,FALSE()))</f>
        <v>84.7933250196078</v>
      </c>
      <c r="X67" s="96" t="n">
        <f aca="false">Table4[[#This Row],[Zscore Projection]]-$Q$1</f>
        <v>-42.752413372549</v>
      </c>
      <c r="Y67" s="97" t="e">
        <f aca="false">MAX(Table4[[#This Row],[VBD]]*Scoring!$B$48+1,1)</f>
        <v>#VALUE!</v>
      </c>
      <c r="Z67" s="98" t="n">
        <f aca="false">VLOOKUP(Table4[[#This Row],[VBD]],BM:BO,3,FALSE())</f>
        <v>8</v>
      </c>
      <c r="AA67" s="99" t="n">
        <f aca="false">VLOOKUP(INDEX(ECR!$E:$E,MATCH(P67,ECR!$C:$C,0)),RISK!A:B,2,FALSE())</f>
        <v>4</v>
      </c>
      <c r="AB67" s="100"/>
      <c r="AC67" s="94" t="s">
        <v>373</v>
      </c>
      <c r="AD67" s="94" t="str">
        <f aca="false">VLOOKUP(AC67,ECR!E:L,8,FALSE())</f>
        <v>Jauan Jennings</v>
      </c>
      <c r="AE67" s="94" t="str">
        <f aca="false">IFERROR(VLOOKUP(Table6[[#This Row],[PLAYER]],ECR!C:F,2,FALSE()),"-")</f>
        <v>MIN</v>
      </c>
      <c r="AF67" s="94" t="n">
        <f aca="false">IFERROR(VLOOKUP(Table6[[#This Row],[PLAYER]],ECR!C:F,4,FALSE()),"-")</f>
        <v>6</v>
      </c>
      <c r="AG67" s="94" t="str">
        <f aca="false">Table6[[#This Row],[Team]] &amp; "/" &amp; Table6[[#This Row],[Bye]]</f>
        <v>MIN/6</v>
      </c>
      <c r="AH67" s="95" t="n">
        <f aca="false">IFERROR(VLOOKUP(Table6[[#This Row],[PLAYER]],WR!A:Q,13,FALSE())/17*(17-Table6[[#This Row],[Missed Games]]),0)</f>
        <v>69.8907371556218</v>
      </c>
      <c r="AI67" s="95" t="n">
        <f aca="false">IFERROR(VLOOKUP(Table6[[#This Row],[PLAYER]],WR!A:Q,14,FALSE())/17*(17-Table6[[#This Row],[Missed Games]]),0)</f>
        <v>85.1546760982874</v>
      </c>
      <c r="AJ67" s="95" t="n">
        <f aca="false">IFERROR(VLOOKUP(Table6[[#This Row],[PLAYER]],WR!A:Q,15,FALSE())/17*(17-Table6[[#This Row],[Missed Games]]),0)</f>
        <v>100.263886820551</v>
      </c>
      <c r="AK67" s="96" t="n">
        <f aca="false">AVERAGE(AVERAGE(Table6[[#This Row],[LOW]],Table6[[#This Row],[HIGH]]),Table6[[#This Row],[AVG]],VLOOKUP(Table6[[#This Row],[PLAYER]],ECR!L:N,3,FALSE()))</f>
        <v>87.1617074211963</v>
      </c>
      <c r="AL67" s="96" t="n">
        <f aca="false">Table6[[#This Row],[Zscore Projection]]-$AE$1</f>
        <v>-38.5161713239017</v>
      </c>
      <c r="AM67" s="97" t="e">
        <f aca="false">MAX(Table6[[#This Row],[VBD]]*Scoring!$B$48+1,1)</f>
        <v>#VALUE!</v>
      </c>
      <c r="AN67" s="98" t="n">
        <f aca="false">VLOOKUP(Table6[[#This Row],[VBD]],BR:BT,3,FALSE())</f>
        <v>8</v>
      </c>
      <c r="AO67" s="99" t="n">
        <f aca="false">VLOOKUP(INDEX(ECR!$E:$E,MATCH(AD67,ECR!$C:$C,0)),RISK!A:B,2,FALSE())</f>
        <v>3.84810126582278</v>
      </c>
      <c r="AP67" s="100"/>
      <c r="AQ67" s="101" t="s">
        <v>374</v>
      </c>
      <c r="AR67" s="80"/>
      <c r="AT67" s="80"/>
      <c r="AU67" s="80"/>
      <c r="AV67" s="80"/>
      <c r="AW67" s="80"/>
      <c r="AX67" s="80"/>
      <c r="AY67" s="80"/>
      <c r="AZ67" s="80"/>
      <c r="BA67" s="80"/>
      <c r="BC67" s="80"/>
      <c r="BD67" s="80"/>
      <c r="BF67" s="102" t="n">
        <v>65</v>
      </c>
      <c r="BG67" s="100" t="str">
        <f aca="false">IFERROR(LARGE($G$3:$G$52,BF67),"")</f>
        <v/>
      </c>
      <c r="BH67" s="104"/>
      <c r="BI67" s="104"/>
      <c r="BJ67" s="106"/>
      <c r="BK67" s="102" t="n">
        <v>65</v>
      </c>
      <c r="BL67" s="100" t="n">
        <f aca="false">IFERROR(LARGE($U$3:$U$102,BK67),"")</f>
        <v>59.6950950588235</v>
      </c>
      <c r="BM67" s="104" t="n">
        <f aca="false">IFERROR(LARGE($X$3:$X$102,65),"")</f>
        <v>-73.7080074117647</v>
      </c>
      <c r="BN67" s="104" t="n">
        <f aca="false">IF(BM67="",BN66,IF((BN66-BM67)&gt;0.15*LARGE($X$3:$X$102,2),BM67,BN66))</f>
        <v>-56.3978060392157</v>
      </c>
      <c r="BO67" s="103" t="n">
        <f aca="false">IF(BM67="",BO66,IF((BN66-BM67)&gt;0.15*LARGE($X$3:$X$102,2),BO66+1,BO66))</f>
        <v>9</v>
      </c>
      <c r="BP67" s="105" t="n">
        <v>65</v>
      </c>
      <c r="BQ67" s="100" t="n">
        <f aca="false">IFERROR(LARGE($AI$3:$AI$102,BP67),"")</f>
        <v>91.2531341772152</v>
      </c>
      <c r="BR67" s="104" t="n">
        <f aca="false">IFERROR(LARGE($AL$3:$AL$102,65),"")</f>
        <v>-37.1930903112435</v>
      </c>
      <c r="BS67" s="104" t="n">
        <f aca="false">IF(BR67="",BS66,IF((BS66-BR67)&gt;0.15*LARGE($AL$3:$AL$102,2),BR67,BS66))</f>
        <v>-33.6236134187143</v>
      </c>
      <c r="BT67" s="103" t="n">
        <f aca="false">IF(BR67="",BT66,IF((BS66-BR67)&gt;0.15*LARGE($AL$3:$AL$102,2),BT66+1,BT66))</f>
        <v>8</v>
      </c>
      <c r="BU67" s="102" t="n">
        <v>65</v>
      </c>
      <c r="BV67" s="100" t="str">
        <f aca="false">IFERROR(LARGE($AW$3:$AW$52,BU67),"")</f>
        <v/>
      </c>
      <c r="BW67" s="104"/>
      <c r="BX67" s="104"/>
      <c r="BY67" s="106" t="n">
        <f aca="false">IFERROR(VALUE(RIGHT(INDEX(ECR!$E:$E,MATCH(P67,ECR!$C:$C,0)),LEN(INDEX(ECR!$E:$E,MATCH(P67,ECR!$C:$C,0)))-2)),"")</f>
        <v>65</v>
      </c>
      <c r="BZ67" s="104"/>
      <c r="CA67" s="104"/>
      <c r="CB67" s="104"/>
      <c r="CC67" s="104"/>
      <c r="CD67" s="104"/>
      <c r="CE67" s="104"/>
      <c r="CF67" s="104"/>
      <c r="CG67" s="104"/>
    </row>
    <row r="68" s="107" customFormat="true" ht="14.25" hidden="false" customHeight="true" outlineLevel="0" collapsed="false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M68" s="80"/>
      <c r="O68" s="98" t="s">
        <v>375</v>
      </c>
      <c r="P68" s="93" t="str">
        <f aca="false">VLOOKUP(O68,ECR!E:L,8,FALSE())</f>
        <v>George Holani</v>
      </c>
      <c r="Q68" s="94" t="str">
        <f aca="false">IFERROR(VLOOKUP(Table4[[#This Row],[PLAYER]],ECR!C:F,2,FALSE()),"-")</f>
        <v>SEA</v>
      </c>
      <c r="R68" s="94" t="n">
        <f aca="false">IFERROR(VLOOKUP(Table4[[#This Row],[PLAYER]],ECR!C:F,4,FALSE()),"-")</f>
        <v>11</v>
      </c>
      <c r="S68" s="94" t="str">
        <f aca="false">Table4[[#This Row],[Team]] &amp; "/" &amp; Table4[[#This Row],[Bye]]</f>
        <v>SEA/11</v>
      </c>
      <c r="T68" s="95" t="n">
        <f aca="false">IFERROR(VLOOKUP(Table4[[#This Row],[PLAYER]],RB!A:Q,13,FALSE())/17*(17-Table4[[#This Row],[Missed Games]]),0)</f>
        <v>17.1294117647059</v>
      </c>
      <c r="U68" s="95" t="n">
        <f aca="false">IFERROR(VLOOKUP(Table4[[#This Row],[PLAYER]],RB!A:Q,14,FALSE())/17*(17-Table4[[#This Row],[Missed Games]]),0)</f>
        <v>22.88</v>
      </c>
      <c r="V68" s="95" t="n">
        <f aca="false">IFERROR(VLOOKUP(Table4[[#This Row],[PLAYER]],RB!A:Q,15,FALSE())/17*(17-Table4[[#This Row],[Missed Games]]),0)</f>
        <v>28.6305882352941</v>
      </c>
      <c r="W68" s="96" t="n">
        <f aca="false">AVERAGE(AVERAGE(Table4[[#This Row],[LOW]],Table4[[#This Row],[HIGH]]),Table4[[#This Row],[AVG]],VLOOKUP(Table4[[#This Row],[PLAYER]],ECR!L:N,3,FALSE()))</f>
        <v>34.5060784313726</v>
      </c>
      <c r="X68" s="96" t="n">
        <f aca="false">Table4[[#This Row],[Zscore Projection]]-$Q$1</f>
        <v>-93.0396599607843</v>
      </c>
      <c r="Y68" s="97" t="e">
        <f aca="false">MAX(Table4[[#This Row],[VBD]]*Scoring!$B$48+1,1)</f>
        <v>#VALUE!</v>
      </c>
      <c r="Z68" s="98" t="n">
        <f aca="false">VLOOKUP(Table4[[#This Row],[VBD]],BM:BO,3,FALSE())</f>
        <v>10</v>
      </c>
      <c r="AA68" s="99" t="n">
        <f aca="false">VLOOKUP(INDEX(ECR!$E:$E,MATCH(P68,ECR!$C:$C,0)),RISK!A:B,2,FALSE())</f>
        <v>4</v>
      </c>
      <c r="AB68" s="100"/>
      <c r="AC68" s="94" t="s">
        <v>376</v>
      </c>
      <c r="AD68" s="94" t="str">
        <f aca="false">VLOOKUP(AC68,ECR!E:L,8,FALSE())</f>
        <v>Ryan Flournoy</v>
      </c>
      <c r="AE68" s="94" t="str">
        <f aca="false">IFERROR(VLOOKUP(Table6[[#This Row],[PLAYER]],ECR!C:F,2,FALSE()),"-")</f>
        <v>DAL</v>
      </c>
      <c r="AF68" s="94" t="n">
        <f aca="false">IFERROR(VLOOKUP(Table6[[#This Row],[PLAYER]],ECR!C:F,4,FALSE()),"-")</f>
        <v>14</v>
      </c>
      <c r="AG68" s="94" t="str">
        <f aca="false">Table6[[#This Row],[Team]] &amp; "/" &amp; Table6[[#This Row],[Bye]]</f>
        <v>DAL/14</v>
      </c>
      <c r="AH68" s="95" t="n">
        <f aca="false">IFERROR(VLOOKUP(Table6[[#This Row],[PLAYER]],WR!A:Q,13,FALSE())/17*(17-Table6[[#This Row],[Missed Games]]),0)</f>
        <v>56.0502978406552</v>
      </c>
      <c r="AI68" s="95" t="n">
        <f aca="false">IFERROR(VLOOKUP(Table6[[#This Row],[PLAYER]],WR!A:Q,14,FALSE())/17*(17-Table6[[#This Row],[Missed Games]]),0)</f>
        <v>56.0502978406552</v>
      </c>
      <c r="AJ68" s="95" t="n">
        <f aca="false">IFERROR(VLOOKUP(Table6[[#This Row],[PLAYER]],WR!A:Q,15,FALSE())/17*(17-Table6[[#This Row],[Missed Games]]),0)</f>
        <v>56.0502978406552</v>
      </c>
      <c r="AK68" s="96" t="n">
        <f aca="false">AVERAGE(AVERAGE(Table6[[#This Row],[LOW]],Table6[[#This Row],[HIGH]]),Table6[[#This Row],[AVG]],VLOOKUP(Table6[[#This Row],[PLAYER]],ECR!L:N,3,FALSE()))</f>
        <v>67.7121638123604</v>
      </c>
      <c r="AL68" s="96" t="n">
        <f aca="false">Table6[[#This Row],[Zscore Projection]]-$AE$1</f>
        <v>-57.9657149327377</v>
      </c>
      <c r="AM68" s="97" t="e">
        <f aca="false">MAX(Table6[[#This Row],[VBD]]*Scoring!$B$48+1,1)</f>
        <v>#VALUE!</v>
      </c>
      <c r="AN68" s="98" t="n">
        <f aca="false">VLOOKUP(Table6[[#This Row],[VBD]],BR:BT,3,FALSE())</f>
        <v>9</v>
      </c>
      <c r="AO68" s="99" t="n">
        <f aca="false">VLOOKUP(INDEX(ECR!$E:$E,MATCH(AD68,ECR!$C:$C,0)),RISK!A:B,2,FALSE())</f>
        <v>3.84810126582278</v>
      </c>
      <c r="AP68" s="100"/>
      <c r="AQ68" s="101" t="s">
        <v>377</v>
      </c>
      <c r="AR68" s="80"/>
      <c r="AT68" s="80"/>
      <c r="AU68" s="80"/>
      <c r="AV68" s="80"/>
      <c r="AW68" s="80"/>
      <c r="AX68" s="80"/>
      <c r="AY68" s="80"/>
      <c r="AZ68" s="80"/>
      <c r="BA68" s="80"/>
      <c r="BC68" s="80"/>
      <c r="BD68" s="80"/>
      <c r="BF68" s="102" t="n">
        <v>66</v>
      </c>
      <c r="BG68" s="100" t="str">
        <f aca="false">IFERROR(LARGE($G$3:$G$52,BF68),"")</f>
        <v/>
      </c>
      <c r="BH68" s="104"/>
      <c r="BI68" s="104"/>
      <c r="BJ68" s="106"/>
      <c r="BK68" s="102" t="n">
        <v>66</v>
      </c>
      <c r="BL68" s="100" t="n">
        <f aca="false">IFERROR(LARGE($U$3:$U$102,BK68),"")</f>
        <v>57.7582352941176</v>
      </c>
      <c r="BM68" s="104" t="n">
        <f aca="false">IFERROR(LARGE($X$3:$X$102,66),"")</f>
        <v>-74.1017187843137</v>
      </c>
      <c r="BN68" s="104" t="n">
        <f aca="false">IF(BM68="",BN67,IF((BN67-BM68)&gt;0.15*LARGE($X$3:$X$102,2),BM68,BN67))</f>
        <v>-56.3978060392157</v>
      </c>
      <c r="BO68" s="103" t="n">
        <f aca="false">IF(BM68="",BO67,IF((BN67-BM68)&gt;0.15*LARGE($X$3:$X$102,2),BO67+1,BO67))</f>
        <v>9</v>
      </c>
      <c r="BP68" s="105" t="n">
        <v>66</v>
      </c>
      <c r="BQ68" s="100" t="n">
        <f aca="false">IFERROR(LARGE($AI$3:$AI$102,BP68),"")</f>
        <v>91.0358957557707</v>
      </c>
      <c r="BR68" s="104" t="n">
        <f aca="false">IFERROR(LARGE($AL$3:$AL$102,66),"")</f>
        <v>-37.6099797130802</v>
      </c>
      <c r="BS68" s="104" t="n">
        <f aca="false">IF(BR68="",BS67,IF((BS67-BR68)&gt;0.15*LARGE($AL$3:$AL$102,2),BR68,BS67))</f>
        <v>-33.6236134187143</v>
      </c>
      <c r="BT68" s="103" t="n">
        <f aca="false">IF(BR68="",BT67,IF((BS67-BR68)&gt;0.15*LARGE($AL$3:$AL$102,2),BT67+1,BT67))</f>
        <v>8</v>
      </c>
      <c r="BU68" s="102" t="n">
        <v>66</v>
      </c>
      <c r="BV68" s="100" t="str">
        <f aca="false">IFERROR(LARGE($AW$3:$AW$52,BU68),"")</f>
        <v/>
      </c>
      <c r="BW68" s="104"/>
      <c r="BX68" s="104"/>
      <c r="BY68" s="106" t="n">
        <f aca="false">IFERROR(VALUE(RIGHT(INDEX(ECR!$E:$E,MATCH(P68,ECR!$C:$C,0)),LEN(INDEX(ECR!$E:$E,MATCH(P68,ECR!$C:$C,0)))-2)),"")</f>
        <v>66</v>
      </c>
      <c r="BZ68" s="104"/>
      <c r="CA68" s="104"/>
      <c r="CB68" s="104"/>
      <c r="CC68" s="104"/>
      <c r="CD68" s="104"/>
      <c r="CE68" s="104"/>
      <c r="CF68" s="104"/>
      <c r="CG68" s="104"/>
    </row>
    <row r="69" s="107" customFormat="true" ht="14.25" hidden="false" customHeight="true" outlineLevel="0" collapsed="false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M69" s="80"/>
      <c r="O69" s="98" t="s">
        <v>378</v>
      </c>
      <c r="P69" s="93" t="str">
        <f aca="false">VLOOKUP(O69,ECR!E:L,8,FALSE())</f>
        <v>Najee Harris</v>
      </c>
      <c r="Q69" s="94" t="str">
        <f aca="false">IFERROR(VLOOKUP(Table4[[#This Row],[PLAYER]],ECR!C:F,2,FALSE()),"-")</f>
        <v>NYG</v>
      </c>
      <c r="R69" s="94" t="n">
        <f aca="false">IFERROR(VLOOKUP(Table4[[#This Row],[PLAYER]],ECR!C:F,4,FALSE()),"-")</f>
        <v>8</v>
      </c>
      <c r="S69" s="94" t="str">
        <f aca="false">Table4[[#This Row],[Team]] &amp; "/" &amp; Table4[[#This Row],[Bye]]</f>
        <v>NYG/8</v>
      </c>
      <c r="T69" s="95" t="n">
        <f aca="false">IFERROR(VLOOKUP(Table4[[#This Row],[PLAYER]],RB!A:Q,13,FALSE())/17*(17-Table4[[#This Row],[Missed Games]]),0)</f>
        <v>46.6470588235294</v>
      </c>
      <c r="U69" s="95" t="n">
        <f aca="false">IFERROR(VLOOKUP(Table4[[#This Row],[PLAYER]],RB!A:Q,14,FALSE())/17*(17-Table4[[#This Row],[Missed Games]]),0)</f>
        <v>52.5582352941177</v>
      </c>
      <c r="V69" s="95" t="n">
        <f aca="false">IFERROR(VLOOKUP(Table4[[#This Row],[PLAYER]],RB!A:Q,15,FALSE())/17*(17-Table4[[#This Row],[Missed Games]]),0)</f>
        <v>59.0582352941177</v>
      </c>
      <c r="W69" s="96" t="n">
        <f aca="false">AVERAGE(AVERAGE(Table4[[#This Row],[LOW]],Table4[[#This Row],[HIGH]]),Table4[[#This Row],[AVG]],VLOOKUP(Table4[[#This Row],[PLAYER]],ECR!L:N,3,FALSE()))</f>
        <v>53.4440196078431</v>
      </c>
      <c r="X69" s="96" t="n">
        <f aca="false">Table4[[#This Row],[Zscore Projection]]-$Q$1</f>
        <v>-74.1017187843137</v>
      </c>
      <c r="Y69" s="97" t="e">
        <f aca="false">MAX(Table4[[#This Row],[VBD]]*Scoring!$B$48+1,1)</f>
        <v>#VALUE!</v>
      </c>
      <c r="Z69" s="98" t="n">
        <f aca="false">VLOOKUP(Table4[[#This Row],[VBD]],BM:BO,3,FALSE())</f>
        <v>9</v>
      </c>
      <c r="AA69" s="99" t="n">
        <f aca="false">VLOOKUP(INDEX(ECR!$E:$E,MATCH(P69,ECR!$C:$C,0)),RISK!A:B,2,FALSE())</f>
        <v>4</v>
      </c>
      <c r="AB69" s="100"/>
      <c r="AC69" s="94" t="s">
        <v>379</v>
      </c>
      <c r="AD69" s="94" t="str">
        <f aca="false">VLOOKUP(AC69,ECR!E:L,8,FALSE())</f>
        <v>Pat Bryant</v>
      </c>
      <c r="AE69" s="94" t="str">
        <f aca="false">IFERROR(VLOOKUP(Table6[[#This Row],[PLAYER]],ECR!C:F,2,FALSE()),"-")</f>
        <v>DEN</v>
      </c>
      <c r="AF69" s="94" t="n">
        <f aca="false">IFERROR(VLOOKUP(Table6[[#This Row],[PLAYER]],ECR!C:F,4,FALSE()),"-")</f>
        <v>10</v>
      </c>
      <c r="AG69" s="94" t="str">
        <f aca="false">Table6[[#This Row],[Team]] &amp; "/" &amp; Table6[[#This Row],[Bye]]</f>
        <v>DEN/10</v>
      </c>
      <c r="AH69" s="95" t="n">
        <f aca="false">IFERROR(VLOOKUP(Table6[[#This Row],[PLAYER]],WR!A:Q,13,FALSE())/17*(17-Table6[[#This Row],[Missed Games]]),0)</f>
        <v>45.0413849590469</v>
      </c>
      <c r="AI69" s="95" t="n">
        <f aca="false">IFERROR(VLOOKUP(Table6[[#This Row],[PLAYER]],WR!A:Q,14,FALSE())/17*(17-Table6[[#This Row],[Missed Games]]),0)</f>
        <v>45.0413849590469</v>
      </c>
      <c r="AJ69" s="95" t="n">
        <f aca="false">IFERROR(VLOOKUP(Table6[[#This Row],[PLAYER]],WR!A:Q,15,FALSE())/17*(17-Table6[[#This Row],[Missed Games]]),0)</f>
        <v>45.0413849590469</v>
      </c>
      <c r="AK69" s="96" t="n">
        <f aca="false">AVERAGE(AVERAGE(Table6[[#This Row],[LOW]],Table6[[#This Row],[HIGH]]),Table6[[#This Row],[AVG]],VLOOKUP(Table6[[#This Row],[PLAYER]],ECR!L:N,3,FALSE()))</f>
        <v>60.3414271531397</v>
      </c>
      <c r="AL69" s="96" t="n">
        <f aca="false">Table6[[#This Row],[Zscore Projection]]-$AE$1</f>
        <v>-65.3364515919583</v>
      </c>
      <c r="AM69" s="97" t="e">
        <f aca="false">MAX(Table6[[#This Row],[VBD]]*Scoring!$B$48+1,1)</f>
        <v>#VALUE!</v>
      </c>
      <c r="AN69" s="98" t="n">
        <f aca="false">VLOOKUP(Table6[[#This Row],[VBD]],BR:BT,3,FALSE())</f>
        <v>9</v>
      </c>
      <c r="AO69" s="99" t="n">
        <f aca="false">VLOOKUP(INDEX(ECR!$E:$E,MATCH(AD69,ECR!$C:$C,0)),RISK!A:B,2,FALSE())</f>
        <v>3.84810126582278</v>
      </c>
      <c r="AP69" s="100"/>
      <c r="AQ69" s="101" t="s">
        <v>380</v>
      </c>
      <c r="AR69" s="80"/>
      <c r="AT69" s="80"/>
      <c r="AU69" s="80"/>
      <c r="AV69" s="80"/>
      <c r="AW69" s="80"/>
      <c r="AX69" s="80"/>
      <c r="AY69" s="80"/>
      <c r="AZ69" s="80"/>
      <c r="BA69" s="80"/>
      <c r="BC69" s="80"/>
      <c r="BD69" s="80"/>
      <c r="BF69" s="102" t="n">
        <v>67</v>
      </c>
      <c r="BG69" s="100" t="str">
        <f aca="false">IFERROR(LARGE($G$3:$G$52,BF69),"")</f>
        <v/>
      </c>
      <c r="BH69" s="104"/>
      <c r="BI69" s="104"/>
      <c r="BJ69" s="106"/>
      <c r="BK69" s="102" t="n">
        <v>67</v>
      </c>
      <c r="BL69" s="100" t="n">
        <f aca="false">IFERROR(LARGE($U$3:$U$102,BK69),"")</f>
        <v>54.9211764705882</v>
      </c>
      <c r="BM69" s="104" t="n">
        <f aca="false">IFERROR(LARGE($X$3:$X$102,67),"")</f>
        <v>-74.9202803529412</v>
      </c>
      <c r="BN69" s="104" t="n">
        <f aca="false">IF(BM69="",BN68,IF((BN68-BM69)&gt;0.15*LARGE($X$3:$X$102,2),BM69,BN68))</f>
        <v>-56.3978060392157</v>
      </c>
      <c r="BO69" s="103" t="n">
        <f aca="false">IF(BM69="",BO68,IF((BN68-BM69)&gt;0.15*LARGE($X$3:$X$102,2),BO68+1,BO68))</f>
        <v>9</v>
      </c>
      <c r="BP69" s="105" t="n">
        <v>67</v>
      </c>
      <c r="BQ69" s="100" t="n">
        <f aca="false">IFERROR(LARGE($AI$3:$AI$102,BP69),"")</f>
        <v>90.9415115413254</v>
      </c>
      <c r="BR69" s="104" t="n">
        <f aca="false">IFERROR(LARGE($AL$3:$AL$102,67),"")</f>
        <v>-38.5161713239017</v>
      </c>
      <c r="BS69" s="104" t="n">
        <f aca="false">IF(BR69="",BS68,IF((BS68-BR69)&gt;0.15*LARGE($AL$3:$AL$102,2),BR69,BS68))</f>
        <v>-33.6236134187143</v>
      </c>
      <c r="BT69" s="103" t="n">
        <f aca="false">IF(BR69="",BT68,IF((BS68-BR69)&gt;0.15*LARGE($AL$3:$AL$102,2),BT68+1,BT68))</f>
        <v>8</v>
      </c>
      <c r="BU69" s="102" t="n">
        <v>67</v>
      </c>
      <c r="BV69" s="100" t="str">
        <f aca="false">IFERROR(LARGE($AW$3:$AW$52,BU69),"")</f>
        <v/>
      </c>
      <c r="BW69" s="104"/>
      <c r="BX69" s="104"/>
      <c r="BY69" s="106" t="n">
        <f aca="false">IFERROR(VALUE(RIGHT(INDEX(ECR!$E:$E,MATCH(P69,ECR!$C:$C,0)),LEN(INDEX(ECR!$E:$E,MATCH(P69,ECR!$C:$C,0)))-2)),"")</f>
        <v>67</v>
      </c>
      <c r="BZ69" s="104"/>
      <c r="CA69" s="104"/>
      <c r="CB69" s="104"/>
      <c r="CC69" s="104"/>
      <c r="CD69" s="104"/>
      <c r="CE69" s="104"/>
      <c r="CF69" s="104"/>
      <c r="CG69" s="104"/>
    </row>
    <row r="70" s="107" customFormat="true" ht="14.25" hidden="false" customHeight="true" outlineLevel="0" collapsed="false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M70" s="80"/>
      <c r="O70" s="98" t="s">
        <v>381</v>
      </c>
      <c r="P70" s="93" t="str">
        <f aca="false">VLOOKUP(O70,ECR!E:L,8,FALSE())</f>
        <v>Jaylen Wright</v>
      </c>
      <c r="Q70" s="94" t="str">
        <f aca="false">IFERROR(VLOOKUP(Table4[[#This Row],[PLAYER]],ECR!C:F,2,FALSE()),"-")</f>
        <v>MIA</v>
      </c>
      <c r="R70" s="94" t="n">
        <f aca="false">IFERROR(VLOOKUP(Table4[[#This Row],[PLAYER]],ECR!C:F,4,FALSE()),"-")</f>
        <v>6</v>
      </c>
      <c r="S70" s="94" t="str">
        <f aca="false">Table4[[#This Row],[Team]] &amp; "/" &amp; Table4[[#This Row],[Bye]]</f>
        <v>MIA/6</v>
      </c>
      <c r="T70" s="95" t="n">
        <f aca="false">IFERROR(VLOOKUP(Table4[[#This Row],[PLAYER]],RB!A:Q,13,FALSE())/17*(17-Table4[[#This Row],[Missed Games]]),0)</f>
        <v>28.1794117647059</v>
      </c>
      <c r="U70" s="95" t="n">
        <f aca="false">IFERROR(VLOOKUP(Table4[[#This Row],[PLAYER]],RB!A:Q,14,FALSE())/17*(17-Table4[[#This Row],[Missed Games]]),0)</f>
        <v>36.9123529411765</v>
      </c>
      <c r="V70" s="95" t="n">
        <f aca="false">IFERROR(VLOOKUP(Table4[[#This Row],[PLAYER]],RB!A:Q,15,FALSE())/17*(17-Table4[[#This Row],[Missed Games]]),0)</f>
        <v>45.8135294117647</v>
      </c>
      <c r="W70" s="96" t="n">
        <f aca="false">AVERAGE(AVERAGE(Table4[[#This Row],[LOW]],Table4[[#This Row],[HIGH]]),Table4[[#This Row],[AVG]],VLOOKUP(Table4[[#This Row],[PLAYER]],ECR!L:N,3,FALSE()))</f>
        <v>42.6221568627451</v>
      </c>
      <c r="X70" s="96" t="n">
        <f aca="false">Table4[[#This Row],[Zscore Projection]]-$Q$1</f>
        <v>-84.9235815294118</v>
      </c>
      <c r="Y70" s="97" t="e">
        <f aca="false">MAX(Table4[[#This Row],[VBD]]*Scoring!$B$48+1,1)</f>
        <v>#VALUE!</v>
      </c>
      <c r="Z70" s="98" t="n">
        <f aca="false">VLOOKUP(Table4[[#This Row],[VBD]],BM:BO,3,FALSE())</f>
        <v>10</v>
      </c>
      <c r="AA70" s="99" t="n">
        <f aca="false">VLOOKUP(INDEX(ECR!$E:$E,MATCH(P70,ECR!$C:$C,0)),RISK!A:B,2,FALSE())</f>
        <v>4</v>
      </c>
      <c r="AB70" s="100"/>
      <c r="AC70" s="94" t="s">
        <v>382</v>
      </c>
      <c r="AD70" s="94" t="str">
        <f aca="false">VLOOKUP(AC70,ECR!E:L,8,FALSE())</f>
        <v>Tre' Harris</v>
      </c>
      <c r="AE70" s="94" t="str">
        <f aca="false">IFERROR(VLOOKUP(Table6[[#This Row],[PLAYER]],ECR!C:F,2,FALSE()),"-")</f>
        <v>LAC</v>
      </c>
      <c r="AF70" s="94" t="n">
        <f aca="false">IFERROR(VLOOKUP(Table6[[#This Row],[PLAYER]],ECR!C:F,4,FALSE()),"-")</f>
        <v>7</v>
      </c>
      <c r="AG70" s="94" t="str">
        <f aca="false">Table6[[#This Row],[Team]] &amp; "/" &amp; Table6[[#This Row],[Bye]]</f>
        <v>LAC/7</v>
      </c>
      <c r="AH70" s="95" t="n">
        <f aca="false">IFERROR(VLOOKUP(Table6[[#This Row],[PLAYER]],WR!A:Q,13,FALSE())/17*(17-Table6[[#This Row],[Missed Games]]),0)</f>
        <v>56.0889798957558</v>
      </c>
      <c r="AI70" s="95" t="n">
        <f aca="false">IFERROR(VLOOKUP(Table6[[#This Row],[PLAYER]],WR!A:Q,14,FALSE())/17*(17-Table6[[#This Row],[Missed Games]]),0)</f>
        <v>56.0889798957558</v>
      </c>
      <c r="AJ70" s="95" t="n">
        <f aca="false">IFERROR(VLOOKUP(Table6[[#This Row],[PLAYER]],WR!A:Q,15,FALSE())/17*(17-Table6[[#This Row],[Missed Games]]),0)</f>
        <v>56.0889798957558</v>
      </c>
      <c r="AK70" s="96" t="n">
        <f aca="false">AVERAGE(AVERAGE(Table6[[#This Row],[LOW]],Table6[[#This Row],[HIGH]]),Table6[[#This Row],[AVG]],VLOOKUP(Table6[[#This Row],[PLAYER]],ECR!L:N,3,FALSE()))</f>
        <v>67.0024770414495</v>
      </c>
      <c r="AL70" s="96" t="n">
        <f aca="false">Table6[[#This Row],[Zscore Projection]]-$AE$1</f>
        <v>-58.6754017036485</v>
      </c>
      <c r="AM70" s="97" t="e">
        <f aca="false">MAX(Table6[[#This Row],[VBD]]*Scoring!$B$48+1,1)</f>
        <v>#VALUE!</v>
      </c>
      <c r="AN70" s="98" t="n">
        <f aca="false">VLOOKUP(Table6[[#This Row],[VBD]],BR:BT,3,FALSE())</f>
        <v>9</v>
      </c>
      <c r="AO70" s="99" t="n">
        <f aca="false">VLOOKUP(INDEX(ECR!$E:$E,MATCH(AD70,ECR!$C:$C,0)),RISK!A:B,2,FALSE())</f>
        <v>3.84810126582278</v>
      </c>
      <c r="AP70" s="100"/>
      <c r="AQ70" s="101" t="s">
        <v>383</v>
      </c>
      <c r="AR70" s="80"/>
      <c r="AT70" s="80"/>
      <c r="AU70" s="80"/>
      <c r="AV70" s="80"/>
      <c r="AW70" s="80"/>
      <c r="AX70" s="80"/>
      <c r="AY70" s="80"/>
      <c r="AZ70" s="80"/>
      <c r="BA70" s="80"/>
      <c r="BC70" s="80"/>
      <c r="BD70" s="80"/>
      <c r="BF70" s="102" t="n">
        <v>68</v>
      </c>
      <c r="BG70" s="100" t="str">
        <f aca="false">IFERROR(LARGE($G$3:$G$52,BF70),"")</f>
        <v/>
      </c>
      <c r="BH70" s="104"/>
      <c r="BI70" s="104"/>
      <c r="BJ70" s="106"/>
      <c r="BK70" s="102" t="n">
        <v>68</v>
      </c>
      <c r="BL70" s="100" t="n">
        <f aca="false">IFERROR(LARGE($U$3:$U$102,BK70),"")</f>
        <v>53.9576470588235</v>
      </c>
      <c r="BM70" s="104" t="n">
        <f aca="false">IFERROR(LARGE($X$3:$X$102,68),"")</f>
        <v>-76.3043776078431</v>
      </c>
      <c r="BN70" s="104" t="n">
        <f aca="false">IF(BM70="",BN69,IF((BN69-BM70)&gt;0.15*LARGE($X$3:$X$102,2),BM70,BN69))</f>
        <v>-56.3978060392157</v>
      </c>
      <c r="BO70" s="103" t="n">
        <f aca="false">IF(BM70="",BO69,IF((BN69-BM70)&gt;0.15*LARGE($X$3:$X$102,2),BO69+1,BO69))</f>
        <v>9</v>
      </c>
      <c r="BP70" s="105" t="n">
        <v>68</v>
      </c>
      <c r="BQ70" s="100" t="n">
        <f aca="false">IFERROR(LARGE($AI$3:$AI$102,BP70),"")</f>
        <v>88.8294713328369</v>
      </c>
      <c r="BR70" s="104" t="n">
        <f aca="false">IFERROR(LARGE($AL$3:$AL$102,68),"")</f>
        <v>-39.2183279880863</v>
      </c>
      <c r="BS70" s="104" t="n">
        <f aca="false">IF(BR70="",BS69,IF((BS69-BR70)&gt;0.15*LARGE($AL$3:$AL$102,2),BR70,BS69))</f>
        <v>-33.6236134187143</v>
      </c>
      <c r="BT70" s="103" t="n">
        <f aca="false">IF(BR70="",BT69,IF((BS69-BR70)&gt;0.15*LARGE($AL$3:$AL$102,2),BT69+1,BT69))</f>
        <v>8</v>
      </c>
      <c r="BU70" s="102" t="n">
        <v>68</v>
      </c>
      <c r="BV70" s="100" t="str">
        <f aca="false">IFERROR(LARGE($AW$3:$AW$52,BU70),"")</f>
        <v/>
      </c>
      <c r="BW70" s="104"/>
      <c r="BX70" s="104"/>
      <c r="BY70" s="106" t="n">
        <f aca="false">IFERROR(VALUE(RIGHT(INDEX(ECR!$E:$E,MATCH(P70,ECR!$C:$C,0)),LEN(INDEX(ECR!$E:$E,MATCH(P70,ECR!$C:$C,0)))-2)),"")</f>
        <v>68</v>
      </c>
      <c r="BZ70" s="104"/>
      <c r="CA70" s="104"/>
      <c r="CB70" s="104"/>
      <c r="CC70" s="104"/>
      <c r="CD70" s="104"/>
      <c r="CE70" s="104"/>
      <c r="CF70" s="104"/>
      <c r="CG70" s="104"/>
    </row>
    <row r="71" s="107" customFormat="true" ht="14.25" hidden="false" customHeight="true" outlineLevel="0" collapsed="false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M71" s="80"/>
      <c r="O71" s="98" t="s">
        <v>384</v>
      </c>
      <c r="P71" s="93" t="str">
        <f aca="false">VLOOKUP(O71,ECR!E:L,8,FALSE())</f>
        <v>Justice Hill</v>
      </c>
      <c r="Q71" s="94" t="str">
        <f aca="false">IFERROR(VLOOKUP(Table4[[#This Row],[PLAYER]],ECR!C:F,2,FALSE()),"-")</f>
        <v>BAL</v>
      </c>
      <c r="R71" s="94" t="n">
        <f aca="false">IFERROR(VLOOKUP(Table4[[#This Row],[PLAYER]],ECR!C:F,4,FALSE()),"-")</f>
        <v>13</v>
      </c>
      <c r="S71" s="94" t="str">
        <f aca="false">Table4[[#This Row],[Team]] &amp; "/" &amp; Table4[[#This Row],[Bye]]</f>
        <v>BAL/13</v>
      </c>
      <c r="T71" s="95" t="n">
        <f aca="false">IFERROR(VLOOKUP(Table4[[#This Row],[PLAYER]],RB!A:Q,13,FALSE())/17*(17-Table4[[#This Row],[Missed Games]]),0)</f>
        <v>61.4670588235294</v>
      </c>
      <c r="U71" s="95" t="n">
        <f aca="false">IFERROR(VLOOKUP(Table4[[#This Row],[PLAYER]],RB!A:Q,14,FALSE())/17*(17-Table4[[#This Row],[Missed Games]]),0)</f>
        <v>75.3235294117647</v>
      </c>
      <c r="V71" s="95" t="n">
        <f aca="false">IFERROR(VLOOKUP(Table4[[#This Row],[PLAYER]],RB!A:Q,15,FALSE())/17*(17-Table4[[#This Row],[Missed Games]]),0)</f>
        <v>89.4935294117647</v>
      </c>
      <c r="W71" s="96" t="n">
        <f aca="false">AVERAGE(AVERAGE(Table4[[#This Row],[LOW]],Table4[[#This Row],[HIGH]]),Table4[[#This Row],[AVG]],VLOOKUP(Table4[[#This Row],[PLAYER]],ECR!L:N,3,FALSE()))</f>
        <v>67.843431372549</v>
      </c>
      <c r="X71" s="96" t="n">
        <f aca="false">Table4[[#This Row],[Zscore Projection]]-$Q$1</f>
        <v>-59.7023070196079</v>
      </c>
      <c r="Y71" s="97" t="e">
        <f aca="false">MAX(Table4[[#This Row],[VBD]]*Scoring!$B$48+1,1)</f>
        <v>#VALUE!</v>
      </c>
      <c r="Z71" s="98" t="n">
        <f aca="false">VLOOKUP(Table4[[#This Row],[VBD]],BM:BO,3,FALSE())</f>
        <v>9</v>
      </c>
      <c r="AA71" s="99" t="n">
        <f aca="false">VLOOKUP(INDEX(ECR!$E:$E,MATCH(P71,ECR!$C:$C,0)),RISK!A:B,2,FALSE())</f>
        <v>4</v>
      </c>
      <c r="AB71" s="100"/>
      <c r="AC71" s="94" t="s">
        <v>385</v>
      </c>
      <c r="AD71" s="94" t="str">
        <f aca="false">VLOOKUP(AC71,ECR!E:L,8,FALSE())</f>
        <v>Omar Cooper Jr.</v>
      </c>
      <c r="AE71" s="94" t="str">
        <f aca="false">IFERROR(VLOOKUP(Table6[[#This Row],[PLAYER]],ECR!C:F,2,FALSE()),"-")</f>
        <v>NYJ</v>
      </c>
      <c r="AF71" s="94" t="n">
        <f aca="false">IFERROR(VLOOKUP(Table6[[#This Row],[PLAYER]],ECR!C:F,4,FALSE()),"-")</f>
        <v>13</v>
      </c>
      <c r="AG71" s="94" t="str">
        <f aca="false">Table6[[#This Row],[Team]] &amp; "/" &amp; Table6[[#This Row],[Bye]]</f>
        <v>NYJ/13</v>
      </c>
      <c r="AH71" s="95" t="n">
        <f aca="false">IFERROR(VLOOKUP(Table6[[#This Row],[PLAYER]],WR!A:Q,13,FALSE())/17*(17-Table6[[#This Row],[Missed Games]]),0)</f>
        <v>78.967094564408</v>
      </c>
      <c r="AI71" s="95" t="n">
        <f aca="false">IFERROR(VLOOKUP(Table6[[#This Row],[PLAYER]],WR!A:Q,14,FALSE())/17*(17-Table6[[#This Row],[Missed Games]]),0)</f>
        <v>91.0358957557707</v>
      </c>
      <c r="AJ71" s="95" t="n">
        <f aca="false">IFERROR(VLOOKUP(Table6[[#This Row],[PLAYER]],WR!A:Q,15,FALSE())/17*(17-Table6[[#This Row],[Missed Games]]),0)</f>
        <v>102.640512285927</v>
      </c>
      <c r="AK71" s="96" t="n">
        <f aca="false">AVERAGE(AVERAGE(Table6[[#This Row],[LOW]],Table6[[#This Row],[HIGH]]),Table6[[#This Row],[AVG]],VLOOKUP(Table6[[#This Row],[PLAYER]],ECR!L:N,3,FALSE()))</f>
        <v>89.9522824522214</v>
      </c>
      <c r="AL71" s="96" t="n">
        <f aca="false">Table6[[#This Row],[Zscore Projection]]-$AE$1</f>
        <v>-35.7255962928766</v>
      </c>
      <c r="AM71" s="97" t="e">
        <f aca="false">MAX(Table6[[#This Row],[VBD]]*Scoring!$B$48+1,1)</f>
        <v>#VALUE!</v>
      </c>
      <c r="AN71" s="98" t="n">
        <f aca="false">VLOOKUP(Table6[[#This Row],[VBD]],BR:BT,3,FALSE())</f>
        <v>8</v>
      </c>
      <c r="AO71" s="99" t="n">
        <f aca="false">VLOOKUP(INDEX(ECR!$E:$E,MATCH(AD71,ECR!$C:$C,0)),RISK!A:B,2,FALSE())</f>
        <v>3.84810126582278</v>
      </c>
      <c r="AP71" s="100"/>
      <c r="AQ71" s="101" t="s">
        <v>386</v>
      </c>
      <c r="AR71" s="80"/>
      <c r="AT71" s="80"/>
      <c r="AU71" s="80"/>
      <c r="AV71" s="80"/>
      <c r="AW71" s="80"/>
      <c r="AX71" s="80"/>
      <c r="AY71" s="80"/>
      <c r="AZ71" s="80"/>
      <c r="BA71" s="80"/>
      <c r="BC71" s="80"/>
      <c r="BD71" s="80"/>
      <c r="BF71" s="102" t="n">
        <v>69</v>
      </c>
      <c r="BG71" s="100" t="str">
        <f aca="false">IFERROR(LARGE($G$3:$G$52,BF71),"")</f>
        <v/>
      </c>
      <c r="BH71" s="104"/>
      <c r="BI71" s="104"/>
      <c r="BJ71" s="106"/>
      <c r="BK71" s="102" t="n">
        <v>69</v>
      </c>
      <c r="BL71" s="100" t="n">
        <f aca="false">IFERROR(LARGE($U$3:$U$102,BK71),"")</f>
        <v>52.7264705882353</v>
      </c>
      <c r="BM71" s="104" t="n">
        <f aca="false">IFERROR(LARGE($X$3:$X$102,69),"")</f>
        <v>-76.9107383921569</v>
      </c>
      <c r="BN71" s="104" t="n">
        <f aca="false">IF(BM71="",BN70,IF((BN70-BM71)&gt;0.15*LARGE($X$3:$X$102,2),BM71,BN70))</f>
        <v>-56.3978060392157</v>
      </c>
      <c r="BO71" s="103" t="n">
        <f aca="false">IF(BM71="",BO70,IF((BN70-BM71)&gt;0.15*LARGE($X$3:$X$102,2),BO70+1,BO70))</f>
        <v>9</v>
      </c>
      <c r="BP71" s="105" t="n">
        <v>69</v>
      </c>
      <c r="BQ71" s="100" t="n">
        <f aca="false">IFERROR(LARGE($AI$3:$AI$102,BP71),"")</f>
        <v>88.017148175726</v>
      </c>
      <c r="BR71" s="104" t="n">
        <f aca="false">IFERROR(LARGE($AL$3:$AL$102,69),"")</f>
        <v>-39.6883407455944</v>
      </c>
      <c r="BS71" s="104" t="n">
        <f aca="false">IF(BR71="",BS70,IF((BS70-BR71)&gt;0.15*LARGE($AL$3:$AL$102,2),BR71,BS70))</f>
        <v>-33.6236134187143</v>
      </c>
      <c r="BT71" s="103" t="n">
        <f aca="false">IF(BR71="",BT70,IF((BS70-BR71)&gt;0.15*LARGE($AL$3:$AL$102,2),BT70+1,BT70))</f>
        <v>8</v>
      </c>
      <c r="BU71" s="102" t="n">
        <v>69</v>
      </c>
      <c r="BV71" s="100" t="str">
        <f aca="false">IFERROR(LARGE($AW$3:$AW$52,BU71),"")</f>
        <v/>
      </c>
      <c r="BW71" s="104"/>
      <c r="BX71" s="104"/>
      <c r="BY71" s="106" t="n">
        <f aca="false">IFERROR(VALUE(RIGHT(INDEX(ECR!$E:$E,MATCH(P71,ECR!$C:$C,0)),LEN(INDEX(ECR!$E:$E,MATCH(P71,ECR!$C:$C,0)))-2)),"")</f>
        <v>69</v>
      </c>
      <c r="BZ71" s="104"/>
      <c r="CA71" s="104"/>
      <c r="CB71" s="104"/>
      <c r="CC71" s="104"/>
      <c r="CD71" s="104"/>
      <c r="CE71" s="104"/>
      <c r="CF71" s="104"/>
      <c r="CG71" s="104"/>
    </row>
    <row r="72" s="107" customFormat="true" ht="14.25" hidden="false" customHeight="true" outlineLevel="0" collapsed="false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M72" s="80"/>
      <c r="O72" s="98" t="s">
        <v>387</v>
      </c>
      <c r="P72" s="93" t="str">
        <f aca="false">VLOOKUP(O72,ECR!E:L,8,FALSE())</f>
        <v>James Conner</v>
      </c>
      <c r="Q72" s="94" t="str">
        <f aca="false">IFERROR(VLOOKUP(Table4[[#This Row],[PLAYER]],ECR!C:F,2,FALSE()),"-")</f>
        <v>ARI</v>
      </c>
      <c r="R72" s="94" t="n">
        <f aca="false">IFERROR(VLOOKUP(Table4[[#This Row],[PLAYER]],ECR!C:F,4,FALSE()),"-")</f>
        <v>14</v>
      </c>
      <c r="S72" s="94" t="str">
        <f aca="false">Table4[[#This Row],[Team]] &amp; "/" &amp; Table4[[#This Row],[Bye]]</f>
        <v>ARI/14</v>
      </c>
      <c r="T72" s="95" t="n">
        <f aca="false">IFERROR(VLOOKUP(Table4[[#This Row],[PLAYER]],RB!A:Q,13,FALSE())/17*(17-Table4[[#This Row],[Missed Games]]),0)</f>
        <v>0</v>
      </c>
      <c r="U72" s="95" t="n">
        <f aca="false">IFERROR(VLOOKUP(Table4[[#This Row],[PLAYER]],RB!A:Q,14,FALSE())/17*(17-Table4[[#This Row],[Missed Games]]),0)</f>
        <v>30.9705882352941</v>
      </c>
      <c r="V72" s="95" t="n">
        <f aca="false">IFERROR(VLOOKUP(Table4[[#This Row],[PLAYER]],RB!A:Q,15,FALSE())/17*(17-Table4[[#This Row],[Missed Games]]),0)</f>
        <v>61.9411764705882</v>
      </c>
      <c r="W72" s="96" t="n">
        <f aca="false">AVERAGE(AVERAGE(Table4[[#This Row],[LOW]],Table4[[#This Row],[HIGH]]),Table4[[#This Row],[AVG]],VLOOKUP(Table4[[#This Row],[PLAYER]],ECR!L:N,3,FALSE()))</f>
        <v>38.1664705882353</v>
      </c>
      <c r="X72" s="96" t="n">
        <f aca="false">Table4[[#This Row],[Zscore Projection]]-$Q$1</f>
        <v>-89.3792678039216</v>
      </c>
      <c r="Y72" s="97" t="e">
        <f aca="false">MAX(Table4[[#This Row],[VBD]]*Scoring!$B$48+1,1)</f>
        <v>#VALUE!</v>
      </c>
      <c r="Z72" s="98" t="n">
        <f aca="false">VLOOKUP(Table4[[#This Row],[VBD]],BM:BO,3,FALSE())</f>
        <v>10</v>
      </c>
      <c r="AA72" s="99" t="n">
        <f aca="false">VLOOKUP(INDEX(ECR!$E:$E,MATCH(P72,ECR!$C:$C,0)),RISK!A:B,2,FALSE())</f>
        <v>4</v>
      </c>
      <c r="AB72" s="100"/>
      <c r="AC72" s="94" t="s">
        <v>388</v>
      </c>
      <c r="AD72" s="94" t="str">
        <f aca="false">VLOOKUP(AC72,ECR!E:L,8,FALSE())</f>
        <v>Jalen Nailor</v>
      </c>
      <c r="AE72" s="94" t="str">
        <f aca="false">IFERROR(VLOOKUP(Table6[[#This Row],[PLAYER]],ECR!C:F,2,FALSE()),"-")</f>
        <v>LV</v>
      </c>
      <c r="AF72" s="94" t="n">
        <f aca="false">IFERROR(VLOOKUP(Table6[[#This Row],[PLAYER]],ECR!C:F,4,FALSE()),"-")</f>
        <v>13</v>
      </c>
      <c r="AG72" s="94" t="str">
        <f aca="false">Table6[[#This Row],[Team]] &amp; "/" &amp; Table6[[#This Row],[Bye]]</f>
        <v>LV/13</v>
      </c>
      <c r="AH72" s="95" t="n">
        <f aca="false">IFERROR(VLOOKUP(Table6[[#This Row],[PLAYER]],WR!A:Q,13,FALSE())/17*(17-Table6[[#This Row],[Missed Games]]),0)</f>
        <v>74.4242740134028</v>
      </c>
      <c r="AI72" s="95" t="n">
        <f aca="false">IFERROR(VLOOKUP(Table6[[#This Row],[PLAYER]],WR!A:Q,14,FALSE())/17*(17-Table6[[#This Row],[Missed Games]]),0)</f>
        <v>81.2942069992554</v>
      </c>
      <c r="AJ72" s="95" t="n">
        <f aca="false">IFERROR(VLOOKUP(Table6[[#This Row],[PLAYER]],WR!A:Q,15,FALSE())/17*(17-Table6[[#This Row],[Missed Games]]),0)</f>
        <v>88.6747431124349</v>
      </c>
      <c r="AK72" s="96" t="n">
        <f aca="false">AVERAGE(AVERAGE(Table6[[#This Row],[LOW]],Table6[[#This Row],[HIGH]]),Table6[[#This Row],[AVG]],VLOOKUP(Table6[[#This Row],[PLAYER]],ECR!L:N,3,FALSE()))</f>
        <v>83.3417771159097</v>
      </c>
      <c r="AL72" s="96" t="n">
        <f aca="false">Table6[[#This Row],[Zscore Projection]]-$AE$1</f>
        <v>-42.3361016291884</v>
      </c>
      <c r="AM72" s="97" t="e">
        <f aca="false">MAX(Table6[[#This Row],[VBD]]*Scoring!$B$48+1,1)</f>
        <v>#VALUE!</v>
      </c>
      <c r="AN72" s="98" t="n">
        <f aca="false">VLOOKUP(Table6[[#This Row],[VBD]],BR:BT,3,FALSE())</f>
        <v>8</v>
      </c>
      <c r="AO72" s="99" t="n">
        <f aca="false">VLOOKUP(INDEX(ECR!$E:$E,MATCH(AD72,ECR!$C:$C,0)),RISK!A:B,2,FALSE())</f>
        <v>3.84810126582278</v>
      </c>
      <c r="AP72" s="100"/>
      <c r="AQ72" s="101" t="s">
        <v>389</v>
      </c>
      <c r="AR72" s="80"/>
      <c r="AT72" s="80"/>
      <c r="AU72" s="80"/>
      <c r="AV72" s="80"/>
      <c r="AW72" s="80"/>
      <c r="AX72" s="80"/>
      <c r="AY72" s="80"/>
      <c r="AZ72" s="80"/>
      <c r="BA72" s="80"/>
      <c r="BC72" s="80"/>
      <c r="BD72" s="80"/>
      <c r="BF72" s="102" t="n">
        <v>70</v>
      </c>
      <c r="BG72" s="100" t="str">
        <f aca="false">IFERROR(LARGE($G$3:$G$52,BF72),"")</f>
        <v/>
      </c>
      <c r="BH72" s="104"/>
      <c r="BI72" s="104"/>
      <c r="BJ72" s="106"/>
      <c r="BK72" s="102" t="n">
        <v>70</v>
      </c>
      <c r="BL72" s="100" t="n">
        <f aca="false">IFERROR(LARGE($U$3:$U$102,BK72),"")</f>
        <v>52.5582352941177</v>
      </c>
      <c r="BM72" s="104" t="n">
        <f aca="false">IFERROR(LARGE($X$3:$X$102,70),"")</f>
        <v>-79.0888756470588</v>
      </c>
      <c r="BN72" s="104" t="n">
        <f aca="false">IF(BM72="",BN71,IF((BN71-BM72)&gt;0.15*LARGE($X$3:$X$102,2),BM72,BN71))</f>
        <v>-79.0888756470588</v>
      </c>
      <c r="BO72" s="103" t="n">
        <f aca="false">IF(BM72="",BO71,IF((BN71-BM72)&gt;0.15*LARGE($X$3:$X$102,2),BO71+1,BO71))</f>
        <v>10</v>
      </c>
      <c r="BP72" s="105" t="n">
        <v>70</v>
      </c>
      <c r="BQ72" s="100" t="n">
        <f aca="false">IFERROR(LARGE($AI$3:$AI$102,BP72),"")</f>
        <v>87.1816157855547</v>
      </c>
      <c r="BR72" s="104" t="n">
        <f aca="false">IFERROR(LARGE($AL$3:$AL$102,70),"")</f>
        <v>-42.3361016291884</v>
      </c>
      <c r="BS72" s="104" t="n">
        <f aca="false">IF(BR72="",BS71,IF((BS71-BR72)&gt;0.15*LARGE($AL$3:$AL$102,2),BR72,BS71))</f>
        <v>-33.6236134187143</v>
      </c>
      <c r="BT72" s="103" t="n">
        <f aca="false">IF(BR72="",BT71,IF((BS71-BR72)&gt;0.15*LARGE($AL$3:$AL$102,2),BT71+1,BT71))</f>
        <v>8</v>
      </c>
      <c r="BU72" s="102" t="n">
        <v>70</v>
      </c>
      <c r="BV72" s="100" t="str">
        <f aca="false">IFERROR(LARGE($AW$3:$AW$52,BU72),"")</f>
        <v/>
      </c>
      <c r="BW72" s="104"/>
      <c r="BX72" s="104"/>
      <c r="BY72" s="106" t="n">
        <f aca="false">IFERROR(VALUE(RIGHT(INDEX(ECR!$E:$E,MATCH(P72,ECR!$C:$C,0)),LEN(INDEX(ECR!$E:$E,MATCH(P72,ECR!$C:$C,0)))-2)),"")</f>
        <v>70</v>
      </c>
      <c r="BZ72" s="104"/>
      <c r="CA72" s="104"/>
      <c r="CB72" s="104"/>
      <c r="CC72" s="104"/>
      <c r="CD72" s="104"/>
      <c r="CE72" s="104"/>
      <c r="CF72" s="104"/>
      <c r="CG72" s="104"/>
    </row>
    <row r="73" s="107" customFormat="true" ht="14.25" hidden="false" customHeight="true" outlineLevel="0" collapsed="false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M73" s="80"/>
      <c r="O73" s="98" t="s">
        <v>390</v>
      </c>
      <c r="P73" s="93" t="str">
        <f aca="false">VLOOKUP(O73,ECR!E:L,8,FALSE())</f>
        <v>Emanuel Wilson</v>
      </c>
      <c r="Q73" s="94" t="str">
        <f aca="false">IFERROR(VLOOKUP(Table4[[#This Row],[PLAYER]],ECR!C:F,2,FALSE()),"-")</f>
        <v>SEA</v>
      </c>
      <c r="R73" s="94" t="n">
        <f aca="false">IFERROR(VLOOKUP(Table4[[#This Row],[PLAYER]],ECR!C:F,4,FALSE()),"-")</f>
        <v>11</v>
      </c>
      <c r="S73" s="94" t="str">
        <f aca="false">Table4[[#This Row],[Team]] &amp; "/" &amp; Table4[[#This Row],[Bye]]</f>
        <v>SEA/11</v>
      </c>
      <c r="T73" s="95" t="n">
        <f aca="false">IFERROR(VLOOKUP(Table4[[#This Row],[PLAYER]],RB!A:Q,13,FALSE())/17*(17-Table4[[#This Row],[Missed Games]]),0)</f>
        <v>5.29941176470588</v>
      </c>
      <c r="U73" s="95" t="n">
        <f aca="false">IFERROR(VLOOKUP(Table4[[#This Row],[PLAYER]],RB!A:Q,14,FALSE())/17*(17-Table4[[#This Row],[Missed Games]]),0)</f>
        <v>35.9870588235294</v>
      </c>
      <c r="V73" s="95" t="n">
        <f aca="false">IFERROR(VLOOKUP(Table4[[#This Row],[PLAYER]],RB!A:Q,15,FALSE())/17*(17-Table4[[#This Row],[Missed Games]]),0)</f>
        <v>66.9882352941176</v>
      </c>
      <c r="W73" s="96" t="n">
        <f aca="false">AVERAGE(AVERAGE(Table4[[#This Row],[LOW]],Table4[[#This Row],[HIGH]]),Table4[[#This Row],[AVG]],VLOOKUP(Table4[[#This Row],[PLAYER]],ECR!L:N,3,FALSE()))</f>
        <v>40.2630392156863</v>
      </c>
      <c r="X73" s="96" t="n">
        <f aca="false">Table4[[#This Row],[Zscore Projection]]-$Q$1</f>
        <v>-87.2826991764706</v>
      </c>
      <c r="Y73" s="97" t="e">
        <f aca="false">MAX(Table4[[#This Row],[VBD]]*Scoring!$B$48+1,1)</f>
        <v>#VALUE!</v>
      </c>
      <c r="Z73" s="98" t="n">
        <f aca="false">VLOOKUP(Table4[[#This Row],[VBD]],BM:BO,3,FALSE())</f>
        <v>10</v>
      </c>
      <c r="AA73" s="99" t="n">
        <f aca="false">VLOOKUP(INDEX(ECR!$E:$E,MATCH(P73,ECR!$C:$C,0)),RISK!A:B,2,FALSE())</f>
        <v>4</v>
      </c>
      <c r="AB73" s="100"/>
      <c r="AC73" s="94" t="s">
        <v>391</v>
      </c>
      <c r="AD73" s="94" t="str">
        <f aca="false">VLOOKUP(AC73,ECR!E:L,8,FALSE())</f>
        <v>Keenan Allen</v>
      </c>
      <c r="AE73" s="94" t="str">
        <f aca="false">IFERROR(VLOOKUP(Table6[[#This Row],[PLAYER]],ECR!C:F,2,FALSE()),"-")</f>
        <v>IND</v>
      </c>
      <c r="AF73" s="94" t="n">
        <f aca="false">IFERROR(VLOOKUP(Table6[[#This Row],[PLAYER]],ECR!C:F,4,FALSE()),"-")</f>
        <v>13</v>
      </c>
      <c r="AG73" s="94" t="str">
        <f aca="false">Table6[[#This Row],[Team]] &amp; "/" &amp; Table6[[#This Row],[Bye]]</f>
        <v>IND/13</v>
      </c>
      <c r="AH73" s="95" t="n">
        <f aca="false">IFERROR(VLOOKUP(Table6[[#This Row],[PLAYER]],WR!A:Q,13,FALSE())/17*(17-Table6[[#This Row],[Missed Games]]),0)</f>
        <v>74.4861653015637</v>
      </c>
      <c r="AI73" s="95" t="n">
        <f aca="false">IFERROR(VLOOKUP(Table6[[#This Row],[PLAYER]],WR!A:Q,14,FALSE())/17*(17-Table6[[#This Row],[Missed Games]]),0)</f>
        <v>87.1816157855547</v>
      </c>
      <c r="AJ73" s="95" t="n">
        <f aca="false">IFERROR(VLOOKUP(Table6[[#This Row],[PLAYER]],WR!A:Q,15,FALSE())/17*(17-Table6[[#This Row],[Missed Games]]),0)</f>
        <v>99.4128816083396</v>
      </c>
      <c r="AK73" s="96" t="n">
        <f aca="false">AVERAGE(AVERAGE(Table6[[#This Row],[LOW]],Table6[[#This Row],[HIGH]]),Table6[[#This Row],[AVG]],VLOOKUP(Table6[[#This Row],[PLAYER]],ECR!L:N,3,FALSE()))</f>
        <v>86.4595507570117</v>
      </c>
      <c r="AL73" s="96" t="n">
        <f aca="false">Table6[[#This Row],[Zscore Projection]]-$AE$1</f>
        <v>-39.2183279880863</v>
      </c>
      <c r="AM73" s="97" t="e">
        <f aca="false">MAX(Table6[[#This Row],[VBD]]*Scoring!$B$48+1,1)</f>
        <v>#VALUE!</v>
      </c>
      <c r="AN73" s="98" t="n">
        <f aca="false">VLOOKUP(Table6[[#This Row],[VBD]],BR:BT,3,FALSE())</f>
        <v>8</v>
      </c>
      <c r="AO73" s="99" t="n">
        <f aca="false">VLOOKUP(INDEX(ECR!$E:$E,MATCH(AD73,ECR!$C:$C,0)),RISK!A:B,2,FALSE())</f>
        <v>3.84810126582278</v>
      </c>
      <c r="AP73" s="100"/>
      <c r="AQ73" s="101" t="s">
        <v>392</v>
      </c>
      <c r="AR73" s="80"/>
      <c r="AT73" s="80"/>
      <c r="AU73" s="80"/>
      <c r="AV73" s="80"/>
      <c r="AW73" s="80"/>
      <c r="AX73" s="80"/>
      <c r="AY73" s="80"/>
      <c r="AZ73" s="80"/>
      <c r="BA73" s="80"/>
      <c r="BC73" s="80"/>
      <c r="BD73" s="80"/>
      <c r="BF73" s="102" t="n">
        <v>71</v>
      </c>
      <c r="BG73" s="100" t="str">
        <f aca="false">IFERROR(LARGE($G$3:$G$52,BF73),"")</f>
        <v/>
      </c>
      <c r="BH73" s="104"/>
      <c r="BI73" s="104"/>
      <c r="BJ73" s="106"/>
      <c r="BK73" s="102" t="n">
        <v>71</v>
      </c>
      <c r="BL73" s="100" t="n">
        <f aca="false">IFERROR(LARGE($U$3:$U$102,BK73),"")</f>
        <v>48.6582352941177</v>
      </c>
      <c r="BM73" s="104" t="n">
        <f aca="false">IFERROR(LARGE($X$3:$X$102,71),"")</f>
        <v>-79.3539736862745</v>
      </c>
      <c r="BN73" s="104" t="n">
        <f aca="false">IF(BM73="",BN72,IF((BN72-BM73)&gt;0.15*LARGE($X$3:$X$102,2),BM73,BN72))</f>
        <v>-79.0888756470588</v>
      </c>
      <c r="BO73" s="103" t="n">
        <f aca="false">IF(BM73="",BO72,IF((BN72-BM73)&gt;0.15*LARGE($X$3:$X$102,2),BO72+1,BO72))</f>
        <v>10</v>
      </c>
      <c r="BP73" s="105" t="n">
        <v>71</v>
      </c>
      <c r="BQ73" s="100" t="n">
        <f aca="false">IFERROR(LARGE($AI$3:$AI$102,BP73),"")</f>
        <v>85.2475130305287</v>
      </c>
      <c r="BR73" s="104" t="n">
        <f aca="false">IFERROR(LARGE($AL$3:$AL$102,71),"")</f>
        <v>-42.6420508969968</v>
      </c>
      <c r="BS73" s="104" t="n">
        <f aca="false">IF(BR73="",BS72,IF((BS72-BR73)&gt;0.15*LARGE($AL$3:$AL$102,2),BR73,BS72))</f>
        <v>-33.6236134187143</v>
      </c>
      <c r="BT73" s="103" t="n">
        <f aca="false">IF(BR73="",BT72,IF((BS72-BR73)&gt;0.15*LARGE($AL$3:$AL$102,2),BT72+1,BT72))</f>
        <v>8</v>
      </c>
      <c r="BU73" s="102" t="n">
        <v>71</v>
      </c>
      <c r="BV73" s="100" t="str">
        <f aca="false">IFERROR(LARGE($AW$3:$AW$52,BU73),"")</f>
        <v/>
      </c>
      <c r="BW73" s="104"/>
      <c r="BX73" s="104"/>
      <c r="BY73" s="106" t="n">
        <f aca="false">IFERROR(VALUE(RIGHT(INDEX(ECR!$E:$E,MATCH(P73,ECR!$C:$C,0)),LEN(INDEX(ECR!$E:$E,MATCH(P73,ECR!$C:$C,0)))-2)),"")</f>
        <v>71</v>
      </c>
      <c r="BZ73" s="104"/>
      <c r="CA73" s="104"/>
      <c r="CB73" s="104"/>
      <c r="CC73" s="104"/>
      <c r="CD73" s="104"/>
      <c r="CE73" s="104"/>
      <c r="CF73" s="104"/>
      <c r="CG73" s="104"/>
    </row>
    <row r="74" s="107" customFormat="true" ht="14.25" hidden="false" customHeight="true" outlineLevel="0" collapsed="false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M74" s="80"/>
      <c r="O74" s="98" t="s">
        <v>393</v>
      </c>
      <c r="P74" s="93" t="str">
        <f aca="false">VLOOKUP(O74,ECR!E:L,8,FALSE())</f>
        <v>Samaje Perine</v>
      </c>
      <c r="Q74" s="94" t="str">
        <f aca="false">IFERROR(VLOOKUP(Table4[[#This Row],[PLAYER]],ECR!C:F,2,FALSE()),"-")</f>
        <v>CIN</v>
      </c>
      <c r="R74" s="94" t="n">
        <f aca="false">IFERROR(VLOOKUP(Table4[[#This Row],[PLAYER]],ECR!C:F,4,FALSE()),"-")</f>
        <v>6</v>
      </c>
      <c r="S74" s="94" t="str">
        <f aca="false">Table4[[#This Row],[Team]] &amp; "/" &amp; Table4[[#This Row],[Bye]]</f>
        <v>CIN/6</v>
      </c>
      <c r="T74" s="95" t="n">
        <f aca="false">IFERROR(VLOOKUP(Table4[[#This Row],[PLAYER]],RB!A:Q,13,FALSE())/17*(17-Table4[[#This Row],[Missed Games]]),0)</f>
        <v>60.7635294117647</v>
      </c>
      <c r="U74" s="95" t="n">
        <f aca="false">IFERROR(VLOOKUP(Table4[[#This Row],[PLAYER]],RB!A:Q,14,FALSE())/17*(17-Table4[[#This Row],[Missed Games]]),0)</f>
        <v>66.8658823529412</v>
      </c>
      <c r="V74" s="95" t="n">
        <f aca="false">IFERROR(VLOOKUP(Table4[[#This Row],[PLAYER]],RB!A:Q,15,FALSE())/17*(17-Table4[[#This Row],[Missed Games]]),0)</f>
        <v>72.0505882352941</v>
      </c>
      <c r="W74" s="96" t="n">
        <f aca="false">AVERAGE(AVERAGE(Table4[[#This Row],[LOW]],Table4[[#This Row],[HIGH]]),Table4[[#This Row],[AVG]],VLOOKUP(Table4[[#This Row],[PLAYER]],ECR!L:N,3,FALSE()))</f>
        <v>58.0539215686275</v>
      </c>
      <c r="X74" s="96" t="n">
        <f aca="false">Table4[[#This Row],[Zscore Projection]]-$Q$1</f>
        <v>-69.4918168235294</v>
      </c>
      <c r="Y74" s="97" t="e">
        <f aca="false">MAX(Table4[[#This Row],[VBD]]*Scoring!$B$48+1,1)</f>
        <v>#VALUE!</v>
      </c>
      <c r="Z74" s="98" t="n">
        <f aca="false">VLOOKUP(Table4[[#This Row],[VBD]],BM:BO,3,FALSE())</f>
        <v>9</v>
      </c>
      <c r="AA74" s="99" t="n">
        <f aca="false">VLOOKUP(INDEX(ECR!$E:$E,MATCH(P74,ECR!$C:$C,0)),RISK!A:B,2,FALSE())</f>
        <v>4</v>
      </c>
      <c r="AB74" s="100"/>
      <c r="AC74" s="94" t="s">
        <v>394</v>
      </c>
      <c r="AD74" s="94" t="str">
        <f aca="false">VLOOKUP(AC74,ECR!E:L,8,FALSE())</f>
        <v>Malik Washington</v>
      </c>
      <c r="AE74" s="94" t="str">
        <f aca="false">IFERROR(VLOOKUP(Table6[[#This Row],[PLAYER]],ECR!C:F,2,FALSE()),"-")</f>
        <v>MIA</v>
      </c>
      <c r="AF74" s="94" t="n">
        <f aca="false">IFERROR(VLOOKUP(Table6[[#This Row],[PLAYER]],ECR!C:F,4,FALSE()),"-")</f>
        <v>6</v>
      </c>
      <c r="AG74" s="94" t="str">
        <f aca="false">Table6[[#This Row],[Team]] &amp; "/" &amp; Table6[[#This Row],[Bye]]</f>
        <v>MIA/6</v>
      </c>
      <c r="AH74" s="95" t="n">
        <f aca="false">IFERROR(VLOOKUP(Table6[[#This Row],[PLAYER]],WR!A:Q,13,FALSE())/17*(17-Table6[[#This Row],[Missed Games]]),0)</f>
        <v>58.3557483246463</v>
      </c>
      <c r="AI74" s="95" t="n">
        <f aca="false">IFERROR(VLOOKUP(Table6[[#This Row],[PLAYER]],WR!A:Q,14,FALSE())/17*(17-Table6[[#This Row],[Missed Games]]),0)</f>
        <v>68.0881533879375</v>
      </c>
      <c r="AJ74" s="95" t="n">
        <f aca="false">IFERROR(VLOOKUP(Table6[[#This Row],[PLAYER]],WR!A:Q,15,FALSE())/17*(17-Table6[[#This Row],[Missed Games]]),0)</f>
        <v>78.3234251675354</v>
      </c>
      <c r="AK74" s="96" t="n">
        <f aca="false">AVERAGE(AVERAGE(Table6[[#This Row],[LOW]],Table6[[#This Row],[HIGH]]),Table6[[#This Row],[AVG]],VLOOKUP(Table6[[#This Row],[PLAYER]],ECR!L:N,3,FALSE()))</f>
        <v>73.8608054107719</v>
      </c>
      <c r="AL74" s="96" t="n">
        <f aca="false">Table6[[#This Row],[Zscore Projection]]-$AE$1</f>
        <v>-51.8170733343261</v>
      </c>
      <c r="AM74" s="97" t="e">
        <f aca="false">MAX(Table6[[#This Row],[VBD]]*Scoring!$B$48+1,1)</f>
        <v>#VALUE!</v>
      </c>
      <c r="AN74" s="98" t="n">
        <f aca="false">VLOOKUP(Table6[[#This Row],[VBD]],BR:BT,3,FALSE())</f>
        <v>9</v>
      </c>
      <c r="AO74" s="99" t="n">
        <f aca="false">VLOOKUP(INDEX(ECR!$E:$E,MATCH(AD74,ECR!$C:$C,0)),RISK!A:B,2,FALSE())</f>
        <v>3.84810126582278</v>
      </c>
      <c r="AP74" s="100"/>
      <c r="AQ74" s="101" t="s">
        <v>395</v>
      </c>
      <c r="AR74" s="80"/>
      <c r="AT74" s="80"/>
      <c r="AU74" s="80"/>
      <c r="AV74" s="80"/>
      <c r="AW74" s="80"/>
      <c r="AX74" s="80"/>
      <c r="AY74" s="80"/>
      <c r="AZ74" s="80"/>
      <c r="BA74" s="80"/>
      <c r="BC74" s="80"/>
      <c r="BD74" s="80"/>
      <c r="BF74" s="102" t="n">
        <v>72</v>
      </c>
      <c r="BG74" s="100" t="str">
        <f aca="false">IFERROR(LARGE($G$3:$G$52,BF74),"")</f>
        <v/>
      </c>
      <c r="BH74" s="104"/>
      <c r="BI74" s="104"/>
      <c r="BJ74" s="106"/>
      <c r="BK74" s="102" t="n">
        <v>72</v>
      </c>
      <c r="BL74" s="100" t="n">
        <f aca="false">IFERROR(LARGE($U$3:$U$102,BK74),"")</f>
        <v>40.8888235294118</v>
      </c>
      <c r="BM74" s="104" t="n">
        <f aca="false">IFERROR(LARGE($X$3:$X$102,72),"")</f>
        <v>-82.5670129019608</v>
      </c>
      <c r="BN74" s="104" t="n">
        <f aca="false">IF(BM74="",BN73,IF((BN73-BM74)&gt;0.15*LARGE($X$3:$X$102,2),BM74,BN73))</f>
        <v>-79.0888756470588</v>
      </c>
      <c r="BO74" s="103" t="n">
        <f aca="false">IF(BM74="",BO73,IF((BN73-BM74)&gt;0.15*LARGE($X$3:$X$102,2),BO73+1,BO73))</f>
        <v>10</v>
      </c>
      <c r="BP74" s="105" t="n">
        <v>72</v>
      </c>
      <c r="BQ74" s="100" t="n">
        <f aca="false">IFERROR(LARGE($AI$3:$AI$102,BP74),"")</f>
        <v>85.1546760982874</v>
      </c>
      <c r="BR74" s="104" t="n">
        <f aca="false">IFERROR(LARGE($AL$3:$AL$102,72),"")</f>
        <v>-44.7421254564408</v>
      </c>
      <c r="BS74" s="104" t="n">
        <f aca="false">IF(BR74="",BS73,IF((BS73-BR74)&gt;0.15*LARGE($AL$3:$AL$102,2),BR74,BS73))</f>
        <v>-33.6236134187143</v>
      </c>
      <c r="BT74" s="103" t="n">
        <f aca="false">IF(BR74="",BT73,IF((BS73-BR74)&gt;0.15*LARGE($AL$3:$AL$102,2),BT73+1,BT73))</f>
        <v>8</v>
      </c>
      <c r="BU74" s="102" t="n">
        <v>72</v>
      </c>
      <c r="BV74" s="100" t="str">
        <f aca="false">IFERROR(LARGE($AW$3:$AW$52,BU74),"")</f>
        <v/>
      </c>
      <c r="BW74" s="104"/>
      <c r="BX74" s="104"/>
      <c r="BY74" s="106" t="n">
        <f aca="false">IFERROR(VALUE(RIGHT(INDEX(ECR!$E:$E,MATCH(P74,ECR!$C:$C,0)),LEN(INDEX(ECR!$E:$E,MATCH(P74,ECR!$C:$C,0)))-2)),"")</f>
        <v>72</v>
      </c>
      <c r="BZ74" s="104"/>
      <c r="CA74" s="104"/>
      <c r="CB74" s="104"/>
      <c r="CC74" s="104"/>
      <c r="CD74" s="104"/>
      <c r="CE74" s="104"/>
      <c r="CF74" s="104"/>
      <c r="CG74" s="104"/>
    </row>
    <row r="75" s="107" customFormat="true" ht="14.25" hidden="false" customHeight="true" outlineLevel="0" collapsed="false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M75" s="80"/>
      <c r="O75" s="98" t="s">
        <v>396</v>
      </c>
      <c r="P75" s="93" t="str">
        <f aca="false">VLOOKUP(O75,ECR!E:L,8,FALSE())</f>
        <v>Demond Claiborne</v>
      </c>
      <c r="Q75" s="94" t="str">
        <f aca="false">IFERROR(VLOOKUP(Table4[[#This Row],[PLAYER]],ECR!C:F,2,FALSE()),"-")</f>
        <v>MIN</v>
      </c>
      <c r="R75" s="94" t="n">
        <f aca="false">IFERROR(VLOOKUP(Table4[[#This Row],[PLAYER]],ECR!C:F,4,FALSE()),"-")</f>
        <v>6</v>
      </c>
      <c r="S75" s="94" t="str">
        <f aca="false">Table4[[#This Row],[Team]] &amp; "/" &amp; Table4[[#This Row],[Bye]]</f>
        <v>MIN/6</v>
      </c>
      <c r="T75" s="95" t="n">
        <f aca="false">IFERROR(VLOOKUP(Table4[[#This Row],[PLAYER]],RB!A:Q,13,FALSE())/17*(17-Table4[[#This Row],[Missed Games]]),0)</f>
        <v>54.8999788235294</v>
      </c>
      <c r="U75" s="95" t="n">
        <f aca="false">IFERROR(VLOOKUP(Table4[[#This Row],[PLAYER]],RB!A:Q,14,FALSE())/17*(17-Table4[[#This Row],[Missed Games]]),0)</f>
        <v>60.5511552941177</v>
      </c>
      <c r="V75" s="95" t="n">
        <f aca="false">IFERROR(VLOOKUP(Table4[[#This Row],[PLAYER]],RB!A:Q,15,FALSE())/17*(17-Table4[[#This Row],[Missed Games]]),0)</f>
        <v>66.0264494117647</v>
      </c>
      <c r="W75" s="96" t="n">
        <f aca="false">AVERAGE(AVERAGE(Table4[[#This Row],[LOW]],Table4[[#This Row],[HIGH]]),Table4[[#This Row],[AVG]],VLOOKUP(Table4[[#This Row],[PLAYER]],ECR!L:N,3,FALSE()))</f>
        <v>53.8377309803922</v>
      </c>
      <c r="X75" s="96" t="n">
        <f aca="false">Table4[[#This Row],[Zscore Projection]]-$Q$1</f>
        <v>-73.7080074117647</v>
      </c>
      <c r="Y75" s="97" t="e">
        <f aca="false">MAX(Table4[[#This Row],[VBD]]*Scoring!$B$48+1,1)</f>
        <v>#VALUE!</v>
      </c>
      <c r="Z75" s="98" t="n">
        <f aca="false">VLOOKUP(Table4[[#This Row],[VBD]],BM:BO,3,FALSE())</f>
        <v>9</v>
      </c>
      <c r="AA75" s="99" t="n">
        <f aca="false">VLOOKUP(INDEX(ECR!$E:$E,MATCH(P75,ECR!$C:$C,0)),RISK!A:B,2,FALSE())</f>
        <v>4</v>
      </c>
      <c r="AB75" s="100"/>
      <c r="AC75" s="94" t="s">
        <v>397</v>
      </c>
      <c r="AD75" s="94" t="str">
        <f aca="false">VLOOKUP(AC75,ECR!E:L,8,FALSE())</f>
        <v>Calvin Ridley</v>
      </c>
      <c r="AE75" s="94" t="str">
        <f aca="false">IFERROR(VLOOKUP(Table6[[#This Row],[PLAYER]],ECR!C:F,2,FALSE()),"-")</f>
        <v>TEN</v>
      </c>
      <c r="AF75" s="94" t="n">
        <f aca="false">IFERROR(VLOOKUP(Table6[[#This Row],[PLAYER]],ECR!C:F,4,FALSE()),"-")</f>
        <v>9</v>
      </c>
      <c r="AG75" s="94" t="str">
        <f aca="false">Table6[[#This Row],[Team]] &amp; "/" &amp; Table6[[#This Row],[Bye]]</f>
        <v>TEN/9</v>
      </c>
      <c r="AH75" s="95" t="n">
        <f aca="false">IFERROR(VLOOKUP(Table6[[#This Row],[PLAYER]],WR!A:Q,13,FALSE())/17*(17-Table6[[#This Row],[Missed Games]]),0)</f>
        <v>85.642069992554</v>
      </c>
      <c r="AI75" s="95" t="n">
        <f aca="false">IFERROR(VLOOKUP(Table6[[#This Row],[PLAYER]],WR!A:Q,14,FALSE())/17*(17-Table6[[#This Row],[Missed Games]]),0)</f>
        <v>96.4498361876396</v>
      </c>
      <c r="AJ75" s="95" t="n">
        <f aca="false">IFERROR(VLOOKUP(Table6[[#This Row],[PLAYER]],WR!A:Q,15,FALSE())/17*(17-Table6[[#This Row],[Missed Games]]),0)</f>
        <v>107.698577810871</v>
      </c>
      <c r="AK75" s="96" t="n">
        <f aca="false">AVERAGE(AVERAGE(Table6[[#This Row],[LOW]],Table6[[#This Row],[HIGH]]),Table6[[#This Row],[AVG]],VLOOKUP(Table6[[#This Row],[PLAYER]],ECR!L:N,3,FALSE()))</f>
        <v>92.0542653263837</v>
      </c>
      <c r="AL75" s="96" t="n">
        <f aca="false">Table6[[#This Row],[Zscore Projection]]-$AE$1</f>
        <v>-33.6236134187143</v>
      </c>
      <c r="AM75" s="97" t="e">
        <f aca="false">MAX(Table6[[#This Row],[VBD]]*Scoring!$B$48+1,1)</f>
        <v>#VALUE!</v>
      </c>
      <c r="AN75" s="98" t="n">
        <f aca="false">VLOOKUP(Table6[[#This Row],[VBD]],BR:BT,3,FALSE())</f>
        <v>8</v>
      </c>
      <c r="AO75" s="99" t="n">
        <f aca="false">VLOOKUP(INDEX(ECR!$E:$E,MATCH(AD75,ECR!$C:$C,0)),RISK!A:B,2,FALSE())</f>
        <v>3.84810126582278</v>
      </c>
      <c r="AP75" s="100"/>
      <c r="AQ75" s="101" t="s">
        <v>398</v>
      </c>
      <c r="AR75" s="80"/>
      <c r="AT75" s="80"/>
      <c r="AU75" s="80"/>
      <c r="AV75" s="80"/>
      <c r="AW75" s="80"/>
      <c r="AX75" s="80"/>
      <c r="AY75" s="80"/>
      <c r="AZ75" s="80"/>
      <c r="BA75" s="80"/>
      <c r="BC75" s="80"/>
      <c r="BD75" s="80"/>
      <c r="BF75" s="102" t="n">
        <v>73</v>
      </c>
      <c r="BG75" s="100" t="str">
        <f aca="false">IFERROR(LARGE($G$3:$G$52,BF75),"")</f>
        <v/>
      </c>
      <c r="BH75" s="104"/>
      <c r="BI75" s="104"/>
      <c r="BJ75" s="106"/>
      <c r="BK75" s="102" t="n">
        <v>73</v>
      </c>
      <c r="BL75" s="100" t="n">
        <f aca="false">IFERROR(LARGE($U$3:$U$102,BK75),"")</f>
        <v>40.4988235294118</v>
      </c>
      <c r="BM75" s="104" t="n">
        <f aca="false">IFERROR(LARGE($X$3:$X$102,73),"")</f>
        <v>-84.9235815294118</v>
      </c>
      <c r="BN75" s="104" t="n">
        <f aca="false">IF(BM75="",BN74,IF((BN74-BM75)&gt;0.15*LARGE($X$3:$X$102,2),BM75,BN74))</f>
        <v>-79.0888756470588</v>
      </c>
      <c r="BO75" s="103" t="n">
        <f aca="false">IF(BM75="",BO74,IF((BN74-BM75)&gt;0.15*LARGE($X$3:$X$102,2),BO74+1,BO74))</f>
        <v>10</v>
      </c>
      <c r="BP75" s="105" t="n">
        <v>73</v>
      </c>
      <c r="BQ75" s="100" t="n">
        <f aca="false">IFERROR(LARGE($AI$3:$AI$102,BP75),"")</f>
        <v>83.042635889799</v>
      </c>
      <c r="BR75" s="104" t="n">
        <f aca="false">IFERROR(LARGE($AL$3:$AL$102,73),"")</f>
        <v>-45.5344886731199</v>
      </c>
      <c r="BS75" s="104" t="n">
        <f aca="false">IF(BR75="",BS74,IF((BS74-BR75)&gt;0.15*LARGE($AL$3:$AL$102,2),BR75,BS74))</f>
        <v>-33.6236134187143</v>
      </c>
      <c r="BT75" s="103" t="n">
        <f aca="false">IF(BR75="",BT74,IF((BS74-BR75)&gt;0.15*LARGE($AL$3:$AL$102,2),BT74+1,BT74))</f>
        <v>8</v>
      </c>
      <c r="BU75" s="102" t="n">
        <v>73</v>
      </c>
      <c r="BV75" s="100" t="str">
        <f aca="false">IFERROR(LARGE($AW$3:$AW$52,BU75),"")</f>
        <v/>
      </c>
      <c r="BW75" s="104"/>
      <c r="BX75" s="104"/>
      <c r="BY75" s="106" t="n">
        <f aca="false">IFERROR(VALUE(RIGHT(INDEX(ECR!$E:$E,MATCH(P75,ECR!$C:$C,0)),LEN(INDEX(ECR!$E:$E,MATCH(P75,ECR!$C:$C,0)))-2)),"")</f>
        <v>73</v>
      </c>
      <c r="BZ75" s="104"/>
      <c r="CA75" s="104"/>
      <c r="CB75" s="104"/>
      <c r="CC75" s="104"/>
      <c r="CD75" s="104"/>
      <c r="CE75" s="104"/>
      <c r="CF75" s="104"/>
      <c r="CG75" s="104"/>
    </row>
    <row r="76" s="107" customFormat="true" ht="14.25" hidden="false" customHeight="true" outlineLevel="0" collapsed="false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M76" s="80"/>
      <c r="O76" s="98" t="s">
        <v>399</v>
      </c>
      <c r="P76" s="93" t="str">
        <f aca="false">VLOOKUP(O76,ECR!E:L,8,FALSE())</f>
        <v>Chris Brooks</v>
      </c>
      <c r="Q76" s="94" t="str">
        <f aca="false">IFERROR(VLOOKUP(Table4[[#This Row],[PLAYER]],ECR!C:F,2,FALSE()),"-")</f>
        <v>GB</v>
      </c>
      <c r="R76" s="94" t="n">
        <f aca="false">IFERROR(VLOOKUP(Table4[[#This Row],[PLAYER]],ECR!C:F,4,FALSE()),"-")</f>
        <v>11</v>
      </c>
      <c r="S76" s="94" t="str">
        <f aca="false">Table4[[#This Row],[Team]] &amp; "/" &amp; Table4[[#This Row],[Bye]]</f>
        <v>GB/11</v>
      </c>
      <c r="T76" s="95" t="n">
        <f aca="false">IFERROR(VLOOKUP(Table4[[#This Row],[PLAYER]],RB!A:Q,13,FALSE())/17*(17-Table4[[#This Row],[Missed Games]]),0)</f>
        <v>36.5911764705882</v>
      </c>
      <c r="U76" s="95" t="n">
        <f aca="false">IFERROR(VLOOKUP(Table4[[#This Row],[PLAYER]],RB!A:Q,14,FALSE())/17*(17-Table4[[#This Row],[Missed Games]]),0)</f>
        <v>53.9576470588235</v>
      </c>
      <c r="V76" s="95" t="n">
        <f aca="false">IFERROR(VLOOKUP(Table4[[#This Row],[PLAYER]],RB!A:Q,15,FALSE())/17*(17-Table4[[#This Row],[Missed Games]]),0)</f>
        <v>70.8194117647059</v>
      </c>
      <c r="W76" s="96" t="n">
        <f aca="false">AVERAGE(AVERAGE(Table4[[#This Row],[LOW]],Table4[[#This Row],[HIGH]]),Table4[[#This Row],[AVG]],VLOOKUP(Table4[[#This Row],[PLAYER]],ECR!L:N,3,FALSE()))</f>
        <v>48.1917647058824</v>
      </c>
      <c r="X76" s="96" t="n">
        <f aca="false">Table4[[#This Row],[Zscore Projection]]-$Q$1</f>
        <v>-79.3539736862745</v>
      </c>
      <c r="Y76" s="97" t="e">
        <f aca="false">MAX(Table4[[#This Row],[VBD]]*Scoring!$B$48+1,1)</f>
        <v>#VALUE!</v>
      </c>
      <c r="Z76" s="98" t="n">
        <f aca="false">VLOOKUP(Table4[[#This Row],[VBD]],BM:BO,3,FALSE())</f>
        <v>10</v>
      </c>
      <c r="AA76" s="99" t="n">
        <f aca="false">VLOOKUP(INDEX(ECR!$E:$E,MATCH(P76,ECR!$C:$C,0)),RISK!A:B,2,FALSE())</f>
        <v>4</v>
      </c>
      <c r="AB76" s="100"/>
      <c r="AC76" s="94" t="s">
        <v>400</v>
      </c>
      <c r="AD76" s="94" t="str">
        <f aca="false">VLOOKUP(AC76,ECR!E:L,8,FALSE())</f>
        <v>Jaylin Noel</v>
      </c>
      <c r="AE76" s="94" t="str">
        <f aca="false">IFERROR(VLOOKUP(Table6[[#This Row],[PLAYER]],ECR!C:F,2,FALSE()),"-")</f>
        <v>HOU</v>
      </c>
      <c r="AF76" s="94" t="n">
        <f aca="false">IFERROR(VLOOKUP(Table6[[#This Row],[PLAYER]],ECR!C:F,4,FALSE()),"-")</f>
        <v>8</v>
      </c>
      <c r="AG76" s="94" t="str">
        <f aca="false">Table6[[#This Row],[Team]] &amp; "/" &amp; Table6[[#This Row],[Bye]]</f>
        <v>HOU/8</v>
      </c>
      <c r="AH76" s="95" t="n">
        <f aca="false">IFERROR(VLOOKUP(Table6[[#This Row],[PLAYER]],WR!A:Q,13,FALSE())/17*(17-Table6[[#This Row],[Missed Games]]),0)</f>
        <v>65.682129560685</v>
      </c>
      <c r="AI76" s="95" t="n">
        <f aca="false">IFERROR(VLOOKUP(Table6[[#This Row],[PLAYER]],WR!A:Q,14,FALSE())/17*(17-Table6[[#This Row],[Missed Games]]),0)</f>
        <v>75.5924720774386</v>
      </c>
      <c r="AJ76" s="95" t="n">
        <f aca="false">IFERROR(VLOOKUP(Table6[[#This Row],[PLAYER]],WR!A:Q,15,FALSE())/17*(17-Table6[[#This Row],[Missed Games]]),0)</f>
        <v>84.9999478778853</v>
      </c>
      <c r="AK76" s="96" t="n">
        <f aca="false">AVERAGE(AVERAGE(Table6[[#This Row],[LOW]],Table6[[#This Row],[HIGH]]),Table6[[#This Row],[AVG]],VLOOKUP(Table6[[#This Row],[PLAYER]],ECR!L:N,3,FALSE()))</f>
        <v>77.7469593943907</v>
      </c>
      <c r="AL76" s="96" t="n">
        <f aca="false">Table6[[#This Row],[Zscore Projection]]-$AE$1</f>
        <v>-47.9309193507074</v>
      </c>
      <c r="AM76" s="97" t="e">
        <f aca="false">MAX(Table6[[#This Row],[VBD]]*Scoring!$B$48+1,1)</f>
        <v>#VALUE!</v>
      </c>
      <c r="AN76" s="98" t="n">
        <f aca="false">VLOOKUP(Table6[[#This Row],[VBD]],BR:BT,3,FALSE())</f>
        <v>8</v>
      </c>
      <c r="AO76" s="99" t="n">
        <f aca="false">VLOOKUP(INDEX(ECR!$E:$E,MATCH(AD76,ECR!$C:$C,0)),RISK!A:B,2,FALSE())</f>
        <v>3.84810126582278</v>
      </c>
      <c r="AP76" s="100"/>
      <c r="AQ76" s="101" t="s">
        <v>401</v>
      </c>
      <c r="AR76" s="80"/>
      <c r="AT76" s="80"/>
      <c r="AU76" s="80"/>
      <c r="AV76" s="80"/>
      <c r="AW76" s="80"/>
      <c r="AX76" s="80"/>
      <c r="AY76" s="80"/>
      <c r="AZ76" s="80"/>
      <c r="BA76" s="80"/>
      <c r="BC76" s="80"/>
      <c r="BD76" s="80"/>
      <c r="BF76" s="102" t="n">
        <v>74</v>
      </c>
      <c r="BG76" s="100" t="str">
        <f aca="false">IFERROR(LARGE($G$3:$G$52,BF76),"")</f>
        <v/>
      </c>
      <c r="BH76" s="104"/>
      <c r="BI76" s="104"/>
      <c r="BJ76" s="106"/>
      <c r="BK76" s="102" t="n">
        <v>74</v>
      </c>
      <c r="BL76" s="100" t="n">
        <f aca="false">IFERROR(LARGE($U$3:$U$102,BK76),"")</f>
        <v>36.9123529411765</v>
      </c>
      <c r="BM76" s="104" t="n">
        <f aca="false">IFERROR(LARGE($X$3:$X$102,74),"")</f>
        <v>-87.2826991764706</v>
      </c>
      <c r="BN76" s="104" t="n">
        <f aca="false">IF(BM76="",BN75,IF((BN75-BM76)&gt;0.15*LARGE($X$3:$X$102,2),BM76,BN75))</f>
        <v>-79.0888756470588</v>
      </c>
      <c r="BO76" s="103" t="n">
        <f aca="false">IF(BM76="",BO75,IF((BN75-BM76)&gt;0.15*LARGE($X$3:$X$102,2),BO75+1,BO75))</f>
        <v>10</v>
      </c>
      <c r="BP76" s="105" t="n">
        <v>74</v>
      </c>
      <c r="BQ76" s="100" t="n">
        <f aca="false">IFERROR(LARGE($AI$3:$AI$102,BP76),"")</f>
        <v>82.3073673864483</v>
      </c>
      <c r="BR76" s="104" t="n">
        <f aca="false">IFERROR(LARGE($AL$3:$AL$102,74),"")</f>
        <v>-45.9103235204765</v>
      </c>
      <c r="BS76" s="104" t="n">
        <f aca="false">IF(BR76="",BS75,IF((BS75-BR76)&gt;0.15*LARGE($AL$3:$AL$102,2),BR76,BS75))</f>
        <v>-33.6236134187143</v>
      </c>
      <c r="BT76" s="103" t="n">
        <f aca="false">IF(BR76="",BT75,IF((BS75-BR76)&gt;0.15*LARGE($AL$3:$AL$102,2),BT75+1,BT75))</f>
        <v>8</v>
      </c>
      <c r="BU76" s="102" t="n">
        <v>74</v>
      </c>
      <c r="BV76" s="100" t="str">
        <f aca="false">IFERROR(LARGE($AW$3:$AW$52,BU76),"")</f>
        <v/>
      </c>
      <c r="BW76" s="104"/>
      <c r="BX76" s="104"/>
      <c r="BY76" s="106" t="n">
        <f aca="false">IFERROR(VALUE(RIGHT(INDEX(ECR!$E:$E,MATCH(P76,ECR!$C:$C,0)),LEN(INDEX(ECR!$E:$E,MATCH(P76,ECR!$C:$C,0)))-2)),"")</f>
        <v>74</v>
      </c>
      <c r="BZ76" s="104"/>
      <c r="CA76" s="104"/>
      <c r="CB76" s="104"/>
      <c r="CC76" s="104"/>
      <c r="CD76" s="104"/>
      <c r="CE76" s="104"/>
      <c r="CF76" s="104"/>
      <c r="CG76" s="104"/>
    </row>
    <row r="77" s="107" customFormat="true" ht="14.25" hidden="false" customHeight="true" outlineLevel="0" collapsed="false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M77" s="80"/>
      <c r="O77" s="98" t="s">
        <v>402</v>
      </c>
      <c r="P77" s="93" t="str">
        <f aca="false">VLOOKUP(O77,ECR!E:L,8,FALSE())</f>
        <v>Kaleb Johnson</v>
      </c>
      <c r="Q77" s="94" t="str">
        <f aca="false">IFERROR(VLOOKUP(Table4[[#This Row],[PLAYER]],ECR!C:F,2,FALSE()),"-")</f>
        <v>GB</v>
      </c>
      <c r="R77" s="94" t="n">
        <f aca="false">IFERROR(VLOOKUP(Table4[[#This Row],[PLAYER]],ECR!C:F,4,FALSE()),"-")</f>
        <v>11</v>
      </c>
      <c r="S77" s="94" t="str">
        <f aca="false">Table4[[#This Row],[Team]] &amp; "/" &amp; Table4[[#This Row],[Bye]]</f>
        <v>GB/11</v>
      </c>
      <c r="T77" s="95" t="n">
        <f aca="false">IFERROR(VLOOKUP(Table4[[#This Row],[PLAYER]],RB!A:Q,13,FALSE())/17*(17-Table4[[#This Row],[Missed Games]]),0)</f>
        <v>5.69705882352941</v>
      </c>
      <c r="U77" s="95" t="n">
        <f aca="false">IFERROR(VLOOKUP(Table4[[#This Row],[PLAYER]],RB!A:Q,14,FALSE())/17*(17-Table4[[#This Row],[Missed Games]]),0)</f>
        <v>5.69705882352941</v>
      </c>
      <c r="V77" s="95" t="n">
        <f aca="false">IFERROR(VLOOKUP(Table4[[#This Row],[PLAYER]],RB!A:Q,15,FALSE())/17*(17-Table4[[#This Row],[Missed Games]]),0)</f>
        <v>5.69705882352941</v>
      </c>
      <c r="W77" s="96" t="n">
        <f aca="false">AVERAGE(AVERAGE(Table4[[#This Row],[LOW]],Table4[[#This Row],[HIGH]]),Table4[[#This Row],[AVG]],VLOOKUP(Table4[[#This Row],[PLAYER]],ECR!L:N,3,FALSE()))</f>
        <v>15.7937254901961</v>
      </c>
      <c r="X77" s="96" t="n">
        <f aca="false">Table4[[#This Row],[Zscore Projection]]-$Q$1</f>
        <v>-111.752012901961</v>
      </c>
      <c r="Y77" s="97" t="e">
        <f aca="false">MAX(Table4[[#This Row],[VBD]]*Scoring!$B$48+1,1)</f>
        <v>#VALUE!</v>
      </c>
      <c r="Z77" s="98" t="n">
        <f aca="false">VLOOKUP(Table4[[#This Row],[VBD]],BM:BO,3,FALSE())</f>
        <v>11</v>
      </c>
      <c r="AA77" s="99" t="n">
        <f aca="false">VLOOKUP(INDEX(ECR!$E:$E,MATCH(P77,ECR!$C:$C,0)),RISK!A:B,2,FALSE())</f>
        <v>4</v>
      </c>
      <c r="AB77" s="100"/>
      <c r="AC77" s="94" t="s">
        <v>403</v>
      </c>
      <c r="AD77" s="94" t="str">
        <f aca="false">VLOOKUP(AC77,ECR!E:L,8,FALSE())</f>
        <v>Travis Hunter</v>
      </c>
      <c r="AE77" s="94" t="str">
        <f aca="false">IFERROR(VLOOKUP(Table6[[#This Row],[PLAYER]],ECR!C:F,2,FALSE()),"-")</f>
        <v>JAC</v>
      </c>
      <c r="AF77" s="94" t="n">
        <f aca="false">IFERROR(VLOOKUP(Table6[[#This Row],[PLAYER]],ECR!C:F,4,FALSE()),"-")</f>
        <v>7</v>
      </c>
      <c r="AG77" s="94" t="str">
        <f aca="false">Table6[[#This Row],[Team]] &amp; "/" &amp; Table6[[#This Row],[Bye]]</f>
        <v>JAC/7</v>
      </c>
      <c r="AH77" s="95" t="n">
        <f aca="false">IFERROR(VLOOKUP(Table6[[#This Row],[PLAYER]],WR!A:Q,13,FALSE())/17*(17-Table6[[#This Row],[Missed Games]]),0)</f>
        <v>64.7460238272524</v>
      </c>
      <c r="AI77" s="95" t="n">
        <f aca="false">IFERROR(VLOOKUP(Table6[[#This Row],[PLAYER]],WR!A:Q,14,FALSE())/17*(17-Table6[[#This Row],[Missed Games]]),0)</f>
        <v>64.7460238272524</v>
      </c>
      <c r="AJ77" s="95" t="n">
        <f aca="false">IFERROR(VLOOKUP(Table6[[#This Row],[PLAYER]],WR!A:Q,15,FALSE())/17*(17-Table6[[#This Row],[Missed Games]]),0)</f>
        <v>64.7460238272524</v>
      </c>
      <c r="AK77" s="96" t="n">
        <f aca="false">AVERAGE(AVERAGE(Table6[[#This Row],[LOW]],Table6[[#This Row],[HIGH]]),Table6[[#This Row],[AVG]],VLOOKUP(Table6[[#This Row],[PLAYER]],ECR!L:N,3,FALSE()))</f>
        <v>70.2620848845867</v>
      </c>
      <c r="AL77" s="96" t="n">
        <f aca="false">Table6[[#This Row],[Zscore Projection]]-$AE$1</f>
        <v>-55.4157938605113</v>
      </c>
      <c r="AM77" s="97" t="e">
        <f aca="false">MAX(Table6[[#This Row],[VBD]]*Scoring!$B$48+1,1)</f>
        <v>#VALUE!</v>
      </c>
      <c r="AN77" s="98" t="n">
        <f aca="false">VLOOKUP(Table6[[#This Row],[VBD]],BR:BT,3,FALSE())</f>
        <v>9</v>
      </c>
      <c r="AO77" s="99" t="n">
        <f aca="false">VLOOKUP(INDEX(ECR!$E:$E,MATCH(AD77,ECR!$C:$C,0)),RISK!A:B,2,FALSE())</f>
        <v>3.84810126582278</v>
      </c>
      <c r="AP77" s="100"/>
      <c r="AQ77" s="101" t="s">
        <v>404</v>
      </c>
      <c r="AR77" s="80"/>
      <c r="AT77" s="80"/>
      <c r="AU77" s="80"/>
      <c r="AV77" s="80"/>
      <c r="AW77" s="80"/>
      <c r="AX77" s="80"/>
      <c r="AY77" s="80"/>
      <c r="AZ77" s="80"/>
      <c r="BA77" s="80"/>
      <c r="BC77" s="80"/>
      <c r="BD77" s="80"/>
      <c r="BF77" s="102" t="n">
        <v>75</v>
      </c>
      <c r="BG77" s="100" t="str">
        <f aca="false">IFERROR(LARGE($G$3:$G$52,BF77),"")</f>
        <v/>
      </c>
      <c r="BH77" s="104"/>
      <c r="BI77" s="104"/>
      <c r="BJ77" s="106"/>
      <c r="BK77" s="102" t="n">
        <v>75</v>
      </c>
      <c r="BL77" s="100" t="n">
        <f aca="false">IFERROR(LARGE($U$3:$U$102,BK77),"")</f>
        <v>35.9870588235294</v>
      </c>
      <c r="BM77" s="104" t="n">
        <f aca="false">IFERROR(LARGE($X$3:$X$102,75),"")</f>
        <v>-89.0453496078432</v>
      </c>
      <c r="BN77" s="104" t="n">
        <f aca="false">IF(BM77="",BN76,IF((BN76-BM77)&gt;0.15*LARGE($X$3:$X$102,2),BM77,BN76))</f>
        <v>-79.0888756470588</v>
      </c>
      <c r="BO77" s="103" t="n">
        <f aca="false">IF(BM77="",BO76,IF((BN76-BM77)&gt;0.15*LARGE($X$3:$X$102,2),BO76+1,BO76))</f>
        <v>10</v>
      </c>
      <c r="BP77" s="105" t="n">
        <v>75</v>
      </c>
      <c r="BQ77" s="100" t="n">
        <f aca="false">IFERROR(LARGE($AI$3:$AI$102,BP77),"")</f>
        <v>81.2942069992554</v>
      </c>
      <c r="BR77" s="104" t="n">
        <f aca="false">IFERROR(LARGE($AL$3:$AL$102,75),"")</f>
        <v>-46.1166793904195</v>
      </c>
      <c r="BS77" s="104" t="n">
        <f aca="false">IF(BR77="",BS76,IF((BS76-BR77)&gt;0.15*LARGE($AL$3:$AL$102,2),BR77,BS76))</f>
        <v>-33.6236134187143</v>
      </c>
      <c r="BT77" s="103" t="n">
        <f aca="false">IF(BR77="",BT76,IF((BS76-BR77)&gt;0.15*LARGE($AL$3:$AL$102,2),BT76+1,BT76))</f>
        <v>8</v>
      </c>
      <c r="BU77" s="102" t="n">
        <v>75</v>
      </c>
      <c r="BV77" s="100" t="str">
        <f aca="false">IFERROR(LARGE($AW$3:$AW$52,BU77),"")</f>
        <v/>
      </c>
      <c r="BW77" s="104"/>
      <c r="BX77" s="104"/>
      <c r="BY77" s="106" t="n">
        <f aca="false">IFERROR(VALUE(RIGHT(INDEX(ECR!$E:$E,MATCH(P77,ECR!$C:$C,0)),LEN(INDEX(ECR!$E:$E,MATCH(P77,ECR!$C:$C,0)))-2)),"")</f>
        <v>75</v>
      </c>
      <c r="BZ77" s="104"/>
      <c r="CA77" s="104"/>
      <c r="CB77" s="104"/>
      <c r="CC77" s="104"/>
      <c r="CD77" s="104"/>
      <c r="CE77" s="104"/>
      <c r="CF77" s="104"/>
      <c r="CG77" s="104"/>
    </row>
    <row r="78" s="107" customFormat="true" ht="14.25" hidden="false" customHeight="true" outlineLevel="0" collapsed="false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M78" s="80"/>
      <c r="O78" s="98" t="s">
        <v>405</v>
      </c>
      <c r="P78" s="93" t="str">
        <f aca="false">VLOOKUP(O78,ECR!E:L,8,FALSE())</f>
        <v>Ollie Gordon II</v>
      </c>
      <c r="Q78" s="94" t="str">
        <f aca="false">IFERROR(VLOOKUP(Table4[[#This Row],[PLAYER]],ECR!C:F,2,FALSE()),"-")</f>
        <v>MIA</v>
      </c>
      <c r="R78" s="94" t="n">
        <f aca="false">IFERROR(VLOOKUP(Table4[[#This Row],[PLAYER]],ECR!C:F,4,FALSE()),"-")</f>
        <v>6</v>
      </c>
      <c r="S78" s="94" t="str">
        <f aca="false">Table4[[#This Row],[Team]] &amp; "/" &amp; Table4[[#This Row],[Bye]]</f>
        <v>MIA/6</v>
      </c>
      <c r="T78" s="95" t="n">
        <f aca="false">IFERROR(VLOOKUP(Table4[[#This Row],[PLAYER]],RB!A:Q,13,FALSE())/17*(17-Table4[[#This Row],[Missed Games]]),0)</f>
        <v>11.0882352941176</v>
      </c>
      <c r="U78" s="95" t="n">
        <f aca="false">IFERROR(VLOOKUP(Table4[[#This Row],[PLAYER]],RB!A:Q,14,FALSE())/17*(17-Table4[[#This Row],[Missed Games]]),0)</f>
        <v>18.0470588235294</v>
      </c>
      <c r="V78" s="95" t="n">
        <f aca="false">IFERROR(VLOOKUP(Table4[[#This Row],[PLAYER]],RB!A:Q,15,FALSE())/17*(17-Table4[[#This Row],[Missed Games]]),0)</f>
        <v>24.5011764705882</v>
      </c>
      <c r="W78" s="96" t="n">
        <f aca="false">AVERAGE(AVERAGE(Table4[[#This Row],[LOW]],Table4[[#This Row],[HIGH]]),Table4[[#This Row],[AVG]],VLOOKUP(Table4[[#This Row],[PLAYER]],ECR!L:N,3,FALSE()))</f>
        <v>22.2707843137255</v>
      </c>
      <c r="X78" s="96" t="n">
        <f aca="false">Table4[[#This Row],[Zscore Projection]]-$Q$1</f>
        <v>-105.274954078431</v>
      </c>
      <c r="Y78" s="97" t="e">
        <f aca="false">MAX(Table4[[#This Row],[VBD]]*Scoring!$B$48+1,1)</f>
        <v>#VALUE!</v>
      </c>
      <c r="Z78" s="98" t="n">
        <f aca="false">VLOOKUP(Table4[[#This Row],[VBD]],BM:BO,3,FALSE())</f>
        <v>11</v>
      </c>
      <c r="AA78" s="99" t="n">
        <f aca="false">VLOOKUP(INDEX(ECR!$E:$E,MATCH(P78,ECR!$C:$C,0)),RISK!A:B,2,FALSE())</f>
        <v>4</v>
      </c>
      <c r="AB78" s="100"/>
      <c r="AC78" s="94" t="s">
        <v>406</v>
      </c>
      <c r="AD78" s="94" t="str">
        <f aca="false">VLOOKUP(AC78,ECR!E:L,8,FALSE())</f>
        <v>Rashod Bateman</v>
      </c>
      <c r="AE78" s="94" t="str">
        <f aca="false">IFERROR(VLOOKUP(Table6[[#This Row],[PLAYER]],ECR!C:F,2,FALSE()),"-")</f>
        <v>BAL</v>
      </c>
      <c r="AF78" s="94" t="n">
        <f aca="false">IFERROR(VLOOKUP(Table6[[#This Row],[PLAYER]],ECR!C:F,4,FALSE()),"-")</f>
        <v>13</v>
      </c>
      <c r="AG78" s="94" t="str">
        <f aca="false">Table6[[#This Row],[Team]] &amp; "/" &amp; Table6[[#This Row],[Bye]]</f>
        <v>BAL/13</v>
      </c>
      <c r="AH78" s="95" t="n">
        <f aca="false">IFERROR(VLOOKUP(Table6[[#This Row],[PLAYER]],WR!A:Q,13,FALSE())/17*(17-Table6[[#This Row],[Missed Games]]),0)</f>
        <v>77.7896128071482</v>
      </c>
      <c r="AI78" s="95" t="n">
        <f aca="false">IFERROR(VLOOKUP(Table6[[#This Row],[PLAYER]],WR!A:Q,14,FALSE())/17*(17-Table6[[#This Row],[Missed Games]]),0)</f>
        <v>88.8294713328369</v>
      </c>
      <c r="AJ78" s="95" t="n">
        <f aca="false">IFERROR(VLOOKUP(Table6[[#This Row],[PLAYER]],WR!A:Q,15,FALSE())/17*(17-Table6[[#This Row],[Missed Games]]),0)</f>
        <v>100.062740134028</v>
      </c>
      <c r="AK78" s="96" t="n">
        <f aca="false">AVERAGE(AVERAGE(Table6[[#This Row],[LOW]],Table6[[#This Row],[HIGH]]),Table6[[#This Row],[AVG]],VLOOKUP(Table6[[#This Row],[PLAYER]],ECR!L:N,3,FALSE()))</f>
        <v>85.9895379995036</v>
      </c>
      <c r="AL78" s="96" t="n">
        <f aca="false">Table6[[#This Row],[Zscore Projection]]-$AE$1</f>
        <v>-39.6883407455944</v>
      </c>
      <c r="AM78" s="97" t="e">
        <f aca="false">MAX(Table6[[#This Row],[VBD]]*Scoring!$B$48+1,1)</f>
        <v>#VALUE!</v>
      </c>
      <c r="AN78" s="98" t="n">
        <f aca="false">VLOOKUP(Table6[[#This Row],[VBD]],BR:BT,3,FALSE())</f>
        <v>8</v>
      </c>
      <c r="AO78" s="99" t="n">
        <f aca="false">VLOOKUP(INDEX(ECR!$E:$E,MATCH(AD78,ECR!$C:$C,0)),RISK!A:B,2,FALSE())</f>
        <v>3.84810126582278</v>
      </c>
      <c r="AP78" s="100"/>
      <c r="AQ78" s="101" t="s">
        <v>407</v>
      </c>
      <c r="AR78" s="80"/>
      <c r="AT78" s="80"/>
      <c r="AU78" s="80"/>
      <c r="AV78" s="80"/>
      <c r="AW78" s="80"/>
      <c r="AX78" s="80"/>
      <c r="AY78" s="80"/>
      <c r="AZ78" s="80"/>
      <c r="BA78" s="80"/>
      <c r="BC78" s="80"/>
      <c r="BD78" s="80"/>
      <c r="BF78" s="102" t="n">
        <v>76</v>
      </c>
      <c r="BG78" s="100" t="str">
        <f aca="false">IFERROR(LARGE($G$3:$G$52,BF78),"")</f>
        <v/>
      </c>
      <c r="BH78" s="104"/>
      <c r="BI78" s="104"/>
      <c r="BJ78" s="106"/>
      <c r="BK78" s="102" t="n">
        <v>76</v>
      </c>
      <c r="BL78" s="100" t="n">
        <f aca="false">IFERROR(LARGE($U$3:$U$102,BK78),"")</f>
        <v>30.9705882352941</v>
      </c>
      <c r="BM78" s="104" t="n">
        <f aca="false">IFERROR(LARGE($X$3:$X$102,76),"")</f>
        <v>-89.3792678039216</v>
      </c>
      <c r="BN78" s="104" t="n">
        <f aca="false">IF(BM78="",BN77,IF((BN77-BM78)&gt;0.15*LARGE($X$3:$X$102,2),BM78,BN77))</f>
        <v>-79.0888756470588</v>
      </c>
      <c r="BO78" s="103" t="n">
        <f aca="false">IF(BM78="",BO77,IF((BN77-BM78)&gt;0.15*LARGE($X$3:$X$102,2),BO77+1,BO77))</f>
        <v>10</v>
      </c>
      <c r="BP78" s="105" t="n">
        <v>76</v>
      </c>
      <c r="BQ78" s="100" t="n">
        <f aca="false">IFERROR(LARGE($AI$3:$AI$102,BP78),"")</f>
        <v>80.2129661950856</v>
      </c>
      <c r="BR78" s="104" t="n">
        <f aca="false">IFERROR(LARGE($AL$3:$AL$102,76),"")</f>
        <v>-47.0050772558948</v>
      </c>
      <c r="BS78" s="104" t="n">
        <f aca="false">IF(BR78="",BS77,IF((BS77-BR78)&gt;0.15*LARGE($AL$3:$AL$102,2),BR78,BS77))</f>
        <v>-33.6236134187143</v>
      </c>
      <c r="BT78" s="103" t="n">
        <f aca="false">IF(BR78="",BT77,IF((BS77-BR78)&gt;0.15*LARGE($AL$3:$AL$102,2),BT77+1,BT77))</f>
        <v>8</v>
      </c>
      <c r="BU78" s="102" t="n">
        <v>76</v>
      </c>
      <c r="BV78" s="100" t="str">
        <f aca="false">IFERROR(LARGE($AW$3:$AW$52,BU78),"")</f>
        <v/>
      </c>
      <c r="BW78" s="104"/>
      <c r="BX78" s="104"/>
      <c r="BY78" s="106" t="n">
        <f aca="false">IFERROR(VALUE(RIGHT(INDEX(ECR!$E:$E,MATCH(P78,ECR!$C:$C,0)),LEN(INDEX(ECR!$E:$E,MATCH(P78,ECR!$C:$C,0)))-2)),"")</f>
        <v>76</v>
      </c>
      <c r="BZ78" s="104"/>
      <c r="CA78" s="104"/>
      <c r="CB78" s="104"/>
      <c r="CC78" s="104"/>
      <c r="CD78" s="104"/>
      <c r="CE78" s="104"/>
      <c r="CF78" s="104"/>
      <c r="CG78" s="104"/>
    </row>
    <row r="79" s="107" customFormat="true" ht="14.25" hidden="false" customHeight="true" outlineLevel="0" collapsed="false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M79" s="80"/>
      <c r="O79" s="98" t="s">
        <v>408</v>
      </c>
      <c r="P79" s="93" t="str">
        <f aca="false">VLOOKUP(O79,ECR!E:L,8,FALSE())</f>
        <v>Jordan James</v>
      </c>
      <c r="Q79" s="94" t="str">
        <f aca="false">IFERROR(VLOOKUP(Table4[[#This Row],[PLAYER]],ECR!C:F,2,FALSE()),"-")</f>
        <v>SF</v>
      </c>
      <c r="R79" s="94" t="n">
        <f aca="false">IFERROR(VLOOKUP(Table4[[#This Row],[PLAYER]],ECR!C:F,4,FALSE()),"-")</f>
        <v>8</v>
      </c>
      <c r="S79" s="94" t="str">
        <f aca="false">Table4[[#This Row],[Team]] &amp; "/" &amp; Table4[[#This Row],[Bye]]</f>
        <v>SF/8</v>
      </c>
      <c r="T79" s="95" t="n">
        <f aca="false">IFERROR(VLOOKUP(Table4[[#This Row],[PLAYER]],RB!A:Q,13,FALSE())/17*(17-Table4[[#This Row],[Missed Games]]),0)</f>
        <v>17.9323529411765</v>
      </c>
      <c r="U79" s="95" t="n">
        <f aca="false">IFERROR(VLOOKUP(Table4[[#This Row],[PLAYER]],RB!A:Q,14,FALSE())/17*(17-Table4[[#This Row],[Missed Games]]),0)</f>
        <v>52.7264705882353</v>
      </c>
      <c r="V79" s="95" t="n">
        <f aca="false">IFERROR(VLOOKUP(Table4[[#This Row],[PLAYER]],RB!A:Q,15,FALSE())/17*(17-Table4[[#This Row],[Missed Games]]),0)</f>
        <v>87.5588235294118</v>
      </c>
      <c r="W79" s="96" t="n">
        <f aca="false">AVERAGE(AVERAGE(Table4[[#This Row],[LOW]],Table4[[#This Row],[HIGH]]),Table4[[#This Row],[AVG]],VLOOKUP(Table4[[#This Row],[PLAYER]],ECR!L:N,3,FALSE()))</f>
        <v>44.9787254901961</v>
      </c>
      <c r="X79" s="96" t="n">
        <f aca="false">Table4[[#This Row],[Zscore Projection]]-$Q$1</f>
        <v>-82.5670129019608</v>
      </c>
      <c r="Y79" s="97" t="e">
        <f aca="false">MAX(Table4[[#This Row],[VBD]]*Scoring!$B$48+1,1)</f>
        <v>#VALUE!</v>
      </c>
      <c r="Z79" s="98" t="n">
        <f aca="false">VLOOKUP(Table4[[#This Row],[VBD]],BM:BO,3,FALSE())</f>
        <v>10</v>
      </c>
      <c r="AA79" s="99" t="n">
        <f aca="false">VLOOKUP(INDEX(ECR!$E:$E,MATCH(P79,ECR!$C:$C,0)),RISK!A:B,2,FALSE())</f>
        <v>4</v>
      </c>
      <c r="AB79" s="100"/>
      <c r="AC79" s="94" t="s">
        <v>409</v>
      </c>
      <c r="AD79" s="94" t="str">
        <f aca="false">VLOOKUP(AC79,ECR!E:L,8,FALSE())</f>
        <v>Chris Bell</v>
      </c>
      <c r="AE79" s="94" t="str">
        <f aca="false">IFERROR(VLOOKUP(Table6[[#This Row],[PLAYER]],ECR!C:F,2,FALSE()),"-")</f>
        <v>MIA</v>
      </c>
      <c r="AF79" s="94" t="n">
        <f aca="false">IFERROR(VLOOKUP(Table6[[#This Row],[PLAYER]],ECR!C:F,4,FALSE()),"-")</f>
        <v>6</v>
      </c>
      <c r="AG79" s="94" t="str">
        <f aca="false">Table6[[#This Row],[Team]] &amp; "/" &amp; Table6[[#This Row],[Bye]]</f>
        <v>MIA/6</v>
      </c>
      <c r="AH79" s="95" t="n">
        <f aca="false">IFERROR(VLOOKUP(Table6[[#This Row],[PLAYER]],WR!A:Q,13,FALSE())/17*(17-Table6[[#This Row],[Missed Games]]),0)</f>
        <v>78.9804011913626</v>
      </c>
      <c r="AI79" s="95" t="n">
        <f aca="false">IFERROR(VLOOKUP(Table6[[#This Row],[PLAYER]],WR!A:Q,14,FALSE())/17*(17-Table6[[#This Row],[Missed Games]]),0)</f>
        <v>93.1302969471333</v>
      </c>
      <c r="AJ79" s="95" t="n">
        <f aca="false">IFERROR(VLOOKUP(Table6[[#This Row],[PLAYER]],WR!A:Q,15,FALSE())/17*(17-Table6[[#This Row],[Missed Games]]),0)</f>
        <v>107.241510647803</v>
      </c>
      <c r="AK79" s="96" t="n">
        <f aca="false">AVERAGE(AVERAGE(Table6[[#This Row],[LOW]],Table6[[#This Row],[HIGH]]),Table6[[#This Row],[AVG]],VLOOKUP(Table6[[#This Row],[PLAYER]],ECR!L:N,3,FALSE()))</f>
        <v>88.4847884338546</v>
      </c>
      <c r="AL79" s="96" t="n">
        <f aca="false">Table6[[#This Row],[Zscore Projection]]-$AE$1</f>
        <v>-37.1930903112435</v>
      </c>
      <c r="AM79" s="97" t="e">
        <f aca="false">MAX(Table6[[#This Row],[VBD]]*Scoring!$B$48+1,1)</f>
        <v>#VALUE!</v>
      </c>
      <c r="AN79" s="98" t="n">
        <f aca="false">VLOOKUP(Table6[[#This Row],[VBD]],BR:BT,3,FALSE())</f>
        <v>8</v>
      </c>
      <c r="AO79" s="99" t="n">
        <f aca="false">VLOOKUP(INDEX(ECR!$E:$E,MATCH(AD79,ECR!$C:$C,0)),RISK!A:B,2,FALSE())</f>
        <v>3.84810126582278</v>
      </c>
      <c r="AP79" s="100"/>
      <c r="AQ79" s="101" t="s">
        <v>410</v>
      </c>
      <c r="AR79" s="80"/>
      <c r="AT79" s="80"/>
      <c r="AU79" s="80"/>
      <c r="AV79" s="80"/>
      <c r="AW79" s="80"/>
      <c r="AX79" s="80"/>
      <c r="AY79" s="80"/>
      <c r="AZ79" s="80"/>
      <c r="BA79" s="80"/>
      <c r="BC79" s="80"/>
      <c r="BD79" s="80"/>
      <c r="BF79" s="102" t="n">
        <v>77</v>
      </c>
      <c r="BG79" s="100" t="str">
        <f aca="false">IFERROR(LARGE($G$3:$G$52,BF79),"")</f>
        <v/>
      </c>
      <c r="BH79" s="104"/>
      <c r="BI79" s="104"/>
      <c r="BJ79" s="106"/>
      <c r="BK79" s="102" t="n">
        <v>77</v>
      </c>
      <c r="BL79" s="100" t="n">
        <f aca="false">IFERROR(LARGE($U$3:$U$102,BK79),"")</f>
        <v>29.4641176470588</v>
      </c>
      <c r="BM79" s="104" t="n">
        <f aca="false">IFERROR(LARGE($X$3:$X$102,77),"")</f>
        <v>-91.1949650588235</v>
      </c>
      <c r="BN79" s="104" t="n">
        <f aca="false">IF(BM79="",BN78,IF((BN78-BM79)&gt;0.15*LARGE($X$3:$X$102,2),BM79,BN78))</f>
        <v>-79.0888756470588</v>
      </c>
      <c r="BO79" s="103" t="n">
        <f aca="false">IF(BM79="",BO78,IF((BN78-BM79)&gt;0.15*LARGE($X$3:$X$102,2),BO78+1,BO78))</f>
        <v>10</v>
      </c>
      <c r="BP79" s="105" t="n">
        <v>77</v>
      </c>
      <c r="BQ79" s="100" t="n">
        <f aca="false">IFERROR(LARGE($AI$3:$AI$102,BP79),"")</f>
        <v>79.2131124348474</v>
      </c>
      <c r="BR79" s="104" t="n">
        <f aca="false">IFERROR(LARGE($AL$3:$AL$102,77),"")</f>
        <v>-47.9309193507074</v>
      </c>
      <c r="BS79" s="104" t="n">
        <f aca="false">IF(BR79="",BS78,IF((BS78-BR79)&gt;0.15*LARGE($AL$3:$AL$102,2),BR79,BS78))</f>
        <v>-33.6236134187143</v>
      </c>
      <c r="BT79" s="103" t="n">
        <f aca="false">IF(BR79="",BT78,IF((BS78-BR79)&gt;0.15*LARGE($AL$3:$AL$102,2),BT78+1,BT78))</f>
        <v>8</v>
      </c>
      <c r="BU79" s="102" t="n">
        <v>77</v>
      </c>
      <c r="BV79" s="100" t="str">
        <f aca="false">IFERROR(LARGE($AW$3:$AW$52,BU79),"")</f>
        <v/>
      </c>
      <c r="BW79" s="104"/>
      <c r="BX79" s="104"/>
      <c r="BY79" s="106" t="n">
        <f aca="false">IFERROR(VALUE(RIGHT(INDEX(ECR!$E:$E,MATCH(P79,ECR!$C:$C,0)),LEN(INDEX(ECR!$E:$E,MATCH(P79,ECR!$C:$C,0)))-2)),"")</f>
        <v>77</v>
      </c>
      <c r="BZ79" s="104"/>
      <c r="CA79" s="104"/>
      <c r="CB79" s="104"/>
      <c r="CC79" s="104"/>
      <c r="CD79" s="104"/>
      <c r="CE79" s="104"/>
      <c r="CF79" s="104"/>
      <c r="CG79" s="104"/>
    </row>
    <row r="80" s="107" customFormat="true" ht="14.25" hidden="false" customHeight="true" outlineLevel="0" collapsed="false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M80" s="80"/>
      <c r="O80" s="98" t="s">
        <v>411</v>
      </c>
      <c r="P80" s="93" t="str">
        <f aca="false">VLOOKUP(O80,ECR!E:L,8,FALSE())</f>
        <v>Isaiah Davis</v>
      </c>
      <c r="Q80" s="94" t="str">
        <f aca="false">IFERROR(VLOOKUP(Table4[[#This Row],[PLAYER]],ECR!C:F,2,FALSE()),"-")</f>
        <v>NYJ</v>
      </c>
      <c r="R80" s="94" t="n">
        <f aca="false">IFERROR(VLOOKUP(Table4[[#This Row],[PLAYER]],ECR!C:F,4,FALSE()),"-")</f>
        <v>13</v>
      </c>
      <c r="S80" s="94" t="str">
        <f aca="false">Table4[[#This Row],[Team]] &amp; "/" &amp; Table4[[#This Row],[Bye]]</f>
        <v>NYJ/13</v>
      </c>
      <c r="T80" s="95" t="n">
        <f aca="false">IFERROR(VLOOKUP(Table4[[#This Row],[PLAYER]],RB!A:Q,13,FALSE())/17*(17-Table4[[#This Row],[Missed Games]]),0)</f>
        <v>24.8529411764706</v>
      </c>
      <c r="U80" s="95" t="n">
        <f aca="false">IFERROR(VLOOKUP(Table4[[#This Row],[PLAYER]],RB!A:Q,14,FALSE())/17*(17-Table4[[#This Row],[Missed Games]]),0)</f>
        <v>29.4641176470588</v>
      </c>
      <c r="V80" s="95" t="n">
        <f aca="false">IFERROR(VLOOKUP(Table4[[#This Row],[PLAYER]],RB!A:Q,15,FALSE())/17*(17-Table4[[#This Row],[Missed Games]]),0)</f>
        <v>33.7311764705882</v>
      </c>
      <c r="W80" s="96" t="n">
        <f aca="false">AVERAGE(AVERAGE(Table4[[#This Row],[LOW]],Table4[[#This Row],[HIGH]]),Table4[[#This Row],[AVG]],VLOOKUP(Table4[[#This Row],[PLAYER]],ECR!L:N,3,FALSE()))</f>
        <v>28.5451960784314</v>
      </c>
      <c r="X80" s="96" t="n">
        <f aca="false">Table4[[#This Row],[Zscore Projection]]-$Q$1</f>
        <v>-99.0005423137255</v>
      </c>
      <c r="Y80" s="97" t="e">
        <f aca="false">MAX(Table4[[#This Row],[VBD]]*Scoring!$B$48+1,1)</f>
        <v>#VALUE!</v>
      </c>
      <c r="Z80" s="98" t="n">
        <f aca="false">VLOOKUP(Table4[[#This Row],[VBD]],BM:BO,3,FALSE())</f>
        <v>10</v>
      </c>
      <c r="AA80" s="99" t="n">
        <f aca="false">VLOOKUP(INDEX(ECR!$E:$E,MATCH(P80,ECR!$C:$C,0)),RISK!A:B,2,FALSE())</f>
        <v>4</v>
      </c>
      <c r="AB80" s="100"/>
      <c r="AC80" s="94" t="s">
        <v>412</v>
      </c>
      <c r="AD80" s="94" t="str">
        <f aca="false">VLOOKUP(AC80,ECR!E:L,8,FALSE())</f>
        <v>Ja'Kobi Lane</v>
      </c>
      <c r="AE80" s="94" t="str">
        <f aca="false">IFERROR(VLOOKUP(Table6[[#This Row],[PLAYER]],ECR!C:F,2,FALSE()),"-")</f>
        <v>BAL</v>
      </c>
      <c r="AF80" s="94" t="n">
        <f aca="false">IFERROR(VLOOKUP(Table6[[#This Row],[PLAYER]],ECR!C:F,4,FALSE()),"-")</f>
        <v>13</v>
      </c>
      <c r="AG80" s="94" t="str">
        <f aca="false">Table6[[#This Row],[Team]] &amp; "/" &amp; Table6[[#This Row],[Bye]]</f>
        <v>BAL/13</v>
      </c>
      <c r="AH80" s="95" t="n">
        <f aca="false">IFERROR(VLOOKUP(Table6[[#This Row],[PLAYER]],WR!A:Q,13,FALSE())/17*(17-Table6[[#This Row],[Missed Games]]),0)</f>
        <v>90.6546454206999</v>
      </c>
      <c r="AI80" s="95" t="n">
        <f aca="false">IFERROR(VLOOKUP(Table6[[#This Row],[PLAYER]],WR!A:Q,14,FALSE())/17*(17-Table6[[#This Row],[Missed Games]]),0)</f>
        <v>105.802538198064</v>
      </c>
      <c r="AJ80" s="95" t="n">
        <f aca="false">IFERROR(VLOOKUP(Table6[[#This Row],[PLAYER]],WR!A:Q,15,FALSE())/17*(17-Table6[[#This Row],[Missed Games]]),0)</f>
        <v>120.958167386448</v>
      </c>
      <c r="AK80" s="96" t="n">
        <f aca="false">AVERAGE(AVERAGE(Table6[[#This Row],[LOW]],Table6[[#This Row],[HIGH]]),Table6[[#This Row],[AVG]],VLOOKUP(Table6[[#This Row],[PLAYER]],ECR!L:N,3,FALSE()))</f>
        <v>96.6157564159841</v>
      </c>
      <c r="AL80" s="96" t="n">
        <f aca="false">Table6[[#This Row],[Zscore Projection]]-$AE$1</f>
        <v>-29.0621223291139</v>
      </c>
      <c r="AM80" s="97" t="e">
        <f aca="false">MAX(Table6[[#This Row],[VBD]]*Scoring!$B$48+1,1)</f>
        <v>#VALUE!</v>
      </c>
      <c r="AN80" s="98" t="n">
        <f aca="false">VLOOKUP(Table6[[#This Row],[VBD]],BR:BT,3,FALSE())</f>
        <v>7</v>
      </c>
      <c r="AO80" s="99" t="n">
        <f aca="false">VLOOKUP(INDEX(ECR!$E:$E,MATCH(AD80,ECR!$C:$C,0)),RISK!A:B,2,FALSE())</f>
        <v>3.84810126582278</v>
      </c>
      <c r="AP80" s="100"/>
      <c r="AQ80" s="101" t="s">
        <v>413</v>
      </c>
      <c r="AR80" s="80"/>
      <c r="AT80" s="80"/>
      <c r="AU80" s="80"/>
      <c r="AV80" s="80"/>
      <c r="AW80" s="80"/>
      <c r="AX80" s="80"/>
      <c r="AY80" s="80"/>
      <c r="AZ80" s="80"/>
      <c r="BA80" s="80"/>
      <c r="BC80" s="80"/>
      <c r="BD80" s="80"/>
      <c r="BF80" s="102" t="n">
        <v>78</v>
      </c>
      <c r="BG80" s="100" t="str">
        <f aca="false">IFERROR(LARGE($G$3:$G$52,BF80),"")</f>
        <v/>
      </c>
      <c r="BH80" s="104"/>
      <c r="BI80" s="104"/>
      <c r="BJ80" s="106"/>
      <c r="BK80" s="102" t="n">
        <v>78</v>
      </c>
      <c r="BL80" s="100" t="n">
        <f aca="false">IFERROR(LARGE($U$3:$U$102,BK80),"")</f>
        <v>26.8794117647059</v>
      </c>
      <c r="BM80" s="104" t="n">
        <f aca="false">IFERROR(LARGE($X$3:$X$102,78),"")</f>
        <v>-93.0396599607843</v>
      </c>
      <c r="BN80" s="104" t="n">
        <f aca="false">IF(BM80="",BN79,IF((BN79-BM80)&gt;0.15*LARGE($X$3:$X$102,2),BM80,BN79))</f>
        <v>-79.0888756470588</v>
      </c>
      <c r="BO80" s="103" t="n">
        <f aca="false">IF(BM80="",BO79,IF((BN79-BM80)&gt;0.15*LARGE($X$3:$X$102,2),BO79+1,BO79))</f>
        <v>10</v>
      </c>
      <c r="BP80" s="105" t="n">
        <v>78</v>
      </c>
      <c r="BQ80" s="100" t="n">
        <f aca="false">IFERROR(LARGE($AI$3:$AI$102,BP80),"")</f>
        <v>78.2383246463142</v>
      </c>
      <c r="BR80" s="104" t="n">
        <f aca="false">IFERROR(LARGE($AL$3:$AL$102,78),"")</f>
        <v>-50.4608289064284</v>
      </c>
      <c r="BS80" s="104" t="n">
        <f aca="false">IF(BR80="",BS79,IF((BS79-BR80)&gt;0.15*LARGE($AL$3:$AL$102,2),BR80,BS79))</f>
        <v>-33.6236134187143</v>
      </c>
      <c r="BT80" s="103" t="n">
        <f aca="false">IF(BR80="",BT79,IF((BS79-BR80)&gt;0.15*LARGE($AL$3:$AL$102,2),BT79+1,BT79))</f>
        <v>8</v>
      </c>
      <c r="BU80" s="102" t="n">
        <v>78</v>
      </c>
      <c r="BV80" s="100" t="str">
        <f aca="false">IFERROR(LARGE($AW$3:$AW$52,BU80),"")</f>
        <v/>
      </c>
      <c r="BW80" s="104"/>
      <c r="BX80" s="104"/>
      <c r="BY80" s="106" t="n">
        <f aca="false">IFERROR(VALUE(RIGHT(INDEX(ECR!$E:$E,MATCH(P80,ECR!$C:$C,0)),LEN(INDEX(ECR!$E:$E,MATCH(P80,ECR!$C:$C,0)))-2)),"")</f>
        <v>78</v>
      </c>
      <c r="BZ80" s="104"/>
      <c r="CA80" s="104"/>
      <c r="CB80" s="104"/>
      <c r="CC80" s="104"/>
      <c r="CD80" s="104"/>
      <c r="CE80" s="104"/>
      <c r="CF80" s="104"/>
      <c r="CG80" s="104"/>
    </row>
    <row r="81" s="107" customFormat="true" ht="14.25" hidden="false" customHeight="true" outlineLevel="0" collapsed="false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M81" s="80"/>
      <c r="O81" s="98" t="s">
        <v>414</v>
      </c>
      <c r="P81" s="93" t="str">
        <f aca="false">VLOOKUP(O81,ECR!E:L,8,FALSE())</f>
        <v>Ty Johnson</v>
      </c>
      <c r="Q81" s="94" t="str">
        <f aca="false">IFERROR(VLOOKUP(Table4[[#This Row],[PLAYER]],ECR!C:F,2,FALSE()),"-")</f>
        <v>BUF</v>
      </c>
      <c r="R81" s="94" t="n">
        <f aca="false">IFERROR(VLOOKUP(Table4[[#This Row],[PLAYER]],ECR!C:F,4,FALSE()),"-")</f>
        <v>7</v>
      </c>
      <c r="S81" s="94" t="str">
        <f aca="false">Table4[[#This Row],[Team]] &amp; "/" &amp; Table4[[#This Row],[Bye]]</f>
        <v>BUF/7</v>
      </c>
      <c r="T81" s="95" t="n">
        <f aca="false">IFERROR(VLOOKUP(Table4[[#This Row],[PLAYER]],RB!A:Q,13,FALSE())/17*(17-Table4[[#This Row],[Missed Games]]),0)</f>
        <v>55.5252941176471</v>
      </c>
      <c r="U81" s="95" t="n">
        <f aca="false">IFERROR(VLOOKUP(Table4[[#This Row],[PLAYER]],RB!A:Q,14,FALSE())/17*(17-Table4[[#This Row],[Missed Games]]),0)</f>
        <v>63.8223529411765</v>
      </c>
      <c r="V81" s="95" t="n">
        <f aca="false">IFERROR(VLOOKUP(Table4[[#This Row],[PLAYER]],RB!A:Q,15,FALSE())/17*(17-Table4[[#This Row],[Missed Games]]),0)</f>
        <v>71.1941176470588</v>
      </c>
      <c r="W81" s="96" t="n">
        <f aca="false">AVERAGE(AVERAGE(Table4[[#This Row],[LOW]],Table4[[#This Row],[HIGH]]),Table4[[#This Row],[AVG]],VLOOKUP(Table4[[#This Row],[PLAYER]],ECR!L:N,3,FALSE()))</f>
        <v>50.635</v>
      </c>
      <c r="X81" s="96" t="n">
        <f aca="false">Table4[[#This Row],[Zscore Projection]]-$Q$1</f>
        <v>-76.9107383921569</v>
      </c>
      <c r="Y81" s="97" t="e">
        <f aca="false">MAX(Table4[[#This Row],[VBD]]*Scoring!$B$48+1,1)</f>
        <v>#VALUE!</v>
      </c>
      <c r="Z81" s="98" t="n">
        <f aca="false">VLOOKUP(Table4[[#This Row],[VBD]],BM:BO,3,FALSE())</f>
        <v>9</v>
      </c>
      <c r="AA81" s="99" t="n">
        <f aca="false">VLOOKUP(INDEX(ECR!$E:$E,MATCH(P81,ECR!$C:$C,0)),RISK!A:B,2,FALSE())</f>
        <v>4</v>
      </c>
      <c r="AB81" s="100"/>
      <c r="AC81" s="94" t="s">
        <v>415</v>
      </c>
      <c r="AD81" s="94" t="str">
        <f aca="false">VLOOKUP(AC81,ECR!E:L,8,FALSE())</f>
        <v>Zachariah Branch</v>
      </c>
      <c r="AE81" s="94" t="str">
        <f aca="false">IFERROR(VLOOKUP(Table6[[#This Row],[PLAYER]],ECR!C:F,2,FALSE()),"-")</f>
        <v>ATL</v>
      </c>
      <c r="AF81" s="94" t="n">
        <f aca="false">IFERROR(VLOOKUP(Table6[[#This Row],[PLAYER]],ECR!C:F,4,FALSE()),"-")</f>
        <v>11</v>
      </c>
      <c r="AG81" s="94" t="str">
        <f aca="false">Table6[[#This Row],[Team]] &amp; "/" &amp; Table6[[#This Row],[Bye]]</f>
        <v>ATL/11</v>
      </c>
      <c r="AH81" s="95" t="n">
        <f aca="false">IFERROR(VLOOKUP(Table6[[#This Row],[PLAYER]],WR!A:Q,13,FALSE())/17*(17-Table6[[#This Row],[Missed Games]]),0)</f>
        <v>80.2129661950856</v>
      </c>
      <c r="AI81" s="95" t="n">
        <f aca="false">IFERROR(VLOOKUP(Table6[[#This Row],[PLAYER]],WR!A:Q,14,FALSE())/17*(17-Table6[[#This Row],[Missed Games]]),0)</f>
        <v>80.2129661950856</v>
      </c>
      <c r="AJ81" s="95" t="n">
        <f aca="false">IFERROR(VLOOKUP(Table6[[#This Row],[PLAYER]],WR!A:Q,15,FALSE())/17*(17-Table6[[#This Row],[Missed Games]]),0)</f>
        <v>80.2129661950856</v>
      </c>
      <c r="AK81" s="96" t="n">
        <f aca="false">AVERAGE(AVERAGE(Table6[[#This Row],[LOW]],Table6[[#This Row],[HIGH]]),Table6[[#This Row],[AVG]],VLOOKUP(Table6[[#This Row],[PLAYER]],ECR!L:N,3,FALSE()))</f>
        <v>78.6728014892033</v>
      </c>
      <c r="AL81" s="96" t="n">
        <f aca="false">Table6[[#This Row],[Zscore Projection]]-$AE$1</f>
        <v>-47.0050772558948</v>
      </c>
      <c r="AM81" s="97" t="e">
        <f aca="false">MAX(Table6[[#This Row],[VBD]]*Scoring!$B$48+1,1)</f>
        <v>#VALUE!</v>
      </c>
      <c r="AN81" s="98" t="n">
        <f aca="false">VLOOKUP(Table6[[#This Row],[VBD]],BR:BT,3,FALSE())</f>
        <v>8</v>
      </c>
      <c r="AO81" s="99" t="n">
        <f aca="false">VLOOKUP(INDEX(ECR!$E:$E,MATCH(AD81,ECR!$C:$C,0)),RISK!A:B,2,FALSE())</f>
        <v>3.84810126582278</v>
      </c>
      <c r="AP81" s="100"/>
      <c r="AQ81" s="101" t="s">
        <v>416</v>
      </c>
      <c r="AR81" s="80"/>
      <c r="AT81" s="80"/>
      <c r="AU81" s="80"/>
      <c r="AV81" s="80"/>
      <c r="AW81" s="80"/>
      <c r="AX81" s="80"/>
      <c r="AY81" s="80"/>
      <c r="AZ81" s="80"/>
      <c r="BA81" s="80"/>
      <c r="BC81" s="80"/>
      <c r="BD81" s="80"/>
      <c r="BF81" s="102" t="n">
        <v>79</v>
      </c>
      <c r="BG81" s="100" t="str">
        <f aca="false">IFERROR(LARGE($G$3:$G$52,BF81),"")</f>
        <v/>
      </c>
      <c r="BH81" s="104"/>
      <c r="BI81" s="104"/>
      <c r="BJ81" s="106"/>
      <c r="BK81" s="102" t="n">
        <v>79</v>
      </c>
      <c r="BL81" s="100" t="n">
        <f aca="false">IFERROR(LARGE($U$3:$U$102,BK81),"")</f>
        <v>24.7229411764706</v>
      </c>
      <c r="BM81" s="104" t="n">
        <f aca="false">IFERROR(LARGE($X$3:$X$102,79),"")</f>
        <v>-94.7806403529412</v>
      </c>
      <c r="BN81" s="104" t="n">
        <f aca="false">IF(BM81="",BN80,IF((BN80-BM81)&gt;0.15*LARGE($X$3:$X$102,2),BM81,BN80))</f>
        <v>-79.0888756470588</v>
      </c>
      <c r="BO81" s="103" t="n">
        <f aca="false">IF(BM81="",BO80,IF((BN80-BM81)&gt;0.15*LARGE($X$3:$X$102,2),BO80+1,BO80))</f>
        <v>10</v>
      </c>
      <c r="BP81" s="105" t="n">
        <v>79</v>
      </c>
      <c r="BQ81" s="100" t="n">
        <f aca="false">IFERROR(LARGE($AI$3:$AI$102,BP81),"")</f>
        <v>75.5924720774386</v>
      </c>
      <c r="BR81" s="104" t="n">
        <f aca="false">IFERROR(LARGE($AL$3:$AL$102,79),"")</f>
        <v>-51.7386261265823</v>
      </c>
      <c r="BS81" s="104" t="n">
        <f aca="false">IF(BR81="",BS80,IF((BS80-BR81)&gt;0.15*LARGE($AL$3:$AL$102,2),BR81,BS80))</f>
        <v>-33.6236134187143</v>
      </c>
      <c r="BT81" s="103" t="n">
        <f aca="false">IF(BR81="",BT80,IF((BS80-BR81)&gt;0.15*LARGE($AL$3:$AL$102,2),BT80+1,BT80))</f>
        <v>8</v>
      </c>
      <c r="BU81" s="102" t="n">
        <v>79</v>
      </c>
      <c r="BV81" s="100" t="str">
        <f aca="false">IFERROR(LARGE($AW$3:$AW$52,BU81),"")</f>
        <v/>
      </c>
      <c r="BW81" s="104"/>
      <c r="BX81" s="104"/>
      <c r="BY81" s="106" t="n">
        <f aca="false">IFERROR(VALUE(RIGHT(INDEX(ECR!$E:$E,MATCH(P81,ECR!$C:$C,0)),LEN(INDEX(ECR!$E:$E,MATCH(P81,ECR!$C:$C,0)))-2)),"")</f>
        <v>79</v>
      </c>
      <c r="BZ81" s="104"/>
      <c r="CA81" s="104"/>
      <c r="CB81" s="104"/>
      <c r="CC81" s="104"/>
      <c r="CD81" s="104"/>
      <c r="CE81" s="104"/>
      <c r="CF81" s="104"/>
      <c r="CG81" s="104"/>
    </row>
    <row r="82" s="107" customFormat="true" ht="14.25" hidden="false" customHeight="true" outlineLevel="0" collapsed="false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M82" s="80"/>
      <c r="O82" s="98" t="s">
        <v>417</v>
      </c>
      <c r="P82" s="93" t="str">
        <f aca="false">VLOOKUP(O82,ECR!E:L,8,FALSE())</f>
        <v>LeQuint Allen Jr.</v>
      </c>
      <c r="Q82" s="94" t="str">
        <f aca="false">IFERROR(VLOOKUP(Table4[[#This Row],[PLAYER]],ECR!C:F,2,FALSE()),"-")</f>
        <v>JAC</v>
      </c>
      <c r="R82" s="94" t="n">
        <f aca="false">IFERROR(VLOOKUP(Table4[[#This Row],[PLAYER]],ECR!C:F,4,FALSE()),"-")</f>
        <v>7</v>
      </c>
      <c r="S82" s="94" t="str">
        <f aca="false">Table4[[#This Row],[Team]] &amp; "/" &amp; Table4[[#This Row],[Bye]]</f>
        <v>JAC/7</v>
      </c>
      <c r="T82" s="95" t="n">
        <f aca="false">IFERROR(VLOOKUP(Table4[[#This Row],[PLAYER]],RB!A:Q,13,FALSE())/17*(17-Table4[[#This Row],[Missed Games]]),0)</f>
        <v>10.4688235294118</v>
      </c>
      <c r="U82" s="95" t="n">
        <f aca="false">IFERROR(VLOOKUP(Table4[[#This Row],[PLAYER]],RB!A:Q,14,FALSE())/17*(17-Table4[[#This Row],[Missed Games]]),0)</f>
        <v>26.8794117647059</v>
      </c>
      <c r="V82" s="95" t="n">
        <f aca="false">IFERROR(VLOOKUP(Table4[[#This Row],[PLAYER]],RB!A:Q,15,FALSE())/17*(17-Table4[[#This Row],[Missed Games]]),0)</f>
        <v>43.4735294117647</v>
      </c>
      <c r="W82" s="96" t="n">
        <f aca="false">AVERAGE(AVERAGE(Table4[[#This Row],[LOW]],Table4[[#This Row],[HIGH]]),Table4[[#This Row],[AVG]],VLOOKUP(Table4[[#This Row],[PLAYER]],ECR!L:N,3,FALSE()))</f>
        <v>25.8852941176471</v>
      </c>
      <c r="X82" s="96" t="n">
        <f aca="false">Table4[[#This Row],[Zscore Projection]]-$Q$1</f>
        <v>-101.66044427451</v>
      </c>
      <c r="Y82" s="97" t="e">
        <f aca="false">MAX(Table4[[#This Row],[VBD]]*Scoring!$B$48+1,1)</f>
        <v>#VALUE!</v>
      </c>
      <c r="Z82" s="98" t="n">
        <f aca="false">VLOOKUP(Table4[[#This Row],[VBD]],BM:BO,3,FALSE())</f>
        <v>11</v>
      </c>
      <c r="AA82" s="99" t="n">
        <f aca="false">VLOOKUP(INDEX(ECR!$E:$E,MATCH(P82,ECR!$C:$C,0)),RISK!A:B,2,FALSE())</f>
        <v>4</v>
      </c>
      <c r="AB82" s="100"/>
      <c r="AC82" s="94" t="s">
        <v>418</v>
      </c>
      <c r="AD82" s="94" t="str">
        <f aca="false">VLOOKUP(AC82,ECR!E:L,8,FALSE())</f>
        <v>Malachi Fields</v>
      </c>
      <c r="AE82" s="94" t="str">
        <f aca="false">IFERROR(VLOOKUP(Table6[[#This Row],[PLAYER]],ECR!C:F,2,FALSE()),"-")</f>
        <v>NYG</v>
      </c>
      <c r="AF82" s="94" t="n">
        <f aca="false">IFERROR(VLOOKUP(Table6[[#This Row],[PLAYER]],ECR!C:F,4,FALSE()),"-")</f>
        <v>8</v>
      </c>
      <c r="AG82" s="94" t="str">
        <f aca="false">Table6[[#This Row],[Team]] &amp; "/" &amp; Table6[[#This Row],[Bye]]</f>
        <v>NYG/8</v>
      </c>
      <c r="AH82" s="95" t="n">
        <f aca="false">IFERROR(VLOOKUP(Table6[[#This Row],[PLAYER]],WR!A:Q,13,FALSE())/17*(17-Table6[[#This Row],[Missed Games]]),0)</f>
        <v>83.042635889799</v>
      </c>
      <c r="AI82" s="95" t="n">
        <f aca="false">IFERROR(VLOOKUP(Table6[[#This Row],[PLAYER]],WR!A:Q,14,FALSE())/17*(17-Table6[[#This Row],[Missed Games]]),0)</f>
        <v>83.042635889799</v>
      </c>
      <c r="AJ82" s="95" t="n">
        <f aca="false">IFERROR(VLOOKUP(Table6[[#This Row],[PLAYER]],WR!A:Q,15,FALSE())/17*(17-Table6[[#This Row],[Missed Games]]),0)</f>
        <v>83.042635889799</v>
      </c>
      <c r="AK82" s="96" t="n">
        <f aca="false">AVERAGE(AVERAGE(Table6[[#This Row],[LOW]],Table6[[#This Row],[HIGH]]),Table6[[#This Row],[AVG]],VLOOKUP(Table6[[#This Row],[PLAYER]],ECR!L:N,3,FALSE()))</f>
        <v>79.7675552246215</v>
      </c>
      <c r="AL82" s="96" t="n">
        <f aca="false">Table6[[#This Row],[Zscore Projection]]-$AE$1</f>
        <v>-45.9103235204765</v>
      </c>
      <c r="AM82" s="97" t="e">
        <f aca="false">MAX(Table6[[#This Row],[VBD]]*Scoring!$B$48+1,1)</f>
        <v>#VALUE!</v>
      </c>
      <c r="AN82" s="98" t="n">
        <f aca="false">VLOOKUP(Table6[[#This Row],[VBD]],BR:BT,3,FALSE())</f>
        <v>8</v>
      </c>
      <c r="AO82" s="99" t="n">
        <f aca="false">VLOOKUP(INDEX(ECR!$E:$E,MATCH(AD82,ECR!$C:$C,0)),RISK!A:B,2,FALSE())</f>
        <v>3.84810126582278</v>
      </c>
      <c r="AP82" s="100"/>
      <c r="AQ82" s="101" t="s">
        <v>419</v>
      </c>
      <c r="AR82" s="80"/>
      <c r="AT82" s="80"/>
      <c r="AU82" s="80"/>
      <c r="AV82" s="80"/>
      <c r="AW82" s="80"/>
      <c r="AX82" s="80"/>
      <c r="AY82" s="80"/>
      <c r="AZ82" s="80"/>
      <c r="BA82" s="80"/>
      <c r="BC82" s="80"/>
      <c r="BD82" s="80"/>
      <c r="BF82" s="102" t="n">
        <v>80</v>
      </c>
      <c r="BG82" s="100" t="str">
        <f aca="false">IFERROR(LARGE($G$3:$G$52,BF82),"")</f>
        <v/>
      </c>
      <c r="BH82" s="104"/>
      <c r="BI82" s="104"/>
      <c r="BJ82" s="106"/>
      <c r="BK82" s="102" t="n">
        <v>80</v>
      </c>
      <c r="BL82" s="100" t="n">
        <f aca="false">IFERROR(LARGE($U$3:$U$102,BK82),"")</f>
        <v>23.8052941176471</v>
      </c>
      <c r="BM82" s="104" t="n">
        <f aca="false">IFERROR(LARGE($X$3:$X$102,80),"")</f>
        <v>-99.0005423137255</v>
      </c>
      <c r="BN82" s="104" t="n">
        <f aca="false">IF(BM82="",BN81,IF((BN81-BM82)&gt;0.15*LARGE($X$3:$X$102,2),BM82,BN81))</f>
        <v>-79.0888756470588</v>
      </c>
      <c r="BO82" s="103" t="n">
        <f aca="false">IF(BM82="",BO81,IF((BN81-BM82)&gt;0.15*LARGE($X$3:$X$102,2),BO81+1,BO81))</f>
        <v>10</v>
      </c>
      <c r="BP82" s="105" t="n">
        <v>80</v>
      </c>
      <c r="BQ82" s="100" t="n">
        <f aca="false">IFERROR(LARGE($AI$3:$AI$102,BP82),"")</f>
        <v>73.2173938942666</v>
      </c>
      <c r="BR82" s="104" t="n">
        <f aca="false">IFERROR(LARGE($AL$3:$AL$102,80),"")</f>
        <v>-51.8170733343261</v>
      </c>
      <c r="BS82" s="104" t="n">
        <f aca="false">IF(BR82="",BS81,IF((BS81-BR82)&gt;0.15*LARGE($AL$3:$AL$102,2),BR82,BS81))</f>
        <v>-51.8170733343261</v>
      </c>
      <c r="BT82" s="103" t="n">
        <f aca="false">IF(BR82="",BT81,IF((BS81-BR82)&gt;0.15*LARGE($AL$3:$AL$102,2),BT81+1,BT81))</f>
        <v>9</v>
      </c>
      <c r="BU82" s="102" t="n">
        <v>80</v>
      </c>
      <c r="BV82" s="100" t="str">
        <f aca="false">IFERROR(LARGE($AW$3:$AW$52,BU82),"")</f>
        <v/>
      </c>
      <c r="BW82" s="104"/>
      <c r="BX82" s="104"/>
      <c r="BY82" s="106" t="n">
        <f aca="false">IFERROR(VALUE(RIGHT(INDEX(ECR!$E:$E,MATCH(P82,ECR!$C:$C,0)),LEN(INDEX(ECR!$E:$E,MATCH(P82,ECR!$C:$C,0)))-2)),"")</f>
        <v>80</v>
      </c>
      <c r="BZ82" s="104"/>
      <c r="CA82" s="104"/>
      <c r="CB82" s="104"/>
      <c r="CC82" s="104"/>
      <c r="CD82" s="104"/>
      <c r="CE82" s="104"/>
      <c r="CF82" s="104"/>
      <c r="CG82" s="104"/>
    </row>
    <row r="83" s="107" customFormat="true" ht="14.25" hidden="false" customHeight="true" outlineLevel="0" collapsed="false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M83" s="80"/>
      <c r="O83" s="98" t="s">
        <v>420</v>
      </c>
      <c r="P83" s="93" t="str">
        <f aca="false">VLOOKUP(O83,ECR!E:L,8,FALSE())</f>
        <v>Seth McGowan</v>
      </c>
      <c r="Q83" s="94" t="str">
        <f aca="false">IFERROR(VLOOKUP(Table4[[#This Row],[PLAYER]],ECR!C:F,2,FALSE()),"-")</f>
        <v>IND</v>
      </c>
      <c r="R83" s="94" t="n">
        <f aca="false">IFERROR(VLOOKUP(Table4[[#This Row],[PLAYER]],ECR!C:F,4,FALSE()),"-")</f>
        <v>13</v>
      </c>
      <c r="S83" s="94" t="str">
        <f aca="false">Table4[[#This Row],[Team]] &amp; "/" &amp; Table4[[#This Row],[Bye]]</f>
        <v>IND/13</v>
      </c>
      <c r="T83" s="95" t="n">
        <f aca="false">IFERROR(VLOOKUP(Table4[[#This Row],[PLAYER]],RB!A:Q,13,FALSE())/17*(17-Table4[[#This Row],[Missed Games]]),0)</f>
        <v>61.86804</v>
      </c>
      <c r="U83" s="95" t="n">
        <f aca="false">IFERROR(VLOOKUP(Table4[[#This Row],[PLAYER]],RB!A:Q,14,FALSE())/17*(17-Table4[[#This Row],[Missed Games]]),0)</f>
        <v>67.4962752941176</v>
      </c>
      <c r="V83" s="95" t="n">
        <f aca="false">IFERROR(VLOOKUP(Table4[[#This Row],[PLAYER]],RB!A:Q,15,FALSE())/17*(17-Table4[[#This Row],[Missed Games]]),0)</f>
        <v>73.1321576470588</v>
      </c>
      <c r="W83" s="96" t="n">
        <f aca="false">AVERAGE(AVERAGE(Table4[[#This Row],[LOW]],Table4[[#This Row],[HIGH]]),Table4[[#This Row],[AVG]],VLOOKUP(Table4[[#This Row],[PLAYER]],ECR!L:N,3,FALSE()))</f>
        <v>52.6254580392157</v>
      </c>
      <c r="X83" s="96" t="n">
        <f aca="false">Table4[[#This Row],[Zscore Projection]]-$Q$1</f>
        <v>-74.9202803529412</v>
      </c>
      <c r="Y83" s="97" t="e">
        <f aca="false">MAX(Table4[[#This Row],[VBD]]*Scoring!$B$48+1,1)</f>
        <v>#VALUE!</v>
      </c>
      <c r="Z83" s="98" t="n">
        <f aca="false">VLOOKUP(Table4[[#This Row],[VBD]],BM:BO,3,FALSE())</f>
        <v>9</v>
      </c>
      <c r="AA83" s="99" t="n">
        <f aca="false">VLOOKUP(INDEX(ECR!$E:$E,MATCH(P83,ECR!$C:$C,0)),RISK!A:B,2,FALSE())</f>
        <v>4</v>
      </c>
      <c r="AB83" s="100"/>
      <c r="AC83" s="94" t="s">
        <v>421</v>
      </c>
      <c r="AD83" s="94" t="str">
        <f aca="false">VLOOKUP(AC83,ECR!E:L,8,FALSE())</f>
        <v>Isaac TeSlaa</v>
      </c>
      <c r="AE83" s="94" t="str">
        <f aca="false">IFERROR(VLOOKUP(Table6[[#This Row],[PLAYER]],ECR!C:F,2,FALSE()),"-")</f>
        <v>DET</v>
      </c>
      <c r="AF83" s="94" t="n">
        <f aca="false">IFERROR(VLOOKUP(Table6[[#This Row],[PLAYER]],ECR!C:F,4,FALSE()),"-")</f>
        <v>6</v>
      </c>
      <c r="AG83" s="94" t="str">
        <f aca="false">Table6[[#This Row],[Team]] &amp; "/" &amp; Table6[[#This Row],[Bye]]</f>
        <v>DET/6</v>
      </c>
      <c r="AH83" s="95" t="n">
        <f aca="false">IFERROR(VLOOKUP(Table6[[#This Row],[PLAYER]],WR!A:Q,13,FALSE())/17*(17-Table6[[#This Row],[Missed Games]]),0)</f>
        <v>47.0296425912137</v>
      </c>
      <c r="AI83" s="95" t="n">
        <f aca="false">IFERROR(VLOOKUP(Table6[[#This Row],[PLAYER]],WR!A:Q,14,FALSE())/17*(17-Table6[[#This Row],[Missed Games]]),0)</f>
        <v>55.9651973194341</v>
      </c>
      <c r="AJ83" s="95" t="n">
        <f aca="false">IFERROR(VLOOKUP(Table6[[#This Row],[PLAYER]],WR!A:Q,15,FALSE())/17*(17-Table6[[#This Row],[Missed Games]]),0)</f>
        <v>64.9084884586746</v>
      </c>
      <c r="AK83" s="96" t="n">
        <f aca="false">AVERAGE(AVERAGE(Table6[[#This Row],[LOW]],Table6[[#This Row],[HIGH]]),Table6[[#This Row],[AVG]],VLOOKUP(Table6[[#This Row],[PLAYER]],ECR!L:N,3,FALSE()))</f>
        <v>60.0074720774386</v>
      </c>
      <c r="AL83" s="96" t="n">
        <f aca="false">Table6[[#This Row],[Zscore Projection]]-$AE$1</f>
        <v>-65.6704066676595</v>
      </c>
      <c r="AM83" s="97" t="e">
        <f aca="false">MAX(Table6[[#This Row],[VBD]]*Scoring!$B$48+1,1)</f>
        <v>#VALUE!</v>
      </c>
      <c r="AN83" s="98" t="n">
        <f aca="false">VLOOKUP(Table6[[#This Row],[VBD]],BR:BT,3,FALSE())</f>
        <v>9</v>
      </c>
      <c r="AO83" s="99" t="n">
        <f aca="false">VLOOKUP(INDEX(ECR!$E:$E,MATCH(AD83,ECR!$C:$C,0)),RISK!A:B,2,FALSE())</f>
        <v>3.84810126582278</v>
      </c>
      <c r="AP83" s="100"/>
      <c r="AQ83" s="101" t="s">
        <v>422</v>
      </c>
      <c r="AR83" s="80"/>
      <c r="AT83" s="80"/>
      <c r="AU83" s="80"/>
      <c r="AV83" s="80"/>
      <c r="AW83" s="80"/>
      <c r="AX83" s="80"/>
      <c r="AY83" s="80"/>
      <c r="AZ83" s="80"/>
      <c r="BA83" s="80"/>
      <c r="BC83" s="80"/>
      <c r="BD83" s="80"/>
      <c r="BF83" s="102" t="n">
        <v>81</v>
      </c>
      <c r="BG83" s="100" t="str">
        <f aca="false">IFERROR(LARGE($G$3:$G$52,BF83),"")</f>
        <v/>
      </c>
      <c r="BH83" s="104"/>
      <c r="BI83" s="104"/>
      <c r="BJ83" s="106"/>
      <c r="BK83" s="102" t="n">
        <v>81</v>
      </c>
      <c r="BL83" s="100" t="n">
        <f aca="false">IFERROR(LARGE($U$3:$U$102,BK83),"")</f>
        <v>22.88</v>
      </c>
      <c r="BM83" s="104" t="n">
        <f aca="false">IFERROR(LARGE($X$3:$X$102,81),"")</f>
        <v>-101.66044427451</v>
      </c>
      <c r="BN83" s="104" t="n">
        <f aca="false">IF(BM83="",BN82,IF((BN82-BM83)&gt;0.15*LARGE($X$3:$X$102,2),BM83,BN82))</f>
        <v>-101.66044427451</v>
      </c>
      <c r="BO83" s="103" t="n">
        <f aca="false">IF(BM83="",BO82,IF((BN82-BM83)&gt;0.15*LARGE($X$3:$X$102,2),BO82+1,BO82))</f>
        <v>11</v>
      </c>
      <c r="BP83" s="105" t="n">
        <v>81</v>
      </c>
      <c r="BQ83" s="100" t="n">
        <f aca="false">IFERROR(LARGE($AI$3:$AI$102,BP83),"")</f>
        <v>68.0881533879375</v>
      </c>
      <c r="BR83" s="104" t="n">
        <f aca="false">IFERROR(LARGE($AL$3:$AL$102,81),"")</f>
        <v>-51.9111996684041</v>
      </c>
      <c r="BS83" s="104" t="n">
        <f aca="false">IF(BR83="",BS82,IF((BS82-BR83)&gt;0.15*LARGE($AL$3:$AL$102,2),BR83,BS82))</f>
        <v>-51.8170733343261</v>
      </c>
      <c r="BT83" s="103" t="n">
        <f aca="false">IF(BR83="",BT82,IF((BS82-BR83)&gt;0.15*LARGE($AL$3:$AL$102,2),BT82+1,BT82))</f>
        <v>9</v>
      </c>
      <c r="BU83" s="102" t="n">
        <v>81</v>
      </c>
      <c r="BV83" s="100" t="str">
        <f aca="false">IFERROR(LARGE($AW$3:$AW$52,BU83),"")</f>
        <v/>
      </c>
      <c r="BW83" s="104"/>
      <c r="BX83" s="104"/>
      <c r="BY83" s="106" t="n">
        <f aca="false">IFERROR(VALUE(RIGHT(INDEX(ECR!$E:$E,MATCH(P83,ECR!$C:$C,0)),LEN(INDEX(ECR!$E:$E,MATCH(P83,ECR!$C:$C,0)))-2)),"")</f>
        <v>81</v>
      </c>
      <c r="BZ83" s="104"/>
      <c r="CA83" s="104"/>
      <c r="CB83" s="104"/>
      <c r="CC83" s="104"/>
      <c r="CD83" s="104"/>
      <c r="CE83" s="104"/>
      <c r="CF83" s="104"/>
      <c r="CG83" s="104"/>
    </row>
    <row r="84" s="107" customFormat="true" ht="14.25" hidden="false" customHeight="true" outlineLevel="0" collapsed="false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M84" s="80"/>
      <c r="O84" s="98" t="s">
        <v>423</v>
      </c>
      <c r="P84" s="93" t="str">
        <f aca="false">VLOOKUP(O84,ECR!E:L,8,FALSE())</f>
        <v>DJ Giddens</v>
      </c>
      <c r="Q84" s="94" t="str">
        <f aca="false">IFERROR(VLOOKUP(Table4[[#This Row],[PLAYER]],ECR!C:F,2,FALSE()),"-")</f>
        <v>IND</v>
      </c>
      <c r="R84" s="94" t="n">
        <f aca="false">IFERROR(VLOOKUP(Table4[[#This Row],[PLAYER]],ECR!C:F,4,FALSE()),"-")</f>
        <v>13</v>
      </c>
      <c r="S84" s="94" t="str">
        <f aca="false">Table4[[#This Row],[Team]] &amp; "/" &amp; Table4[[#This Row],[Bye]]</f>
        <v>IND/13</v>
      </c>
      <c r="T84" s="95" t="n">
        <f aca="false">IFERROR(VLOOKUP(Table4[[#This Row],[PLAYER]],RB!A:Q,13,FALSE())/17*(17-Table4[[#This Row],[Missed Games]]),0)</f>
        <v>6.94352941176471</v>
      </c>
      <c r="U84" s="95" t="n">
        <f aca="false">IFERROR(VLOOKUP(Table4[[#This Row],[PLAYER]],RB!A:Q,14,FALSE())/17*(17-Table4[[#This Row],[Missed Games]]),0)</f>
        <v>13.2982352941176</v>
      </c>
      <c r="V84" s="95" t="n">
        <f aca="false">IFERROR(VLOOKUP(Table4[[#This Row],[PLAYER]],RB!A:Q,15,FALSE())/17*(17-Table4[[#This Row],[Missed Games]]),0)</f>
        <v>19.5</v>
      </c>
      <c r="W84" s="96" t="n">
        <f aca="false">AVERAGE(AVERAGE(Table4[[#This Row],[LOW]],Table4[[#This Row],[HIGH]]),Table4[[#This Row],[AVG]],VLOOKUP(Table4[[#This Row],[PLAYER]],ECR!L:N,3,FALSE()))</f>
        <v>15.2380392156863</v>
      </c>
      <c r="X84" s="96" t="n">
        <f aca="false">Table4[[#This Row],[Zscore Projection]]-$Q$1</f>
        <v>-112.307699176471</v>
      </c>
      <c r="Y84" s="97" t="e">
        <f aca="false">MAX(Table4[[#This Row],[VBD]]*Scoring!$B$48+1,1)</f>
        <v>#VALUE!</v>
      </c>
      <c r="Z84" s="98" t="n">
        <f aca="false">VLOOKUP(Table4[[#This Row],[VBD]],BM:BO,3,FALSE())</f>
        <v>11</v>
      </c>
      <c r="AA84" s="99" t="n">
        <f aca="false">VLOOKUP(INDEX(ECR!$E:$E,MATCH(P84,ECR!$C:$C,0)),RISK!A:B,2,FALSE())</f>
        <v>4</v>
      </c>
      <c r="AB84" s="100"/>
      <c r="AC84" s="94" t="s">
        <v>424</v>
      </c>
      <c r="AD84" s="94" t="str">
        <f aca="false">VLOOKUP(AC84,ECR!E:L,8,FALSE())</f>
        <v>Cooper Kupp</v>
      </c>
      <c r="AE84" s="94" t="str">
        <f aca="false">IFERROR(VLOOKUP(Table6[[#This Row],[PLAYER]],ECR!C:F,2,FALSE()),"-")</f>
        <v>SEA</v>
      </c>
      <c r="AF84" s="94" t="n">
        <f aca="false">IFERROR(VLOOKUP(Table6[[#This Row],[PLAYER]],ECR!C:F,4,FALSE()),"-")</f>
        <v>11</v>
      </c>
      <c r="AG84" s="94" t="str">
        <f aca="false">Table6[[#This Row],[Team]] &amp; "/" &amp; Table6[[#This Row],[Bye]]</f>
        <v>SEA/11</v>
      </c>
      <c r="AH84" s="95" t="n">
        <f aca="false">IFERROR(VLOOKUP(Table6[[#This Row],[PLAYER]],WR!A:Q,13,FALSE())/17*(17-Table6[[#This Row],[Missed Games]]),0)</f>
        <v>62.5566195085629</v>
      </c>
      <c r="AI84" s="95" t="n">
        <f aca="false">IFERROR(VLOOKUP(Table6[[#This Row],[PLAYER]],WR!A:Q,14,FALSE())/17*(17-Table6[[#This Row],[Missed Games]]),0)</f>
        <v>78.2383246463142</v>
      </c>
      <c r="AJ84" s="95" t="n">
        <f aca="false">IFERROR(VLOOKUP(Table6[[#This Row],[PLAYER]],WR!A:Q,15,FALSE())/17*(17-Table6[[#This Row],[Missed Games]]),0)</f>
        <v>94.0747580044676</v>
      </c>
      <c r="AK84" s="96" t="n">
        <f aca="false">AVERAGE(AVERAGE(Table6[[#This Row],[LOW]],Table6[[#This Row],[HIGH]]),Table6[[#This Row],[AVG]],VLOOKUP(Table6[[#This Row],[PLAYER]],ECR!L:N,3,FALSE()))</f>
        <v>73.766679076694</v>
      </c>
      <c r="AL84" s="96" t="n">
        <f aca="false">Table6[[#This Row],[Zscore Projection]]-$AE$1</f>
        <v>-51.9111996684041</v>
      </c>
      <c r="AM84" s="97" t="e">
        <f aca="false">MAX(Table6[[#This Row],[VBD]]*Scoring!$B$48+1,1)</f>
        <v>#VALUE!</v>
      </c>
      <c r="AN84" s="98" t="n">
        <f aca="false">VLOOKUP(Table6[[#This Row],[VBD]],BR:BT,3,FALSE())</f>
        <v>9</v>
      </c>
      <c r="AO84" s="99" t="n">
        <f aca="false">VLOOKUP(INDEX(ECR!$E:$E,MATCH(AD84,ECR!$C:$C,0)),RISK!A:B,2,FALSE())</f>
        <v>3.84810126582278</v>
      </c>
      <c r="AP84" s="100"/>
      <c r="AQ84" s="101" t="s">
        <v>425</v>
      </c>
      <c r="AR84" s="80"/>
      <c r="AT84" s="80"/>
      <c r="AU84" s="80"/>
      <c r="AV84" s="80"/>
      <c r="AW84" s="80"/>
      <c r="AX84" s="80"/>
      <c r="AY84" s="80"/>
      <c r="AZ84" s="80"/>
      <c r="BA84" s="80"/>
      <c r="BC84" s="80"/>
      <c r="BD84" s="80"/>
      <c r="BF84" s="102" t="n">
        <v>82</v>
      </c>
      <c r="BG84" s="100" t="str">
        <f aca="false">IFERROR(LARGE($G$3:$G$52,BF84),"")</f>
        <v/>
      </c>
      <c r="BH84" s="104"/>
      <c r="BI84" s="104"/>
      <c r="BJ84" s="106"/>
      <c r="BK84" s="102" t="n">
        <v>82</v>
      </c>
      <c r="BL84" s="100" t="n">
        <f aca="false">IFERROR(LARGE($U$3:$U$102,BK84),"")</f>
        <v>19.1941176470588</v>
      </c>
      <c r="BM84" s="104" t="n">
        <f aca="false">IFERROR(LARGE($X$3:$X$102,82),"")</f>
        <v>-105.274954078431</v>
      </c>
      <c r="BN84" s="104" t="n">
        <f aca="false">IF(BM84="",BN83,IF((BN83-BM84)&gt;0.15*LARGE($X$3:$X$102,2),BM84,BN83))</f>
        <v>-101.66044427451</v>
      </c>
      <c r="BO84" s="103" t="n">
        <f aca="false">IF(BM84="",BO83,IF((BN83-BM84)&gt;0.15*LARGE($X$3:$X$102,2),BO83+1,BO83))</f>
        <v>11</v>
      </c>
      <c r="BP84" s="105" t="n">
        <v>82</v>
      </c>
      <c r="BQ84" s="100" t="n">
        <f aca="false">IFERROR(LARGE($AI$3:$AI$102,BP84),"")</f>
        <v>64.7460238272524</v>
      </c>
      <c r="BR84" s="104" t="n">
        <f aca="false">IFERROR(LARGE($AL$3:$AL$102,82),"")</f>
        <v>-52.5365595591958</v>
      </c>
      <c r="BS84" s="104" t="n">
        <f aca="false">IF(BR84="",BS83,IF((BS83-BR84)&gt;0.15*LARGE($AL$3:$AL$102,2),BR84,BS83))</f>
        <v>-51.8170733343261</v>
      </c>
      <c r="BT84" s="103" t="n">
        <f aca="false">IF(BR84="",BT83,IF((BS83-BR84)&gt;0.15*LARGE($AL$3:$AL$102,2),BT83+1,BT83))</f>
        <v>9</v>
      </c>
      <c r="BU84" s="102" t="n">
        <v>82</v>
      </c>
      <c r="BV84" s="100" t="str">
        <f aca="false">IFERROR(LARGE($AW$3:$AW$52,BU84),"")</f>
        <v/>
      </c>
      <c r="BW84" s="104"/>
      <c r="BX84" s="104"/>
      <c r="BY84" s="106" t="n">
        <f aca="false">IFERROR(VALUE(RIGHT(INDEX(ECR!$E:$E,MATCH(P84,ECR!$C:$C,0)),LEN(INDEX(ECR!$E:$E,MATCH(P84,ECR!$C:$C,0)))-2)),"")</f>
        <v>82</v>
      </c>
      <c r="BZ84" s="104"/>
      <c r="CA84" s="104"/>
      <c r="CB84" s="104"/>
      <c r="CC84" s="104"/>
      <c r="CD84" s="104"/>
      <c r="CE84" s="104"/>
      <c r="CF84" s="104"/>
      <c r="CG84" s="104"/>
    </row>
    <row r="85" s="107" customFormat="true" ht="14.25" hidden="false" customHeight="true" outlineLevel="0" collapsed="false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M85" s="80"/>
      <c r="O85" s="98" t="s">
        <v>426</v>
      </c>
      <c r="P85" s="93" t="str">
        <f aca="false">VLOOKUP(O85,ECR!E:L,8,FALSE())</f>
        <v>Kendre Miller</v>
      </c>
      <c r="Q85" s="94" t="str">
        <f aca="false">IFERROR(VLOOKUP(Table4[[#This Row],[PLAYER]],ECR!C:F,2,FALSE()),"-")</f>
        <v>NO</v>
      </c>
      <c r="R85" s="94" t="n">
        <f aca="false">IFERROR(VLOOKUP(Table4[[#This Row],[PLAYER]],ECR!C:F,4,FALSE()),"-")</f>
        <v>8</v>
      </c>
      <c r="S85" s="94" t="str">
        <f aca="false">Table4[[#This Row],[Team]] &amp; "/" &amp; Table4[[#This Row],[Bye]]</f>
        <v>NO/8</v>
      </c>
      <c r="T85" s="95" t="n">
        <f aca="false">IFERROR(VLOOKUP(Table4[[#This Row],[PLAYER]],RB!A:Q,13,FALSE())/17*(17-Table4[[#This Row],[Missed Games]]),0)</f>
        <v>11.4552941176471</v>
      </c>
      <c r="U85" s="95" t="n">
        <f aca="false">IFERROR(VLOOKUP(Table4[[#This Row],[PLAYER]],RB!A:Q,14,FALSE())/17*(17-Table4[[#This Row],[Missed Games]]),0)</f>
        <v>17.3741176470588</v>
      </c>
      <c r="V85" s="95" t="n">
        <f aca="false">IFERROR(VLOOKUP(Table4[[#This Row],[PLAYER]],RB!A:Q,15,FALSE())/17*(17-Table4[[#This Row],[Missed Games]]),0)</f>
        <v>23.1323529411765</v>
      </c>
      <c r="W85" s="96" t="n">
        <f aca="false">AVERAGE(AVERAGE(Table4[[#This Row],[LOW]],Table4[[#This Row],[HIGH]]),Table4[[#This Row],[AVG]],VLOOKUP(Table4[[#This Row],[PLAYER]],ECR!L:N,3,FALSE()))</f>
        <v>17.5716666666667</v>
      </c>
      <c r="X85" s="96" t="n">
        <f aca="false">Table4[[#This Row],[Zscore Projection]]-$Q$1</f>
        <v>-109.97407172549</v>
      </c>
      <c r="Y85" s="97" t="e">
        <f aca="false">MAX(Table4[[#This Row],[VBD]]*Scoring!$B$48+1,1)</f>
        <v>#VALUE!</v>
      </c>
      <c r="Z85" s="98" t="n">
        <f aca="false">VLOOKUP(Table4[[#This Row],[VBD]],BM:BO,3,FALSE())</f>
        <v>11</v>
      </c>
      <c r="AA85" s="99" t="n">
        <f aca="false">VLOOKUP(INDEX(ECR!$E:$E,MATCH(P85,ECR!$C:$C,0)),RISK!A:B,2,FALSE())</f>
        <v>4</v>
      </c>
      <c r="AB85" s="100"/>
      <c r="AC85" s="94" t="s">
        <v>427</v>
      </c>
      <c r="AD85" s="94" t="str">
        <f aca="false">VLOOKUP(AC85,ECR!E:L,8,FALSE())</f>
        <v>Darnell Mooney</v>
      </c>
      <c r="AE85" s="94" t="str">
        <f aca="false">IFERROR(VLOOKUP(Table6[[#This Row],[PLAYER]],ECR!C:F,2,FALSE()),"-")</f>
        <v>NYG</v>
      </c>
      <c r="AF85" s="94" t="n">
        <f aca="false">IFERROR(VLOOKUP(Table6[[#This Row],[PLAYER]],ECR!C:F,4,FALSE()),"-")</f>
        <v>8</v>
      </c>
      <c r="AG85" s="94" t="str">
        <f aca="false">Table6[[#This Row],[Team]] &amp; "/" &amp; Table6[[#This Row],[Bye]]</f>
        <v>NYG/8</v>
      </c>
      <c r="AH85" s="95" t="n">
        <f aca="false">IFERROR(VLOOKUP(Table6[[#This Row],[PLAYER]],WR!A:Q,13,FALSE())/17*(17-Table6[[#This Row],[Missed Games]]),0)</f>
        <v>41.1422338049144</v>
      </c>
      <c r="AI85" s="95" t="n">
        <f aca="false">IFERROR(VLOOKUP(Table6[[#This Row],[PLAYER]],WR!A:Q,14,FALSE())/17*(17-Table6[[#This Row],[Missed Games]]),0)</f>
        <v>41.1422338049144</v>
      </c>
      <c r="AJ85" s="95" t="n">
        <f aca="false">IFERROR(VLOOKUP(Table6[[#This Row],[PLAYER]],WR!A:Q,15,FALSE())/17*(17-Table6[[#This Row],[Missed Games]]),0)</f>
        <v>41.1422338049144</v>
      </c>
      <c r="AK85" s="96" t="n">
        <f aca="false">AVERAGE(AVERAGE(Table6[[#This Row],[LOW]],Table6[[#This Row],[HIGH]]),Table6[[#This Row],[AVG]],VLOOKUP(Table6[[#This Row],[PLAYER]],ECR!L:N,3,FALSE()))</f>
        <v>48.9121692727724</v>
      </c>
      <c r="AL85" s="96" t="n">
        <f aca="false">Table6[[#This Row],[Zscore Projection]]-$AE$1</f>
        <v>-76.7657094723256</v>
      </c>
      <c r="AM85" s="97" t="e">
        <f aca="false">MAX(Table6[[#This Row],[VBD]]*Scoring!$B$48+1,1)</f>
        <v>#VALUE!</v>
      </c>
      <c r="AN85" s="98" t="n">
        <f aca="false">VLOOKUP(Table6[[#This Row],[VBD]],BR:BT,3,FALSE())</f>
        <v>10</v>
      </c>
      <c r="AO85" s="99" t="n">
        <f aca="false">VLOOKUP(INDEX(ECR!$E:$E,MATCH(AD85,ECR!$C:$C,0)),RISK!A:B,2,FALSE())</f>
        <v>3.84810126582278</v>
      </c>
      <c r="AP85" s="100"/>
      <c r="AQ85" s="101" t="s">
        <v>428</v>
      </c>
      <c r="AR85" s="80"/>
      <c r="AT85" s="80"/>
      <c r="AU85" s="80"/>
      <c r="AV85" s="80"/>
      <c r="AW85" s="80"/>
      <c r="AX85" s="80"/>
      <c r="AY85" s="80"/>
      <c r="AZ85" s="80"/>
      <c r="BA85" s="80"/>
      <c r="BC85" s="80"/>
      <c r="BD85" s="80"/>
      <c r="BF85" s="102" t="n">
        <v>83</v>
      </c>
      <c r="BG85" s="100" t="str">
        <f aca="false">IFERROR(LARGE($G$3:$G$52,BF85),"")</f>
        <v/>
      </c>
      <c r="BH85" s="104"/>
      <c r="BI85" s="104"/>
      <c r="BJ85" s="106"/>
      <c r="BK85" s="102" t="n">
        <v>83</v>
      </c>
      <c r="BL85" s="100" t="n">
        <f aca="false">IFERROR(LARGE($U$3:$U$102,BK85),"")</f>
        <v>18.0470588235294</v>
      </c>
      <c r="BM85" s="104" t="n">
        <f aca="false">IFERROR(LARGE($X$3:$X$102,83),"")</f>
        <v>-109.162208980392</v>
      </c>
      <c r="BN85" s="104" t="n">
        <f aca="false">IF(BM85="",BN84,IF((BN84-BM85)&gt;0.15*LARGE($X$3:$X$102,2),BM85,BN84))</f>
        <v>-101.66044427451</v>
      </c>
      <c r="BO85" s="103" t="n">
        <f aca="false">IF(BM85="",BO84,IF((BN84-BM85)&gt;0.15*LARGE($X$3:$X$102,2),BO84+1,BO84))</f>
        <v>11</v>
      </c>
      <c r="BP85" s="105" t="n">
        <v>83</v>
      </c>
      <c r="BQ85" s="100" t="n">
        <f aca="false">IFERROR(LARGE($AI$3:$AI$102,BP85),"")</f>
        <v>64.4520402084885</v>
      </c>
      <c r="BR85" s="104" t="n">
        <f aca="false">IFERROR(LARGE($AL$3:$AL$102,83),"")</f>
        <v>-55.4157938605113</v>
      </c>
      <c r="BS85" s="104" t="n">
        <f aca="false">IF(BR85="",BS84,IF((BS84-BR85)&gt;0.15*LARGE($AL$3:$AL$102,2),BR85,BS84))</f>
        <v>-51.8170733343261</v>
      </c>
      <c r="BT85" s="103" t="n">
        <f aca="false">IF(BR85="",BT84,IF((BS84-BR85)&gt;0.15*LARGE($AL$3:$AL$102,2),BT84+1,BT84))</f>
        <v>9</v>
      </c>
      <c r="BU85" s="102" t="n">
        <v>83</v>
      </c>
      <c r="BV85" s="100" t="str">
        <f aca="false">IFERROR(LARGE($AW$3:$AW$52,BU85),"")</f>
        <v/>
      </c>
      <c r="BW85" s="104"/>
      <c r="BX85" s="104"/>
      <c r="BY85" s="106" t="n">
        <f aca="false">IFERROR(VALUE(RIGHT(INDEX(ECR!$E:$E,MATCH(P85,ECR!$C:$C,0)),LEN(INDEX(ECR!$E:$E,MATCH(P85,ECR!$C:$C,0)))-2)),"")</f>
        <v>83</v>
      </c>
      <c r="BZ85" s="104"/>
      <c r="CA85" s="104"/>
      <c r="CB85" s="104"/>
      <c r="CC85" s="104"/>
      <c r="CD85" s="104"/>
      <c r="CE85" s="104"/>
      <c r="CF85" s="104"/>
      <c r="CG85" s="104"/>
    </row>
    <row r="86" s="107" customFormat="true" ht="14.25" hidden="false" customHeight="true" outlineLevel="0" collapsed="false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M86" s="80"/>
      <c r="O86" s="98" t="s">
        <v>429</v>
      </c>
      <c r="P86" s="93" t="str">
        <f aca="false">VLOOKUP(O86,ECR!E:L,8,FALSE())</f>
        <v>Brashard Smith</v>
      </c>
      <c r="Q86" s="94" t="str">
        <f aca="false">IFERROR(VLOOKUP(Table4[[#This Row],[PLAYER]],ECR!C:F,2,FALSE()),"-")</f>
        <v>KC</v>
      </c>
      <c r="R86" s="94" t="n">
        <f aca="false">IFERROR(VLOOKUP(Table4[[#This Row],[PLAYER]],ECR!C:F,4,FALSE()),"-")</f>
        <v>5</v>
      </c>
      <c r="S86" s="94" t="str">
        <f aca="false">Table4[[#This Row],[Team]] &amp; "/" &amp; Table4[[#This Row],[Bye]]</f>
        <v>KC/5</v>
      </c>
      <c r="T86" s="95" t="n">
        <f aca="false">IFERROR(VLOOKUP(Table4[[#This Row],[PLAYER]],RB!A:Q,13,FALSE())/17*(17-Table4[[#This Row],[Missed Games]]),0)</f>
        <v>37.6388235294118</v>
      </c>
      <c r="U86" s="95" t="n">
        <f aca="false">IFERROR(VLOOKUP(Table4[[#This Row],[PLAYER]],RB!A:Q,14,FALSE())/17*(17-Table4[[#This Row],[Missed Games]]),0)</f>
        <v>40.4988235294118</v>
      </c>
      <c r="V86" s="95" t="n">
        <f aca="false">IFERROR(VLOOKUP(Table4[[#This Row],[PLAYER]],RB!A:Q,15,FALSE())/17*(17-Table4[[#This Row],[Missed Games]]),0)</f>
        <v>43.2058823529412</v>
      </c>
      <c r="W86" s="96" t="n">
        <f aca="false">AVERAGE(AVERAGE(Table4[[#This Row],[LOW]],Table4[[#This Row],[HIGH]]),Table4[[#This Row],[AVG]],VLOOKUP(Table4[[#This Row],[PLAYER]],ECR!L:N,3,FALSE()))</f>
        <v>32.7650980392157</v>
      </c>
      <c r="X86" s="96" t="n">
        <f aca="false">Table4[[#This Row],[Zscore Projection]]-$Q$1</f>
        <v>-94.7806403529412</v>
      </c>
      <c r="Y86" s="97" t="e">
        <f aca="false">MAX(Table4[[#This Row],[VBD]]*Scoring!$B$48+1,1)</f>
        <v>#VALUE!</v>
      </c>
      <c r="Z86" s="98" t="n">
        <f aca="false">VLOOKUP(Table4[[#This Row],[VBD]],BM:BO,3,FALSE())</f>
        <v>10</v>
      </c>
      <c r="AA86" s="99" t="n">
        <f aca="false">VLOOKUP(INDEX(ECR!$E:$E,MATCH(P86,ECR!$C:$C,0)),RISK!A:B,2,FALSE())</f>
        <v>4</v>
      </c>
      <c r="AB86" s="100"/>
      <c r="AC86" s="94" t="s">
        <v>430</v>
      </c>
      <c r="AD86" s="94" t="str">
        <f aca="false">VLOOKUP(AC86,ECR!E:L,8,FALSE())</f>
        <v>Germie Bernard</v>
      </c>
      <c r="AE86" s="94" t="str">
        <f aca="false">IFERROR(VLOOKUP(Table6[[#This Row],[PLAYER]],ECR!C:F,2,FALSE()),"-")</f>
        <v>PIT</v>
      </c>
      <c r="AF86" s="94" t="n">
        <f aca="false">IFERROR(VLOOKUP(Table6[[#This Row],[PLAYER]],ECR!C:F,4,FALSE()),"-")</f>
        <v>9</v>
      </c>
      <c r="AG86" s="94" t="str">
        <f aca="false">Table6[[#This Row],[Team]] &amp; "/" &amp; Table6[[#This Row],[Bye]]</f>
        <v>PIT/9</v>
      </c>
      <c r="AH86" s="95" t="n">
        <f aca="false">IFERROR(VLOOKUP(Table6[[#This Row],[PLAYER]],WR!A:Q,13,FALSE())/17*(17-Table6[[#This Row],[Missed Games]]),0)</f>
        <v>91.8828780342517</v>
      </c>
      <c r="AI86" s="95" t="n">
        <f aca="false">IFERROR(VLOOKUP(Table6[[#This Row],[PLAYER]],WR!A:Q,14,FALSE())/17*(17-Table6[[#This Row],[Missed Games]]),0)</f>
        <v>93.4533694713329</v>
      </c>
      <c r="AJ86" s="95" t="n">
        <f aca="false">IFERROR(VLOOKUP(Table6[[#This Row],[PLAYER]],WR!A:Q,15,FALSE())/17*(17-Table6[[#This Row],[Missed Games]]),0)</f>
        <v>95.4880455696202</v>
      </c>
      <c r="AK86" s="96" t="n">
        <f aca="false">AVERAGE(AVERAGE(Table6[[#This Row],[LOW]],Table6[[#This Row],[HIGH]]),Table6[[#This Row],[AVG]],VLOOKUP(Table6[[#This Row],[PLAYER]],ECR!L:N,3,FALSE()))</f>
        <v>83.0358278481013</v>
      </c>
      <c r="AL86" s="96" t="n">
        <f aca="false">Table6[[#This Row],[Zscore Projection]]-$AE$1</f>
        <v>-42.6420508969968</v>
      </c>
      <c r="AM86" s="97" t="e">
        <f aca="false">MAX(Table6[[#This Row],[VBD]]*Scoring!$B$48+1,1)</f>
        <v>#VALUE!</v>
      </c>
      <c r="AN86" s="98" t="n">
        <f aca="false">VLOOKUP(Table6[[#This Row],[VBD]],BR:BT,3,FALSE())</f>
        <v>8</v>
      </c>
      <c r="AO86" s="99" t="n">
        <f aca="false">VLOOKUP(INDEX(ECR!$E:$E,MATCH(AD86,ECR!$C:$C,0)),RISK!A:B,2,FALSE())</f>
        <v>3.84810126582278</v>
      </c>
      <c r="AP86" s="100"/>
      <c r="AQ86" s="101" t="s">
        <v>431</v>
      </c>
      <c r="AR86" s="80"/>
      <c r="AT86" s="80"/>
      <c r="AU86" s="80"/>
      <c r="AV86" s="80"/>
      <c r="AW86" s="80"/>
      <c r="AX86" s="80"/>
      <c r="AY86" s="80"/>
      <c r="AZ86" s="80"/>
      <c r="BA86" s="80"/>
      <c r="BC86" s="80"/>
      <c r="BD86" s="80"/>
      <c r="BF86" s="102" t="n">
        <v>84</v>
      </c>
      <c r="BG86" s="100" t="str">
        <f aca="false">IFERROR(LARGE($G$3:$G$52,BF86),"")</f>
        <v/>
      </c>
      <c r="BH86" s="104"/>
      <c r="BI86" s="104"/>
      <c r="BJ86" s="106"/>
      <c r="BK86" s="102" t="n">
        <v>84</v>
      </c>
      <c r="BL86" s="100" t="n">
        <f aca="false">IFERROR(LARGE($U$3:$U$102,BK86),"")</f>
        <v>17.3741176470588</v>
      </c>
      <c r="BM86" s="104" t="n">
        <f aca="false">IFERROR(LARGE($X$3:$X$102,84),"")</f>
        <v>-109.97407172549</v>
      </c>
      <c r="BN86" s="104" t="n">
        <f aca="false">IF(BM86="",BN85,IF((BN85-BM86)&gt;0.15*LARGE($X$3:$X$102,2),BM86,BN85))</f>
        <v>-101.66044427451</v>
      </c>
      <c r="BO86" s="103" t="n">
        <f aca="false">IF(BM86="",BO85,IF((BN85-BM86)&gt;0.15*LARGE($X$3:$X$102,2),BO85+1,BO85))</f>
        <v>11</v>
      </c>
      <c r="BP86" s="105" t="n">
        <v>84</v>
      </c>
      <c r="BQ86" s="100" t="n">
        <f aca="false">IFERROR(LARGE($AI$3:$AI$102,BP86),"")</f>
        <v>61.968652271035</v>
      </c>
      <c r="BR86" s="104" t="n">
        <f aca="false">IFERROR(LARGE($AL$3:$AL$102,84),"")</f>
        <v>-57.9657149327377</v>
      </c>
      <c r="BS86" s="104" t="n">
        <f aca="false">IF(BR86="",BS85,IF((BS85-BR86)&gt;0.15*LARGE($AL$3:$AL$102,2),BR86,BS85))</f>
        <v>-51.8170733343261</v>
      </c>
      <c r="BT86" s="103" t="n">
        <f aca="false">IF(BR86="",BT85,IF((BS85-BR86)&gt;0.15*LARGE($AL$3:$AL$102,2),BT85+1,BT85))</f>
        <v>9</v>
      </c>
      <c r="BU86" s="102" t="n">
        <v>84</v>
      </c>
      <c r="BV86" s="100" t="str">
        <f aca="false">IFERROR(LARGE($AW$3:$AW$52,BU86),"")</f>
        <v/>
      </c>
      <c r="BW86" s="104"/>
      <c r="BX86" s="104"/>
      <c r="BY86" s="106" t="n">
        <f aca="false">IFERROR(VALUE(RIGHT(INDEX(ECR!$E:$E,MATCH(P86,ECR!$C:$C,0)),LEN(INDEX(ECR!$E:$E,MATCH(P86,ECR!$C:$C,0)))-2)),"")</f>
        <v>84</v>
      </c>
      <c r="BZ86" s="104"/>
      <c r="CA86" s="104"/>
      <c r="CB86" s="104"/>
      <c r="CC86" s="104"/>
      <c r="CD86" s="104"/>
      <c r="CE86" s="104"/>
      <c r="CF86" s="104"/>
      <c r="CG86" s="104"/>
    </row>
    <row r="87" s="107" customFormat="true" ht="14.25" hidden="false" customHeight="true" outlineLevel="0" collapsed="false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M87" s="80"/>
      <c r="O87" s="98" t="s">
        <v>432</v>
      </c>
      <c r="P87" s="93" t="str">
        <f aca="false">VLOOKUP(O87,ECR!E:L,8,FALSE())</f>
        <v>Emari Demercado</v>
      </c>
      <c r="Q87" s="94" t="str">
        <f aca="false">IFERROR(VLOOKUP(Table4[[#This Row],[PLAYER]],ECR!C:F,2,FALSE()),"-")</f>
        <v>DAL</v>
      </c>
      <c r="R87" s="94" t="n">
        <f aca="false">IFERROR(VLOOKUP(Table4[[#This Row],[PLAYER]],ECR!C:F,4,FALSE()),"-")</f>
        <v>14</v>
      </c>
      <c r="S87" s="94" t="str">
        <f aca="false">Table4[[#This Row],[Team]] &amp; "/" &amp; Table4[[#This Row],[Bye]]</f>
        <v>DAL/14</v>
      </c>
      <c r="T87" s="95" t="n">
        <f aca="false">IFERROR(VLOOKUP(Table4[[#This Row],[PLAYER]],RB!A:Q,13,FALSE())/17*(17-Table4[[#This Row],[Missed Games]]),0)</f>
        <v>13.1835294117647</v>
      </c>
      <c r="U87" s="95" t="n">
        <f aca="false">IFERROR(VLOOKUP(Table4[[#This Row],[PLAYER]],RB!A:Q,14,FALSE())/17*(17-Table4[[#This Row],[Missed Games]]),0)</f>
        <v>19.1941176470588</v>
      </c>
      <c r="V87" s="95" t="n">
        <f aca="false">IFERROR(VLOOKUP(Table4[[#This Row],[PLAYER]],RB!A:Q,15,FALSE())/17*(17-Table4[[#This Row],[Missed Games]]),0)</f>
        <v>24.9294117647059</v>
      </c>
      <c r="W87" s="96" t="n">
        <f aca="false">AVERAGE(AVERAGE(Table4[[#This Row],[LOW]],Table4[[#This Row],[HIGH]]),Table4[[#This Row],[AVG]],VLOOKUP(Table4[[#This Row],[PLAYER]],ECR!L:N,3,FALSE()))</f>
        <v>18.3835294117647</v>
      </c>
      <c r="X87" s="96" t="n">
        <f aca="false">Table4[[#This Row],[Zscore Projection]]-$Q$1</f>
        <v>-109.162208980392</v>
      </c>
      <c r="Y87" s="97" t="e">
        <f aca="false">MAX(Table4[[#This Row],[VBD]]*Scoring!$B$48+1,1)</f>
        <v>#VALUE!</v>
      </c>
      <c r="Z87" s="98" t="n">
        <f aca="false">VLOOKUP(Table4[[#This Row],[VBD]],BM:BO,3,FALSE())</f>
        <v>11</v>
      </c>
      <c r="AA87" s="99" t="n">
        <f aca="false">VLOOKUP(INDEX(ECR!$E:$E,MATCH(P87,ECR!$C:$C,0)),RISK!A:B,2,FALSE())</f>
        <v>4</v>
      </c>
      <c r="AB87" s="100"/>
      <c r="AC87" s="94" t="s">
        <v>433</v>
      </c>
      <c r="AD87" s="94" t="str">
        <f aca="false">VLOOKUP(AC87,ECR!E:L,8,FALSE())</f>
        <v>Ted Hurst III</v>
      </c>
      <c r="AE87" s="94" t="str">
        <f aca="false">IFERROR(VLOOKUP(Table6[[#This Row],[PLAYER]],ECR!C:F,2,FALSE()),"-")</f>
        <v>TB</v>
      </c>
      <c r="AF87" s="94" t="n">
        <f aca="false">IFERROR(VLOOKUP(Table6[[#This Row],[PLAYER]],ECR!C:F,4,FALSE()),"-")</f>
        <v>10</v>
      </c>
      <c r="AG87" s="94" t="str">
        <f aca="false">Table6[[#This Row],[Team]] &amp; "/" &amp; Table6[[#This Row],[Bye]]</f>
        <v>TB/10</v>
      </c>
      <c r="AH87" s="95" t="n">
        <f aca="false">IFERROR(VLOOKUP(Table6[[#This Row],[PLAYER]],WR!A:Q,13,FALSE())/17*(17-Table6[[#This Row],[Missed Games]]),0)</f>
        <v>69.1709414743113</v>
      </c>
      <c r="AI87" s="95" t="n">
        <f aca="false">IFERROR(VLOOKUP(Table6[[#This Row],[PLAYER]],WR!A:Q,14,FALSE())/17*(17-Table6[[#This Row],[Missed Games]]),0)</f>
        <v>82.3073673864483</v>
      </c>
      <c r="AJ87" s="95" t="n">
        <f aca="false">IFERROR(VLOOKUP(Table6[[#This Row],[PLAYER]],WR!A:Q,15,FALSE())/17*(17-Table6[[#This Row],[Missed Games]]),0)</f>
        <v>94.9718722263589</v>
      </c>
      <c r="AK87" s="96" t="n">
        <f aca="false">AVERAGE(AVERAGE(Table6[[#This Row],[LOW]],Table6[[#This Row],[HIGH]]),Table6[[#This Row],[AVG]],VLOOKUP(Table6[[#This Row],[PLAYER]],ECR!L:N,3,FALSE()))</f>
        <v>75.2170498386697</v>
      </c>
      <c r="AL87" s="96" t="n">
        <f aca="false">Table6[[#This Row],[Zscore Projection]]-$AE$1</f>
        <v>-50.4608289064284</v>
      </c>
      <c r="AM87" s="97" t="e">
        <f aca="false">MAX(Table6[[#This Row],[VBD]]*Scoring!$B$48+1,1)</f>
        <v>#VALUE!</v>
      </c>
      <c r="AN87" s="98" t="n">
        <f aca="false">VLOOKUP(Table6[[#This Row],[VBD]],BR:BT,3,FALSE())</f>
        <v>8</v>
      </c>
      <c r="AO87" s="99" t="n">
        <f aca="false">VLOOKUP(INDEX(ECR!$E:$E,MATCH(AD87,ECR!$C:$C,0)),RISK!A:B,2,FALSE())</f>
        <v>3.84810126582278</v>
      </c>
      <c r="AP87" s="100"/>
      <c r="AQ87" s="101" t="s">
        <v>434</v>
      </c>
      <c r="AR87" s="80"/>
      <c r="AT87" s="80"/>
      <c r="AU87" s="80"/>
      <c r="AV87" s="80"/>
      <c r="AW87" s="80"/>
      <c r="AX87" s="80"/>
      <c r="AY87" s="80"/>
      <c r="AZ87" s="80"/>
      <c r="BA87" s="80"/>
      <c r="BC87" s="80"/>
      <c r="BD87" s="80"/>
      <c r="BF87" s="102" t="n">
        <v>85</v>
      </c>
      <c r="BG87" s="100" t="str">
        <f aca="false">IFERROR(LARGE($G$3:$G$52,BF87),"")</f>
        <v/>
      </c>
      <c r="BH87" s="104"/>
      <c r="BI87" s="104"/>
      <c r="BJ87" s="106"/>
      <c r="BK87" s="102" t="n">
        <v>85</v>
      </c>
      <c r="BL87" s="100" t="n">
        <f aca="false">IFERROR(LARGE($U$3:$U$102,BK87),"")</f>
        <v>16.9</v>
      </c>
      <c r="BM87" s="104" t="n">
        <f aca="false">IFERROR(LARGE($X$3:$X$102,85),"")</f>
        <v>-111.752012901961</v>
      </c>
      <c r="BN87" s="104" t="n">
        <f aca="false">IF(BM87="",BN86,IF((BN86-BM87)&gt;0.15*LARGE($X$3:$X$102,2),BM87,BN86))</f>
        <v>-101.66044427451</v>
      </c>
      <c r="BO87" s="103" t="n">
        <f aca="false">IF(BM87="",BO86,IF((BN86-BM87)&gt;0.15*LARGE($X$3:$X$102,2),BO86+1,BO86))</f>
        <v>11</v>
      </c>
      <c r="BP87" s="105" t="n">
        <v>85</v>
      </c>
      <c r="BQ87" s="100" t="n">
        <f aca="false">IFERROR(LARGE($AI$3:$AI$102,BP87),"")</f>
        <v>61.2723752792256</v>
      </c>
      <c r="BR87" s="104" t="n">
        <f aca="false">IFERROR(LARGE($AL$3:$AL$102,85),"")</f>
        <v>-58.6754017036485</v>
      </c>
      <c r="BS87" s="104" t="n">
        <f aca="false">IF(BR87="",BS86,IF((BS86-BR87)&gt;0.15*LARGE($AL$3:$AL$102,2),BR87,BS86))</f>
        <v>-51.8170733343261</v>
      </c>
      <c r="BT87" s="103" t="n">
        <f aca="false">IF(BR87="",BT86,IF((BS86-BR87)&gt;0.15*LARGE($AL$3:$AL$102,2),BT86+1,BT86))</f>
        <v>9</v>
      </c>
      <c r="BU87" s="102" t="n">
        <v>85</v>
      </c>
      <c r="BV87" s="100" t="str">
        <f aca="false">IFERROR(LARGE($AW$3:$AW$52,BU87),"")</f>
        <v/>
      </c>
      <c r="BW87" s="104"/>
      <c r="BX87" s="104"/>
      <c r="BY87" s="106" t="n">
        <f aca="false">IFERROR(VALUE(RIGHT(INDEX(ECR!$E:$E,MATCH(P87,ECR!$C:$C,0)),LEN(INDEX(ECR!$E:$E,MATCH(P87,ECR!$C:$C,0)))-2)),"")</f>
        <v>85</v>
      </c>
      <c r="BZ87" s="104"/>
      <c r="CA87" s="104"/>
      <c r="CB87" s="104"/>
      <c r="CC87" s="104"/>
      <c r="CD87" s="104"/>
      <c r="CE87" s="104"/>
      <c r="CF87" s="104"/>
      <c r="CG87" s="104"/>
    </row>
    <row r="88" s="107" customFormat="true" ht="14.25" hidden="false" customHeight="true" outlineLevel="0" collapsed="false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M88" s="80"/>
      <c r="O88" s="98" t="s">
        <v>435</v>
      </c>
      <c r="P88" s="93" t="str">
        <f aca="false">VLOOKUP(O88,ECR!E:L,8,FALSE())</f>
        <v>Devin Singletary</v>
      </c>
      <c r="Q88" s="94" t="str">
        <f aca="false">IFERROR(VLOOKUP(Table4[[#This Row],[PLAYER]],ECR!C:F,2,FALSE()),"-")</f>
        <v>NYG</v>
      </c>
      <c r="R88" s="94" t="n">
        <f aca="false">IFERROR(VLOOKUP(Table4[[#This Row],[PLAYER]],ECR!C:F,4,FALSE()),"-")</f>
        <v>8</v>
      </c>
      <c r="S88" s="94" t="str">
        <f aca="false">Table4[[#This Row],[Team]] &amp; "/" &amp; Table4[[#This Row],[Bye]]</f>
        <v>NYG/8</v>
      </c>
      <c r="T88" s="95" t="n">
        <f aca="false">IFERROR(VLOOKUP(Table4[[#This Row],[PLAYER]],RB!A:Q,13,FALSE())/17*(17-Table4[[#This Row],[Missed Games]]),0)</f>
        <v>0</v>
      </c>
      <c r="U88" s="95" t="n">
        <f aca="false">IFERROR(VLOOKUP(Table4[[#This Row],[PLAYER]],RB!A:Q,14,FALSE())/17*(17-Table4[[#This Row],[Missed Games]]),0)</f>
        <v>7.83823529411765</v>
      </c>
      <c r="V88" s="95" t="n">
        <f aca="false">IFERROR(VLOOKUP(Table4[[#This Row],[PLAYER]],RB!A:Q,15,FALSE())/17*(17-Table4[[#This Row],[Missed Games]]),0)</f>
        <v>15.6764705882353</v>
      </c>
      <c r="W88" s="96" t="n">
        <f aca="false">AVERAGE(AVERAGE(Table4[[#This Row],[LOW]],Table4[[#This Row],[HIGH]]),Table4[[#This Row],[AVG]],VLOOKUP(Table4[[#This Row],[PLAYER]],ECR!L:N,3,FALSE()))</f>
        <v>10.8180392156863</v>
      </c>
      <c r="X88" s="96" t="n">
        <f aca="false">Table4[[#This Row],[Zscore Projection]]-$Q$1</f>
        <v>-116.727699176471</v>
      </c>
      <c r="Y88" s="97" t="e">
        <f aca="false">MAX(Table4[[#This Row],[VBD]]*Scoring!$B$48+1,1)</f>
        <v>#VALUE!</v>
      </c>
      <c r="Z88" s="98" t="n">
        <f aca="false">VLOOKUP(Table4[[#This Row],[VBD]],BM:BO,3,FALSE())</f>
        <v>11</v>
      </c>
      <c r="AA88" s="99" t="n">
        <f aca="false">VLOOKUP(INDEX(ECR!$E:$E,MATCH(P88,ECR!$C:$C,0)),RISK!A:B,2,FALSE())</f>
        <v>4</v>
      </c>
      <c r="AB88" s="100"/>
      <c r="AC88" s="94" t="s">
        <v>436</v>
      </c>
      <c r="AD88" s="94" t="str">
        <f aca="false">VLOOKUP(AC88,ECR!E:L,8,FALSE())</f>
        <v>Devaughn Vele</v>
      </c>
      <c r="AE88" s="94" t="str">
        <f aca="false">IFERROR(VLOOKUP(Table6[[#This Row],[PLAYER]],ECR!C:F,2,FALSE()),"-")</f>
        <v>NO</v>
      </c>
      <c r="AF88" s="94" t="n">
        <f aca="false">IFERROR(VLOOKUP(Table6[[#This Row],[PLAYER]],ECR!C:F,4,FALSE()),"-")</f>
        <v>8</v>
      </c>
      <c r="AG88" s="94" t="str">
        <f aca="false">Table6[[#This Row],[Team]] &amp; "/" &amp; Table6[[#This Row],[Bye]]</f>
        <v>NO/8</v>
      </c>
      <c r="AH88" s="95" t="n">
        <f aca="false">IFERROR(VLOOKUP(Table6[[#This Row],[PLAYER]],WR!A:Q,13,FALSE())/17*(17-Table6[[#This Row],[Missed Games]]),0)</f>
        <v>74.95808637379</v>
      </c>
      <c r="AI88" s="95" t="n">
        <f aca="false">IFERROR(VLOOKUP(Table6[[#This Row],[PLAYER]],WR!A:Q,14,FALSE())/17*(17-Table6[[#This Row],[Missed Games]]),0)</f>
        <v>79.2131124348474</v>
      </c>
      <c r="AJ88" s="95" t="n">
        <f aca="false">IFERROR(VLOOKUP(Table6[[#This Row],[PLAYER]],WR!A:Q,15,FALSE())/17*(17-Table6[[#This Row],[Missed Games]]),0)</f>
        <v>83.4758749069248</v>
      </c>
      <c r="AK88" s="96" t="n">
        <f aca="false">AVERAGE(AVERAGE(Table6[[#This Row],[LOW]],Table6[[#This Row],[HIGH]]),Table6[[#This Row],[AVG]],VLOOKUP(Table6[[#This Row],[PLAYER]],ECR!L:N,3,FALSE()))</f>
        <v>73.1413191859022</v>
      </c>
      <c r="AL88" s="96" t="n">
        <f aca="false">Table6[[#This Row],[Zscore Projection]]-$AE$1</f>
        <v>-52.5365595591958</v>
      </c>
      <c r="AM88" s="97" t="e">
        <f aca="false">MAX(Table6[[#This Row],[VBD]]*Scoring!$B$48+1,1)</f>
        <v>#VALUE!</v>
      </c>
      <c r="AN88" s="98" t="n">
        <f aca="false">VLOOKUP(Table6[[#This Row],[VBD]],BR:BT,3,FALSE())</f>
        <v>9</v>
      </c>
      <c r="AO88" s="99" t="n">
        <f aca="false">VLOOKUP(INDEX(ECR!$E:$E,MATCH(AD88,ECR!$C:$C,0)),RISK!A:B,2,FALSE())</f>
        <v>3.84810126582278</v>
      </c>
      <c r="AP88" s="100"/>
      <c r="AQ88" s="101" t="s">
        <v>437</v>
      </c>
      <c r="AR88" s="80"/>
      <c r="AT88" s="80"/>
      <c r="AU88" s="80"/>
      <c r="AV88" s="80"/>
      <c r="AW88" s="80"/>
      <c r="AX88" s="80"/>
      <c r="AY88" s="80"/>
      <c r="AZ88" s="80"/>
      <c r="BA88" s="80"/>
      <c r="BC88" s="80"/>
      <c r="BD88" s="80"/>
      <c r="BF88" s="102" t="n">
        <v>86</v>
      </c>
      <c r="BG88" s="100" t="str">
        <f aca="false">IFERROR(LARGE($G$3:$G$52,BF88),"")</f>
        <v/>
      </c>
      <c r="BH88" s="104"/>
      <c r="BI88" s="104"/>
      <c r="BJ88" s="106"/>
      <c r="BK88" s="102" t="n">
        <v>86</v>
      </c>
      <c r="BL88" s="100" t="n">
        <f aca="false">IFERROR(LARGE($U$3:$U$102,BK88),"")</f>
        <v>16.7776470588235</v>
      </c>
      <c r="BM88" s="104" t="n">
        <f aca="false">IFERROR(LARGE($X$3:$X$102,86),"")</f>
        <v>-112.307699176471</v>
      </c>
      <c r="BN88" s="104" t="n">
        <f aca="false">IF(BM88="",BN87,IF((BN87-BM88)&gt;0.15*LARGE($X$3:$X$102,2),BM88,BN87))</f>
        <v>-101.66044427451</v>
      </c>
      <c r="BO88" s="103" t="n">
        <f aca="false">IF(BM88="",BO87,IF((BN87-BM88)&gt;0.15*LARGE($X$3:$X$102,2),BO87+1,BO87))</f>
        <v>11</v>
      </c>
      <c r="BP88" s="105" t="n">
        <v>86</v>
      </c>
      <c r="BQ88" s="100" t="n">
        <f aca="false">IFERROR(LARGE($AI$3:$AI$102,BP88),"")</f>
        <v>60.9938644825019</v>
      </c>
      <c r="BR88" s="104" t="n">
        <f aca="false">IFERROR(LARGE($AL$3:$AL$102,86),"")</f>
        <v>-64.6169653670886</v>
      </c>
      <c r="BS88" s="104" t="n">
        <f aca="false">IF(BR88="",BS87,IF((BS87-BR88)&gt;0.15*LARGE($AL$3:$AL$102,2),BR88,BS87))</f>
        <v>-51.8170733343261</v>
      </c>
      <c r="BT88" s="103" t="n">
        <f aca="false">IF(BR88="",BT87,IF((BS87-BR88)&gt;0.15*LARGE($AL$3:$AL$102,2),BT87+1,BT87))</f>
        <v>9</v>
      </c>
      <c r="BU88" s="102" t="n">
        <v>86</v>
      </c>
      <c r="BV88" s="100" t="str">
        <f aca="false">IFERROR(LARGE($AW$3:$AW$52,BU88),"")</f>
        <v/>
      </c>
      <c r="BW88" s="104"/>
      <c r="BX88" s="104"/>
      <c r="BY88" s="106" t="n">
        <f aca="false">IFERROR(VALUE(RIGHT(INDEX(ECR!$E:$E,MATCH(P88,ECR!$C:$C,0)),LEN(INDEX(ECR!$E:$E,MATCH(P88,ECR!$C:$C,0)))-2)),"")</f>
        <v>86</v>
      </c>
      <c r="BZ88" s="104"/>
      <c r="CA88" s="104"/>
      <c r="CB88" s="104"/>
      <c r="CC88" s="104"/>
      <c r="CD88" s="104"/>
      <c r="CE88" s="104"/>
      <c r="CF88" s="104"/>
      <c r="CG88" s="104"/>
    </row>
    <row r="89" s="107" customFormat="true" ht="14.25" hidden="false" customHeight="true" outlineLevel="0" collapsed="false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M89" s="80"/>
      <c r="O89" s="98" t="s">
        <v>438</v>
      </c>
      <c r="P89" s="93" t="str">
        <f aca="false">VLOOKUP(O89,ECR!E:L,8,FALSE())</f>
        <v>Adam Randall</v>
      </c>
      <c r="Q89" s="94" t="str">
        <f aca="false">IFERROR(VLOOKUP(Table4[[#This Row],[PLAYER]],ECR!C:F,2,FALSE()),"-")</f>
        <v>BAL</v>
      </c>
      <c r="R89" s="94" t="n">
        <f aca="false">IFERROR(VLOOKUP(Table4[[#This Row],[PLAYER]],ECR!C:F,4,FALSE()),"-")</f>
        <v>13</v>
      </c>
      <c r="S89" s="94" t="str">
        <f aca="false">Table4[[#This Row],[Team]] &amp; "/" &amp; Table4[[#This Row],[Bye]]</f>
        <v>BAL/13</v>
      </c>
      <c r="T89" s="95" t="n">
        <f aca="false">IFERROR(VLOOKUP(Table4[[#This Row],[PLAYER]],RB!A:Q,13,FALSE())/17*(17-Table4[[#This Row],[Missed Games]]),0)</f>
        <v>41.4905705882353</v>
      </c>
      <c r="U89" s="95" t="n">
        <f aca="false">IFERROR(VLOOKUP(Table4[[#This Row],[PLAYER]],RB!A:Q,14,FALSE())/17*(17-Table4[[#This Row],[Missed Games]]),0)</f>
        <v>69.9758647058824</v>
      </c>
      <c r="V89" s="95" t="n">
        <f aca="false">IFERROR(VLOOKUP(Table4[[#This Row],[PLAYER]],RB!A:Q,15,FALSE())/17*(17-Table4[[#This Row],[Missed Games]]),0)</f>
        <v>98.4611588235294</v>
      </c>
      <c r="W89" s="96" t="n">
        <f aca="false">AVERAGE(AVERAGE(Table4[[#This Row],[LOW]],Table4[[#This Row],[HIGH]]),Table4[[#This Row],[AVG]],VLOOKUP(Table4[[#This Row],[PLAYER]],ECR!L:N,3,FALSE()))</f>
        <v>51.2413607843137</v>
      </c>
      <c r="X89" s="96" t="n">
        <f aca="false">Table4[[#This Row],[Zscore Projection]]-$Q$1</f>
        <v>-76.3043776078431</v>
      </c>
      <c r="Y89" s="97" t="e">
        <f aca="false">MAX(Table4[[#This Row],[VBD]]*Scoring!$B$48+1,1)</f>
        <v>#VALUE!</v>
      </c>
      <c r="Z89" s="98" t="n">
        <f aca="false">VLOOKUP(Table4[[#This Row],[VBD]],BM:BO,3,FALSE())</f>
        <v>9</v>
      </c>
      <c r="AA89" s="99" t="n">
        <f aca="false">VLOOKUP(INDEX(ECR!$E:$E,MATCH(P89,ECR!$C:$C,0)),RISK!A:B,2,FALSE())</f>
        <v>4</v>
      </c>
      <c r="AB89" s="100"/>
      <c r="AC89" s="94" t="s">
        <v>439</v>
      </c>
      <c r="AD89" s="94" t="str">
        <f aca="false">VLOOKUP(AC89,ECR!E:L,8,FALSE())</f>
        <v>Troy Franklin</v>
      </c>
      <c r="AE89" s="94" t="str">
        <f aca="false">IFERROR(VLOOKUP(Table6[[#This Row],[PLAYER]],ECR!C:F,2,FALSE()),"-")</f>
        <v>DEN</v>
      </c>
      <c r="AF89" s="94" t="n">
        <f aca="false">IFERROR(VLOOKUP(Table6[[#This Row],[PLAYER]],ECR!C:F,4,FALSE()),"-")</f>
        <v>10</v>
      </c>
      <c r="AG89" s="94" t="str">
        <f aca="false">Table6[[#This Row],[Team]] &amp; "/" &amp; Table6[[#This Row],[Bye]]</f>
        <v>DEN/10</v>
      </c>
      <c r="AH89" s="95" t="n">
        <f aca="false">IFERROR(VLOOKUP(Table6[[#This Row],[PLAYER]],WR!A:Q,13,FALSE())/17*(17-Table6[[#This Row],[Missed Games]]),0)</f>
        <v>30.9301712583768</v>
      </c>
      <c r="AI89" s="95" t="n">
        <f aca="false">IFERROR(VLOOKUP(Table6[[#This Row],[PLAYER]],WR!A:Q,14,FALSE())/17*(17-Table6[[#This Row],[Missed Games]]),0)</f>
        <v>60.9938644825019</v>
      </c>
      <c r="AJ89" s="95" t="n">
        <f aca="false">IFERROR(VLOOKUP(Table6[[#This Row],[PLAYER]],WR!A:Q,15,FALSE())/17*(17-Table6[[#This Row],[Missed Games]]),0)</f>
        <v>91.5217423678332</v>
      </c>
      <c r="AK89" s="96" t="n">
        <f aca="false">AVERAGE(AVERAGE(Table6[[#This Row],[LOW]],Table6[[#This Row],[HIGH]]),Table6[[#This Row],[AVG]],VLOOKUP(Table6[[#This Row],[PLAYER]],ECR!L:N,3,FALSE()))</f>
        <v>61.0609133780094</v>
      </c>
      <c r="AL89" s="96" t="n">
        <f aca="false">Table6[[#This Row],[Zscore Projection]]-$AE$1</f>
        <v>-64.6169653670886</v>
      </c>
      <c r="AM89" s="97" t="e">
        <f aca="false">MAX(Table6[[#This Row],[VBD]]*Scoring!$B$48+1,1)</f>
        <v>#VALUE!</v>
      </c>
      <c r="AN89" s="98" t="n">
        <f aca="false">VLOOKUP(Table6[[#This Row],[VBD]],BR:BT,3,FALSE())</f>
        <v>9</v>
      </c>
      <c r="AO89" s="99" t="n">
        <f aca="false">VLOOKUP(INDEX(ECR!$E:$E,MATCH(AD89,ECR!$C:$C,0)),RISK!A:B,2,FALSE())</f>
        <v>3.84810126582278</v>
      </c>
      <c r="AP89" s="100"/>
      <c r="AQ89" s="101" t="s">
        <v>440</v>
      </c>
      <c r="AR89" s="80"/>
      <c r="AT89" s="80"/>
      <c r="AU89" s="80"/>
      <c r="AV89" s="80"/>
      <c r="AW89" s="80"/>
      <c r="AX89" s="80"/>
      <c r="AY89" s="80"/>
      <c r="AZ89" s="80"/>
      <c r="BA89" s="80"/>
      <c r="BC89" s="80"/>
      <c r="BD89" s="80"/>
      <c r="BF89" s="102" t="n">
        <v>87</v>
      </c>
      <c r="BG89" s="100" t="str">
        <f aca="false">IFERROR(LARGE($G$3:$G$52,BF89),"")</f>
        <v/>
      </c>
      <c r="BH89" s="104"/>
      <c r="BI89" s="104"/>
      <c r="BJ89" s="106"/>
      <c r="BK89" s="102" t="n">
        <v>87</v>
      </c>
      <c r="BL89" s="100" t="n">
        <f aca="false">IFERROR(LARGE($U$3:$U$102,BK89),"")</f>
        <v>13.7723529411765</v>
      </c>
      <c r="BM89" s="104" t="n">
        <f aca="false">IFERROR(LARGE($X$3:$X$102,87),"")</f>
        <v>-116.057307019608</v>
      </c>
      <c r="BN89" s="104" t="n">
        <f aca="false">IF(BM89="",BN88,IF((BN88-BM89)&gt;0.15*LARGE($X$3:$X$102,2),BM89,BN88))</f>
        <v>-101.66044427451</v>
      </c>
      <c r="BO89" s="103" t="n">
        <f aca="false">IF(BM89="",BO88,IF((BN88-BM89)&gt;0.15*LARGE($X$3:$X$102,2),BO88+1,BO88))</f>
        <v>11</v>
      </c>
      <c r="BP89" s="105" t="n">
        <v>87</v>
      </c>
      <c r="BQ89" s="100" t="n">
        <f aca="false">IFERROR(LARGE($AI$3:$AI$102,BP89),"")</f>
        <v>60.9629188384214</v>
      </c>
      <c r="BR89" s="104" t="n">
        <f aca="false">IFERROR(LARGE($AL$3:$AL$102,87),"")</f>
        <v>-65.3364515919583</v>
      </c>
      <c r="BS89" s="104" t="n">
        <f aca="false">IF(BR89="",BS88,IF((BS88-BR89)&gt;0.15*LARGE($AL$3:$AL$102,2),BR89,BS88))</f>
        <v>-51.8170733343261</v>
      </c>
      <c r="BT89" s="103" t="n">
        <f aca="false">IF(BR89="",BT88,IF((BS88-BR89)&gt;0.15*LARGE($AL$3:$AL$102,2),BT88+1,BT88))</f>
        <v>9</v>
      </c>
      <c r="BU89" s="102" t="n">
        <v>87</v>
      </c>
      <c r="BV89" s="100" t="str">
        <f aca="false">IFERROR(LARGE($AW$3:$AW$52,BU89),"")</f>
        <v/>
      </c>
      <c r="BW89" s="104"/>
      <c r="BX89" s="104"/>
      <c r="BY89" s="106" t="n">
        <f aca="false">IFERROR(VALUE(RIGHT(INDEX(ECR!$E:$E,MATCH(P89,ECR!$C:$C,0)),LEN(INDEX(ECR!$E:$E,MATCH(P89,ECR!$C:$C,0)))-2)),"")</f>
        <v>87</v>
      </c>
      <c r="BZ89" s="104"/>
      <c r="CA89" s="104"/>
      <c r="CB89" s="104"/>
      <c r="CC89" s="104"/>
      <c r="CD89" s="104"/>
      <c r="CE89" s="104"/>
      <c r="CF89" s="104"/>
      <c r="CG89" s="104"/>
    </row>
    <row r="90" s="107" customFormat="true" ht="14.25" hidden="false" customHeight="true" outlineLevel="0" collapsed="false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M90" s="80"/>
      <c r="O90" s="98" t="s">
        <v>441</v>
      </c>
      <c r="P90" s="93" t="str">
        <f aca="false">VLOOKUP(O90,ECR!E:L,8,FALSE())</f>
        <v>Jaydon Blue</v>
      </c>
      <c r="Q90" s="94" t="str">
        <f aca="false">IFERROR(VLOOKUP(Table4[[#This Row],[PLAYER]],ECR!C:F,2,FALSE()),"-")</f>
        <v>PHI</v>
      </c>
      <c r="R90" s="94" t="n">
        <f aca="false">IFERROR(VLOOKUP(Table4[[#This Row],[PLAYER]],ECR!C:F,4,FALSE()),"-")</f>
        <v>10</v>
      </c>
      <c r="S90" s="94" t="str">
        <f aca="false">Table4[[#This Row],[Team]] &amp; "/" &amp; Table4[[#This Row],[Bye]]</f>
        <v>PHI/10</v>
      </c>
      <c r="T90" s="95" t="n">
        <f aca="false">IFERROR(VLOOKUP(Table4[[#This Row],[PLAYER]],RB!A:Q,13,FALSE())/17*(17-Table4[[#This Row],[Missed Games]]),0)</f>
        <v>0</v>
      </c>
      <c r="U90" s="95" t="n">
        <f aca="false">IFERROR(VLOOKUP(Table4[[#This Row],[PLAYER]],RB!A:Q,14,FALSE())/17*(17-Table4[[#This Row],[Missed Games]]),0)</f>
        <v>0</v>
      </c>
      <c r="V90" s="95" t="n">
        <f aca="false">IFERROR(VLOOKUP(Table4[[#This Row],[PLAYER]],RB!A:Q,15,FALSE())/17*(17-Table4[[#This Row],[Missed Games]]),0)</f>
        <v>0</v>
      </c>
      <c r="W90" s="96" t="n">
        <f aca="false">AVERAGE(AVERAGE(Table4[[#This Row],[LOW]],Table4[[#This Row],[HIGH]]),Table4[[#This Row],[AVG]],VLOOKUP(Table4[[#This Row],[PLAYER]],ECR!L:N,3,FALSE()))</f>
        <v>4.43274509803922</v>
      </c>
      <c r="X90" s="96" t="n">
        <f aca="false">Table4[[#This Row],[Zscore Projection]]-$Q$1</f>
        <v>-123.112993294118</v>
      </c>
      <c r="Y90" s="97" t="e">
        <f aca="false">MAX(Table4[[#This Row],[VBD]]*Scoring!$B$48+1,1)</f>
        <v>#VALUE!</v>
      </c>
      <c r="Z90" s="98" t="n">
        <f aca="false">VLOOKUP(Table4[[#This Row],[VBD]],BM:BO,3,FALSE())</f>
        <v>12</v>
      </c>
      <c r="AA90" s="99" t="n">
        <f aca="false">VLOOKUP(INDEX(ECR!$E:$E,MATCH(P90,ECR!$C:$C,0)),RISK!A:B,2,FALSE())</f>
        <v>4</v>
      </c>
      <c r="AB90" s="100"/>
      <c r="AC90" s="94" t="s">
        <v>442</v>
      </c>
      <c r="AD90" s="94" t="str">
        <f aca="false">VLOOKUP(AC90,ECR!E:L,8,FALSE())</f>
        <v>Tank Dell</v>
      </c>
      <c r="AE90" s="94" t="str">
        <f aca="false">IFERROR(VLOOKUP(Table6[[#This Row],[PLAYER]],ECR!C:F,2,FALSE()),"-")</f>
        <v>HOU</v>
      </c>
      <c r="AF90" s="94" t="n">
        <f aca="false">IFERROR(VLOOKUP(Table6[[#This Row],[PLAYER]],ECR!C:F,4,FALSE()),"-")</f>
        <v>8</v>
      </c>
      <c r="AG90" s="94" t="str">
        <f aca="false">Table6[[#This Row],[Team]] &amp; "/" &amp; Table6[[#This Row],[Bye]]</f>
        <v>HOU/8</v>
      </c>
      <c r="AH90" s="95" t="n">
        <f aca="false">IFERROR(VLOOKUP(Table6[[#This Row],[PLAYER]],WR!A:Q,13,FALSE())/17*(17-Table6[[#This Row],[Missed Games]]),0)</f>
        <v>0</v>
      </c>
      <c r="AI90" s="95" t="n">
        <f aca="false">IFERROR(VLOOKUP(Table6[[#This Row],[PLAYER]],WR!A:Q,14,FALSE())/17*(17-Table6[[#This Row],[Missed Games]]),0)</f>
        <v>34.5430752047655</v>
      </c>
      <c r="AJ90" s="95" t="n">
        <f aca="false">IFERROR(VLOOKUP(Table6[[#This Row],[PLAYER]],WR!A:Q,15,FALSE())/17*(17-Table6[[#This Row],[Missed Games]]),0)</f>
        <v>69.0861504095309</v>
      </c>
      <c r="AK90" s="96" t="n">
        <f aca="false">AVERAGE(AVERAGE(Table6[[#This Row],[LOW]],Table6[[#This Row],[HIGH]]),Table6[[#This Row],[AVG]],VLOOKUP(Table6[[#This Row],[PLAYER]],ECR!L:N,3,FALSE()))</f>
        <v>42.6353611317945</v>
      </c>
      <c r="AL90" s="96" t="n">
        <f aca="false">Table6[[#This Row],[Zscore Projection]]-$AE$1</f>
        <v>-83.0425176133035</v>
      </c>
      <c r="AM90" s="97" t="e">
        <f aca="false">MAX(Table6[[#This Row],[VBD]]*Scoring!$B$48+1,1)</f>
        <v>#VALUE!</v>
      </c>
      <c r="AN90" s="98" t="n">
        <f aca="false">VLOOKUP(Table6[[#This Row],[VBD]],BR:BT,3,FALSE())</f>
        <v>10</v>
      </c>
      <c r="AO90" s="99" t="n">
        <f aca="false">VLOOKUP(INDEX(ECR!$E:$E,MATCH(AD90,ECR!$C:$C,0)),RISK!A:B,2,FALSE())</f>
        <v>3.84810126582278</v>
      </c>
      <c r="AP90" s="100"/>
      <c r="AQ90" s="101" t="s">
        <v>443</v>
      </c>
      <c r="AR90" s="80"/>
      <c r="AT90" s="80"/>
      <c r="AU90" s="80"/>
      <c r="AV90" s="80"/>
      <c r="AW90" s="80"/>
      <c r="AX90" s="80"/>
      <c r="AY90" s="80"/>
      <c r="AZ90" s="80"/>
      <c r="BA90" s="80"/>
      <c r="BC90" s="80"/>
      <c r="BD90" s="80"/>
      <c r="BF90" s="102" t="n">
        <v>88</v>
      </c>
      <c r="BG90" s="100" t="str">
        <f aca="false">IFERROR(LARGE($G$3:$G$52,BF90),"")</f>
        <v/>
      </c>
      <c r="BH90" s="104"/>
      <c r="BI90" s="104"/>
      <c r="BJ90" s="106"/>
      <c r="BK90" s="102" t="n">
        <v>88</v>
      </c>
      <c r="BL90" s="100" t="n">
        <f aca="false">IFERROR(LARGE($U$3:$U$102,BK90),"")</f>
        <v>13.2982352941176</v>
      </c>
      <c r="BM90" s="104" t="n">
        <f aca="false">IFERROR(LARGE($X$3:$X$102,88),"")</f>
        <v>-116.27907172549</v>
      </c>
      <c r="BN90" s="104" t="n">
        <f aca="false">IF(BM90="",BN89,IF((BN89-BM90)&gt;0.15*LARGE($X$3:$X$102,2),BM90,BN89))</f>
        <v>-101.66044427451</v>
      </c>
      <c r="BO90" s="103" t="n">
        <f aca="false">IF(BM90="",BO89,IF((BN89-BM90)&gt;0.15*LARGE($X$3:$X$102,2),BO89+1,BO89))</f>
        <v>11</v>
      </c>
      <c r="BP90" s="105" t="n">
        <v>88</v>
      </c>
      <c r="BQ90" s="100" t="n">
        <f aca="false">IFERROR(LARGE($AI$3:$AI$102,BP90),"")</f>
        <v>58.8199329858526</v>
      </c>
      <c r="BR90" s="104" t="n">
        <f aca="false">IFERROR(LARGE($AL$3:$AL$102,88),"")</f>
        <v>-65.6704066676595</v>
      </c>
      <c r="BS90" s="104" t="n">
        <f aca="false">IF(BR90="",BS89,IF((BS89-BR90)&gt;0.15*LARGE($AL$3:$AL$102,2),BR90,BS89))</f>
        <v>-51.8170733343261</v>
      </c>
      <c r="BT90" s="103" t="n">
        <f aca="false">IF(BR90="",BT89,IF((BS89-BR90)&gt;0.15*LARGE($AL$3:$AL$102,2),BT89+1,BT89))</f>
        <v>9</v>
      </c>
      <c r="BU90" s="102" t="n">
        <v>88</v>
      </c>
      <c r="BV90" s="100" t="str">
        <f aca="false">IFERROR(LARGE($AW$3:$AW$52,BU90),"")</f>
        <v/>
      </c>
      <c r="BW90" s="104"/>
      <c r="BX90" s="104"/>
      <c r="BY90" s="106" t="n">
        <f aca="false">IFERROR(VALUE(RIGHT(INDEX(ECR!$E:$E,MATCH(P90,ECR!$C:$C,0)),LEN(INDEX(ECR!$E:$E,MATCH(P90,ECR!$C:$C,0)))-2)),"")</f>
        <v>88</v>
      </c>
      <c r="BZ90" s="104"/>
      <c r="CA90" s="104"/>
      <c r="CB90" s="104"/>
      <c r="CC90" s="104"/>
      <c r="CD90" s="104"/>
      <c r="CE90" s="104"/>
      <c r="CF90" s="104"/>
      <c r="CG90" s="104"/>
    </row>
    <row r="91" s="107" customFormat="true" ht="14.25" hidden="false" customHeight="true" outlineLevel="0" collapsed="false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M91" s="80"/>
      <c r="O91" s="98" t="s">
        <v>444</v>
      </c>
      <c r="P91" s="93" t="str">
        <f aca="false">VLOOKUP(O91,ECR!E:L,8,FALSE())</f>
        <v>Devin Neal</v>
      </c>
      <c r="Q91" s="94" t="str">
        <f aca="false">IFERROR(VLOOKUP(Table4[[#This Row],[PLAYER]],ECR!C:F,2,FALSE()),"-")</f>
        <v>FA</v>
      </c>
      <c r="R91" s="94" t="str">
        <f aca="false">IFERROR(VLOOKUP(Table4[[#This Row],[PLAYER]],ECR!C:F,4,FALSE()),"-")</f>
        <v>-</v>
      </c>
      <c r="S91" s="94" t="str">
        <f aca="false">Table4[[#This Row],[Team]] &amp; "/" &amp; Table4[[#This Row],[Bye]]</f>
        <v>FA/-</v>
      </c>
      <c r="T91" s="95" t="n">
        <f aca="false">IFERROR(VLOOKUP(Table4[[#This Row],[PLAYER]],RB!A:Q,13,FALSE())/17*(17-Table4[[#This Row],[Missed Games]]),0)</f>
        <v>0</v>
      </c>
      <c r="U91" s="95" t="n">
        <f aca="false">IFERROR(VLOOKUP(Table4[[#This Row],[PLAYER]],RB!A:Q,14,FALSE())/17*(17-Table4[[#This Row],[Missed Games]]),0)</f>
        <v>0</v>
      </c>
      <c r="V91" s="95" t="n">
        <f aca="false">IFERROR(VLOOKUP(Table4[[#This Row],[PLAYER]],RB!A:Q,15,FALSE())/17*(17-Table4[[#This Row],[Missed Games]]),0)</f>
        <v>0</v>
      </c>
      <c r="W91" s="96" t="n">
        <f aca="false">AVERAGE(AVERAGE(Table4[[#This Row],[LOW]],Table4[[#This Row],[HIGH]]),Table4[[#This Row],[AVG]],VLOOKUP(Table4[[#This Row],[PLAYER]],ECR!L:N,3,FALSE()))</f>
        <v>2.88039215686275</v>
      </c>
      <c r="X91" s="96" t="n">
        <f aca="false">Table4[[#This Row],[Zscore Projection]]-$Q$1</f>
        <v>-124.665346235294</v>
      </c>
      <c r="Y91" s="97" t="e">
        <f aca="false">MAX(Table4[[#This Row],[VBD]]*Scoring!$B$48+1,1)</f>
        <v>#VALUE!</v>
      </c>
      <c r="Z91" s="98" t="n">
        <f aca="false">VLOOKUP(Table4[[#This Row],[VBD]],BM:BO,3,FALSE())</f>
        <v>12</v>
      </c>
      <c r="AA91" s="99" t="n">
        <f aca="false">VLOOKUP(INDEX(ECR!$E:$E,MATCH(P91,ECR!$C:$C,0)),RISK!A:B,2,FALSE())</f>
        <v>4</v>
      </c>
      <c r="AB91" s="100"/>
      <c r="AC91" s="94" t="s">
        <v>445</v>
      </c>
      <c r="AD91" s="94" t="str">
        <f aca="false">VLOOKUP(AC91,ECR!E:L,8,FALSE())</f>
        <v>Keon Coleman</v>
      </c>
      <c r="AE91" s="94" t="str">
        <f aca="false">IFERROR(VLOOKUP(Table6[[#This Row],[PLAYER]],ECR!C:F,2,FALSE()),"-")</f>
        <v>BUF</v>
      </c>
      <c r="AF91" s="94" t="n">
        <f aca="false">IFERROR(VLOOKUP(Table6[[#This Row],[PLAYER]],ECR!C:F,4,FALSE()),"-")</f>
        <v>7</v>
      </c>
      <c r="AG91" s="94" t="str">
        <f aca="false">Table6[[#This Row],[Team]] &amp; "/" &amp; Table6[[#This Row],[Bye]]</f>
        <v>BUF/7</v>
      </c>
      <c r="AH91" s="95" t="n">
        <f aca="false">IFERROR(VLOOKUP(Table6[[#This Row],[PLAYER]],WR!A:Q,13,FALSE())/17*(17-Table6[[#This Row],[Missed Games]]),0)</f>
        <v>48.2674683544304</v>
      </c>
      <c r="AI91" s="95" t="n">
        <f aca="false">IFERROR(VLOOKUP(Table6[[#This Row],[PLAYER]],WR!A:Q,14,FALSE())/17*(17-Table6[[#This Row],[Missed Games]]),0)</f>
        <v>48.2674683544304</v>
      </c>
      <c r="AJ91" s="95" t="n">
        <f aca="false">IFERROR(VLOOKUP(Table6[[#This Row],[PLAYER]],WR!A:Q,15,FALSE())/17*(17-Table6[[#This Row],[Missed Games]]),0)</f>
        <v>48.2674683544304</v>
      </c>
      <c r="AK91" s="96" t="n">
        <f aca="false">AVERAGE(AVERAGE(Table6[[#This Row],[LOW]],Table6[[#This Row],[HIGH]]),Table6[[#This Row],[AVG]],VLOOKUP(Table6[[#This Row],[PLAYER]],ECR!L:N,3,FALSE()))</f>
        <v>50.8746388682055</v>
      </c>
      <c r="AL91" s="96" t="n">
        <f aca="false">Table6[[#This Row],[Zscore Projection]]-$AE$1</f>
        <v>-74.8032398768925</v>
      </c>
      <c r="AM91" s="97" t="e">
        <f aca="false">MAX(Table6[[#This Row],[VBD]]*Scoring!$B$48+1,1)</f>
        <v>#VALUE!</v>
      </c>
      <c r="AN91" s="98" t="n">
        <f aca="false">VLOOKUP(Table6[[#This Row],[VBD]],BR:BT,3,FALSE())</f>
        <v>10</v>
      </c>
      <c r="AO91" s="99" t="n">
        <f aca="false">VLOOKUP(INDEX(ECR!$E:$E,MATCH(AD91,ECR!$C:$C,0)),RISK!A:B,2,FALSE())</f>
        <v>3.84810126582278</v>
      </c>
      <c r="AP91" s="100"/>
      <c r="AQ91" s="101" t="s">
        <v>446</v>
      </c>
      <c r="AR91" s="80"/>
      <c r="AT91" s="80"/>
      <c r="AU91" s="80"/>
      <c r="AV91" s="80"/>
      <c r="AW91" s="80"/>
      <c r="AX91" s="80"/>
      <c r="AY91" s="80"/>
      <c r="AZ91" s="80"/>
      <c r="BA91" s="80"/>
      <c r="BC91" s="80"/>
      <c r="BD91" s="80"/>
      <c r="BF91" s="102" t="n">
        <v>89</v>
      </c>
      <c r="BG91" s="100" t="str">
        <f aca="false">IFERROR(LARGE($G$3:$G$52,BF91),"")</f>
        <v/>
      </c>
      <c r="BH91" s="104"/>
      <c r="BI91" s="104"/>
      <c r="BJ91" s="106"/>
      <c r="BK91" s="102" t="n">
        <v>89</v>
      </c>
      <c r="BL91" s="100" t="n">
        <f aca="false">IFERROR(LARGE($U$3:$U$102,BK91),"")</f>
        <v>8.64117647058824</v>
      </c>
      <c r="BM91" s="104" t="n">
        <f aca="false">IFERROR(LARGE($X$3:$X$102,89),"")</f>
        <v>-116.360640352941</v>
      </c>
      <c r="BN91" s="104" t="n">
        <f aca="false">IF(BM91="",BN90,IF((BN90-BM91)&gt;0.15*LARGE($X$3:$X$102,2),BM91,BN90))</f>
        <v>-101.66044427451</v>
      </c>
      <c r="BO91" s="103" t="n">
        <f aca="false">IF(BM91="",BO90,IF((BN90-BM91)&gt;0.15*LARGE($X$3:$X$102,2),BO90+1,BO90))</f>
        <v>11</v>
      </c>
      <c r="BP91" s="105" t="n">
        <v>89</v>
      </c>
      <c r="BQ91" s="100" t="n">
        <f aca="false">IFERROR(LARGE($AI$3:$AI$102,BP91),"")</f>
        <v>56.0889798957558</v>
      </c>
      <c r="BR91" s="104" t="n">
        <f aca="false">IFERROR(LARGE($AL$3:$AL$102,89),"")</f>
        <v>-67.5090936867709</v>
      </c>
      <c r="BS91" s="104" t="n">
        <f aca="false">IF(BR91="",BS90,IF((BS90-BR91)&gt;0.15*LARGE($AL$3:$AL$102,2),BR91,BS90))</f>
        <v>-51.8170733343261</v>
      </c>
      <c r="BT91" s="103" t="n">
        <f aca="false">IF(BR91="",BT90,IF((BS90-BR91)&gt;0.15*LARGE($AL$3:$AL$102,2),BT90+1,BT90))</f>
        <v>9</v>
      </c>
      <c r="BU91" s="102" t="n">
        <v>89</v>
      </c>
      <c r="BV91" s="100" t="str">
        <f aca="false">IFERROR(LARGE($AW$3:$AW$52,BU91),"")</f>
        <v/>
      </c>
      <c r="BW91" s="104"/>
      <c r="BX91" s="104"/>
      <c r="BY91" s="106" t="n">
        <f aca="false">IFERROR(VALUE(RIGHT(INDEX(ECR!$E:$E,MATCH(P91,ECR!$C:$C,0)),LEN(INDEX(ECR!$E:$E,MATCH(P91,ECR!$C:$C,0)))-2)),"")</f>
        <v>89</v>
      </c>
      <c r="BZ91" s="104"/>
      <c r="CA91" s="104"/>
      <c r="CB91" s="104"/>
      <c r="CC91" s="104"/>
      <c r="CD91" s="104"/>
      <c r="CE91" s="104"/>
      <c r="CF91" s="104"/>
      <c r="CG91" s="104"/>
    </row>
    <row r="92" s="107" customFormat="true" ht="14.25" hidden="false" customHeight="true" outlineLevel="0" collapsed="false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M92" s="80"/>
      <c r="O92" s="98" t="s">
        <v>447</v>
      </c>
      <c r="P92" s="93" t="str">
        <f aca="false">VLOOKUP(O92,ECR!E:L,8,FALSE())</f>
        <v>Trevor Etienne</v>
      </c>
      <c r="Q92" s="94" t="str">
        <f aca="false">IFERROR(VLOOKUP(Table4[[#This Row],[PLAYER]],ECR!C:F,2,FALSE()),"-")</f>
        <v>CAR</v>
      </c>
      <c r="R92" s="94" t="n">
        <f aca="false">IFERROR(VLOOKUP(Table4[[#This Row],[PLAYER]],ECR!C:F,4,FALSE()),"-")</f>
        <v>5</v>
      </c>
      <c r="S92" s="94" t="str">
        <f aca="false">Table4[[#This Row],[Team]] &amp; "/" &amp; Table4[[#This Row],[Bye]]</f>
        <v>CAR/5</v>
      </c>
      <c r="T92" s="95" t="n">
        <f aca="false">IFERROR(VLOOKUP(Table4[[#This Row],[PLAYER]],RB!A:Q,13,FALSE())/17*(17-Table4[[#This Row],[Missed Games]]),0)</f>
        <v>0</v>
      </c>
      <c r="U92" s="95" t="n">
        <f aca="false">IFERROR(VLOOKUP(Table4[[#This Row],[PLAYER]],RB!A:Q,14,FALSE())/17*(17-Table4[[#This Row],[Missed Games]]),0)</f>
        <v>0</v>
      </c>
      <c r="V92" s="95" t="n">
        <f aca="false">IFERROR(VLOOKUP(Table4[[#This Row],[PLAYER]],RB!A:Q,15,FALSE())/17*(17-Table4[[#This Row],[Missed Games]]),0)</f>
        <v>0</v>
      </c>
      <c r="W92" s="96" t="n">
        <f aca="false">AVERAGE(AVERAGE(Table4[[#This Row],[LOW]],Table4[[#This Row],[HIGH]]),Table4[[#This Row],[AVG]],VLOOKUP(Table4[[#This Row],[PLAYER]],ECR!L:N,3,FALSE()))</f>
        <v>2.61274509803922</v>
      </c>
      <c r="X92" s="96" t="n">
        <f aca="false">Table4[[#This Row],[Zscore Projection]]-$Q$1</f>
        <v>-124.932993294118</v>
      </c>
      <c r="Y92" s="97" t="e">
        <f aca="false">MAX(Table4[[#This Row],[VBD]]*Scoring!$B$48+1,1)</f>
        <v>#VALUE!</v>
      </c>
      <c r="Z92" s="98" t="n">
        <f aca="false">VLOOKUP(Table4[[#This Row],[VBD]],BM:BO,3,FALSE())</f>
        <v>12</v>
      </c>
      <c r="AA92" s="99" t="n">
        <f aca="false">VLOOKUP(INDEX(ECR!$E:$E,MATCH(P92,ECR!$C:$C,0)),RISK!A:B,2,FALSE())</f>
        <v>4</v>
      </c>
      <c r="AB92" s="100"/>
      <c r="AC92" s="94" t="s">
        <v>448</v>
      </c>
      <c r="AD92" s="94" t="str">
        <f aca="false">VLOOKUP(AC92,ECR!E:L,8,FALSE())</f>
        <v>Jack Bech</v>
      </c>
      <c r="AE92" s="94" t="str">
        <f aca="false">IFERROR(VLOOKUP(Table6[[#This Row],[PLAYER]],ECR!C:F,2,FALSE()),"-")</f>
        <v>LV</v>
      </c>
      <c r="AF92" s="94" t="n">
        <f aca="false">IFERROR(VLOOKUP(Table6[[#This Row],[PLAYER]],ECR!C:F,4,FALSE()),"-")</f>
        <v>13</v>
      </c>
      <c r="AG92" s="94" t="str">
        <f aca="false">Table6[[#This Row],[Team]] &amp; "/" &amp; Table6[[#This Row],[Bye]]</f>
        <v>LV/13</v>
      </c>
      <c r="AH92" s="95" t="n">
        <f aca="false">IFERROR(VLOOKUP(Table6[[#This Row],[PLAYER]],WR!A:Q,13,FALSE())/17*(17-Table6[[#This Row],[Missed Games]]),0)</f>
        <v>40.2061280714818</v>
      </c>
      <c r="AI92" s="95" t="n">
        <f aca="false">IFERROR(VLOOKUP(Table6[[#This Row],[PLAYER]],WR!A:Q,14,FALSE())/17*(17-Table6[[#This Row],[Missed Games]]),0)</f>
        <v>40.2061280714818</v>
      </c>
      <c r="AJ92" s="95" t="n">
        <f aca="false">IFERROR(VLOOKUP(Table6[[#This Row],[PLAYER]],WR!A:Q,15,FALSE())/17*(17-Table6[[#This Row],[Missed Games]]),0)</f>
        <v>40.2061280714818</v>
      </c>
      <c r="AK92" s="96" t="n">
        <f aca="false">AVERAGE(AVERAGE(Table6[[#This Row],[LOW]],Table6[[#This Row],[HIGH]]),Table6[[#This Row],[AVG]],VLOOKUP(Table6[[#This Row],[PLAYER]],ECR!L:N,3,FALSE()))</f>
        <v>45.4875179945396</v>
      </c>
      <c r="AL92" s="96" t="n">
        <f aca="false">Table6[[#This Row],[Zscore Projection]]-$AE$1</f>
        <v>-80.1903607505584</v>
      </c>
      <c r="AM92" s="97" t="e">
        <f aca="false">MAX(Table6[[#This Row],[VBD]]*Scoring!$B$48+1,1)</f>
        <v>#VALUE!</v>
      </c>
      <c r="AN92" s="98" t="n">
        <f aca="false">VLOOKUP(Table6[[#This Row],[VBD]],BR:BT,3,FALSE())</f>
        <v>10</v>
      </c>
      <c r="AO92" s="99" t="n">
        <f aca="false">VLOOKUP(INDEX(ECR!$E:$E,MATCH(AD92,ECR!$C:$C,0)),RISK!A:B,2,FALSE())</f>
        <v>3.84810126582278</v>
      </c>
      <c r="AP92" s="100"/>
      <c r="AQ92" s="101" t="s">
        <v>449</v>
      </c>
      <c r="AR92" s="80"/>
      <c r="AT92" s="80"/>
      <c r="AU92" s="80"/>
      <c r="AV92" s="80"/>
      <c r="AW92" s="80"/>
      <c r="AX92" s="80"/>
      <c r="AY92" s="80"/>
      <c r="AZ92" s="80"/>
      <c r="BA92" s="80"/>
      <c r="BC92" s="80"/>
      <c r="BD92" s="80"/>
      <c r="BF92" s="102" t="n">
        <v>90</v>
      </c>
      <c r="BG92" s="100" t="str">
        <f aca="false">IFERROR(LARGE($G$3:$G$52,BF92),"")</f>
        <v/>
      </c>
      <c r="BH92" s="104"/>
      <c r="BI92" s="104"/>
      <c r="BJ92" s="106"/>
      <c r="BK92" s="102" t="n">
        <v>90</v>
      </c>
      <c r="BL92" s="100" t="n">
        <f aca="false">IFERROR(LARGE($U$3:$U$102,BK92),"")</f>
        <v>7.83823529411765</v>
      </c>
      <c r="BM92" s="104" t="n">
        <f aca="false">IFERROR(LARGE($X$3:$X$102,90),"")</f>
        <v>-116.727699176471</v>
      </c>
      <c r="BN92" s="104" t="n">
        <f aca="false">IF(BM92="",BN91,IF((BN91-BM92)&gt;0.15*LARGE($X$3:$X$102,2),BM92,BN91))</f>
        <v>-101.66044427451</v>
      </c>
      <c r="BO92" s="103" t="n">
        <f aca="false">IF(BM92="",BO91,IF((BN91-BM92)&gt;0.15*LARGE($X$3:$X$102,2),BO91+1,BO91))</f>
        <v>11</v>
      </c>
      <c r="BP92" s="105" t="n">
        <v>90</v>
      </c>
      <c r="BQ92" s="100" t="n">
        <f aca="false">IFERROR(LARGE($AI$3:$AI$102,BP92),"")</f>
        <v>56.0502978406552</v>
      </c>
      <c r="BR92" s="104" t="n">
        <f aca="false">IFERROR(LARGE($AL$3:$AL$102,90),"")</f>
        <v>-67.7025039622735</v>
      </c>
      <c r="BS92" s="104" t="n">
        <f aca="false">IF(BR92="",BS91,IF((BS91-BR92)&gt;0.15*LARGE($AL$3:$AL$102,2),BR92,BS91))</f>
        <v>-51.8170733343261</v>
      </c>
      <c r="BT92" s="103" t="n">
        <f aca="false">IF(BR92="",BT91,IF((BS91-BR92)&gt;0.15*LARGE($AL$3:$AL$102,2),BT91+1,BT91))</f>
        <v>9</v>
      </c>
      <c r="BU92" s="102" t="n">
        <v>90</v>
      </c>
      <c r="BV92" s="100" t="str">
        <f aca="false">IFERROR(LARGE($AW$3:$AW$52,BU92),"")</f>
        <v/>
      </c>
      <c r="BW92" s="104"/>
      <c r="BX92" s="104"/>
      <c r="BY92" s="106" t="n">
        <f aca="false">IFERROR(VALUE(RIGHT(INDEX(ECR!$E:$E,MATCH(P92,ECR!$C:$C,0)),LEN(INDEX(ECR!$E:$E,MATCH(P92,ECR!$C:$C,0)))-2)),"")</f>
        <v>90</v>
      </c>
      <c r="BZ92" s="104"/>
      <c r="CA92" s="104"/>
      <c r="CB92" s="104"/>
      <c r="CC92" s="104"/>
      <c r="CD92" s="104"/>
      <c r="CE92" s="104"/>
      <c r="CF92" s="104"/>
      <c r="CG92" s="104"/>
    </row>
    <row r="93" s="107" customFormat="true" ht="14.25" hidden="false" customHeight="true" outlineLevel="0" collapsed="false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M93" s="80"/>
      <c r="O93" s="98" t="s">
        <v>450</v>
      </c>
      <c r="P93" s="93" t="str">
        <f aca="false">VLOOKUP(O93,ECR!E:L,8,FALSE())</f>
        <v>Tahj Brooks</v>
      </c>
      <c r="Q93" s="94" t="str">
        <f aca="false">IFERROR(VLOOKUP(Table4[[#This Row],[PLAYER]],ECR!C:F,2,FALSE()),"-")</f>
        <v>CIN</v>
      </c>
      <c r="R93" s="94" t="n">
        <f aca="false">IFERROR(VLOOKUP(Table4[[#This Row],[PLAYER]],ECR!C:F,4,FALSE()),"-")</f>
        <v>6</v>
      </c>
      <c r="S93" s="94" t="str">
        <f aca="false">Table4[[#This Row],[Team]] &amp; "/" &amp; Table4[[#This Row],[Bye]]</f>
        <v>CIN/6</v>
      </c>
      <c r="T93" s="95" t="n">
        <f aca="false">IFERROR(VLOOKUP(Table4[[#This Row],[PLAYER]],RB!A:Q,13,FALSE())/17*(17-Table4[[#This Row],[Missed Games]]),0)</f>
        <v>13.7723529411765</v>
      </c>
      <c r="U93" s="95" t="n">
        <f aca="false">IFERROR(VLOOKUP(Table4[[#This Row],[PLAYER]],RB!A:Q,14,FALSE())/17*(17-Table4[[#This Row],[Missed Games]]),0)</f>
        <v>13.7723529411765</v>
      </c>
      <c r="V93" s="95" t="n">
        <f aca="false">IFERROR(VLOOKUP(Table4[[#This Row],[PLAYER]],RB!A:Q,15,FALSE())/17*(17-Table4[[#This Row],[Missed Games]]),0)</f>
        <v>13.7723529411765</v>
      </c>
      <c r="W93" s="96" t="n">
        <f aca="false">AVERAGE(AVERAGE(Table4[[#This Row],[LOW]],Table4[[#This Row],[HIGH]]),Table4[[#This Row],[AVG]],VLOOKUP(Table4[[#This Row],[PLAYER]],ECR!L:N,3,FALSE()))</f>
        <v>11.488431372549</v>
      </c>
      <c r="X93" s="96" t="n">
        <f aca="false">Table4[[#This Row],[Zscore Projection]]-$Q$1</f>
        <v>-116.057307019608</v>
      </c>
      <c r="Y93" s="97" t="e">
        <f aca="false">MAX(Table4[[#This Row],[VBD]]*Scoring!$B$48+1,1)</f>
        <v>#VALUE!</v>
      </c>
      <c r="Z93" s="98" t="n">
        <f aca="false">VLOOKUP(Table4[[#This Row],[VBD]],BM:BO,3,FALSE())</f>
        <v>11</v>
      </c>
      <c r="AA93" s="99" t="n">
        <f aca="false">VLOOKUP(INDEX(ECR!$E:$E,MATCH(P93,ECR!$C:$C,0)),RISK!A:B,2,FALSE())</f>
        <v>4</v>
      </c>
      <c r="AB93" s="100"/>
      <c r="AC93" s="94" t="s">
        <v>451</v>
      </c>
      <c r="AD93" s="94" t="str">
        <f aca="false">VLOOKUP(AC93,ECR!E:L,8,FALSE())</f>
        <v>Antonio Williams</v>
      </c>
      <c r="AE93" s="94" t="str">
        <f aca="false">IFERROR(VLOOKUP(Table6[[#This Row],[PLAYER]],ECR!C:F,2,FALSE()),"-")</f>
        <v>WAS</v>
      </c>
      <c r="AF93" s="94" t="n">
        <f aca="false">IFERROR(VLOOKUP(Table6[[#This Row],[PLAYER]],ECR!C:F,4,FALSE()),"-")</f>
        <v>7</v>
      </c>
      <c r="AG93" s="94" t="str">
        <f aca="false">Table6[[#This Row],[Team]] &amp; "/" &amp; Table6[[#This Row],[Bye]]</f>
        <v>WAS/7</v>
      </c>
      <c r="AH93" s="95" t="n">
        <f aca="false">IFERROR(VLOOKUP(Table6[[#This Row],[PLAYER]],WR!A:Q,13,FALSE())/17*(17-Table6[[#This Row],[Missed Games]]),0)</f>
        <v>70.920608190618</v>
      </c>
      <c r="AI93" s="95" t="n">
        <f aca="false">IFERROR(VLOOKUP(Table6[[#This Row],[PLAYER]],WR!A:Q,14,FALSE())/17*(17-Table6[[#This Row],[Missed Games]]),0)</f>
        <v>92.071955919583</v>
      </c>
      <c r="AJ93" s="95" t="n">
        <f aca="false">IFERROR(VLOOKUP(Table6[[#This Row],[PLAYER]],WR!A:Q,15,FALSE())/17*(17-Table6[[#This Row],[Missed Games]]),0)</f>
        <v>113.865425763217</v>
      </c>
      <c r="AK93" s="96" t="n">
        <f aca="false">AVERAGE(AVERAGE(Table6[[#This Row],[LOW]],Table6[[#This Row],[HIGH]]),Table6[[#This Row],[AVG]],VLOOKUP(Table6[[#This Row],[PLAYER]],ECR!L:N,3,FALSE()))</f>
        <v>80.1433900719782</v>
      </c>
      <c r="AL93" s="96" t="n">
        <f aca="false">Table6[[#This Row],[Zscore Projection]]-$AE$1</f>
        <v>-45.5344886731199</v>
      </c>
      <c r="AM93" s="97" t="e">
        <f aca="false">MAX(Table6[[#This Row],[VBD]]*Scoring!$B$48+1,1)</f>
        <v>#VALUE!</v>
      </c>
      <c r="AN93" s="98" t="n">
        <f aca="false">VLOOKUP(Table6[[#This Row],[VBD]],BR:BT,3,FALSE())</f>
        <v>8</v>
      </c>
      <c r="AO93" s="99" t="n">
        <f aca="false">VLOOKUP(INDEX(ECR!$E:$E,MATCH(AD93,ECR!$C:$C,0)),RISK!A:B,2,FALSE())</f>
        <v>3.84810126582278</v>
      </c>
      <c r="AP93" s="100"/>
      <c r="AQ93" s="101" t="s">
        <v>452</v>
      </c>
      <c r="AR93" s="80"/>
      <c r="AT93" s="80"/>
      <c r="AU93" s="80"/>
      <c r="AV93" s="80"/>
      <c r="AW93" s="80"/>
      <c r="AX93" s="80"/>
      <c r="AY93" s="80"/>
      <c r="AZ93" s="80"/>
      <c r="BA93" s="80"/>
      <c r="BC93" s="80"/>
      <c r="BD93" s="80"/>
      <c r="BF93" s="102" t="n">
        <v>91</v>
      </c>
      <c r="BG93" s="100" t="str">
        <f aca="false">IFERROR(LARGE($G$3:$G$52,BF93),"")</f>
        <v/>
      </c>
      <c r="BH93" s="104"/>
      <c r="BI93" s="104"/>
      <c r="BJ93" s="106"/>
      <c r="BK93" s="102" t="n">
        <v>91</v>
      </c>
      <c r="BL93" s="100" t="n">
        <f aca="false">IFERROR(LARGE($U$3:$U$102,BK93),"")</f>
        <v>6.92058823529412</v>
      </c>
      <c r="BM93" s="104" t="n">
        <f aca="false">IFERROR(LARGE($X$3:$X$102,91),"")</f>
        <v>-119.885934470588</v>
      </c>
      <c r="BN93" s="104" t="n">
        <f aca="false">IF(BM93="",BN92,IF((BN92-BM93)&gt;0.15*LARGE($X$3:$X$102,2),BM93,BN92))</f>
        <v>-101.66044427451</v>
      </c>
      <c r="BO93" s="103" t="n">
        <f aca="false">IF(BM93="",BO92,IF((BN92-BM93)&gt;0.15*LARGE($X$3:$X$102,2),BO92+1,BO92))</f>
        <v>11</v>
      </c>
      <c r="BP93" s="105" t="n">
        <v>91</v>
      </c>
      <c r="BQ93" s="100" t="n">
        <f aca="false">IFERROR(LARGE($AI$3:$AI$102,BP93),"")</f>
        <v>55.9651973194341</v>
      </c>
      <c r="BR93" s="104" t="n">
        <f aca="false">IFERROR(LARGE($AL$3:$AL$102,91),"")</f>
        <v>-71.2174133690742</v>
      </c>
      <c r="BS93" s="104" t="n">
        <f aca="false">IF(BR93="",BS92,IF((BS92-BR93)&gt;0.15*LARGE($AL$3:$AL$102,2),BR93,BS92))</f>
        <v>-71.2174133690742</v>
      </c>
      <c r="BT93" s="103" t="n">
        <f aca="false">IF(BR93="",BT92,IF((BS92-BR93)&gt;0.15*LARGE($AL$3:$AL$102,2),BT92+1,BT92))</f>
        <v>10</v>
      </c>
      <c r="BU93" s="102" t="n">
        <v>91</v>
      </c>
      <c r="BV93" s="100" t="str">
        <f aca="false">IFERROR(LARGE($AW$3:$AW$52,BU93),"")</f>
        <v/>
      </c>
      <c r="BW93" s="104"/>
      <c r="BX93" s="104"/>
      <c r="BY93" s="106" t="n">
        <f aca="false">IFERROR(VALUE(RIGHT(INDEX(ECR!$E:$E,MATCH(P93,ECR!$C:$C,0)),LEN(INDEX(ECR!$E:$E,MATCH(P93,ECR!$C:$C,0)))-2)),"")</f>
        <v>91</v>
      </c>
      <c r="BZ93" s="104"/>
      <c r="CA93" s="104"/>
      <c r="CB93" s="104"/>
      <c r="CC93" s="104"/>
      <c r="CD93" s="104"/>
      <c r="CE93" s="104"/>
      <c r="CF93" s="104"/>
      <c r="CG93" s="104"/>
    </row>
    <row r="94" s="107" customFormat="true" ht="14.25" hidden="false" customHeight="true" outlineLevel="0" collapsed="false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M94" s="80"/>
      <c r="O94" s="98" t="s">
        <v>453</v>
      </c>
      <c r="P94" s="93" t="str">
        <f aca="false">VLOOKUP(O94,ECR!E:L,8,FALSE())</f>
        <v>Isaac Guerendo</v>
      </c>
      <c r="Q94" s="94" t="str">
        <f aca="false">IFERROR(VLOOKUP(Table4[[#This Row],[PLAYER]],ECR!C:F,2,FALSE()),"-")</f>
        <v>SF</v>
      </c>
      <c r="R94" s="94" t="n">
        <f aca="false">IFERROR(VLOOKUP(Table4[[#This Row],[PLAYER]],ECR!C:F,4,FALSE()),"-")</f>
        <v>8</v>
      </c>
      <c r="S94" s="94" t="str">
        <f aca="false">Table4[[#This Row],[Team]] &amp; "/" &amp; Table4[[#This Row],[Bye]]</f>
        <v>SF/8</v>
      </c>
      <c r="T94" s="95" t="n">
        <f aca="false">IFERROR(VLOOKUP(Table4[[#This Row],[PLAYER]],RB!A:Q,13,FALSE())/17*(17-Table4[[#This Row],[Missed Games]]),0)</f>
        <v>0</v>
      </c>
      <c r="U94" s="95" t="n">
        <f aca="false">IFERROR(VLOOKUP(Table4[[#This Row],[PLAYER]],RB!A:Q,14,FALSE())/17*(17-Table4[[#This Row],[Missed Games]]),0)</f>
        <v>8.64117647058824</v>
      </c>
      <c r="V94" s="95" t="n">
        <f aca="false">IFERROR(VLOOKUP(Table4[[#This Row],[PLAYER]],RB!A:Q,15,FALSE())/17*(17-Table4[[#This Row],[Missed Games]]),0)</f>
        <v>17.2823529411765</v>
      </c>
      <c r="W94" s="96" t="n">
        <f aca="false">AVERAGE(AVERAGE(Table4[[#This Row],[LOW]],Table4[[#This Row],[HIGH]]),Table4[[#This Row],[AVG]],VLOOKUP(Table4[[#This Row],[PLAYER]],ECR!L:N,3,FALSE()))</f>
        <v>7.65980392156863</v>
      </c>
      <c r="X94" s="96" t="n">
        <f aca="false">Table4[[#This Row],[Zscore Projection]]-$Q$1</f>
        <v>-119.885934470588</v>
      </c>
      <c r="Y94" s="97" t="e">
        <f aca="false">MAX(Table4[[#This Row],[VBD]]*Scoring!$B$48+1,1)</f>
        <v>#VALUE!</v>
      </c>
      <c r="Z94" s="98" t="n">
        <f aca="false">VLOOKUP(Table4[[#This Row],[VBD]],BM:BO,3,FALSE())</f>
        <v>11</v>
      </c>
      <c r="AA94" s="99" t="n">
        <f aca="false">VLOOKUP(INDEX(ECR!$E:$E,MATCH(P94,ECR!$C:$C,0)),RISK!A:B,2,FALSE())</f>
        <v>4</v>
      </c>
      <c r="AB94" s="100"/>
      <c r="AC94" s="94" t="s">
        <v>454</v>
      </c>
      <c r="AD94" s="94" t="str">
        <f aca="false">VLOOKUP(AC94,ECR!E:L,8,FALSE())</f>
        <v>Caleb Douglas</v>
      </c>
      <c r="AE94" s="94" t="str">
        <f aca="false">IFERROR(VLOOKUP(Table6[[#This Row],[PLAYER]],ECR!C:F,2,FALSE()),"-")</f>
        <v>MIA</v>
      </c>
      <c r="AF94" s="94" t="n">
        <f aca="false">IFERROR(VLOOKUP(Table6[[#This Row],[PLAYER]],ECR!C:F,4,FALSE()),"-")</f>
        <v>6</v>
      </c>
      <c r="AG94" s="94" t="str">
        <f aca="false">Table6[[#This Row],[Team]] &amp; "/" &amp; Table6[[#This Row],[Bye]]</f>
        <v>MIA/6</v>
      </c>
      <c r="AH94" s="95" t="n">
        <f aca="false">IFERROR(VLOOKUP(Table6[[#This Row],[PLAYER]],WR!A:Q,13,FALSE())/17*(17-Table6[[#This Row],[Missed Games]]),0)</f>
        <v>81.2035362620998</v>
      </c>
      <c r="AI94" s="95" t="n">
        <f aca="false">IFERROR(VLOOKUP(Table6[[#This Row],[PLAYER]],WR!A:Q,14,FALSE())/17*(17-Table6[[#This Row],[Missed Games]]),0)</f>
        <v>91.2531341772152</v>
      </c>
      <c r="AJ94" s="95" t="n">
        <f aca="false">IFERROR(VLOOKUP(Table6[[#This Row],[PLAYER]],WR!A:Q,15,FALSE())/17*(17-Table6[[#This Row],[Missed Games]]),0)</f>
        <v>101.759180342517</v>
      </c>
      <c r="AK94" s="96" t="n">
        <f aca="false">AVERAGE(AVERAGE(Table6[[#This Row],[LOW]],Table6[[#This Row],[HIGH]]),Table6[[#This Row],[AVG]],VLOOKUP(Table6[[#This Row],[PLAYER]],ECR!L:N,3,FALSE()))</f>
        <v>79.5611993546786</v>
      </c>
      <c r="AL94" s="96" t="n">
        <f aca="false">Table6[[#This Row],[Zscore Projection]]-$AE$1</f>
        <v>-46.1166793904195</v>
      </c>
      <c r="AM94" s="97" t="e">
        <f aca="false">MAX(Table6[[#This Row],[VBD]]*Scoring!$B$48+1,1)</f>
        <v>#VALUE!</v>
      </c>
      <c r="AN94" s="98" t="n">
        <f aca="false">VLOOKUP(Table6[[#This Row],[VBD]],BR:BT,3,FALSE())</f>
        <v>8</v>
      </c>
      <c r="AO94" s="99" t="n">
        <f aca="false">VLOOKUP(INDEX(ECR!$E:$E,MATCH(AD94,ECR!$C:$C,0)),RISK!A:B,2,FALSE())</f>
        <v>3.84810126582278</v>
      </c>
      <c r="AP94" s="100"/>
      <c r="AQ94" s="101" t="s">
        <v>455</v>
      </c>
      <c r="AR94" s="80"/>
      <c r="AT94" s="80"/>
      <c r="AU94" s="80"/>
      <c r="AV94" s="80"/>
      <c r="AW94" s="80"/>
      <c r="AX94" s="80"/>
      <c r="AY94" s="80"/>
      <c r="AZ94" s="80"/>
      <c r="BA94" s="80"/>
      <c r="BC94" s="80"/>
      <c r="BD94" s="80"/>
      <c r="BF94" s="102" t="n">
        <v>92</v>
      </c>
      <c r="BG94" s="100" t="str">
        <f aca="false">IFERROR(LARGE($G$3:$G$52,BF94),"")</f>
        <v/>
      </c>
      <c r="BH94" s="104"/>
      <c r="BI94" s="104"/>
      <c r="BJ94" s="106"/>
      <c r="BK94" s="102" t="n">
        <v>92</v>
      </c>
      <c r="BL94" s="100" t="n">
        <f aca="false">IFERROR(LARGE($U$3:$U$102,BK94),"")</f>
        <v>5.69705882352941</v>
      </c>
      <c r="BM94" s="104" t="n">
        <f aca="false">IFERROR(LARGE($X$3:$X$102,92),"")</f>
        <v>-122.932012901961</v>
      </c>
      <c r="BN94" s="104" t="n">
        <f aca="false">IF(BM94="",BN93,IF((BN93-BM94)&gt;0.15*LARGE($X$3:$X$102,2),BM94,BN93))</f>
        <v>-101.66044427451</v>
      </c>
      <c r="BO94" s="103" t="n">
        <f aca="false">IF(BM94="",BO93,IF((BN93-BM94)&gt;0.15*LARGE($X$3:$X$102,2),BO93+1,BO93))</f>
        <v>11</v>
      </c>
      <c r="BP94" s="105" t="n">
        <v>92</v>
      </c>
      <c r="BQ94" s="100" t="n">
        <f aca="false">IFERROR(LARGE($AI$3:$AI$102,BP94),"")</f>
        <v>55.9491055845123</v>
      </c>
      <c r="BR94" s="104" t="n">
        <f aca="false">IFERROR(LARGE($AL$3:$AL$102,92),"")</f>
        <v>-73.0625473973691</v>
      </c>
      <c r="BS94" s="104" t="n">
        <f aca="false">IF(BR94="",BS93,IF((BS93-BR94)&gt;0.15*LARGE($AL$3:$AL$102,2),BR94,BS93))</f>
        <v>-71.2174133690742</v>
      </c>
      <c r="BT94" s="103" t="n">
        <f aca="false">IF(BR94="",BT93,IF((BS93-BR94)&gt;0.15*LARGE($AL$3:$AL$102,2),BT93+1,BT93))</f>
        <v>10</v>
      </c>
      <c r="BU94" s="102" t="n">
        <v>92</v>
      </c>
      <c r="BV94" s="100" t="str">
        <f aca="false">IFERROR(LARGE($AW$3:$AW$52,BU94),"")</f>
        <v/>
      </c>
      <c r="BW94" s="104"/>
      <c r="BX94" s="104"/>
      <c r="BY94" s="106" t="n">
        <f aca="false">IFERROR(VALUE(RIGHT(INDEX(ECR!$E:$E,MATCH(P94,ECR!$C:$C,0)),LEN(INDEX(ECR!$E:$E,MATCH(P94,ECR!$C:$C,0)))-2)),"")</f>
        <v>92</v>
      </c>
      <c r="BZ94" s="104"/>
      <c r="CA94" s="104"/>
      <c r="CB94" s="104"/>
      <c r="CC94" s="104"/>
      <c r="CD94" s="104"/>
      <c r="CE94" s="104"/>
      <c r="CF94" s="104"/>
      <c r="CG94" s="104"/>
    </row>
    <row r="95" s="107" customFormat="true" ht="14.25" hidden="false" customHeight="true" outlineLevel="0" collapsed="false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M95" s="80"/>
      <c r="O95" s="98" t="s">
        <v>456</v>
      </c>
      <c r="P95" s="93" t="str">
        <f aca="false">VLOOKUP(O95,ECR!E:L,8,FALSE())</f>
        <v>Jerome Ford</v>
      </c>
      <c r="Q95" s="94" t="str">
        <f aca="false">IFERROR(VLOOKUP(Table4[[#This Row],[PLAYER]],ECR!C:F,2,FALSE()),"-")</f>
        <v>WAS</v>
      </c>
      <c r="R95" s="94" t="n">
        <f aca="false">IFERROR(VLOOKUP(Table4[[#This Row],[PLAYER]],ECR!C:F,4,FALSE()),"-")</f>
        <v>7</v>
      </c>
      <c r="S95" s="94" t="str">
        <f aca="false">Table4[[#This Row],[Team]] &amp; "/" &amp; Table4[[#This Row],[Bye]]</f>
        <v>WAS/7</v>
      </c>
      <c r="T95" s="95" t="n">
        <f aca="false">IFERROR(VLOOKUP(Table4[[#This Row],[PLAYER]],RB!A:Q,13,FALSE())/17*(17-Table4[[#This Row],[Missed Games]]),0)</f>
        <v>0</v>
      </c>
      <c r="U95" s="95" t="n">
        <f aca="false">IFERROR(VLOOKUP(Table4[[#This Row],[PLAYER]],RB!A:Q,14,FALSE())/17*(17-Table4[[#This Row],[Missed Games]]),0)</f>
        <v>0</v>
      </c>
      <c r="V95" s="95" t="n">
        <f aca="false">IFERROR(VLOOKUP(Table4[[#This Row],[PLAYER]],RB!A:Q,15,FALSE())/17*(17-Table4[[#This Row],[Missed Games]]),0)</f>
        <v>0</v>
      </c>
      <c r="W95" s="96" t="n">
        <f aca="false">AVERAGE(AVERAGE(Table4[[#This Row],[LOW]],Table4[[#This Row],[HIGH]]),Table4[[#This Row],[AVG]],VLOOKUP(Table4[[#This Row],[PLAYER]],ECR!L:N,3,FALSE()))</f>
        <v>0</v>
      </c>
      <c r="X95" s="96" t="n">
        <f aca="false">Table4[[#This Row],[Zscore Projection]]-$Q$1</f>
        <v>-127.545738392157</v>
      </c>
      <c r="Y95" s="97" t="e">
        <f aca="false">MAX(Table4[[#This Row],[VBD]]*Scoring!$B$48+1,1)</f>
        <v>#VALUE!</v>
      </c>
      <c r="Z95" s="98" t="n">
        <f aca="false">VLOOKUP(Table4[[#This Row],[VBD]],BM:BO,3,FALSE())</f>
        <v>12</v>
      </c>
      <c r="AA95" s="99" t="n">
        <f aca="false">VLOOKUP(INDEX(ECR!$E:$E,MATCH(P95,ECR!$C:$C,0)),RISK!A:B,2,FALSE())</f>
        <v>4</v>
      </c>
      <c r="AB95" s="100"/>
      <c r="AC95" s="94" t="s">
        <v>457</v>
      </c>
      <c r="AD95" s="94" t="str">
        <f aca="false">VLOOKUP(AC95,ECR!E:L,8,FALSE())</f>
        <v>Tory Horton</v>
      </c>
      <c r="AE95" s="94" t="str">
        <f aca="false">IFERROR(VLOOKUP(Table6[[#This Row],[PLAYER]],ECR!C:F,2,FALSE()),"-")</f>
        <v>SEA</v>
      </c>
      <c r="AF95" s="94" t="n">
        <f aca="false">IFERROR(VLOOKUP(Table6[[#This Row],[PLAYER]],ECR!C:F,4,FALSE()),"-")</f>
        <v>11</v>
      </c>
      <c r="AG95" s="94" t="str">
        <f aca="false">Table6[[#This Row],[Team]] &amp; "/" &amp; Table6[[#This Row],[Bye]]</f>
        <v>SEA/11</v>
      </c>
      <c r="AH95" s="95" t="n">
        <f aca="false">IFERROR(VLOOKUP(Table6[[#This Row],[PLAYER]],WR!A:Q,13,FALSE())/17*(17-Table6[[#This Row],[Missed Games]]),0)</f>
        <v>40.6084214445272</v>
      </c>
      <c r="AI95" s="95" t="n">
        <f aca="false">IFERROR(VLOOKUP(Table6[[#This Row],[PLAYER]],WR!A:Q,14,FALSE())/17*(17-Table6[[#This Row],[Missed Games]]),0)</f>
        <v>61.2723752792256</v>
      </c>
      <c r="AJ95" s="95" t="n">
        <f aca="false">IFERROR(VLOOKUP(Table6[[#This Row],[PLAYER]],WR!A:Q,15,FALSE())/17*(17-Table6[[#This Row],[Missed Games]]),0)</f>
        <v>81.4644080416977</v>
      </c>
      <c r="AK95" s="96" t="n">
        <f aca="false">AVERAGE(AVERAGE(Table6[[#This Row],[LOW]],Table6[[#This Row],[HIGH]]),Table6[[#This Row],[AVG]],VLOOKUP(Table6[[#This Row],[PLAYER]],ECR!L:N,3,FALSE()))</f>
        <v>57.9753747828245</v>
      </c>
      <c r="AL95" s="96" t="n">
        <f aca="false">Table6[[#This Row],[Zscore Projection]]-$AE$1</f>
        <v>-67.7025039622735</v>
      </c>
      <c r="AM95" s="97" t="e">
        <f aca="false">MAX(Table6[[#This Row],[VBD]]*Scoring!$B$48+1,1)</f>
        <v>#VALUE!</v>
      </c>
      <c r="AN95" s="98" t="n">
        <f aca="false">VLOOKUP(Table6[[#This Row],[VBD]],BR:BT,3,FALSE())</f>
        <v>9</v>
      </c>
      <c r="AO95" s="99" t="n">
        <f aca="false">VLOOKUP(INDEX(ECR!$E:$E,MATCH(AD95,ECR!$C:$C,0)),RISK!A:B,2,FALSE())</f>
        <v>3.84810126582278</v>
      </c>
      <c r="AP95" s="100"/>
      <c r="AQ95" s="101" t="s">
        <v>458</v>
      </c>
      <c r="AR95" s="80"/>
      <c r="AT95" s="80"/>
      <c r="AU95" s="80"/>
      <c r="AV95" s="80"/>
      <c r="AW95" s="80"/>
      <c r="AX95" s="80"/>
      <c r="AY95" s="80"/>
      <c r="AZ95" s="80"/>
      <c r="BA95" s="80"/>
      <c r="BC95" s="80"/>
      <c r="BD95" s="80"/>
      <c r="BF95" s="102" t="n">
        <v>93</v>
      </c>
      <c r="BG95" s="100" t="str">
        <f aca="false">IFERROR(LARGE($G$3:$G$52,BF95),"")</f>
        <v/>
      </c>
      <c r="BH95" s="104"/>
      <c r="BI95" s="104"/>
      <c r="BJ95" s="106"/>
      <c r="BK95" s="102" t="n">
        <v>93</v>
      </c>
      <c r="BL95" s="100" t="n">
        <f aca="false">IFERROR(LARGE($U$3:$U$102,BK95),"")</f>
        <v>0</v>
      </c>
      <c r="BM95" s="104" t="n">
        <f aca="false">IFERROR(LARGE($X$3:$X$102,93),"")</f>
        <v>-123.112993294118</v>
      </c>
      <c r="BN95" s="104" t="n">
        <f aca="false">IF(BM95="",BN94,IF((BN94-BM95)&gt;0.15*LARGE($X$3:$X$102,2),BM95,BN94))</f>
        <v>-123.112993294118</v>
      </c>
      <c r="BO95" s="103" t="n">
        <f aca="false">IF(BM95="",BO94,IF((BN94-BM95)&gt;0.15*LARGE($X$3:$X$102,2),BO94+1,BO94))</f>
        <v>12</v>
      </c>
      <c r="BP95" s="105" t="n">
        <v>93</v>
      </c>
      <c r="BQ95" s="100" t="n">
        <f aca="false">IFERROR(LARGE($AI$3:$AI$102,BP95),"")</f>
        <v>51.6173343261355</v>
      </c>
      <c r="BR95" s="104" t="n">
        <f aca="false">IFERROR(LARGE($AL$3:$AL$102,93),"")</f>
        <v>-74.8032398768925</v>
      </c>
      <c r="BS95" s="104" t="n">
        <f aca="false">IF(BR95="",BS94,IF((BS94-BR95)&gt;0.15*LARGE($AL$3:$AL$102,2),BR95,BS94))</f>
        <v>-71.2174133690742</v>
      </c>
      <c r="BT95" s="103" t="n">
        <f aca="false">IF(BR95="",BT94,IF((BS94-BR95)&gt;0.15*LARGE($AL$3:$AL$102,2),BT94+1,BT94))</f>
        <v>10</v>
      </c>
      <c r="BU95" s="102" t="n">
        <v>93</v>
      </c>
      <c r="BV95" s="100" t="str">
        <f aca="false">IFERROR(LARGE($AW$3:$AW$52,BU95),"")</f>
        <v/>
      </c>
      <c r="BW95" s="104"/>
      <c r="BX95" s="104"/>
      <c r="BY95" s="106" t="n">
        <f aca="false">IFERROR(VALUE(RIGHT(INDEX(ECR!$E:$E,MATCH(P95,ECR!$C:$C,0)),LEN(INDEX(ECR!$E:$E,MATCH(P95,ECR!$C:$C,0)))-2)),"")</f>
        <v>93</v>
      </c>
      <c r="BZ95" s="104"/>
      <c r="CA95" s="104"/>
      <c r="CB95" s="104"/>
      <c r="CC95" s="104"/>
      <c r="CD95" s="104"/>
      <c r="CE95" s="104"/>
      <c r="CF95" s="104"/>
      <c r="CG95" s="104"/>
    </row>
    <row r="96" s="107" customFormat="true" ht="14.25" hidden="false" customHeight="true" outlineLevel="0" collapsed="false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M96" s="80"/>
      <c r="O96" s="98" t="s">
        <v>459</v>
      </c>
      <c r="P96" s="93" t="str">
        <f aca="false">VLOOKUP(O96,ECR!E:L,8,FALSE())</f>
        <v>Trey Benson</v>
      </c>
      <c r="Q96" s="94" t="str">
        <f aca="false">IFERROR(VLOOKUP(Table4[[#This Row],[PLAYER]],ECR!C:F,2,FALSE()),"-")</f>
        <v>ARI</v>
      </c>
      <c r="R96" s="94" t="n">
        <f aca="false">IFERROR(VLOOKUP(Table4[[#This Row],[PLAYER]],ECR!C:F,4,FALSE()),"-")</f>
        <v>14</v>
      </c>
      <c r="S96" s="94" t="str">
        <f aca="false">Table4[[#This Row],[Team]] &amp; "/" &amp; Table4[[#This Row],[Bye]]</f>
        <v>ARI/14</v>
      </c>
      <c r="T96" s="95" t="n">
        <f aca="false">IFERROR(VLOOKUP(Table4[[#This Row],[PLAYER]],RB!A:Q,13,FALSE())/17*(17-Table4[[#This Row],[Missed Games]]),0)</f>
        <v>0</v>
      </c>
      <c r="U96" s="95" t="n">
        <f aca="false">IFERROR(VLOOKUP(Table4[[#This Row],[PLAYER]],RB!A:Q,14,FALSE())/17*(17-Table4[[#This Row],[Missed Games]]),0)</f>
        <v>0</v>
      </c>
      <c r="V96" s="95" t="n">
        <f aca="false">IFERROR(VLOOKUP(Table4[[#This Row],[PLAYER]],RB!A:Q,15,FALSE())/17*(17-Table4[[#This Row],[Missed Games]]),0)</f>
        <v>0</v>
      </c>
      <c r="W96" s="96" t="n">
        <f aca="false">AVERAGE(AVERAGE(Table4[[#This Row],[LOW]],Table4[[#This Row],[HIGH]]),Table4[[#This Row],[AVG]],VLOOKUP(Table4[[#This Row],[PLAYER]],ECR!L:N,3,FALSE()))</f>
        <v>0</v>
      </c>
      <c r="X96" s="96" t="n">
        <f aca="false">Table4[[#This Row],[Zscore Projection]]-$Q$1</f>
        <v>-127.545738392157</v>
      </c>
      <c r="Y96" s="97" t="e">
        <f aca="false">MAX(Table4[[#This Row],[VBD]]*Scoring!$B$48+1,1)</f>
        <v>#VALUE!</v>
      </c>
      <c r="Z96" s="98" t="n">
        <f aca="false">VLOOKUP(Table4[[#This Row],[VBD]],BM:BO,3,FALSE())</f>
        <v>12</v>
      </c>
      <c r="AA96" s="99" t="n">
        <f aca="false">VLOOKUP(INDEX(ECR!$E:$E,MATCH(P96,ECR!$C:$C,0)),RISK!A:B,2,FALSE())</f>
        <v>4</v>
      </c>
      <c r="AB96" s="100"/>
      <c r="AC96" s="94" t="s">
        <v>460</v>
      </c>
      <c r="AD96" s="94" t="str">
        <f aca="false">VLOOKUP(AC96,ECR!E:L,8,FALSE())</f>
        <v>Tyquan Thornton</v>
      </c>
      <c r="AE96" s="94" t="str">
        <f aca="false">IFERROR(VLOOKUP(Table6[[#This Row],[PLAYER]],ECR!C:F,2,FALSE()),"-")</f>
        <v>KC</v>
      </c>
      <c r="AF96" s="94" t="n">
        <f aca="false">IFERROR(VLOOKUP(Table6[[#This Row],[PLAYER]],ECR!C:F,4,FALSE()),"-")</f>
        <v>5</v>
      </c>
      <c r="AG96" s="94" t="str">
        <f aca="false">Table6[[#This Row],[Team]] &amp; "/" &amp; Table6[[#This Row],[Bye]]</f>
        <v>KC/5</v>
      </c>
      <c r="AH96" s="95" t="n">
        <f aca="false">IFERROR(VLOOKUP(Table6[[#This Row],[PLAYER]],WR!A:Q,13,FALSE())/17*(17-Table6[[#This Row],[Missed Games]]),0)</f>
        <v>50.5883916604616</v>
      </c>
      <c r="AI96" s="95" t="n">
        <f aca="false">IFERROR(VLOOKUP(Table6[[#This Row],[PLAYER]],WR!A:Q,14,FALSE())/17*(17-Table6[[#This Row],[Missed Games]]),0)</f>
        <v>61.968652271035</v>
      </c>
      <c r="AJ96" s="95" t="n">
        <f aca="false">IFERROR(VLOOKUP(Table6[[#This Row],[PLAYER]],WR!A:Q,15,FALSE())/17*(17-Table6[[#This Row],[Missed Games]]),0)</f>
        <v>73.3411764705882</v>
      </c>
      <c r="AK96" s="96" t="n">
        <f aca="false">AVERAGE(AVERAGE(Table6[[#This Row],[LOW]],Table6[[#This Row],[HIGH]]),Table6[[#This Row],[AVG]],VLOOKUP(Table6[[#This Row],[PLAYER]],ECR!L:N,3,FALSE()))</f>
        <v>58.1687850583271</v>
      </c>
      <c r="AL96" s="96" t="n">
        <f aca="false">Table6[[#This Row],[Zscore Projection]]-$AE$1</f>
        <v>-67.5090936867709</v>
      </c>
      <c r="AM96" s="97" t="e">
        <f aca="false">MAX(Table6[[#This Row],[VBD]]*Scoring!$B$48+1,1)</f>
        <v>#VALUE!</v>
      </c>
      <c r="AN96" s="98" t="n">
        <f aca="false">VLOOKUP(Table6[[#This Row],[VBD]],BR:BT,3,FALSE())</f>
        <v>9</v>
      </c>
      <c r="AO96" s="99" t="n">
        <f aca="false">VLOOKUP(INDEX(ECR!$E:$E,MATCH(AD96,ECR!$C:$C,0)),RISK!A:B,2,FALSE())</f>
        <v>3.84810126582278</v>
      </c>
      <c r="AP96" s="100"/>
      <c r="AQ96" s="101" t="s">
        <v>461</v>
      </c>
      <c r="AR96" s="80"/>
      <c r="AT96" s="80"/>
      <c r="AU96" s="80"/>
      <c r="AV96" s="80"/>
      <c r="AW96" s="80"/>
      <c r="AX96" s="80"/>
      <c r="AY96" s="80"/>
      <c r="AZ96" s="80"/>
      <c r="BA96" s="80"/>
      <c r="BC96" s="80"/>
      <c r="BD96" s="80"/>
      <c r="BF96" s="102" t="n">
        <v>94</v>
      </c>
      <c r="BG96" s="100" t="str">
        <f aca="false">IFERROR(LARGE($G$3:$G$52,BF96),"")</f>
        <v/>
      </c>
      <c r="BH96" s="104"/>
      <c r="BI96" s="104"/>
      <c r="BJ96" s="106"/>
      <c r="BK96" s="102" t="n">
        <v>94</v>
      </c>
      <c r="BL96" s="100" t="n">
        <f aca="false">IFERROR(LARGE($U$3:$U$102,BK96),"")</f>
        <v>0</v>
      </c>
      <c r="BM96" s="104" t="n">
        <f aca="false">IFERROR(LARGE($X$3:$X$102,94),"")</f>
        <v>-124.665346235294</v>
      </c>
      <c r="BN96" s="104" t="n">
        <f aca="false">IF(BM96="",BN95,IF((BN95-BM96)&gt;0.15*LARGE($X$3:$X$102,2),BM96,BN95))</f>
        <v>-123.112993294118</v>
      </c>
      <c r="BO96" s="103" t="n">
        <f aca="false">IF(BM96="",BO95,IF((BN95-BM96)&gt;0.15*LARGE($X$3:$X$102,2),BO95+1,BO95))</f>
        <v>12</v>
      </c>
      <c r="BP96" s="105" t="n">
        <v>94</v>
      </c>
      <c r="BQ96" s="100" t="n">
        <f aca="false">IFERROR(LARGE($AI$3:$AI$102,BP96),"")</f>
        <v>50.5729188384215</v>
      </c>
      <c r="BR96" s="104" t="n">
        <f aca="false">IFERROR(LARGE($AL$3:$AL$102,94),"")</f>
        <v>-75.2016650444279</v>
      </c>
      <c r="BS96" s="104" t="n">
        <f aca="false">IF(BR96="",BS95,IF((BS95-BR96)&gt;0.15*LARGE($AL$3:$AL$102,2),BR96,BS95))</f>
        <v>-71.2174133690742</v>
      </c>
      <c r="BT96" s="103" t="n">
        <f aca="false">IF(BR96="",BT95,IF((BS95-BR96)&gt;0.15*LARGE($AL$3:$AL$102,2),BT95+1,BT95))</f>
        <v>10</v>
      </c>
      <c r="BU96" s="102" t="n">
        <v>94</v>
      </c>
      <c r="BV96" s="100" t="str">
        <f aca="false">IFERROR(LARGE($AW$3:$AW$52,BU96),"")</f>
        <v/>
      </c>
      <c r="BW96" s="104"/>
      <c r="BX96" s="104"/>
      <c r="BY96" s="106" t="n">
        <f aca="false">IFERROR(VALUE(RIGHT(INDEX(ECR!$E:$E,MATCH(P96,ECR!$C:$C,0)),LEN(INDEX(ECR!$E:$E,MATCH(P96,ECR!$C:$C,0)))-2)),"")</f>
        <v>94</v>
      </c>
      <c r="BZ96" s="104"/>
      <c r="CA96" s="104"/>
      <c r="CB96" s="104"/>
      <c r="CC96" s="104"/>
      <c r="CD96" s="104"/>
      <c r="CE96" s="104"/>
      <c r="CF96" s="104"/>
      <c r="CG96" s="104"/>
    </row>
    <row r="97" s="107" customFormat="true" ht="14.25" hidden="false" customHeight="true" outlineLevel="0" collapsed="false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M97" s="80"/>
      <c r="O97" s="98" t="s">
        <v>462</v>
      </c>
      <c r="P97" s="93" t="str">
        <f aca="false">VLOOKUP(O97,ECR!E:L,8,FALSE())</f>
        <v>Audric Estime</v>
      </c>
      <c r="Q97" s="94" t="str">
        <f aca="false">IFERROR(VLOOKUP(Table4[[#This Row],[PLAYER]],ECR!C:F,2,FALSE()),"-")</f>
        <v>NO</v>
      </c>
      <c r="R97" s="94" t="n">
        <f aca="false">IFERROR(VLOOKUP(Table4[[#This Row],[PLAYER]],ECR!C:F,4,FALSE()),"-")</f>
        <v>8</v>
      </c>
      <c r="S97" s="94" t="str">
        <f aca="false">Table4[[#This Row],[Team]] &amp; "/" &amp; Table4[[#This Row],[Bye]]</f>
        <v>NO/8</v>
      </c>
      <c r="T97" s="95" t="n">
        <f aca="false">IFERROR(VLOOKUP(Table4[[#This Row],[PLAYER]],RB!A:Q,13,FALSE())/17*(17-Table4[[#This Row],[Missed Games]]),0)</f>
        <v>16.9</v>
      </c>
      <c r="U97" s="95" t="n">
        <f aca="false">IFERROR(VLOOKUP(Table4[[#This Row],[PLAYER]],RB!A:Q,14,FALSE())/17*(17-Table4[[#This Row],[Missed Games]]),0)</f>
        <v>16.9</v>
      </c>
      <c r="V97" s="95" t="n">
        <f aca="false">IFERROR(VLOOKUP(Table4[[#This Row],[PLAYER]],RB!A:Q,15,FALSE())/17*(17-Table4[[#This Row],[Missed Games]]),0)</f>
        <v>16.9</v>
      </c>
      <c r="W97" s="96" t="n">
        <f aca="false">AVERAGE(AVERAGE(Table4[[#This Row],[LOW]],Table4[[#This Row],[HIGH]]),Table4[[#This Row],[AVG]],VLOOKUP(Table4[[#This Row],[PLAYER]],ECR!L:N,3,FALSE()))</f>
        <v>11.2666666666667</v>
      </c>
      <c r="X97" s="96" t="n">
        <f aca="false">Table4[[#This Row],[Zscore Projection]]-$Q$1</f>
        <v>-116.27907172549</v>
      </c>
      <c r="Y97" s="97" t="e">
        <f aca="false">MAX(Table4[[#This Row],[VBD]]*Scoring!$B$48+1,1)</f>
        <v>#VALUE!</v>
      </c>
      <c r="Z97" s="98" t="n">
        <f aca="false">VLOOKUP(Table4[[#This Row],[VBD]],BM:BO,3,FALSE())</f>
        <v>11</v>
      </c>
      <c r="AA97" s="99" t="n">
        <f aca="false">VLOOKUP(INDEX(ECR!$E:$E,MATCH(P97,ECR!$C:$C,0)),RISK!A:B,2,FALSE())</f>
        <v>4</v>
      </c>
      <c r="AB97" s="100"/>
      <c r="AC97" s="94" t="s">
        <v>463</v>
      </c>
      <c r="AD97" s="94" t="str">
        <f aca="false">VLOOKUP(AC97,ECR!E:L,8,FALSE())</f>
        <v>Elic Ayomanor</v>
      </c>
      <c r="AE97" s="94" t="str">
        <f aca="false">IFERROR(VLOOKUP(Table6[[#This Row],[PLAYER]],ECR!C:F,2,FALSE()),"-")</f>
        <v>TEN</v>
      </c>
      <c r="AF97" s="94" t="n">
        <f aca="false">IFERROR(VLOOKUP(Table6[[#This Row],[PLAYER]],ECR!C:F,4,FALSE()),"-")</f>
        <v>9</v>
      </c>
      <c r="AG97" s="94" t="str">
        <f aca="false">Table6[[#This Row],[Team]] &amp; "/" &amp; Table6[[#This Row],[Bye]]</f>
        <v>TEN/9</v>
      </c>
      <c r="AH97" s="95" t="n">
        <f aca="false">IFERROR(VLOOKUP(Table6[[#This Row],[PLAYER]],WR!A:Q,13,FALSE())/17*(17-Table6[[#This Row],[Missed Games]]),0)</f>
        <v>14.9699553239017</v>
      </c>
      <c r="AI97" s="95" t="n">
        <f aca="false">IFERROR(VLOOKUP(Table6[[#This Row],[PLAYER]],WR!A:Q,14,FALSE())/17*(17-Table6[[#This Row],[Missed Games]]),0)</f>
        <v>51.6173343261355</v>
      </c>
      <c r="AJ97" s="95" t="n">
        <f aca="false">IFERROR(VLOOKUP(Table6[[#This Row],[PLAYER]],WR!A:Q,15,FALSE())/17*(17-Table6[[#This Row],[Missed Games]]),0)</f>
        <v>88.1177215189874</v>
      </c>
      <c r="AK97" s="96" t="n">
        <f aca="false">AVERAGE(AVERAGE(Table6[[#This Row],[LOW]],Table6[[#This Row],[HIGH]]),Table6[[#This Row],[AVG]],VLOOKUP(Table6[[#This Row],[PLAYER]],ECR!L:N,3,FALSE()))</f>
        <v>50.4762137006701</v>
      </c>
      <c r="AL97" s="96" t="n">
        <f aca="false">Table6[[#This Row],[Zscore Projection]]-$AE$1</f>
        <v>-75.2016650444279</v>
      </c>
      <c r="AM97" s="97" t="e">
        <f aca="false">MAX(Table6[[#This Row],[VBD]]*Scoring!$B$48+1,1)</f>
        <v>#VALUE!</v>
      </c>
      <c r="AN97" s="98" t="n">
        <f aca="false">VLOOKUP(Table6[[#This Row],[VBD]],BR:BT,3,FALSE())</f>
        <v>10</v>
      </c>
      <c r="AO97" s="99" t="n">
        <f aca="false">VLOOKUP(INDEX(ECR!$E:$E,MATCH(AD97,ECR!$C:$C,0)),RISK!A:B,2,FALSE())</f>
        <v>3.84810126582278</v>
      </c>
      <c r="AP97" s="100"/>
      <c r="AQ97" s="101" t="s">
        <v>464</v>
      </c>
      <c r="AR97" s="80"/>
      <c r="AT97" s="80"/>
      <c r="AU97" s="80"/>
      <c r="AV97" s="80"/>
      <c r="AW97" s="80"/>
      <c r="AX97" s="80"/>
      <c r="AY97" s="80"/>
      <c r="AZ97" s="80"/>
      <c r="BA97" s="80"/>
      <c r="BC97" s="80"/>
      <c r="BD97" s="80"/>
      <c r="BF97" s="102" t="n">
        <v>95</v>
      </c>
      <c r="BG97" s="100" t="str">
        <f aca="false">IFERROR(LARGE($G$3:$G$52,BF97),"")</f>
        <v/>
      </c>
      <c r="BH97" s="104"/>
      <c r="BI97" s="104"/>
      <c r="BJ97" s="106"/>
      <c r="BK97" s="102" t="n">
        <v>95</v>
      </c>
      <c r="BL97" s="100" t="n">
        <f aca="false">IFERROR(LARGE($U$3:$U$102,BK97),"")</f>
        <v>0</v>
      </c>
      <c r="BM97" s="104" t="n">
        <f aca="false">IFERROR(LARGE($X$3:$X$102,95),"")</f>
        <v>-124.932993294118</v>
      </c>
      <c r="BN97" s="104" t="n">
        <f aca="false">IF(BM97="",BN96,IF((BN96-BM97)&gt;0.15*LARGE($X$3:$X$102,2),BM97,BN96))</f>
        <v>-123.112993294118</v>
      </c>
      <c r="BO97" s="103" t="n">
        <f aca="false">IF(BM97="",BO96,IF((BN96-BM97)&gt;0.15*LARGE($X$3:$X$102,2),BO96+1,BO96))</f>
        <v>12</v>
      </c>
      <c r="BP97" s="105" t="n">
        <v>95</v>
      </c>
      <c r="BQ97" s="100" t="n">
        <f aca="false">IFERROR(LARGE($AI$3:$AI$102,BP97),"")</f>
        <v>48.2674683544304</v>
      </c>
      <c r="BR97" s="104" t="n">
        <f aca="false">IFERROR(LARGE($AL$3:$AL$102,95),"")</f>
        <v>-76.7657094723256</v>
      </c>
      <c r="BS97" s="104" t="n">
        <f aca="false">IF(BR97="",BS96,IF((BS96-BR97)&gt;0.15*LARGE($AL$3:$AL$102,2),BR97,BS96))</f>
        <v>-71.2174133690742</v>
      </c>
      <c r="BT97" s="103" t="n">
        <f aca="false">IF(BR97="",BT96,IF((BS96-BR97)&gt;0.15*LARGE($AL$3:$AL$102,2),BT96+1,BT96))</f>
        <v>10</v>
      </c>
      <c r="BU97" s="102" t="n">
        <v>95</v>
      </c>
      <c r="BV97" s="100" t="str">
        <f aca="false">IFERROR(LARGE($AW$3:$AW$52,BU97),"")</f>
        <v/>
      </c>
      <c r="BW97" s="104"/>
      <c r="BX97" s="104"/>
      <c r="BY97" s="106" t="n">
        <f aca="false">IFERROR(VALUE(RIGHT(INDEX(ECR!$E:$E,MATCH(P97,ECR!$C:$C,0)),LEN(INDEX(ECR!$E:$E,MATCH(P97,ECR!$C:$C,0)))-2)),"")</f>
        <v>95</v>
      </c>
      <c r="BZ97" s="104"/>
      <c r="CA97" s="104"/>
      <c r="CB97" s="104"/>
      <c r="CC97" s="104"/>
      <c r="CD97" s="104"/>
      <c r="CE97" s="104"/>
      <c r="CF97" s="104"/>
      <c r="CG97" s="104"/>
    </row>
    <row r="98" s="107" customFormat="true" ht="14.25" hidden="false" customHeight="true" outlineLevel="0" collapsed="false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M98" s="80"/>
      <c r="O98" s="98" t="s">
        <v>465</v>
      </c>
      <c r="P98" s="93" t="str">
        <f aca="false">VLOOKUP(O98,ECR!E:L,8,FALSE())</f>
        <v>Will Shipley</v>
      </c>
      <c r="Q98" s="94" t="str">
        <f aca="false">IFERROR(VLOOKUP(Table4[[#This Row],[PLAYER]],ECR!C:F,2,FALSE()),"-")</f>
        <v>PHI</v>
      </c>
      <c r="R98" s="94" t="n">
        <f aca="false">IFERROR(VLOOKUP(Table4[[#This Row],[PLAYER]],ECR!C:F,4,FALSE()),"-")</f>
        <v>10</v>
      </c>
      <c r="S98" s="94" t="str">
        <f aca="false">Table4[[#This Row],[Team]] &amp; "/" &amp; Table4[[#This Row],[Bye]]</f>
        <v>PHI/10</v>
      </c>
      <c r="T98" s="95" t="n">
        <f aca="false">IFERROR(VLOOKUP(Table4[[#This Row],[PLAYER]],RB!A:Q,13,FALSE())/17*(17-Table4[[#This Row],[Missed Games]]),0)</f>
        <v>16.7776470588235</v>
      </c>
      <c r="U98" s="95" t="n">
        <f aca="false">IFERROR(VLOOKUP(Table4[[#This Row],[PLAYER]],RB!A:Q,14,FALSE())/17*(17-Table4[[#This Row],[Missed Games]]),0)</f>
        <v>16.7776470588235</v>
      </c>
      <c r="V98" s="95" t="n">
        <f aca="false">IFERROR(VLOOKUP(Table4[[#This Row],[PLAYER]],RB!A:Q,15,FALSE())/17*(17-Table4[[#This Row],[Missed Games]]),0)</f>
        <v>16.7776470588235</v>
      </c>
      <c r="W98" s="96" t="n">
        <f aca="false">AVERAGE(AVERAGE(Table4[[#This Row],[LOW]],Table4[[#This Row],[HIGH]]),Table4[[#This Row],[AVG]],VLOOKUP(Table4[[#This Row],[PLAYER]],ECR!L:N,3,FALSE()))</f>
        <v>11.1850980392157</v>
      </c>
      <c r="X98" s="96" t="n">
        <f aca="false">Table4[[#This Row],[Zscore Projection]]-$Q$1</f>
        <v>-116.360640352941</v>
      </c>
      <c r="Y98" s="97" t="e">
        <f aca="false">MAX(Table4[[#This Row],[VBD]]*Scoring!$B$48+1,1)</f>
        <v>#VALUE!</v>
      </c>
      <c r="Z98" s="98" t="n">
        <f aca="false">VLOOKUP(Table4[[#This Row],[VBD]],BM:BO,3,FALSE())</f>
        <v>11</v>
      </c>
      <c r="AA98" s="99" t="n">
        <f aca="false">VLOOKUP(INDEX(ECR!$E:$E,MATCH(P98,ECR!$C:$C,0)),RISK!A:B,2,FALSE())</f>
        <v>4</v>
      </c>
      <c r="AB98" s="100"/>
      <c r="AC98" s="94" t="s">
        <v>466</v>
      </c>
      <c r="AD98" s="94" t="str">
        <f aca="false">VLOOKUP(AC98,ECR!E:L,8,FALSE())</f>
        <v>Chimere Dike</v>
      </c>
      <c r="AE98" s="94" t="str">
        <f aca="false">IFERROR(VLOOKUP(Table6[[#This Row],[PLAYER]],ECR!C:F,2,FALSE()),"-")</f>
        <v>TEN</v>
      </c>
      <c r="AF98" s="94" t="n">
        <f aca="false">IFERROR(VLOOKUP(Table6[[#This Row],[PLAYER]],ECR!C:F,4,FALSE()),"-")</f>
        <v>9</v>
      </c>
      <c r="AG98" s="94" t="str">
        <f aca="false">Table6[[#This Row],[Team]] &amp; "/" &amp; Table6[[#This Row],[Bye]]</f>
        <v>TEN/9</v>
      </c>
      <c r="AH98" s="95" t="n">
        <f aca="false">IFERROR(VLOOKUP(Table6[[#This Row],[PLAYER]],WR!A:Q,13,FALSE())/17*(17-Table6[[#This Row],[Missed Games]]),0)</f>
        <v>16.2619359642591</v>
      </c>
      <c r="AI98" s="95" t="n">
        <f aca="false">IFERROR(VLOOKUP(Table6[[#This Row],[PLAYER]],WR!A:Q,14,FALSE())/17*(17-Table6[[#This Row],[Missed Games]]),0)</f>
        <v>50.5729188384215</v>
      </c>
      <c r="AJ98" s="95" t="n">
        <f aca="false">IFERROR(VLOOKUP(Table6[[#This Row],[PLAYER]],WR!A:Q,15,FALSE())/17*(17-Table6[[#This Row],[Missed Games]]),0)</f>
        <v>84.8916381236039</v>
      </c>
      <c r="AK98" s="96" t="n">
        <f aca="false">AVERAGE(AVERAGE(Table6[[#This Row],[LOW]],Table6[[#This Row],[HIGH]]),Table6[[#This Row],[AVG]],VLOOKUP(Table6[[#This Row],[PLAYER]],ECR!L:N,3,FALSE()))</f>
        <v>48.7303636138</v>
      </c>
      <c r="AL98" s="96" t="n">
        <f aca="false">Table6[[#This Row],[Zscore Projection]]-$AE$1</f>
        <v>-76.9475151312981</v>
      </c>
      <c r="AM98" s="97" t="e">
        <f aca="false">MAX(Table6[[#This Row],[VBD]]*Scoring!$B$48+1,1)</f>
        <v>#VALUE!</v>
      </c>
      <c r="AN98" s="98" t="n">
        <f aca="false">VLOOKUP(Table6[[#This Row],[VBD]],BR:BT,3,FALSE())</f>
        <v>10</v>
      </c>
      <c r="AO98" s="99" t="n">
        <f aca="false">VLOOKUP(INDEX(ECR!$E:$E,MATCH(AD98,ECR!$C:$C,0)),RISK!A:B,2,FALSE())</f>
        <v>3.84810126582278</v>
      </c>
      <c r="AP98" s="100"/>
      <c r="AQ98" s="101" t="s">
        <v>467</v>
      </c>
      <c r="AR98" s="80"/>
      <c r="AT98" s="80"/>
      <c r="AU98" s="80"/>
      <c r="AV98" s="80"/>
      <c r="AW98" s="80"/>
      <c r="AX98" s="80"/>
      <c r="AY98" s="80"/>
      <c r="AZ98" s="80"/>
      <c r="BA98" s="80"/>
      <c r="BC98" s="80"/>
      <c r="BD98" s="80"/>
      <c r="BF98" s="102" t="n">
        <v>96</v>
      </c>
      <c r="BG98" s="100" t="str">
        <f aca="false">IFERROR(LARGE($G$3:$G$52,BF98),"")</f>
        <v/>
      </c>
      <c r="BH98" s="104"/>
      <c r="BI98" s="104"/>
      <c r="BJ98" s="106"/>
      <c r="BK98" s="102" t="n">
        <v>96</v>
      </c>
      <c r="BL98" s="100" t="n">
        <f aca="false">IFERROR(LARGE($U$3:$U$102,BK98),"")</f>
        <v>0</v>
      </c>
      <c r="BM98" s="104" t="n">
        <f aca="false">IFERROR(LARGE($X$3:$X$102,96),"")</f>
        <v>-127.545738392157</v>
      </c>
      <c r="BN98" s="104" t="n">
        <f aca="false">IF(BM98="",BN97,IF((BN97-BM98)&gt;0.15*LARGE($X$3:$X$102,2),BM98,BN97))</f>
        <v>-123.112993294118</v>
      </c>
      <c r="BO98" s="103" t="n">
        <f aca="false">IF(BM98="",BO97,IF((BN97-BM98)&gt;0.15*LARGE($X$3:$X$102,2),BO97+1,BO97))</f>
        <v>12</v>
      </c>
      <c r="BP98" s="105" t="n">
        <v>96</v>
      </c>
      <c r="BQ98" s="100" t="n">
        <f aca="false">IFERROR(LARGE($AI$3:$AI$102,BP98),"")</f>
        <v>45.0413849590469</v>
      </c>
      <c r="BR98" s="104" t="n">
        <f aca="false">IFERROR(LARGE($AL$3:$AL$102,96),"")</f>
        <v>-76.8641166205014</v>
      </c>
      <c r="BS98" s="104" t="n">
        <f aca="false">IF(BR98="",BS97,IF((BS97-BR98)&gt;0.15*LARGE($AL$3:$AL$102,2),BR98,BS97))</f>
        <v>-71.2174133690742</v>
      </c>
      <c r="BT98" s="103" t="n">
        <f aca="false">IF(BR98="",BT97,IF((BS97-BR98)&gt;0.15*LARGE($AL$3:$AL$102,2),BT97+1,BT97))</f>
        <v>10</v>
      </c>
      <c r="BU98" s="102" t="n">
        <v>96</v>
      </c>
      <c r="BV98" s="100" t="str">
        <f aca="false">IFERROR(LARGE($AW$3:$AW$52,BU98),"")</f>
        <v/>
      </c>
      <c r="BW98" s="104"/>
      <c r="BX98" s="104"/>
      <c r="BY98" s="106" t="n">
        <f aca="false">IFERROR(VALUE(RIGHT(INDEX(ECR!$E:$E,MATCH(P98,ECR!$C:$C,0)),LEN(INDEX(ECR!$E:$E,MATCH(P98,ECR!$C:$C,0)))-2)),"")</f>
        <v>96</v>
      </c>
      <c r="BZ98" s="104"/>
      <c r="CA98" s="104"/>
      <c r="CB98" s="104"/>
      <c r="CC98" s="104"/>
      <c r="CD98" s="104"/>
      <c r="CE98" s="104"/>
      <c r="CF98" s="104"/>
      <c r="CG98" s="104"/>
    </row>
    <row r="99" s="107" customFormat="true" ht="14.25" hidden="false" customHeight="true" outlineLevel="0" collapsed="false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M99" s="80"/>
      <c r="O99" s="98" t="s">
        <v>468</v>
      </c>
      <c r="P99" s="93" t="str">
        <f aca="false">VLOOKUP(O99,ECR!E:L,8,FALSE())</f>
        <v>Jarquez Hunter</v>
      </c>
      <c r="Q99" s="94" t="str">
        <f aca="false">IFERROR(VLOOKUP(Table4[[#This Row],[PLAYER]],ECR!C:F,2,FALSE()),"-")</f>
        <v>FA</v>
      </c>
      <c r="R99" s="94" t="str">
        <f aca="false">IFERROR(VLOOKUP(Table4[[#This Row],[PLAYER]],ECR!C:F,4,FALSE()),"-")</f>
        <v>-</v>
      </c>
      <c r="S99" s="94" t="str">
        <f aca="false">Table4[[#This Row],[Team]] &amp; "/" &amp; Table4[[#This Row],[Bye]]</f>
        <v>FA/-</v>
      </c>
      <c r="T99" s="95" t="n">
        <f aca="false">IFERROR(VLOOKUP(Table4[[#This Row],[PLAYER]],RB!A:Q,13,FALSE())/17*(17-Table4[[#This Row],[Missed Games]]),0)</f>
        <v>0</v>
      </c>
      <c r="U99" s="95" t="n">
        <f aca="false">IFERROR(VLOOKUP(Table4[[#This Row],[PLAYER]],RB!A:Q,14,FALSE())/17*(17-Table4[[#This Row],[Missed Games]]),0)</f>
        <v>0</v>
      </c>
      <c r="V99" s="95" t="n">
        <f aca="false">IFERROR(VLOOKUP(Table4[[#This Row],[PLAYER]],RB!A:Q,15,FALSE())/17*(17-Table4[[#This Row],[Missed Games]]),0)</f>
        <v>0</v>
      </c>
      <c r="W99" s="96" t="n">
        <f aca="false">AVERAGE(AVERAGE(Table4[[#This Row],[LOW]],Table4[[#This Row],[HIGH]]),Table4[[#This Row],[AVG]],VLOOKUP(Table4[[#This Row],[PLAYER]],ECR!L:N,3,FALSE()))</f>
        <v>0</v>
      </c>
      <c r="X99" s="96" t="n">
        <f aca="false">Table4[[#This Row],[Zscore Projection]]-$Q$1</f>
        <v>-127.545738392157</v>
      </c>
      <c r="Y99" s="97" t="e">
        <f aca="false">MAX(Table4[[#This Row],[VBD]]*Scoring!$B$48+1,1)</f>
        <v>#VALUE!</v>
      </c>
      <c r="Z99" s="98" t="n">
        <f aca="false">VLOOKUP(Table4[[#This Row],[VBD]],BM:BO,3,FALSE())</f>
        <v>12</v>
      </c>
      <c r="AA99" s="99" t="n">
        <f aca="false">VLOOKUP(INDEX(ECR!$E:$E,MATCH(P99,ECR!$C:$C,0)),RISK!A:B,2,FALSE())</f>
        <v>4</v>
      </c>
      <c r="AB99" s="100"/>
      <c r="AC99" s="94" t="s">
        <v>469</v>
      </c>
      <c r="AD99" s="94" t="str">
        <f aca="false">VLOOKUP(AC99,ECR!E:L,8,FALSE())</f>
        <v>Darius Slayton</v>
      </c>
      <c r="AE99" s="94" t="str">
        <f aca="false">IFERROR(VLOOKUP(Table6[[#This Row],[PLAYER]],ECR!C:F,2,FALSE()),"-")</f>
        <v>NYG</v>
      </c>
      <c r="AF99" s="94" t="n">
        <f aca="false">IFERROR(VLOOKUP(Table6[[#This Row],[PLAYER]],ECR!C:F,4,FALSE()),"-")</f>
        <v>8</v>
      </c>
      <c r="AG99" s="94" t="str">
        <f aca="false">Table6[[#This Row],[Team]] &amp; "/" &amp; Table6[[#This Row],[Bye]]</f>
        <v>NYG/8</v>
      </c>
      <c r="AH99" s="95" t="n">
        <f aca="false">IFERROR(VLOOKUP(Table6[[#This Row],[PLAYER]],WR!A:Q,13,FALSE())/17*(17-Table6[[#This Row],[Missed Games]]),0)</f>
        <v>48.8012807148176</v>
      </c>
      <c r="AI99" s="95" t="n">
        <f aca="false">IFERROR(VLOOKUP(Table6[[#This Row],[PLAYER]],WR!A:Q,14,FALSE())/17*(17-Table6[[#This Row],[Missed Games]]),0)</f>
        <v>60.9629188384214</v>
      </c>
      <c r="AJ99" s="95" t="n">
        <f aca="false">IFERROR(VLOOKUP(Table6[[#This Row],[PLAYER]],WR!A:Q,15,FALSE())/17*(17-Table6[[#This Row],[Missed Games]]),0)</f>
        <v>73.7512062546538</v>
      </c>
      <c r="AK99" s="96" t="n">
        <f aca="false">AVERAGE(AVERAGE(Table6[[#This Row],[LOW]],Table6[[#This Row],[HIGH]]),Table6[[#This Row],[AVG]],VLOOKUP(Table6[[#This Row],[PLAYER]],ECR!L:N,3,FALSE()))</f>
        <v>54.4604653760238</v>
      </c>
      <c r="AL99" s="96" t="n">
        <f aca="false">Table6[[#This Row],[Zscore Projection]]-$AE$1</f>
        <v>-71.2174133690742</v>
      </c>
      <c r="AM99" s="97" t="e">
        <f aca="false">MAX(Table6[[#This Row],[VBD]]*Scoring!$B$48+1,1)</f>
        <v>#VALUE!</v>
      </c>
      <c r="AN99" s="98" t="n">
        <f aca="false">VLOOKUP(Table6[[#This Row],[VBD]],BR:BT,3,FALSE())</f>
        <v>10</v>
      </c>
      <c r="AO99" s="99" t="n">
        <f aca="false">VLOOKUP(INDEX(ECR!$E:$E,MATCH(AD99,ECR!$C:$C,0)),RISK!A:B,2,FALSE())</f>
        <v>3.84810126582278</v>
      </c>
      <c r="AP99" s="100"/>
      <c r="AQ99" s="101" t="s">
        <v>470</v>
      </c>
      <c r="AR99" s="80"/>
      <c r="AT99" s="80"/>
      <c r="AU99" s="80"/>
      <c r="AV99" s="80"/>
      <c r="AW99" s="80"/>
      <c r="AX99" s="80"/>
      <c r="AY99" s="80"/>
      <c r="AZ99" s="80"/>
      <c r="BA99" s="80"/>
      <c r="BC99" s="80"/>
      <c r="BD99" s="80"/>
      <c r="BF99" s="102" t="n">
        <v>97</v>
      </c>
      <c r="BG99" s="100" t="str">
        <f aca="false">IFERROR(LARGE($G$3:$G$52,BF99),"")</f>
        <v/>
      </c>
      <c r="BH99" s="104"/>
      <c r="BI99" s="104"/>
      <c r="BJ99" s="106"/>
      <c r="BK99" s="102" t="n">
        <v>97</v>
      </c>
      <c r="BL99" s="100" t="n">
        <f aca="false">IFERROR(LARGE($U$3:$U$102,BK99),"")</f>
        <v>0</v>
      </c>
      <c r="BM99" s="104" t="n">
        <f aca="false">IFERROR(LARGE($X$3:$X$102,97),"")</f>
        <v>-127.545738392157</v>
      </c>
      <c r="BN99" s="104" t="n">
        <f aca="false">IF(BM99="",BN98,IF((BN98-BM99)&gt;0.15*LARGE($X$3:$X$102,2),BM99,BN98))</f>
        <v>-123.112993294118</v>
      </c>
      <c r="BO99" s="103" t="n">
        <f aca="false">IF(BM99="",BO98,IF((BN98-BM99)&gt;0.15*LARGE($X$3:$X$102,2),BO98+1,BO98))</f>
        <v>12</v>
      </c>
      <c r="BP99" s="105" t="n">
        <v>97</v>
      </c>
      <c r="BQ99" s="100" t="n">
        <f aca="false">IFERROR(LARGE($AI$3:$AI$102,BP99),"")</f>
        <v>41.1422338049144</v>
      </c>
      <c r="BR99" s="104" t="n">
        <f aca="false">IFERROR(LARGE($AL$3:$AL$102,97),"")</f>
        <v>-76.9475151312981</v>
      </c>
      <c r="BS99" s="104" t="n">
        <f aca="false">IF(BR99="",BS98,IF((BS98-BR99)&gt;0.15*LARGE($AL$3:$AL$102,2),BR99,BS98))</f>
        <v>-71.2174133690742</v>
      </c>
      <c r="BT99" s="103" t="n">
        <f aca="false">IF(BR99="",BT98,IF((BS98-BR99)&gt;0.15*LARGE($AL$3:$AL$102,2),BT98+1,BT98))</f>
        <v>10</v>
      </c>
      <c r="BU99" s="102" t="n">
        <v>97</v>
      </c>
      <c r="BV99" s="100" t="str">
        <f aca="false">IFERROR(LARGE($AW$3:$AW$52,BU99),"")</f>
        <v/>
      </c>
      <c r="BW99" s="104"/>
      <c r="BX99" s="104"/>
      <c r="BY99" s="106" t="n">
        <f aca="false">IFERROR(VALUE(RIGHT(INDEX(ECR!$E:$E,MATCH(P99,ECR!$C:$C,0)),LEN(INDEX(ECR!$E:$E,MATCH(P99,ECR!$C:$C,0)))-2)),"")</f>
        <v>97</v>
      </c>
      <c r="BZ99" s="104"/>
      <c r="CA99" s="104"/>
      <c r="CB99" s="104"/>
      <c r="CC99" s="104"/>
      <c r="CD99" s="104"/>
      <c r="CE99" s="104"/>
      <c r="CF99" s="104"/>
      <c r="CG99" s="104"/>
    </row>
    <row r="100" s="107" customFormat="true" ht="14.25" hidden="false" customHeight="true" outlineLevel="0" collapsed="false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M100" s="80"/>
      <c r="O100" s="98" t="s">
        <v>471</v>
      </c>
      <c r="P100" s="93" t="str">
        <f aca="false">VLOOKUP(O100,ECR!E:L,8,FALSE())</f>
        <v>Jaleel McLaughlin</v>
      </c>
      <c r="Q100" s="94" t="str">
        <f aca="false">IFERROR(VLOOKUP(Table4[[#This Row],[PLAYER]],ECR!C:F,2,FALSE()),"-")</f>
        <v>CLE</v>
      </c>
      <c r="R100" s="94" t="n">
        <f aca="false">IFERROR(VLOOKUP(Table4[[#This Row],[PLAYER]],ECR!C:F,4,FALSE()),"-")</f>
        <v>11</v>
      </c>
      <c r="S100" s="94" t="str">
        <f aca="false">Table4[[#This Row],[Team]] &amp; "/" &amp; Table4[[#This Row],[Bye]]</f>
        <v>CLE/11</v>
      </c>
      <c r="T100" s="95" t="n">
        <f aca="false">IFERROR(VLOOKUP(Table4[[#This Row],[PLAYER]],RB!A:Q,13,FALSE())/17*(17-Table4[[#This Row],[Missed Games]]),0)</f>
        <v>0</v>
      </c>
      <c r="U100" s="95" t="n">
        <f aca="false">IFERROR(VLOOKUP(Table4[[#This Row],[PLAYER]],RB!A:Q,14,FALSE())/17*(17-Table4[[#This Row],[Missed Games]]),0)</f>
        <v>0</v>
      </c>
      <c r="V100" s="95" t="n">
        <f aca="false">IFERROR(VLOOKUP(Table4[[#This Row],[PLAYER]],RB!A:Q,15,FALSE())/17*(17-Table4[[#This Row],[Missed Games]]),0)</f>
        <v>0</v>
      </c>
      <c r="W100" s="96" t="n">
        <f aca="false">AVERAGE(AVERAGE(Table4[[#This Row],[LOW]],Table4[[#This Row],[HIGH]]),Table4[[#This Row],[AVG]],VLOOKUP(Table4[[#This Row],[PLAYER]],ECR!L:N,3,FALSE()))</f>
        <v>0</v>
      </c>
      <c r="X100" s="96" t="n">
        <f aca="false">Table4[[#This Row],[Zscore Projection]]-$Q$1</f>
        <v>-127.545738392157</v>
      </c>
      <c r="Y100" s="97" t="e">
        <f aca="false">MAX(Table4[[#This Row],[VBD]]*Scoring!$B$48+1,1)</f>
        <v>#VALUE!</v>
      </c>
      <c r="Z100" s="98" t="n">
        <f aca="false">VLOOKUP(Table4[[#This Row],[VBD]],BM:BO,3,FALSE())</f>
        <v>12</v>
      </c>
      <c r="AA100" s="99" t="n">
        <f aca="false">VLOOKUP(INDEX(ECR!$E:$E,MATCH(P100,ECR!$C:$C,0)),RISK!A:B,2,FALSE())</f>
        <v>4</v>
      </c>
      <c r="AB100" s="100"/>
      <c r="AC100" s="94" t="s">
        <v>472</v>
      </c>
      <c r="AD100" s="94" t="str">
        <f aca="false">VLOOKUP(AC100,ECR!E:L,8,FALSE())</f>
        <v>Xavier Legette</v>
      </c>
      <c r="AE100" s="94" t="str">
        <f aca="false">IFERROR(VLOOKUP(Table6[[#This Row],[PLAYER]],ECR!C:F,2,FALSE()),"-")</f>
        <v>CAR</v>
      </c>
      <c r="AF100" s="94" t="n">
        <f aca="false">IFERROR(VLOOKUP(Table6[[#This Row],[PLAYER]],ECR!C:F,4,FALSE()),"-")</f>
        <v>5</v>
      </c>
      <c r="AG100" s="94" t="str">
        <f aca="false">Table6[[#This Row],[Team]] &amp; "/" &amp; Table6[[#This Row],[Bye]]</f>
        <v>CAR/5</v>
      </c>
      <c r="AH100" s="95" t="n">
        <f aca="false">IFERROR(VLOOKUP(Table6[[#This Row],[PLAYER]],WR!A:Q,13,FALSE())/17*(17-Table6[[#This Row],[Missed Games]]),0)</f>
        <v>58.8199329858526</v>
      </c>
      <c r="AI100" s="95" t="n">
        <f aca="false">IFERROR(VLOOKUP(Table6[[#This Row],[PLAYER]],WR!A:Q,14,FALSE())/17*(17-Table6[[#This Row],[Missed Games]]),0)</f>
        <v>58.8199329858526</v>
      </c>
      <c r="AJ100" s="95" t="n">
        <f aca="false">IFERROR(VLOOKUP(Table6[[#This Row],[PLAYER]],WR!A:Q,15,FALSE())/17*(17-Table6[[#This Row],[Missed Games]]),0)</f>
        <v>58.8199329858526</v>
      </c>
      <c r="AK100" s="96" t="n">
        <f aca="false">AVERAGE(AVERAGE(Table6[[#This Row],[LOW]],Table6[[#This Row],[HIGH]]),Table6[[#This Row],[AVG]],VLOOKUP(Table6[[#This Row],[PLAYER]],ECR!L:N,3,FALSE()))</f>
        <v>52.615331347729</v>
      </c>
      <c r="AL100" s="96" t="n">
        <f aca="false">Table6[[#This Row],[Zscore Projection]]-$AE$1</f>
        <v>-73.0625473973691</v>
      </c>
      <c r="AM100" s="97" t="e">
        <f aca="false">MAX(Table6[[#This Row],[VBD]]*Scoring!$B$48+1,1)</f>
        <v>#VALUE!</v>
      </c>
      <c r="AN100" s="98" t="n">
        <f aca="false">VLOOKUP(Table6[[#This Row],[VBD]],BR:BT,3,FALSE())</f>
        <v>10</v>
      </c>
      <c r="AO100" s="99" t="n">
        <f aca="false">VLOOKUP(INDEX(ECR!$E:$E,MATCH(AD100,ECR!$C:$C,0)),RISK!A:B,2,FALSE())</f>
        <v>3.84810126582278</v>
      </c>
      <c r="AP100" s="100"/>
      <c r="AQ100" s="101" t="s">
        <v>473</v>
      </c>
      <c r="AR100" s="80"/>
      <c r="AT100" s="80"/>
      <c r="AU100" s="80"/>
      <c r="AV100" s="80"/>
      <c r="AW100" s="80"/>
      <c r="AX100" s="80"/>
      <c r="AY100" s="80"/>
      <c r="AZ100" s="80"/>
      <c r="BA100" s="80"/>
      <c r="BC100" s="80"/>
      <c r="BD100" s="80"/>
      <c r="BF100" s="102" t="n">
        <v>98</v>
      </c>
      <c r="BG100" s="100" t="str">
        <f aca="false">IFERROR(LARGE($G$3:$G$52,BF100),"")</f>
        <v/>
      </c>
      <c r="BH100" s="104"/>
      <c r="BI100" s="104"/>
      <c r="BJ100" s="106"/>
      <c r="BK100" s="102" t="n">
        <v>98</v>
      </c>
      <c r="BL100" s="100" t="n">
        <f aca="false">IFERROR(LARGE($U$3:$U$102,BK100),"")</f>
        <v>0</v>
      </c>
      <c r="BM100" s="104" t="n">
        <f aca="false">IFERROR(LARGE($X$3:$X$102,98),"")</f>
        <v>-127.545738392157</v>
      </c>
      <c r="BN100" s="104" t="n">
        <f aca="false">IF(BM100="",BN99,IF((BN99-BM100)&gt;0.15*LARGE($X$3:$X$102,2),BM100,BN99))</f>
        <v>-123.112993294118</v>
      </c>
      <c r="BO100" s="103" t="n">
        <f aca="false">IF(BM100="",BO99,IF((BN99-BM100)&gt;0.15*LARGE($X$3:$X$102,2),BO99+1,BO99))</f>
        <v>12</v>
      </c>
      <c r="BP100" s="105" t="n">
        <v>98</v>
      </c>
      <c r="BQ100" s="100" t="n">
        <f aca="false">IFERROR(LARGE($AI$3:$AI$102,BP100),"")</f>
        <v>40.2061280714818</v>
      </c>
      <c r="BR100" s="104" t="n">
        <f aca="false">IFERROR(LARGE($AL$3:$AL$102,98),"")</f>
        <v>-80.1903607505584</v>
      </c>
      <c r="BS100" s="104" t="n">
        <f aca="false">IF(BR100="",BS99,IF((BS99-BR100)&gt;0.15*LARGE($AL$3:$AL$102,2),BR100,BS99))</f>
        <v>-71.2174133690742</v>
      </c>
      <c r="BT100" s="103" t="n">
        <f aca="false">IF(BR100="",BT99,IF((BS99-BR100)&gt;0.15*LARGE($AL$3:$AL$102,2),BT99+1,BT99))</f>
        <v>10</v>
      </c>
      <c r="BU100" s="102" t="n">
        <v>98</v>
      </c>
      <c r="BV100" s="100" t="str">
        <f aca="false">IFERROR(LARGE($AW$3:$AW$52,BU100),"")</f>
        <v/>
      </c>
      <c r="BW100" s="104"/>
      <c r="BX100" s="104"/>
      <c r="BY100" s="106" t="n">
        <f aca="false">IFERROR(VALUE(RIGHT(INDEX(ECR!$E:$E,MATCH(P100,ECR!$C:$C,0)),LEN(INDEX(ECR!$E:$E,MATCH(P100,ECR!$C:$C,0)))-2)),"")</f>
        <v>98</v>
      </c>
      <c r="BZ100" s="104"/>
      <c r="CA100" s="104"/>
      <c r="CB100" s="104"/>
      <c r="CC100" s="104"/>
      <c r="CD100" s="104"/>
      <c r="CE100" s="104"/>
      <c r="CF100" s="104"/>
      <c r="CG100" s="104"/>
    </row>
    <row r="101" s="107" customFormat="true" ht="14.25" hidden="false" customHeight="true" outlineLevel="0" collapsed="false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M101" s="80"/>
      <c r="O101" s="98" t="s">
        <v>474</v>
      </c>
      <c r="P101" s="93" t="str">
        <f aca="false">VLOOKUP(O101,ECR!E:L,8,FALSE())</f>
        <v>Kareem Hunt</v>
      </c>
      <c r="Q101" s="94" t="str">
        <f aca="false">IFERROR(VLOOKUP(Table4[[#This Row],[PLAYER]],ECR!C:F,2,FALSE()),"-")</f>
        <v>FA</v>
      </c>
      <c r="R101" s="94" t="str">
        <f aca="false">IFERROR(VLOOKUP(Table4[[#This Row],[PLAYER]],ECR!C:F,4,FALSE()),"-")</f>
        <v>-</v>
      </c>
      <c r="S101" s="94" t="str">
        <f aca="false">Table4[[#This Row],[Team]] &amp; "/" &amp; Table4[[#This Row],[Bye]]</f>
        <v>FA/-</v>
      </c>
      <c r="T101" s="95" t="n">
        <f aca="false">IFERROR(VLOOKUP(Table4[[#This Row],[PLAYER]],RB!A:Q,13,FALSE())/17*(17-Table4[[#This Row],[Missed Games]]),0)</f>
        <v>0</v>
      </c>
      <c r="U101" s="95" t="n">
        <f aca="false">IFERROR(VLOOKUP(Table4[[#This Row],[PLAYER]],RB!A:Q,14,FALSE())/17*(17-Table4[[#This Row],[Missed Games]]),0)</f>
        <v>0</v>
      </c>
      <c r="V101" s="95" t="n">
        <f aca="false">IFERROR(VLOOKUP(Table4[[#This Row],[PLAYER]],RB!A:Q,15,FALSE())/17*(17-Table4[[#This Row],[Missed Games]]),0)</f>
        <v>0</v>
      </c>
      <c r="W101" s="96" t="n">
        <f aca="false">AVERAGE(AVERAGE(Table4[[#This Row],[LOW]],Table4[[#This Row],[HIGH]]),Table4[[#This Row],[AVG]],VLOOKUP(Table4[[#This Row],[PLAYER]],ECR!L:N,3,FALSE()))</f>
        <v>0</v>
      </c>
      <c r="X101" s="96" t="n">
        <f aca="false">Table4[[#This Row],[Zscore Projection]]-$Q$1</f>
        <v>-127.545738392157</v>
      </c>
      <c r="Y101" s="97" t="e">
        <f aca="false">MAX(Table4[[#This Row],[VBD]]*Scoring!$B$48+1,1)</f>
        <v>#VALUE!</v>
      </c>
      <c r="Z101" s="98" t="n">
        <f aca="false">VLOOKUP(Table4[[#This Row],[VBD]],BM:BO,3,FALSE())</f>
        <v>12</v>
      </c>
      <c r="AA101" s="99" t="n">
        <f aca="false">VLOOKUP(INDEX(ECR!$E:$E,MATCH(P101,ECR!$C:$C,0)),RISK!A:B,2,FALSE())</f>
        <v>4</v>
      </c>
      <c r="AB101" s="100"/>
      <c r="AC101" s="94" t="s">
        <v>475</v>
      </c>
      <c r="AD101" s="94" t="str">
        <f aca="false">VLOOKUP(AC101,ECR!E:L,8,FALSE())</f>
        <v>Elijah Sarratt</v>
      </c>
      <c r="AE101" s="94" t="str">
        <f aca="false">IFERROR(VLOOKUP(Table6[[#This Row],[PLAYER]],ECR!C:F,2,FALSE()),"-")</f>
        <v>BAL</v>
      </c>
      <c r="AF101" s="94" t="n">
        <f aca="false">IFERROR(VLOOKUP(Table6[[#This Row],[PLAYER]],ECR!C:F,4,FALSE()),"-")</f>
        <v>13</v>
      </c>
      <c r="AG101" s="94" t="str">
        <f aca="false">Table6[[#This Row],[Team]] &amp; "/" &amp; Table6[[#This Row],[Bye]]</f>
        <v>BAL/13</v>
      </c>
      <c r="AH101" s="95" t="n">
        <f aca="false">IFERROR(VLOOKUP(Table6[[#This Row],[PLAYER]],WR!A:Q,13,FALSE())/17*(17-Table6[[#This Row],[Missed Games]]),0)</f>
        <v>55.9491055845123</v>
      </c>
      <c r="AI101" s="95" t="n">
        <f aca="false">IFERROR(VLOOKUP(Table6[[#This Row],[PLAYER]],WR!A:Q,14,FALSE())/17*(17-Table6[[#This Row],[Missed Games]]),0)</f>
        <v>55.9491055845123</v>
      </c>
      <c r="AJ101" s="95" t="n">
        <f aca="false">IFERROR(VLOOKUP(Table6[[#This Row],[PLAYER]],WR!A:Q,15,FALSE())/17*(17-Table6[[#This Row],[Missed Games]]),0)</f>
        <v>55.9491055845123</v>
      </c>
      <c r="AK101" s="96" t="n">
        <f aca="false">AVERAGE(AVERAGE(Table6[[#This Row],[LOW]],Table6[[#This Row],[HIGH]]),Table6[[#This Row],[AVG]],VLOOKUP(Table6[[#This Row],[PLAYER]],ECR!L:N,3,FALSE()))</f>
        <v>48.8137621245967</v>
      </c>
      <c r="AL101" s="96" t="n">
        <f aca="false">Table6[[#This Row],[Zscore Projection]]-$AE$1</f>
        <v>-76.8641166205014</v>
      </c>
      <c r="AM101" s="97" t="e">
        <f aca="false">MAX(Table6[[#This Row],[VBD]]*Scoring!$B$48+1,1)</f>
        <v>#VALUE!</v>
      </c>
      <c r="AN101" s="98" t="n">
        <f aca="false">VLOOKUP(Table6[[#This Row],[VBD]],BR:BT,3,FALSE())</f>
        <v>10</v>
      </c>
      <c r="AO101" s="99" t="n">
        <f aca="false">VLOOKUP(INDEX(ECR!$E:$E,MATCH(AD101,ECR!$C:$C,0)),RISK!A:B,2,FALSE())</f>
        <v>3.84810126582278</v>
      </c>
      <c r="AP101" s="100"/>
      <c r="AQ101" s="101" t="s">
        <v>476</v>
      </c>
      <c r="AR101" s="80"/>
      <c r="AT101" s="80"/>
      <c r="AU101" s="80"/>
      <c r="AV101" s="80"/>
      <c r="AW101" s="80"/>
      <c r="AX101" s="80"/>
      <c r="AY101" s="80"/>
      <c r="AZ101" s="80"/>
      <c r="BA101" s="80"/>
      <c r="BC101" s="80"/>
      <c r="BD101" s="80"/>
      <c r="BF101" s="102" t="n">
        <v>99</v>
      </c>
      <c r="BG101" s="100" t="str">
        <f aca="false">IFERROR(LARGE($G$3:$G$52,BF101),"")</f>
        <v/>
      </c>
      <c r="BH101" s="104"/>
      <c r="BI101" s="104"/>
      <c r="BJ101" s="106"/>
      <c r="BK101" s="102" t="n">
        <v>99</v>
      </c>
      <c r="BL101" s="100" t="n">
        <f aca="false">IFERROR(LARGE($U$3:$U$102,BK101),"")</f>
        <v>0</v>
      </c>
      <c r="BM101" s="104" t="n">
        <f aca="false">IFERROR(LARGE($X$3:$X$102,99),"")</f>
        <v>-127.545738392157</v>
      </c>
      <c r="BN101" s="104" t="n">
        <f aca="false">IF(BM101="",BN100,IF((BN100-BM101)&gt;0.15*LARGE($X$3:$X$102,2),BM101,BN100))</f>
        <v>-123.112993294118</v>
      </c>
      <c r="BO101" s="103" t="n">
        <f aca="false">IF(BM101="",BO100,IF((BN100-BM101)&gt;0.15*LARGE($X$3:$X$102,2),BO100+1,BO100))</f>
        <v>12</v>
      </c>
      <c r="BP101" s="105" t="n">
        <v>99</v>
      </c>
      <c r="BQ101" s="100" t="n">
        <f aca="false">IFERROR(LARGE($AI$3:$AI$102,BP101),"")</f>
        <v>34.5430752047655</v>
      </c>
      <c r="BR101" s="104" t="n">
        <f aca="false">IFERROR(LARGE($AL$3:$AL$102,99),"")</f>
        <v>-83.0425176133035</v>
      </c>
      <c r="BS101" s="104" t="n">
        <f aca="false">IF(BR101="",BS100,IF((BS100-BR101)&gt;0.15*LARGE($AL$3:$AL$102,2),BR101,BS100))</f>
        <v>-71.2174133690742</v>
      </c>
      <c r="BT101" s="103" t="n">
        <f aca="false">IF(BR101="",BT100,IF((BS100-BR101)&gt;0.15*LARGE($AL$3:$AL$102,2),BT100+1,BT100))</f>
        <v>10</v>
      </c>
      <c r="BU101" s="102" t="n">
        <v>99</v>
      </c>
      <c r="BV101" s="100" t="str">
        <f aca="false">IFERROR(LARGE($AW$3:$AW$52,BU101),"")</f>
        <v/>
      </c>
      <c r="BW101" s="104"/>
      <c r="BX101" s="104"/>
      <c r="BY101" s="106" t="n">
        <f aca="false">IFERROR(VALUE(RIGHT(INDEX(ECR!$E:$E,MATCH(P101,ECR!$C:$C,0)),LEN(INDEX(ECR!$E:$E,MATCH(P101,ECR!$C:$C,0)))-2)),"")</f>
        <v>99</v>
      </c>
      <c r="BZ101" s="104"/>
      <c r="CA101" s="104"/>
      <c r="CB101" s="104"/>
      <c r="CC101" s="104"/>
      <c r="CD101" s="104"/>
      <c r="CE101" s="104"/>
      <c r="CF101" s="104"/>
      <c r="CG101" s="104"/>
    </row>
    <row r="102" s="107" customFormat="true" ht="14.25" hidden="false" customHeight="true" outlineLevel="0" collapsed="false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M102" s="80"/>
      <c r="O102" s="98" t="s">
        <v>477</v>
      </c>
      <c r="P102" s="93" t="str">
        <f aca="false">VLOOKUP(O102,ECR!E:L,8,FALSE())</f>
        <v>Bam Knight</v>
      </c>
      <c r="Q102" s="94" t="str">
        <f aca="false">IFERROR(VLOOKUP(Table4[[#This Row],[PLAYER]],ECR!C:F,2,FALSE()),"-")</f>
        <v>ARI</v>
      </c>
      <c r="R102" s="94" t="n">
        <f aca="false">IFERROR(VLOOKUP(Table4[[#This Row],[PLAYER]],ECR!C:F,4,FALSE()),"-")</f>
        <v>14</v>
      </c>
      <c r="S102" s="94" t="str">
        <f aca="false">Table4[[#This Row],[Team]] &amp; "/" &amp; Table4[[#This Row],[Bye]]</f>
        <v>ARI/14</v>
      </c>
      <c r="T102" s="95" t="n">
        <f aca="false">IFERROR(VLOOKUP(Table4[[#This Row],[PLAYER]],RB!A:Q,13,FALSE())/17*(17-Table4[[#This Row],[Missed Games]]),0)</f>
        <v>0</v>
      </c>
      <c r="U102" s="95" t="n">
        <f aca="false">IFERROR(VLOOKUP(Table4[[#This Row],[PLAYER]],RB!A:Q,14,FALSE())/17*(17-Table4[[#This Row],[Missed Games]]),0)</f>
        <v>6.92058823529412</v>
      </c>
      <c r="V102" s="95" t="n">
        <f aca="false">IFERROR(VLOOKUP(Table4[[#This Row],[PLAYER]],RB!A:Q,15,FALSE())/17*(17-Table4[[#This Row],[Missed Games]]),0)</f>
        <v>13.8411764705882</v>
      </c>
      <c r="W102" s="96" t="n">
        <f aca="false">AVERAGE(AVERAGE(Table4[[#This Row],[LOW]],Table4[[#This Row],[HIGH]]),Table4[[#This Row],[AVG]],VLOOKUP(Table4[[#This Row],[PLAYER]],ECR!L:N,3,FALSE()))</f>
        <v>4.61372549019608</v>
      </c>
      <c r="X102" s="96" t="n">
        <f aca="false">Table4[[#This Row],[Zscore Projection]]-$Q$1</f>
        <v>-122.932012901961</v>
      </c>
      <c r="Y102" s="97" t="e">
        <f aca="false">MAX(Table4[[#This Row],[VBD]]*Scoring!$B$48+1,1)</f>
        <v>#VALUE!</v>
      </c>
      <c r="Z102" s="98" t="n">
        <f aca="false">VLOOKUP(Table4[[#This Row],[VBD]],BM:BO,3,FALSE())</f>
        <v>11</v>
      </c>
      <c r="AA102" s="99" t="n">
        <f aca="false">VLOOKUP(INDEX(ECR!$E:$E,MATCH(P102,ECR!$C:$C,0)),RISK!A:B,2,FALSE())</f>
        <v>4</v>
      </c>
      <c r="AB102" s="100"/>
      <c r="AC102" s="94" t="s">
        <v>478</v>
      </c>
      <c r="AD102" s="94" t="str">
        <f aca="false">VLOOKUP(AC102,ECR!E:L,8,FALSE())</f>
        <v>Christian Kirk</v>
      </c>
      <c r="AE102" s="94" t="str">
        <f aca="false">IFERROR(VLOOKUP(Table6[[#This Row],[PLAYER]],ECR!C:F,2,FALSE()),"-")</f>
        <v>SF</v>
      </c>
      <c r="AF102" s="94" t="n">
        <f aca="false">IFERROR(VLOOKUP(Table6[[#This Row],[PLAYER]],ECR!C:F,4,FALSE()),"-")</f>
        <v>8</v>
      </c>
      <c r="AG102" s="94" t="str">
        <f aca="false">Table6[[#This Row],[Team]] &amp; "/" &amp; Table6[[#This Row],[Bye]]</f>
        <v>SF/8</v>
      </c>
      <c r="AH102" s="95" t="n">
        <f aca="false">IFERROR(VLOOKUP(Table6[[#This Row],[PLAYER]],WR!A:Q,13,FALSE())/17*(17-Table6[[#This Row],[Missed Games]]),0)</f>
        <v>0</v>
      </c>
      <c r="AI102" s="95" t="n">
        <f aca="false">IFERROR(VLOOKUP(Table6[[#This Row],[PLAYER]],WR!A:Q,14,FALSE())/17*(17-Table6[[#This Row],[Missed Games]]),0)</f>
        <v>33.8467982129561</v>
      </c>
      <c r="AJ102" s="95" t="n">
        <f aca="false">IFERROR(VLOOKUP(Table6[[#This Row],[PLAYER]],WR!A:Q,15,FALSE())/17*(17-Table6[[#This Row],[Missed Games]]),0)</f>
        <v>67.6935964259122</v>
      </c>
      <c r="AK102" s="96" t="n">
        <f aca="false">AVERAGE(AVERAGE(Table6[[#This Row],[LOW]],Table6[[#This Row],[HIGH]]),Table6[[#This Row],[AVG]],VLOOKUP(Table6[[#This Row],[PLAYER]],ECR!L:N,3,FALSE()))</f>
        <v>33.8467982129561</v>
      </c>
      <c r="AL102" s="96" t="n">
        <f aca="false">Table6[[#This Row],[Zscore Projection]]-$AE$1</f>
        <v>-91.831080532142</v>
      </c>
      <c r="AM102" s="97" t="e">
        <f aca="false">MAX(Table6[[#This Row],[VBD]]*Scoring!$B$48+1,1)</f>
        <v>#VALUE!</v>
      </c>
      <c r="AN102" s="98" t="n">
        <f aca="false">VLOOKUP(Table6[[#This Row],[VBD]],BR:BT,3,FALSE())</f>
        <v>11</v>
      </c>
      <c r="AO102" s="99" t="n">
        <f aca="false">VLOOKUP(INDEX(ECR!$E:$E,MATCH(AD102,ECR!$C:$C,0)),RISK!A:B,2,FALSE())</f>
        <v>3.84810126582278</v>
      </c>
      <c r="AP102" s="100"/>
      <c r="AQ102" s="101" t="s">
        <v>479</v>
      </c>
      <c r="AR102" s="80"/>
      <c r="AT102" s="80"/>
      <c r="AU102" s="80"/>
      <c r="AV102" s="80"/>
      <c r="AW102" s="80"/>
      <c r="AX102" s="80"/>
      <c r="AY102" s="80"/>
      <c r="AZ102" s="80"/>
      <c r="BA102" s="80"/>
      <c r="BC102" s="80"/>
      <c r="BD102" s="80"/>
      <c r="BF102" s="108" t="n">
        <v>100</v>
      </c>
      <c r="BG102" s="109" t="str">
        <f aca="false">IFERROR(LARGE($G$3:$G$52,BF102),"")</f>
        <v/>
      </c>
      <c r="BH102" s="110"/>
      <c r="BI102" s="110"/>
      <c r="BJ102" s="111"/>
      <c r="BK102" s="108" t="n">
        <v>100</v>
      </c>
      <c r="BL102" s="109" t="n">
        <f aca="false">IFERROR(LARGE($U$3:$U$102,BK102),"")</f>
        <v>0</v>
      </c>
      <c r="BM102" s="110" t="n">
        <f aca="false">IFERROR(LARGE($X$3:$X$102,100),"")</f>
        <v>-127.545738392157</v>
      </c>
      <c r="BN102" s="104" t="n">
        <f aca="false">IF(BM102="",BN101,IF((BN101-BM102)&gt;0.15*LARGE($X$3:$X$102,2),BM102,BN101))</f>
        <v>-123.112993294118</v>
      </c>
      <c r="BO102" s="103" t="n">
        <f aca="false">IF(BM102="",BO101,IF((BN101-BM102)&gt;0.15*LARGE($X$3:$X$102,2),BO101+1,BO101))</f>
        <v>12</v>
      </c>
      <c r="BP102" s="112" t="n">
        <v>100</v>
      </c>
      <c r="BQ102" s="109" t="n">
        <f aca="false">IFERROR(LARGE($AI$3:$AI$102,BP102),"")</f>
        <v>33.8467982129561</v>
      </c>
      <c r="BR102" s="110" t="n">
        <f aca="false">IFERROR(LARGE($AL$3:$AL$102,100),"")</f>
        <v>-91.831080532142</v>
      </c>
      <c r="BS102" s="104" t="n">
        <f aca="false">IF(BR102="",BS101,IF((BS101-BR102)&gt;0.15*LARGE($AL$3:$AL$102,2),BR102,BS101))</f>
        <v>-91.831080532142</v>
      </c>
      <c r="BT102" s="103" t="n">
        <f aca="false">IF(BR102="",BT101,IF((BS101-BR102)&gt;0.15*LARGE($AL$3:$AL$102,2),BT101+1,BT101))</f>
        <v>11</v>
      </c>
      <c r="BU102" s="108" t="n">
        <v>100</v>
      </c>
      <c r="BV102" s="109" t="str">
        <f aca="false">IFERROR(LARGE($AW$3:$AW$52,BU102),"")</f>
        <v/>
      </c>
      <c r="BW102" s="110"/>
      <c r="BX102" s="110"/>
      <c r="BY102" s="111" t="n">
        <f aca="false">IFERROR(VALUE(RIGHT(INDEX(ECR!$E:$E,MATCH(P102,ECR!$C:$C,0)),LEN(INDEX(ECR!$E:$E,MATCH(P102,ECR!$C:$C,0)))-2)),"")</f>
        <v>100</v>
      </c>
      <c r="BZ102" s="104"/>
      <c r="CA102" s="104"/>
      <c r="CB102" s="104"/>
      <c r="CC102" s="104"/>
      <c r="CD102" s="104"/>
      <c r="CE102" s="104"/>
      <c r="CF102" s="104"/>
      <c r="CG102" s="104"/>
    </row>
    <row r="103" s="107" customFormat="true" ht="14.25" hidden="false" customHeight="true" outlineLevel="0" collapsed="false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M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AA103" s="80"/>
      <c r="AC103" s="80"/>
      <c r="AD103" s="80"/>
      <c r="AF103" s="80"/>
      <c r="AG103" s="80"/>
      <c r="AH103" s="80"/>
      <c r="AI103" s="80"/>
      <c r="AJ103" s="80"/>
      <c r="AK103" s="80"/>
      <c r="AL103" s="80"/>
      <c r="AM103" s="80"/>
      <c r="AO103" s="80"/>
      <c r="AQ103" s="80"/>
      <c r="AR103" s="80"/>
      <c r="AT103" s="80"/>
      <c r="AU103" s="80"/>
      <c r="AV103" s="80"/>
      <c r="AW103" s="80"/>
      <c r="AX103" s="80"/>
      <c r="AY103" s="80"/>
      <c r="AZ103" s="80"/>
      <c r="BA103" s="80"/>
      <c r="BC103" s="80"/>
      <c r="BD103" s="80"/>
      <c r="BH103" s="104"/>
      <c r="BI103" s="104"/>
      <c r="BJ103" s="104"/>
      <c r="BK103" s="104"/>
      <c r="BL103" s="104"/>
      <c r="BM103" s="104"/>
      <c r="BN103" s="104"/>
      <c r="BO103" s="100"/>
      <c r="BP103" s="104"/>
      <c r="BQ103" s="100"/>
      <c r="BR103" s="104"/>
      <c r="BS103" s="104"/>
      <c r="BT103" s="104"/>
      <c r="BU103" s="104"/>
      <c r="BV103" s="104"/>
      <c r="BW103" s="104"/>
      <c r="BX103" s="104"/>
      <c r="BY103" s="104"/>
      <c r="BZ103" s="104"/>
      <c r="CA103" s="104"/>
      <c r="CB103" s="104"/>
      <c r="CC103" s="104"/>
      <c r="CD103" s="104"/>
      <c r="CE103" s="104"/>
      <c r="CF103" s="104"/>
      <c r="CG103" s="104"/>
    </row>
    <row r="104" s="107" customFormat="true" ht="14.25" hidden="false" customHeight="true" outlineLevel="0" collapsed="false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M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AA104" s="80"/>
      <c r="AC104" s="80"/>
      <c r="AD104" s="80"/>
      <c r="AF104" s="80"/>
      <c r="AG104" s="80"/>
      <c r="AH104" s="80"/>
      <c r="AI104" s="80"/>
      <c r="AJ104" s="80"/>
      <c r="AK104" s="80"/>
      <c r="AL104" s="80"/>
      <c r="AM104" s="80"/>
      <c r="AO104" s="80"/>
      <c r="AQ104" s="80"/>
      <c r="AR104" s="80"/>
      <c r="AT104" s="80"/>
      <c r="AU104" s="80"/>
      <c r="AV104" s="80"/>
      <c r="AW104" s="80"/>
      <c r="AX104" s="80"/>
      <c r="AY104" s="80"/>
      <c r="AZ104" s="80"/>
      <c r="BA104" s="80"/>
      <c r="BC104" s="80"/>
      <c r="BD104" s="80"/>
      <c r="BH104" s="104"/>
      <c r="BI104" s="104"/>
      <c r="BJ104" s="104"/>
      <c r="BK104" s="104"/>
      <c r="BL104" s="104"/>
      <c r="BM104" s="104"/>
      <c r="BN104" s="104"/>
      <c r="BO104" s="104"/>
      <c r="BP104" s="104"/>
      <c r="BQ104" s="104"/>
      <c r="BR104" s="104"/>
      <c r="BS104" s="104"/>
      <c r="BT104" s="104"/>
      <c r="BU104" s="104"/>
      <c r="BV104" s="104"/>
      <c r="BW104" s="104"/>
      <c r="BX104" s="104"/>
      <c r="BY104" s="104"/>
      <c r="BZ104" s="104"/>
      <c r="CA104" s="104"/>
      <c r="CB104" s="104"/>
      <c r="CC104" s="104"/>
      <c r="CD104" s="104"/>
      <c r="CE104" s="104"/>
      <c r="CF104" s="104"/>
      <c r="CG104" s="104"/>
    </row>
    <row r="105" s="107" customFormat="true" ht="14.25" hidden="false" customHeight="true" outlineLevel="0" collapsed="false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M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AA105" s="80"/>
      <c r="AC105" s="80"/>
      <c r="AD105" s="80"/>
      <c r="AF105" s="80"/>
      <c r="AG105" s="80"/>
      <c r="AH105" s="80"/>
      <c r="AI105" s="80"/>
      <c r="AJ105" s="80"/>
      <c r="AK105" s="80"/>
      <c r="AL105" s="80"/>
      <c r="AM105" s="80"/>
      <c r="AO105" s="80"/>
      <c r="AQ105" s="80"/>
      <c r="AR105" s="80"/>
      <c r="AT105" s="80"/>
      <c r="AU105" s="80"/>
      <c r="AV105" s="80"/>
      <c r="AW105" s="80"/>
      <c r="AX105" s="80"/>
      <c r="AY105" s="80"/>
      <c r="AZ105" s="80"/>
      <c r="BA105" s="80"/>
      <c r="BC105" s="80"/>
      <c r="BD105" s="80"/>
      <c r="BH105" s="104"/>
      <c r="BI105" s="104"/>
      <c r="BJ105" s="104"/>
      <c r="BK105" s="104"/>
      <c r="BL105" s="104"/>
      <c r="BM105" s="104"/>
      <c r="BN105" s="104"/>
      <c r="BO105" s="104"/>
      <c r="BP105" s="104"/>
      <c r="BQ105" s="104"/>
      <c r="BR105" s="104"/>
      <c r="BS105" s="104"/>
      <c r="BT105" s="104"/>
      <c r="BU105" s="104"/>
      <c r="BV105" s="104"/>
      <c r="BW105" s="104"/>
      <c r="BX105" s="104"/>
      <c r="BY105" s="104"/>
      <c r="BZ105" s="104"/>
      <c r="CA105" s="104"/>
      <c r="CB105" s="104"/>
      <c r="CC105" s="104"/>
      <c r="CD105" s="104"/>
      <c r="CE105" s="104"/>
      <c r="CF105" s="104"/>
      <c r="CG105" s="104"/>
    </row>
    <row r="106" s="107" customFormat="true" ht="14.25" hidden="false" customHeight="true" outlineLevel="0" collapsed="false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M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AA106" s="80"/>
      <c r="AC106" s="80"/>
      <c r="AD106" s="80"/>
      <c r="AF106" s="80"/>
      <c r="AG106" s="80"/>
      <c r="AH106" s="80"/>
      <c r="AI106" s="80"/>
      <c r="AJ106" s="80"/>
      <c r="AK106" s="80"/>
      <c r="AL106" s="80"/>
      <c r="AM106" s="80"/>
      <c r="AO106" s="80"/>
      <c r="AQ106" s="80"/>
      <c r="AR106" s="80"/>
      <c r="AT106" s="80"/>
      <c r="AU106" s="80"/>
      <c r="AV106" s="80"/>
      <c r="AW106" s="80"/>
      <c r="AX106" s="80"/>
      <c r="AY106" s="80"/>
      <c r="AZ106" s="80"/>
      <c r="BA106" s="80"/>
      <c r="BC106" s="80"/>
      <c r="BD106" s="80"/>
      <c r="BH106" s="104"/>
      <c r="BI106" s="104"/>
      <c r="BJ106" s="104"/>
      <c r="BK106" s="104"/>
      <c r="BL106" s="104"/>
      <c r="BM106" s="104"/>
      <c r="BN106" s="104"/>
      <c r="BO106" s="104"/>
      <c r="BP106" s="104"/>
      <c r="BQ106" s="104"/>
      <c r="BR106" s="104"/>
      <c r="BS106" s="104"/>
      <c r="BT106" s="104"/>
      <c r="BU106" s="104"/>
      <c r="BV106" s="104"/>
      <c r="BW106" s="104"/>
      <c r="BX106" s="104"/>
      <c r="BY106" s="104"/>
      <c r="BZ106" s="104"/>
      <c r="CA106" s="104"/>
      <c r="CB106" s="104"/>
      <c r="CC106" s="104"/>
      <c r="CD106" s="104"/>
      <c r="CE106" s="104"/>
      <c r="CF106" s="104"/>
      <c r="CG106" s="104"/>
    </row>
    <row r="107" s="107" customFormat="true" ht="14.25" hidden="false" customHeight="true" outlineLevel="0" collapsed="false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M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AA107" s="80"/>
      <c r="AC107" s="80"/>
      <c r="AD107" s="80"/>
      <c r="AF107" s="80"/>
      <c r="AG107" s="80"/>
      <c r="AH107" s="80"/>
      <c r="AI107" s="80"/>
      <c r="AJ107" s="80"/>
      <c r="AK107" s="80"/>
      <c r="AL107" s="80"/>
      <c r="AM107" s="80"/>
      <c r="AO107" s="80"/>
      <c r="AQ107" s="80"/>
      <c r="AR107" s="80"/>
      <c r="AT107" s="80"/>
      <c r="AU107" s="80"/>
      <c r="AV107" s="80"/>
      <c r="AW107" s="80"/>
      <c r="AX107" s="80"/>
      <c r="AY107" s="80"/>
      <c r="AZ107" s="80"/>
      <c r="BA107" s="80"/>
      <c r="BC107" s="80"/>
      <c r="BD107" s="80"/>
      <c r="BH107" s="104"/>
      <c r="BI107" s="104"/>
      <c r="BJ107" s="104"/>
      <c r="BK107" s="104"/>
      <c r="BL107" s="104"/>
      <c r="BM107" s="104"/>
      <c r="BN107" s="104"/>
      <c r="BO107" s="104"/>
      <c r="BP107" s="104"/>
      <c r="BQ107" s="104"/>
      <c r="BR107" s="104"/>
      <c r="BS107" s="104"/>
      <c r="BT107" s="104"/>
      <c r="BU107" s="104"/>
      <c r="BV107" s="104"/>
      <c r="BW107" s="104"/>
      <c r="BX107" s="104"/>
      <c r="BY107" s="104"/>
      <c r="BZ107" s="104"/>
      <c r="CA107" s="104"/>
      <c r="CB107" s="104"/>
      <c r="CC107" s="104"/>
      <c r="CD107" s="104"/>
      <c r="CE107" s="104"/>
      <c r="CF107" s="104"/>
      <c r="CG107" s="104"/>
    </row>
    <row r="108" s="107" customFormat="true" ht="14.25" hidden="false" customHeight="true" outlineLevel="0" collapsed="false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M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AA108" s="80"/>
      <c r="AC108" s="80"/>
      <c r="AD108" s="80"/>
      <c r="AF108" s="80"/>
      <c r="AG108" s="80"/>
      <c r="AH108" s="80"/>
      <c r="AI108" s="80"/>
      <c r="AJ108" s="80"/>
      <c r="AK108" s="80"/>
      <c r="AL108" s="80"/>
      <c r="AM108" s="80"/>
      <c r="AO108" s="80"/>
      <c r="AQ108" s="80"/>
      <c r="AR108" s="80"/>
      <c r="AT108" s="80"/>
      <c r="AU108" s="80"/>
      <c r="AV108" s="80"/>
      <c r="AW108" s="80"/>
      <c r="AX108" s="80"/>
      <c r="AY108" s="80"/>
      <c r="AZ108" s="80"/>
      <c r="BA108" s="80"/>
      <c r="BC108" s="80"/>
      <c r="BD108" s="80"/>
      <c r="BH108" s="104"/>
      <c r="BI108" s="104"/>
      <c r="BJ108" s="104"/>
      <c r="BK108" s="104"/>
      <c r="BL108" s="104"/>
      <c r="BM108" s="104"/>
      <c r="BN108" s="104"/>
      <c r="BO108" s="104"/>
      <c r="BP108" s="104"/>
      <c r="BQ108" s="104"/>
      <c r="BR108" s="104"/>
      <c r="BS108" s="104"/>
      <c r="BT108" s="104"/>
      <c r="BU108" s="104"/>
      <c r="BV108" s="104"/>
      <c r="BW108" s="104"/>
      <c r="BX108" s="104"/>
      <c r="BY108" s="104"/>
      <c r="BZ108" s="104"/>
      <c r="CA108" s="104"/>
      <c r="CB108" s="104"/>
      <c r="CC108" s="104"/>
      <c r="CD108" s="104"/>
      <c r="CE108" s="104"/>
      <c r="CF108" s="104"/>
      <c r="CG108" s="104"/>
    </row>
    <row r="109" s="107" customFormat="true" ht="14.25" hidden="false" customHeight="true" outlineLevel="0" collapsed="false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M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AA109" s="80"/>
      <c r="AC109" s="80"/>
      <c r="AD109" s="80"/>
      <c r="AF109" s="80"/>
      <c r="AG109" s="80"/>
      <c r="AH109" s="80"/>
      <c r="AI109" s="80"/>
      <c r="AJ109" s="80"/>
      <c r="AK109" s="80"/>
      <c r="AL109" s="80"/>
      <c r="AM109" s="80"/>
      <c r="AO109" s="80"/>
      <c r="AQ109" s="80"/>
      <c r="AR109" s="80"/>
      <c r="AT109" s="80"/>
      <c r="AU109" s="80"/>
      <c r="AV109" s="80"/>
      <c r="AW109" s="80"/>
      <c r="AX109" s="80"/>
      <c r="AY109" s="80"/>
      <c r="AZ109" s="80"/>
      <c r="BA109" s="80"/>
      <c r="BC109" s="80"/>
      <c r="BD109" s="80"/>
      <c r="BH109" s="104"/>
      <c r="BI109" s="104"/>
      <c r="BJ109" s="104"/>
      <c r="BK109" s="104"/>
      <c r="BL109" s="104"/>
      <c r="BM109" s="104"/>
      <c r="BN109" s="104"/>
      <c r="BO109" s="104"/>
      <c r="BP109" s="104"/>
      <c r="BQ109" s="104"/>
      <c r="BR109" s="104"/>
      <c r="BS109" s="104"/>
      <c r="BT109" s="104"/>
      <c r="BU109" s="104"/>
      <c r="BV109" s="104"/>
      <c r="BW109" s="104"/>
      <c r="BX109" s="104"/>
      <c r="BY109" s="104"/>
      <c r="BZ109" s="104"/>
      <c r="CA109" s="104"/>
      <c r="CB109" s="104"/>
      <c r="CC109" s="104"/>
      <c r="CD109" s="104"/>
      <c r="CE109" s="104"/>
      <c r="CF109" s="104"/>
      <c r="CG109" s="104"/>
    </row>
    <row r="110" s="107" customFormat="true" ht="14.25" hidden="false" customHeight="true" outlineLevel="0" collapsed="false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M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AA110" s="80"/>
      <c r="AC110" s="80"/>
      <c r="AD110" s="80"/>
      <c r="AF110" s="80"/>
      <c r="AG110" s="80"/>
      <c r="AH110" s="80"/>
      <c r="AI110" s="80"/>
      <c r="AJ110" s="80"/>
      <c r="AK110" s="80"/>
      <c r="AL110" s="80"/>
      <c r="AM110" s="80"/>
      <c r="AO110" s="80"/>
      <c r="AQ110" s="80"/>
      <c r="AR110" s="80"/>
      <c r="AT110" s="80"/>
      <c r="AU110" s="80"/>
      <c r="AV110" s="80"/>
      <c r="AW110" s="80"/>
      <c r="AX110" s="80"/>
      <c r="AY110" s="80"/>
      <c r="AZ110" s="80"/>
      <c r="BA110" s="80"/>
      <c r="BC110" s="80"/>
      <c r="BD110" s="80"/>
      <c r="BH110" s="104"/>
      <c r="BI110" s="104"/>
      <c r="BJ110" s="104"/>
      <c r="BK110" s="104"/>
      <c r="BL110" s="104"/>
      <c r="BM110" s="104"/>
      <c r="BN110" s="104"/>
      <c r="BO110" s="104"/>
      <c r="BP110" s="104"/>
      <c r="BQ110" s="104"/>
      <c r="BR110" s="104"/>
      <c r="BS110" s="104"/>
      <c r="BT110" s="104"/>
      <c r="BU110" s="104"/>
      <c r="BV110" s="104"/>
      <c r="BW110" s="104"/>
      <c r="BX110" s="104"/>
      <c r="BY110" s="104"/>
      <c r="BZ110" s="104"/>
      <c r="CA110" s="104"/>
      <c r="CB110" s="104"/>
      <c r="CC110" s="104"/>
      <c r="CD110" s="104"/>
      <c r="CE110" s="104"/>
      <c r="CF110" s="104"/>
      <c r="CG110" s="104"/>
    </row>
    <row r="111" s="107" customFormat="true" ht="14.25" hidden="false" customHeight="true" outlineLevel="0" collapsed="false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M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AA111" s="80"/>
      <c r="AC111" s="80"/>
      <c r="AD111" s="80"/>
      <c r="AF111" s="80"/>
      <c r="AG111" s="80"/>
      <c r="AH111" s="80"/>
      <c r="AI111" s="80"/>
      <c r="AJ111" s="80"/>
      <c r="AK111" s="80"/>
      <c r="AL111" s="80"/>
      <c r="AM111" s="80"/>
      <c r="AO111" s="80"/>
      <c r="AQ111" s="80"/>
      <c r="AR111" s="80"/>
      <c r="AT111" s="80"/>
      <c r="AU111" s="80"/>
      <c r="AV111" s="80"/>
      <c r="AW111" s="80"/>
      <c r="AX111" s="80"/>
      <c r="AY111" s="80"/>
      <c r="AZ111" s="80"/>
      <c r="BA111" s="80"/>
      <c r="BC111" s="80"/>
      <c r="BD111" s="80"/>
      <c r="BH111" s="104"/>
      <c r="BI111" s="104"/>
      <c r="BJ111" s="104"/>
      <c r="BK111" s="104"/>
      <c r="BL111" s="104"/>
      <c r="BM111" s="104"/>
      <c r="BN111" s="104"/>
      <c r="BO111" s="104"/>
      <c r="BP111" s="104"/>
      <c r="BQ111" s="104"/>
      <c r="BR111" s="104"/>
      <c r="BS111" s="104"/>
      <c r="BT111" s="104"/>
      <c r="BU111" s="104"/>
      <c r="BV111" s="104"/>
      <c r="BW111" s="104"/>
      <c r="BX111" s="104"/>
      <c r="BY111" s="104"/>
      <c r="BZ111" s="104"/>
      <c r="CA111" s="104"/>
      <c r="CB111" s="104"/>
      <c r="CC111" s="104"/>
      <c r="CD111" s="104"/>
      <c r="CE111" s="104"/>
      <c r="CF111" s="104"/>
      <c r="CG111" s="104"/>
    </row>
    <row r="112" s="107" customFormat="true" ht="14.25" hidden="false" customHeight="true" outlineLevel="0" collapsed="false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M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AA112" s="80"/>
      <c r="AC112" s="80"/>
      <c r="AD112" s="80"/>
      <c r="AF112" s="80"/>
      <c r="AG112" s="80"/>
      <c r="AH112" s="80"/>
      <c r="AI112" s="80"/>
      <c r="AJ112" s="80"/>
      <c r="AK112" s="80"/>
      <c r="AL112" s="80"/>
      <c r="AM112" s="80"/>
      <c r="AO112" s="80"/>
      <c r="AQ112" s="80"/>
      <c r="AR112" s="80"/>
      <c r="AT112" s="80"/>
      <c r="AU112" s="80"/>
      <c r="AV112" s="80"/>
      <c r="AW112" s="80"/>
      <c r="AX112" s="80"/>
      <c r="AY112" s="80"/>
      <c r="AZ112" s="80"/>
      <c r="BA112" s="80"/>
      <c r="BC112" s="80"/>
      <c r="BD112" s="80"/>
      <c r="BH112" s="104"/>
      <c r="BI112" s="104"/>
      <c r="BJ112" s="104"/>
      <c r="BK112" s="104"/>
      <c r="BL112" s="104"/>
      <c r="BM112" s="104"/>
      <c r="BN112" s="104"/>
      <c r="BO112" s="104"/>
      <c r="BP112" s="104"/>
      <c r="BQ112" s="104"/>
      <c r="BR112" s="104"/>
      <c r="BS112" s="104"/>
      <c r="BT112" s="104"/>
      <c r="BU112" s="104"/>
      <c r="BV112" s="104"/>
      <c r="BW112" s="104"/>
      <c r="BX112" s="104"/>
      <c r="BY112" s="104"/>
      <c r="BZ112" s="104"/>
      <c r="CA112" s="104"/>
      <c r="CB112" s="104"/>
      <c r="CC112" s="104"/>
      <c r="CD112" s="104"/>
      <c r="CE112" s="104"/>
      <c r="CF112" s="104"/>
      <c r="CG112" s="104"/>
    </row>
    <row r="113" s="107" customFormat="true" ht="14.25" hidden="false" customHeight="true" outlineLevel="0" collapsed="false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M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AA113" s="80"/>
      <c r="AC113" s="80"/>
      <c r="AD113" s="80"/>
      <c r="AF113" s="80"/>
      <c r="AG113" s="80"/>
      <c r="AH113" s="80"/>
      <c r="AI113" s="80"/>
      <c r="AJ113" s="80"/>
      <c r="AK113" s="80"/>
      <c r="AL113" s="80"/>
      <c r="AM113" s="80"/>
      <c r="AO113" s="80"/>
      <c r="AQ113" s="80"/>
      <c r="AR113" s="80"/>
      <c r="AT113" s="80"/>
      <c r="AU113" s="80"/>
      <c r="AV113" s="80"/>
      <c r="AW113" s="80"/>
      <c r="AX113" s="80"/>
      <c r="AY113" s="80"/>
      <c r="AZ113" s="80"/>
      <c r="BA113" s="80"/>
      <c r="BC113" s="80"/>
      <c r="BD113" s="80"/>
      <c r="BH113" s="104"/>
      <c r="BI113" s="104"/>
      <c r="BJ113" s="104"/>
      <c r="BK113" s="104"/>
      <c r="BL113" s="104"/>
      <c r="BM113" s="104"/>
      <c r="BN113" s="104"/>
      <c r="BO113" s="104"/>
      <c r="BP113" s="104"/>
      <c r="BQ113" s="104"/>
      <c r="BR113" s="104"/>
      <c r="BS113" s="104"/>
      <c r="BT113" s="104"/>
      <c r="BU113" s="104"/>
      <c r="BV113" s="104"/>
      <c r="BW113" s="104"/>
      <c r="BX113" s="104"/>
      <c r="BY113" s="104"/>
      <c r="BZ113" s="104"/>
      <c r="CA113" s="104"/>
      <c r="CB113" s="104"/>
      <c r="CC113" s="104"/>
      <c r="CD113" s="104"/>
      <c r="CE113" s="104"/>
      <c r="CF113" s="104"/>
      <c r="CG113" s="104"/>
    </row>
    <row r="114" s="107" customFormat="true" ht="14.25" hidden="false" customHeight="true" outlineLevel="0" collapsed="false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M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AA114" s="80"/>
      <c r="AC114" s="80"/>
      <c r="AD114" s="80"/>
      <c r="AF114" s="80"/>
      <c r="AG114" s="80"/>
      <c r="AH114" s="80"/>
      <c r="AI114" s="80"/>
      <c r="AJ114" s="80"/>
      <c r="AK114" s="80"/>
      <c r="AL114" s="80"/>
      <c r="AM114" s="80"/>
      <c r="AO114" s="80"/>
      <c r="AQ114" s="80"/>
      <c r="AR114" s="80"/>
      <c r="AT114" s="80"/>
      <c r="AU114" s="80"/>
      <c r="AV114" s="80"/>
      <c r="AW114" s="80"/>
      <c r="AX114" s="80"/>
      <c r="AY114" s="80"/>
      <c r="AZ114" s="80"/>
      <c r="BA114" s="80"/>
      <c r="BC114" s="80"/>
      <c r="BD114" s="80"/>
      <c r="BH114" s="104"/>
      <c r="BI114" s="104"/>
      <c r="BJ114" s="104"/>
      <c r="BK114" s="104"/>
      <c r="BL114" s="104"/>
      <c r="BM114" s="104"/>
      <c r="BN114" s="104"/>
      <c r="BO114" s="104"/>
      <c r="BP114" s="104"/>
      <c r="BQ114" s="104"/>
      <c r="BR114" s="104"/>
      <c r="BS114" s="104"/>
      <c r="BT114" s="104"/>
      <c r="BU114" s="104"/>
      <c r="BV114" s="104"/>
      <c r="BW114" s="104"/>
      <c r="BX114" s="104"/>
      <c r="BY114" s="104"/>
      <c r="BZ114" s="104"/>
      <c r="CA114" s="104"/>
      <c r="CB114" s="104"/>
      <c r="CC114" s="104"/>
      <c r="CD114" s="104"/>
      <c r="CE114" s="104"/>
      <c r="CF114" s="104"/>
      <c r="CG114" s="104"/>
    </row>
    <row r="115" s="107" customFormat="true" ht="14.25" hidden="false" customHeight="true" outlineLevel="0" collapsed="false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M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AA115" s="80"/>
      <c r="AC115" s="80"/>
      <c r="AD115" s="80"/>
      <c r="AF115" s="80"/>
      <c r="AG115" s="80"/>
      <c r="AH115" s="80"/>
      <c r="AI115" s="80"/>
      <c r="AJ115" s="80"/>
      <c r="AK115" s="80"/>
      <c r="AL115" s="80"/>
      <c r="AM115" s="80"/>
      <c r="AO115" s="80"/>
      <c r="AQ115" s="80"/>
      <c r="AR115" s="80"/>
      <c r="AT115" s="80"/>
      <c r="AU115" s="80"/>
      <c r="AV115" s="80"/>
      <c r="AW115" s="80"/>
      <c r="AX115" s="80"/>
      <c r="AY115" s="80"/>
      <c r="AZ115" s="80"/>
      <c r="BA115" s="80"/>
      <c r="BC115" s="80"/>
      <c r="BD115" s="80"/>
      <c r="BH115" s="104"/>
      <c r="BI115" s="104"/>
      <c r="BJ115" s="104"/>
      <c r="BK115" s="104"/>
      <c r="BL115" s="104"/>
      <c r="BM115" s="104"/>
      <c r="BN115" s="104"/>
      <c r="BO115" s="104"/>
      <c r="BP115" s="104"/>
      <c r="BQ115" s="104"/>
      <c r="BR115" s="104"/>
      <c r="BS115" s="104"/>
      <c r="BT115" s="104"/>
      <c r="BU115" s="104"/>
      <c r="BV115" s="104"/>
      <c r="BW115" s="104"/>
      <c r="BX115" s="104"/>
      <c r="BY115" s="104"/>
      <c r="BZ115" s="104"/>
      <c r="CA115" s="104"/>
      <c r="CB115" s="104"/>
      <c r="CC115" s="104"/>
      <c r="CD115" s="104"/>
      <c r="CE115" s="104"/>
      <c r="CF115" s="104"/>
      <c r="CG115" s="104"/>
    </row>
    <row r="116" s="107" customFormat="true" ht="14.25" hidden="false" customHeight="true" outlineLevel="0" collapsed="false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M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AA116" s="80"/>
      <c r="AC116" s="80"/>
      <c r="AD116" s="80"/>
      <c r="AF116" s="80"/>
      <c r="AG116" s="80"/>
      <c r="AH116" s="80"/>
      <c r="AI116" s="80"/>
      <c r="AJ116" s="80"/>
      <c r="AK116" s="80"/>
      <c r="AL116" s="80"/>
      <c r="AM116" s="80"/>
      <c r="AO116" s="80"/>
      <c r="AQ116" s="80"/>
      <c r="AR116" s="80"/>
      <c r="AT116" s="80"/>
      <c r="AU116" s="80"/>
      <c r="AV116" s="80"/>
      <c r="AW116" s="80"/>
      <c r="AX116" s="80"/>
      <c r="AY116" s="80"/>
      <c r="AZ116" s="80"/>
      <c r="BA116" s="80"/>
      <c r="BC116" s="80"/>
      <c r="BD116" s="80"/>
      <c r="BH116" s="104"/>
      <c r="BI116" s="104"/>
      <c r="BJ116" s="104"/>
      <c r="BK116" s="104"/>
      <c r="BL116" s="104"/>
      <c r="BM116" s="104"/>
      <c r="BN116" s="104"/>
      <c r="BO116" s="104"/>
      <c r="BP116" s="104"/>
      <c r="BQ116" s="104"/>
      <c r="BR116" s="104"/>
      <c r="BS116" s="104"/>
      <c r="BT116" s="104"/>
      <c r="BU116" s="104"/>
      <c r="BV116" s="104"/>
      <c r="BW116" s="104"/>
      <c r="BX116" s="104"/>
      <c r="BY116" s="104"/>
      <c r="BZ116" s="104"/>
      <c r="CA116" s="104"/>
      <c r="CB116" s="104"/>
      <c r="CC116" s="104"/>
      <c r="CD116" s="104"/>
      <c r="CE116" s="104"/>
      <c r="CF116" s="104"/>
      <c r="CG116" s="104"/>
    </row>
    <row r="117" s="107" customFormat="true" ht="14.25" hidden="false" customHeight="true" outlineLevel="0" collapsed="false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M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AA117" s="80"/>
      <c r="AC117" s="80"/>
      <c r="AD117" s="80"/>
      <c r="AF117" s="80"/>
      <c r="AG117" s="80"/>
      <c r="AH117" s="80"/>
      <c r="AI117" s="80"/>
      <c r="AJ117" s="80"/>
      <c r="AK117" s="80"/>
      <c r="AL117" s="80"/>
      <c r="AM117" s="80"/>
      <c r="AO117" s="80"/>
      <c r="AQ117" s="80"/>
      <c r="AR117" s="80"/>
      <c r="AT117" s="80"/>
      <c r="AU117" s="80"/>
      <c r="AV117" s="80"/>
      <c r="AW117" s="80"/>
      <c r="AX117" s="80"/>
      <c r="AY117" s="80"/>
      <c r="AZ117" s="80"/>
      <c r="BA117" s="80"/>
      <c r="BC117" s="80"/>
      <c r="BD117" s="80"/>
      <c r="BH117" s="104"/>
      <c r="BI117" s="104"/>
      <c r="BJ117" s="104"/>
      <c r="BK117" s="104"/>
      <c r="BL117" s="104"/>
      <c r="BM117" s="104"/>
      <c r="BN117" s="104"/>
      <c r="BO117" s="104"/>
      <c r="BP117" s="104"/>
      <c r="BQ117" s="104"/>
      <c r="BR117" s="104"/>
      <c r="BS117" s="104"/>
      <c r="BT117" s="104"/>
      <c r="BU117" s="104"/>
      <c r="BV117" s="104"/>
      <c r="BW117" s="104"/>
      <c r="BX117" s="104"/>
      <c r="BY117" s="104"/>
      <c r="BZ117" s="104"/>
      <c r="CA117" s="104"/>
      <c r="CB117" s="104"/>
      <c r="CC117" s="104"/>
      <c r="CD117" s="104"/>
      <c r="CE117" s="104"/>
      <c r="CF117" s="104"/>
      <c r="CG117" s="104"/>
    </row>
    <row r="118" s="107" customFormat="true" ht="14.25" hidden="false" customHeight="true" outlineLevel="0" collapsed="false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M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AA118" s="80"/>
      <c r="AC118" s="80"/>
      <c r="AD118" s="80"/>
      <c r="AF118" s="80"/>
      <c r="AG118" s="80"/>
      <c r="AH118" s="80"/>
      <c r="AI118" s="80"/>
      <c r="AJ118" s="80"/>
      <c r="AK118" s="80"/>
      <c r="AL118" s="80"/>
      <c r="AM118" s="80"/>
      <c r="AO118" s="80"/>
      <c r="AQ118" s="80"/>
      <c r="AR118" s="80"/>
      <c r="AT118" s="80"/>
      <c r="AU118" s="80"/>
      <c r="AV118" s="80"/>
      <c r="AW118" s="80"/>
      <c r="AX118" s="80"/>
      <c r="AY118" s="80"/>
      <c r="AZ118" s="80"/>
      <c r="BA118" s="80"/>
      <c r="BC118" s="80"/>
      <c r="BD118" s="80"/>
      <c r="BH118" s="104"/>
      <c r="BI118" s="104"/>
      <c r="BJ118" s="104"/>
      <c r="BK118" s="104"/>
      <c r="BL118" s="104"/>
      <c r="BM118" s="104"/>
      <c r="BN118" s="104"/>
      <c r="BO118" s="104"/>
      <c r="BP118" s="104"/>
      <c r="BQ118" s="104"/>
      <c r="BR118" s="104"/>
      <c r="BS118" s="104"/>
      <c r="BT118" s="104"/>
      <c r="BU118" s="104"/>
      <c r="BV118" s="104"/>
      <c r="BW118" s="104"/>
      <c r="BX118" s="104"/>
      <c r="BY118" s="104"/>
      <c r="BZ118" s="104"/>
      <c r="CA118" s="104"/>
      <c r="CB118" s="104"/>
      <c r="CC118" s="104"/>
      <c r="CD118" s="104"/>
      <c r="CE118" s="104"/>
      <c r="CF118" s="104"/>
      <c r="CG118" s="104"/>
    </row>
    <row r="119" s="107" customFormat="true" ht="14.25" hidden="false" customHeight="true" outlineLevel="0" collapsed="false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M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AA119" s="80"/>
      <c r="AC119" s="80"/>
      <c r="AD119" s="80"/>
      <c r="AF119" s="80"/>
      <c r="AG119" s="80"/>
      <c r="AH119" s="80"/>
      <c r="AI119" s="80"/>
      <c r="AJ119" s="80"/>
      <c r="AK119" s="80"/>
      <c r="AL119" s="80"/>
      <c r="AM119" s="80"/>
      <c r="AO119" s="80"/>
      <c r="AQ119" s="80"/>
      <c r="AR119" s="80"/>
      <c r="AT119" s="80"/>
      <c r="AU119" s="80"/>
      <c r="AV119" s="80"/>
      <c r="AW119" s="80"/>
      <c r="AX119" s="80"/>
      <c r="AY119" s="80"/>
      <c r="AZ119" s="80"/>
      <c r="BA119" s="80"/>
      <c r="BC119" s="80"/>
      <c r="BD119" s="80"/>
      <c r="BH119" s="104"/>
      <c r="BI119" s="104"/>
      <c r="BJ119" s="104"/>
      <c r="BK119" s="104"/>
      <c r="BL119" s="104"/>
      <c r="BM119" s="104"/>
      <c r="BN119" s="104"/>
      <c r="BO119" s="104"/>
      <c r="BP119" s="104"/>
      <c r="BQ119" s="104"/>
      <c r="BR119" s="104"/>
      <c r="BS119" s="104"/>
      <c r="BT119" s="104"/>
      <c r="BU119" s="104"/>
      <c r="BV119" s="104"/>
      <c r="BW119" s="104"/>
      <c r="BX119" s="104"/>
      <c r="BY119" s="104"/>
      <c r="BZ119" s="104"/>
      <c r="CA119" s="104"/>
      <c r="CB119" s="104"/>
      <c r="CC119" s="104"/>
      <c r="CD119" s="104"/>
      <c r="CE119" s="104"/>
      <c r="CF119" s="104"/>
      <c r="CG119" s="104"/>
    </row>
    <row r="120" s="107" customFormat="true" ht="14.25" hidden="false" customHeight="true" outlineLevel="0" collapsed="false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M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AA120" s="80"/>
      <c r="AC120" s="80"/>
      <c r="AD120" s="80"/>
      <c r="AF120" s="80"/>
      <c r="AG120" s="80"/>
      <c r="AH120" s="80"/>
      <c r="AI120" s="80"/>
      <c r="AJ120" s="80"/>
      <c r="AK120" s="80"/>
      <c r="AL120" s="80"/>
      <c r="AM120" s="80"/>
      <c r="AO120" s="80"/>
      <c r="AQ120" s="80"/>
      <c r="AR120" s="80"/>
      <c r="AT120" s="80"/>
      <c r="AU120" s="80"/>
      <c r="AV120" s="80"/>
      <c r="AW120" s="80"/>
      <c r="AX120" s="80"/>
      <c r="AY120" s="80"/>
      <c r="AZ120" s="80"/>
      <c r="BA120" s="80"/>
      <c r="BC120" s="80"/>
      <c r="BD120" s="80"/>
      <c r="BH120" s="104"/>
      <c r="BI120" s="104"/>
      <c r="BJ120" s="104"/>
      <c r="BK120" s="104"/>
      <c r="BL120" s="104"/>
      <c r="BM120" s="104"/>
      <c r="BN120" s="104"/>
      <c r="BO120" s="104"/>
      <c r="BP120" s="104"/>
      <c r="BQ120" s="104"/>
      <c r="BR120" s="104"/>
      <c r="BS120" s="104"/>
      <c r="BT120" s="104"/>
      <c r="BU120" s="104"/>
      <c r="BV120" s="104"/>
      <c r="BW120" s="104"/>
      <c r="BX120" s="104"/>
      <c r="BY120" s="104"/>
      <c r="BZ120" s="104"/>
      <c r="CA120" s="104"/>
      <c r="CB120" s="104"/>
      <c r="CC120" s="104"/>
      <c r="CD120" s="104"/>
      <c r="CE120" s="104"/>
      <c r="CF120" s="104"/>
      <c r="CG120" s="104"/>
    </row>
    <row r="121" s="107" customFormat="true" ht="14.25" hidden="false" customHeight="true" outlineLevel="0" collapsed="false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M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AA121" s="80"/>
      <c r="AC121" s="80"/>
      <c r="AD121" s="80"/>
      <c r="AF121" s="80"/>
      <c r="AG121" s="80"/>
      <c r="AH121" s="80"/>
      <c r="AI121" s="80"/>
      <c r="AJ121" s="80"/>
      <c r="AK121" s="80"/>
      <c r="AL121" s="80"/>
      <c r="AM121" s="80"/>
      <c r="AO121" s="80"/>
      <c r="AQ121" s="80"/>
      <c r="AR121" s="80"/>
      <c r="AT121" s="80"/>
      <c r="AU121" s="80"/>
      <c r="AV121" s="80"/>
      <c r="AW121" s="80"/>
      <c r="AX121" s="80"/>
      <c r="AY121" s="80"/>
      <c r="AZ121" s="80"/>
      <c r="BA121" s="80"/>
      <c r="BC121" s="80"/>
      <c r="BD121" s="80"/>
      <c r="BH121" s="104"/>
      <c r="BI121" s="104"/>
      <c r="BJ121" s="104"/>
      <c r="BK121" s="104"/>
      <c r="BL121" s="104"/>
      <c r="BM121" s="104"/>
      <c r="BN121" s="104"/>
      <c r="BO121" s="104"/>
      <c r="BP121" s="104"/>
      <c r="BQ121" s="104"/>
      <c r="BR121" s="104"/>
      <c r="BS121" s="104"/>
      <c r="BT121" s="104"/>
      <c r="BU121" s="104"/>
      <c r="BV121" s="104"/>
      <c r="BW121" s="104"/>
      <c r="BX121" s="104"/>
      <c r="BY121" s="104"/>
      <c r="BZ121" s="104"/>
      <c r="CA121" s="104"/>
      <c r="CB121" s="104"/>
      <c r="CC121" s="104"/>
      <c r="CD121" s="104"/>
      <c r="CE121" s="104"/>
      <c r="CF121" s="104"/>
      <c r="CG121" s="104"/>
    </row>
    <row r="122" s="107" customFormat="true" ht="14.25" hidden="false" customHeight="true" outlineLevel="0" collapsed="false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M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AA122" s="80"/>
      <c r="AC122" s="80"/>
      <c r="AD122" s="80"/>
      <c r="AF122" s="80"/>
      <c r="AG122" s="80"/>
      <c r="AH122" s="80"/>
      <c r="AI122" s="80"/>
      <c r="AJ122" s="80"/>
      <c r="AK122" s="80"/>
      <c r="AL122" s="80"/>
      <c r="AM122" s="80"/>
      <c r="AO122" s="80"/>
      <c r="AQ122" s="80"/>
      <c r="AR122" s="80"/>
      <c r="AT122" s="80"/>
      <c r="AU122" s="80"/>
      <c r="AV122" s="80"/>
      <c r="AW122" s="80"/>
      <c r="AX122" s="80"/>
      <c r="AY122" s="80"/>
      <c r="AZ122" s="80"/>
      <c r="BA122" s="80"/>
      <c r="BC122" s="80"/>
      <c r="BD122" s="80"/>
      <c r="BH122" s="104"/>
      <c r="BI122" s="104"/>
      <c r="BJ122" s="104"/>
      <c r="BK122" s="104"/>
      <c r="BL122" s="104"/>
      <c r="BM122" s="104"/>
      <c r="BN122" s="104"/>
      <c r="BO122" s="104"/>
      <c r="BP122" s="104"/>
      <c r="BQ122" s="104"/>
      <c r="BR122" s="104"/>
      <c r="BS122" s="104"/>
      <c r="BT122" s="104"/>
      <c r="BU122" s="104"/>
      <c r="BV122" s="104"/>
      <c r="BW122" s="104"/>
      <c r="BX122" s="104"/>
      <c r="BY122" s="104"/>
      <c r="BZ122" s="104"/>
      <c r="CA122" s="104"/>
      <c r="CB122" s="104"/>
      <c r="CC122" s="104"/>
      <c r="CD122" s="104"/>
      <c r="CE122" s="104"/>
      <c r="CF122" s="104"/>
      <c r="CG122" s="104"/>
    </row>
    <row r="123" s="107" customFormat="true" ht="14.25" hidden="false" customHeight="true" outlineLevel="0" collapsed="false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M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AA123" s="80"/>
      <c r="AC123" s="80"/>
      <c r="AD123" s="80"/>
      <c r="AF123" s="80"/>
      <c r="AG123" s="80"/>
      <c r="AH123" s="80"/>
      <c r="AI123" s="80"/>
      <c r="AJ123" s="80"/>
      <c r="AK123" s="80"/>
      <c r="AL123" s="80"/>
      <c r="AM123" s="80"/>
      <c r="AO123" s="80"/>
      <c r="AQ123" s="80"/>
      <c r="AR123" s="80"/>
      <c r="AT123" s="80"/>
      <c r="AU123" s="80"/>
      <c r="AV123" s="80"/>
      <c r="AW123" s="80"/>
      <c r="AX123" s="80"/>
      <c r="AY123" s="80"/>
      <c r="AZ123" s="80"/>
      <c r="BA123" s="80"/>
      <c r="BC123" s="80"/>
      <c r="BD123" s="80"/>
      <c r="BH123" s="104"/>
      <c r="BI123" s="104"/>
      <c r="BJ123" s="104"/>
      <c r="BK123" s="104"/>
      <c r="BL123" s="104"/>
      <c r="BM123" s="104"/>
      <c r="BN123" s="104"/>
      <c r="BO123" s="104"/>
      <c r="BP123" s="104"/>
      <c r="BQ123" s="104"/>
      <c r="BR123" s="104"/>
      <c r="BS123" s="104"/>
      <c r="BT123" s="104"/>
      <c r="BU123" s="104"/>
      <c r="BV123" s="104"/>
      <c r="BW123" s="104"/>
      <c r="BX123" s="104"/>
      <c r="BY123" s="104"/>
      <c r="BZ123" s="104"/>
      <c r="CA123" s="104"/>
      <c r="CB123" s="104"/>
      <c r="CC123" s="104"/>
      <c r="CD123" s="104"/>
      <c r="CE123" s="104"/>
      <c r="CF123" s="104"/>
      <c r="CG123" s="104"/>
    </row>
    <row r="124" s="107" customFormat="true" ht="14.25" hidden="false" customHeight="true" outlineLevel="0" collapsed="false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M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AA124" s="80"/>
      <c r="AC124" s="80"/>
      <c r="AD124" s="80"/>
      <c r="AF124" s="80"/>
      <c r="AG124" s="80"/>
      <c r="AH124" s="80"/>
      <c r="AI124" s="80"/>
      <c r="AJ124" s="80"/>
      <c r="AK124" s="80"/>
      <c r="AL124" s="80"/>
      <c r="AM124" s="80"/>
      <c r="AO124" s="80"/>
      <c r="AQ124" s="80"/>
      <c r="AR124" s="80"/>
      <c r="AT124" s="80"/>
      <c r="AU124" s="80"/>
      <c r="AV124" s="80"/>
      <c r="AW124" s="80"/>
      <c r="AX124" s="80"/>
      <c r="AY124" s="80"/>
      <c r="AZ124" s="80"/>
      <c r="BA124" s="80"/>
      <c r="BC124" s="80"/>
      <c r="BD124" s="80"/>
      <c r="BH124" s="104"/>
      <c r="BI124" s="104"/>
      <c r="BJ124" s="104"/>
      <c r="BK124" s="104"/>
      <c r="BL124" s="104"/>
      <c r="BM124" s="104"/>
      <c r="BN124" s="104"/>
      <c r="BO124" s="104"/>
      <c r="BP124" s="104"/>
      <c r="BQ124" s="104"/>
      <c r="BR124" s="104"/>
      <c r="BS124" s="104"/>
      <c r="BT124" s="104"/>
      <c r="BU124" s="104"/>
      <c r="BV124" s="104"/>
      <c r="BW124" s="104"/>
      <c r="BX124" s="104"/>
      <c r="BY124" s="104"/>
      <c r="BZ124" s="104"/>
      <c r="CA124" s="104"/>
      <c r="CB124" s="104"/>
      <c r="CC124" s="104"/>
      <c r="CD124" s="104"/>
      <c r="CE124" s="104"/>
      <c r="CF124" s="104"/>
      <c r="CG124" s="104"/>
    </row>
    <row r="125" s="107" customFormat="true" ht="14.25" hidden="false" customHeight="true" outlineLevel="0" collapsed="false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M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AA125" s="80"/>
      <c r="AC125" s="80"/>
      <c r="AD125" s="80"/>
      <c r="AF125" s="80"/>
      <c r="AG125" s="80"/>
      <c r="AH125" s="80"/>
      <c r="AI125" s="80"/>
      <c r="AJ125" s="80"/>
      <c r="AK125" s="80"/>
      <c r="AL125" s="80"/>
      <c r="AM125" s="80"/>
      <c r="AO125" s="80"/>
      <c r="AQ125" s="80"/>
      <c r="AR125" s="80"/>
      <c r="AT125" s="80"/>
      <c r="AU125" s="80"/>
      <c r="AV125" s="80"/>
      <c r="AW125" s="80"/>
      <c r="AX125" s="80"/>
      <c r="AY125" s="80"/>
      <c r="AZ125" s="80"/>
      <c r="BA125" s="80"/>
      <c r="BC125" s="80"/>
      <c r="BD125" s="80"/>
      <c r="BH125" s="104"/>
      <c r="BI125" s="104"/>
      <c r="BJ125" s="104"/>
      <c r="BK125" s="104"/>
      <c r="BL125" s="104"/>
      <c r="BM125" s="104"/>
      <c r="BN125" s="104"/>
      <c r="BO125" s="104"/>
      <c r="BP125" s="104"/>
      <c r="BQ125" s="104"/>
      <c r="BR125" s="104"/>
      <c r="BS125" s="104"/>
      <c r="BT125" s="104"/>
      <c r="BU125" s="104"/>
      <c r="BV125" s="104"/>
      <c r="BW125" s="104"/>
      <c r="BX125" s="104"/>
      <c r="BY125" s="104"/>
      <c r="BZ125" s="104"/>
      <c r="CA125" s="104"/>
      <c r="CB125" s="104"/>
      <c r="CC125" s="104"/>
      <c r="CD125" s="104"/>
      <c r="CE125" s="104"/>
      <c r="CF125" s="104"/>
      <c r="CG125" s="104"/>
    </row>
    <row r="126" s="107" customFormat="true" ht="14.25" hidden="false" customHeight="true" outlineLevel="0" collapsed="false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M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AA126" s="80"/>
      <c r="AC126" s="80"/>
      <c r="AD126" s="80"/>
      <c r="AF126" s="80"/>
      <c r="AG126" s="80"/>
      <c r="AH126" s="80"/>
      <c r="AI126" s="80"/>
      <c r="AJ126" s="80"/>
      <c r="AK126" s="80"/>
      <c r="AL126" s="80"/>
      <c r="AM126" s="80"/>
      <c r="AO126" s="80"/>
      <c r="AQ126" s="80"/>
      <c r="AR126" s="80"/>
      <c r="AT126" s="80"/>
      <c r="AU126" s="80"/>
      <c r="AV126" s="80"/>
      <c r="AW126" s="80"/>
      <c r="AX126" s="80"/>
      <c r="AY126" s="80"/>
      <c r="AZ126" s="80"/>
      <c r="BA126" s="80"/>
      <c r="BC126" s="80"/>
      <c r="BD126" s="80"/>
      <c r="BH126" s="104"/>
      <c r="BI126" s="104"/>
      <c r="BJ126" s="104"/>
      <c r="BK126" s="104"/>
      <c r="BL126" s="104"/>
      <c r="BM126" s="104"/>
      <c r="BN126" s="104"/>
      <c r="BO126" s="104"/>
      <c r="BP126" s="104"/>
      <c r="BQ126" s="104"/>
      <c r="BR126" s="104"/>
      <c r="BS126" s="104"/>
      <c r="BT126" s="104"/>
      <c r="BU126" s="104"/>
      <c r="BV126" s="104"/>
      <c r="BW126" s="104"/>
      <c r="BX126" s="104"/>
      <c r="BY126" s="104"/>
      <c r="BZ126" s="104"/>
      <c r="CA126" s="104"/>
      <c r="CB126" s="104"/>
      <c r="CC126" s="104"/>
      <c r="CD126" s="104"/>
      <c r="CE126" s="104"/>
      <c r="CF126" s="104"/>
      <c r="CG126" s="104"/>
    </row>
    <row r="127" s="107" customFormat="true" ht="14.25" hidden="false" customHeight="true" outlineLevel="0" collapsed="false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M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AA127" s="80"/>
      <c r="AC127" s="80"/>
      <c r="AD127" s="80"/>
      <c r="AF127" s="80"/>
      <c r="AG127" s="80"/>
      <c r="AH127" s="80"/>
      <c r="AI127" s="80"/>
      <c r="AJ127" s="80"/>
      <c r="AK127" s="80"/>
      <c r="AL127" s="80"/>
      <c r="AM127" s="80"/>
      <c r="AO127" s="80"/>
      <c r="AQ127" s="80"/>
      <c r="AR127" s="80"/>
      <c r="AT127" s="80"/>
      <c r="AU127" s="80"/>
      <c r="AV127" s="80"/>
      <c r="AW127" s="80"/>
      <c r="AX127" s="80"/>
      <c r="AY127" s="80"/>
      <c r="AZ127" s="80"/>
      <c r="BA127" s="80"/>
      <c r="BC127" s="80"/>
      <c r="BD127" s="80"/>
      <c r="BH127" s="104"/>
      <c r="BI127" s="104"/>
      <c r="BJ127" s="104"/>
      <c r="BK127" s="104"/>
      <c r="BL127" s="104"/>
      <c r="BM127" s="104"/>
      <c r="BN127" s="104"/>
      <c r="BO127" s="104"/>
      <c r="BP127" s="104"/>
      <c r="BQ127" s="104"/>
      <c r="BR127" s="104"/>
      <c r="BS127" s="104"/>
      <c r="BT127" s="104"/>
      <c r="BU127" s="104"/>
      <c r="BV127" s="104"/>
      <c r="BW127" s="104"/>
      <c r="BX127" s="104"/>
      <c r="BY127" s="104"/>
      <c r="BZ127" s="104"/>
      <c r="CA127" s="104"/>
      <c r="CB127" s="104"/>
      <c r="CC127" s="104"/>
      <c r="CD127" s="104"/>
      <c r="CE127" s="104"/>
      <c r="CF127" s="104"/>
      <c r="CG127" s="104"/>
    </row>
    <row r="128" s="107" customFormat="true" ht="14.25" hidden="false" customHeight="true" outlineLevel="0" collapsed="false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M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AA128" s="80"/>
      <c r="AC128" s="80"/>
      <c r="AD128" s="80"/>
      <c r="AF128" s="80"/>
      <c r="AG128" s="80"/>
      <c r="AH128" s="80"/>
      <c r="AI128" s="80"/>
      <c r="AJ128" s="80"/>
      <c r="AK128" s="80"/>
      <c r="AL128" s="80"/>
      <c r="AM128" s="80"/>
      <c r="AO128" s="80"/>
      <c r="AQ128" s="80"/>
      <c r="AR128" s="80"/>
      <c r="AT128" s="80"/>
      <c r="AU128" s="80"/>
      <c r="AV128" s="80"/>
      <c r="AW128" s="80"/>
      <c r="AX128" s="80"/>
      <c r="AY128" s="80"/>
      <c r="AZ128" s="80"/>
      <c r="BA128" s="80"/>
      <c r="BC128" s="80"/>
      <c r="BD128" s="80"/>
      <c r="BH128" s="104"/>
      <c r="BI128" s="104"/>
      <c r="BJ128" s="104"/>
      <c r="BK128" s="104"/>
      <c r="BL128" s="104"/>
      <c r="BM128" s="104"/>
      <c r="BN128" s="104"/>
      <c r="BO128" s="104"/>
      <c r="BP128" s="104"/>
      <c r="BQ128" s="104"/>
      <c r="BR128" s="104"/>
      <c r="BS128" s="104"/>
      <c r="BT128" s="104"/>
      <c r="BU128" s="104"/>
      <c r="BV128" s="104"/>
      <c r="BW128" s="104"/>
      <c r="BX128" s="104"/>
      <c r="BY128" s="104"/>
      <c r="BZ128" s="104"/>
      <c r="CA128" s="104"/>
      <c r="CB128" s="104"/>
      <c r="CC128" s="104"/>
      <c r="CD128" s="104"/>
      <c r="CE128" s="104"/>
      <c r="CF128" s="104"/>
      <c r="CG128" s="104"/>
    </row>
    <row r="129" s="107" customFormat="true" ht="14.25" hidden="false" customHeight="true" outlineLevel="0" collapsed="false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M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AA129" s="80"/>
      <c r="AC129" s="80"/>
      <c r="AD129" s="80"/>
      <c r="AF129" s="80"/>
      <c r="AG129" s="80"/>
      <c r="AH129" s="80"/>
      <c r="AI129" s="80"/>
      <c r="AJ129" s="80"/>
      <c r="AK129" s="80"/>
      <c r="AL129" s="80"/>
      <c r="AM129" s="80"/>
      <c r="AO129" s="80"/>
      <c r="AQ129" s="80"/>
      <c r="AR129" s="80"/>
      <c r="AT129" s="80"/>
      <c r="AU129" s="80"/>
      <c r="AV129" s="80"/>
      <c r="AW129" s="80"/>
      <c r="AX129" s="80"/>
      <c r="AY129" s="80"/>
      <c r="AZ129" s="80"/>
      <c r="BA129" s="80"/>
      <c r="BC129" s="80"/>
      <c r="BD129" s="80"/>
      <c r="BH129" s="104"/>
      <c r="BI129" s="104"/>
      <c r="BJ129" s="104"/>
      <c r="BK129" s="104"/>
      <c r="BL129" s="104"/>
      <c r="BM129" s="104"/>
      <c r="BN129" s="104"/>
      <c r="BO129" s="104"/>
      <c r="BP129" s="104"/>
      <c r="BQ129" s="104"/>
      <c r="BR129" s="104"/>
      <c r="BS129" s="104"/>
      <c r="BT129" s="104"/>
      <c r="BU129" s="104"/>
      <c r="BV129" s="104"/>
      <c r="BW129" s="104"/>
      <c r="BX129" s="104"/>
      <c r="BY129" s="104"/>
      <c r="BZ129" s="104"/>
      <c r="CA129" s="104"/>
      <c r="CB129" s="104"/>
      <c r="CC129" s="104"/>
      <c r="CD129" s="104"/>
      <c r="CE129" s="104"/>
      <c r="CF129" s="104"/>
      <c r="CG129" s="104"/>
    </row>
    <row r="130" s="107" customFormat="true" ht="14.25" hidden="false" customHeight="true" outlineLevel="0" collapsed="false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M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AA130" s="80"/>
      <c r="AC130" s="80"/>
      <c r="AD130" s="80"/>
      <c r="AF130" s="80"/>
      <c r="AG130" s="80"/>
      <c r="AH130" s="80"/>
      <c r="AI130" s="80"/>
      <c r="AJ130" s="80"/>
      <c r="AK130" s="80"/>
      <c r="AL130" s="80"/>
      <c r="AM130" s="80"/>
      <c r="AO130" s="80"/>
      <c r="AQ130" s="80"/>
      <c r="AR130" s="80"/>
      <c r="AT130" s="80"/>
      <c r="AU130" s="80"/>
      <c r="AV130" s="80"/>
      <c r="AW130" s="80"/>
      <c r="AX130" s="80"/>
      <c r="AY130" s="80"/>
      <c r="AZ130" s="80"/>
      <c r="BA130" s="80"/>
      <c r="BC130" s="80"/>
      <c r="BD130" s="80"/>
      <c r="BH130" s="104"/>
      <c r="BI130" s="104"/>
      <c r="BJ130" s="104"/>
      <c r="BK130" s="104"/>
      <c r="BL130" s="104"/>
      <c r="BM130" s="104"/>
      <c r="BN130" s="104"/>
      <c r="BO130" s="104"/>
      <c r="BP130" s="104"/>
      <c r="BQ130" s="104"/>
      <c r="BR130" s="104"/>
      <c r="BS130" s="104"/>
      <c r="BT130" s="104"/>
      <c r="BU130" s="104"/>
      <c r="BV130" s="104"/>
      <c r="BW130" s="104"/>
      <c r="BX130" s="104"/>
      <c r="BY130" s="104"/>
      <c r="BZ130" s="104"/>
      <c r="CA130" s="104"/>
      <c r="CB130" s="104"/>
      <c r="CC130" s="104"/>
      <c r="CD130" s="104"/>
      <c r="CE130" s="104"/>
      <c r="CF130" s="104"/>
      <c r="CG130" s="104"/>
    </row>
    <row r="131" s="107" customFormat="true" ht="14.25" hidden="false" customHeight="true" outlineLevel="0" collapsed="false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M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AA131" s="80"/>
      <c r="AC131" s="80"/>
      <c r="AD131" s="80"/>
      <c r="AF131" s="80"/>
      <c r="AG131" s="80"/>
      <c r="AH131" s="80"/>
      <c r="AI131" s="80"/>
      <c r="AJ131" s="80"/>
      <c r="AK131" s="80"/>
      <c r="AL131" s="80"/>
      <c r="AM131" s="80"/>
      <c r="AO131" s="80"/>
      <c r="AQ131" s="80"/>
      <c r="AR131" s="80"/>
      <c r="AT131" s="80"/>
      <c r="AU131" s="80"/>
      <c r="AV131" s="80"/>
      <c r="AW131" s="80"/>
      <c r="AX131" s="80"/>
      <c r="AY131" s="80"/>
      <c r="AZ131" s="80"/>
      <c r="BA131" s="80"/>
      <c r="BC131" s="80"/>
      <c r="BD131" s="80"/>
      <c r="BH131" s="104"/>
      <c r="BI131" s="104"/>
      <c r="BJ131" s="104"/>
      <c r="BK131" s="104"/>
      <c r="BL131" s="104"/>
      <c r="BM131" s="104"/>
      <c r="BN131" s="104"/>
      <c r="BO131" s="104"/>
      <c r="BP131" s="104"/>
      <c r="BQ131" s="104"/>
      <c r="BR131" s="104"/>
      <c r="BS131" s="104"/>
      <c r="BT131" s="104"/>
      <c r="BU131" s="104"/>
      <c r="BV131" s="104"/>
      <c r="BW131" s="104"/>
      <c r="BX131" s="104"/>
      <c r="BY131" s="104"/>
      <c r="BZ131" s="104"/>
      <c r="CA131" s="104"/>
      <c r="CB131" s="104"/>
      <c r="CC131" s="104"/>
      <c r="CD131" s="104"/>
      <c r="CE131" s="104"/>
      <c r="CF131" s="104"/>
      <c r="CG131" s="104"/>
    </row>
    <row r="132" s="107" customFormat="true" ht="14.25" hidden="false" customHeight="true" outlineLevel="0" collapsed="false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M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AA132" s="80"/>
      <c r="AC132" s="80"/>
      <c r="AD132" s="80"/>
      <c r="AF132" s="80"/>
      <c r="AG132" s="80"/>
      <c r="AH132" s="80"/>
      <c r="AI132" s="80"/>
      <c r="AJ132" s="80"/>
      <c r="AK132" s="80"/>
      <c r="AL132" s="80"/>
      <c r="AM132" s="80"/>
      <c r="AO132" s="80"/>
      <c r="AQ132" s="80"/>
      <c r="AR132" s="80"/>
      <c r="AT132" s="80"/>
      <c r="AU132" s="80"/>
      <c r="AV132" s="80"/>
      <c r="AW132" s="80"/>
      <c r="AX132" s="80"/>
      <c r="AY132" s="80"/>
      <c r="AZ132" s="80"/>
      <c r="BA132" s="80"/>
      <c r="BC132" s="80"/>
      <c r="BD132" s="80"/>
      <c r="BH132" s="104"/>
      <c r="BI132" s="104"/>
      <c r="BJ132" s="104"/>
      <c r="BK132" s="104"/>
      <c r="BL132" s="104"/>
      <c r="BM132" s="104"/>
      <c r="BN132" s="104"/>
      <c r="BO132" s="104"/>
      <c r="BP132" s="104"/>
      <c r="BQ132" s="104"/>
      <c r="BR132" s="104"/>
      <c r="BS132" s="104"/>
      <c r="BT132" s="104"/>
      <c r="BU132" s="104"/>
      <c r="BV132" s="104"/>
      <c r="BW132" s="104"/>
      <c r="BX132" s="104"/>
      <c r="BY132" s="104"/>
      <c r="BZ132" s="104"/>
      <c r="CA132" s="104"/>
      <c r="CB132" s="104"/>
      <c r="CC132" s="104"/>
      <c r="CD132" s="104"/>
      <c r="CE132" s="104"/>
      <c r="CF132" s="104"/>
      <c r="CG132" s="104"/>
    </row>
    <row r="133" s="107" customFormat="true" ht="14.25" hidden="false" customHeight="true" outlineLevel="0" collapsed="false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M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AA133" s="80"/>
      <c r="AC133" s="80"/>
      <c r="AD133" s="80"/>
      <c r="AF133" s="80"/>
      <c r="AG133" s="80"/>
      <c r="AH133" s="80"/>
      <c r="AI133" s="80"/>
      <c r="AJ133" s="80"/>
      <c r="AK133" s="80"/>
      <c r="AL133" s="80"/>
      <c r="AM133" s="80"/>
      <c r="AO133" s="80"/>
      <c r="AQ133" s="80"/>
      <c r="AR133" s="80"/>
      <c r="AT133" s="80"/>
      <c r="AU133" s="80"/>
      <c r="AV133" s="80"/>
      <c r="AW133" s="80"/>
      <c r="AX133" s="80"/>
      <c r="AY133" s="80"/>
      <c r="AZ133" s="80"/>
      <c r="BA133" s="80"/>
      <c r="BC133" s="80"/>
      <c r="BD133" s="80"/>
      <c r="BH133" s="104"/>
      <c r="BI133" s="104"/>
      <c r="BJ133" s="104"/>
      <c r="BK133" s="104"/>
      <c r="BL133" s="104"/>
      <c r="BM133" s="104"/>
      <c r="BN133" s="104"/>
      <c r="BO133" s="104"/>
      <c r="BP133" s="104"/>
      <c r="BQ133" s="104"/>
      <c r="BR133" s="104"/>
      <c r="BS133" s="104"/>
      <c r="BT133" s="104"/>
      <c r="BU133" s="104"/>
      <c r="BV133" s="104"/>
      <c r="BW133" s="104"/>
      <c r="BX133" s="104"/>
      <c r="BY133" s="104"/>
      <c r="BZ133" s="104"/>
      <c r="CA133" s="104"/>
      <c r="CB133" s="104"/>
      <c r="CC133" s="104"/>
      <c r="CD133" s="104"/>
      <c r="CE133" s="104"/>
      <c r="CF133" s="104"/>
      <c r="CG133" s="104"/>
    </row>
    <row r="134" s="107" customFormat="true" ht="14.25" hidden="false" customHeight="true" outlineLevel="0" collapsed="false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M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AA134" s="80"/>
      <c r="AC134" s="80"/>
      <c r="AD134" s="80"/>
      <c r="AF134" s="80"/>
      <c r="AG134" s="80"/>
      <c r="AH134" s="80"/>
      <c r="AI134" s="80"/>
      <c r="AJ134" s="80"/>
      <c r="AK134" s="80"/>
      <c r="AL134" s="80"/>
      <c r="AM134" s="80"/>
      <c r="AO134" s="80"/>
      <c r="AQ134" s="80"/>
      <c r="AR134" s="80"/>
      <c r="AT134" s="80"/>
      <c r="AU134" s="80"/>
      <c r="AV134" s="80"/>
      <c r="AW134" s="80"/>
      <c r="AX134" s="80"/>
      <c r="AY134" s="80"/>
      <c r="AZ134" s="80"/>
      <c r="BA134" s="80"/>
      <c r="BC134" s="80"/>
      <c r="BD134" s="80"/>
      <c r="BH134" s="104"/>
      <c r="BI134" s="104"/>
      <c r="BJ134" s="104"/>
      <c r="BK134" s="104"/>
      <c r="BL134" s="104"/>
      <c r="BM134" s="104"/>
      <c r="BN134" s="104"/>
      <c r="BO134" s="104"/>
      <c r="BP134" s="104"/>
      <c r="BQ134" s="104"/>
      <c r="BR134" s="104"/>
      <c r="BS134" s="104"/>
      <c r="BT134" s="104"/>
      <c r="BU134" s="104"/>
      <c r="BV134" s="104"/>
      <c r="BW134" s="104"/>
      <c r="BX134" s="104"/>
      <c r="BY134" s="104"/>
      <c r="BZ134" s="104"/>
      <c r="CA134" s="104"/>
      <c r="CB134" s="104"/>
      <c r="CC134" s="104"/>
      <c r="CD134" s="104"/>
      <c r="CE134" s="104"/>
      <c r="CF134" s="104"/>
      <c r="CG134" s="104"/>
    </row>
    <row r="135" s="107" customFormat="true" ht="14.25" hidden="false" customHeight="true" outlineLevel="0" collapsed="false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M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AA135" s="80"/>
      <c r="AC135" s="80"/>
      <c r="AD135" s="80"/>
      <c r="AF135" s="80"/>
      <c r="AG135" s="80"/>
      <c r="AH135" s="80"/>
      <c r="AI135" s="80"/>
      <c r="AJ135" s="80"/>
      <c r="AK135" s="80"/>
      <c r="AL135" s="80"/>
      <c r="AM135" s="80"/>
      <c r="AO135" s="80"/>
      <c r="AQ135" s="80"/>
      <c r="AR135" s="80"/>
      <c r="AT135" s="80"/>
      <c r="AU135" s="80"/>
      <c r="AV135" s="80"/>
      <c r="AW135" s="80"/>
      <c r="AX135" s="80"/>
      <c r="AY135" s="80"/>
      <c r="AZ135" s="80"/>
      <c r="BA135" s="80"/>
      <c r="BC135" s="80"/>
      <c r="BD135" s="80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  <c r="BS135" s="104"/>
      <c r="BT135" s="104"/>
      <c r="BU135" s="104"/>
      <c r="BV135" s="104"/>
      <c r="BW135" s="104"/>
      <c r="BX135" s="104"/>
      <c r="BY135" s="104"/>
      <c r="BZ135" s="104"/>
      <c r="CA135" s="104"/>
      <c r="CB135" s="104"/>
      <c r="CC135" s="104"/>
      <c r="CD135" s="104"/>
      <c r="CE135" s="104"/>
      <c r="CF135" s="104"/>
      <c r="CG135" s="104"/>
    </row>
    <row r="136" s="107" customFormat="true" ht="14.25" hidden="false" customHeight="true" outlineLevel="0" collapsed="false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M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AA136" s="80"/>
      <c r="AC136" s="80"/>
      <c r="AD136" s="80"/>
      <c r="AF136" s="80"/>
      <c r="AG136" s="80"/>
      <c r="AH136" s="80"/>
      <c r="AI136" s="80"/>
      <c r="AJ136" s="80"/>
      <c r="AK136" s="80"/>
      <c r="AL136" s="80"/>
      <c r="AM136" s="80"/>
      <c r="AO136" s="80"/>
      <c r="AQ136" s="80"/>
      <c r="AR136" s="80"/>
      <c r="AT136" s="80"/>
      <c r="AU136" s="80"/>
      <c r="AV136" s="80"/>
      <c r="AW136" s="80"/>
      <c r="AX136" s="80"/>
      <c r="AY136" s="80"/>
      <c r="AZ136" s="80"/>
      <c r="BA136" s="80"/>
      <c r="BC136" s="80"/>
      <c r="BD136" s="80"/>
      <c r="BH136" s="104"/>
      <c r="BI136" s="104"/>
      <c r="BJ136" s="104"/>
      <c r="BK136" s="104"/>
      <c r="BL136" s="104"/>
      <c r="BM136" s="104"/>
      <c r="BN136" s="104"/>
      <c r="BO136" s="104"/>
      <c r="BP136" s="104"/>
      <c r="BQ136" s="104"/>
      <c r="BR136" s="104"/>
      <c r="BS136" s="104"/>
      <c r="BT136" s="104"/>
      <c r="BU136" s="104"/>
      <c r="BV136" s="104"/>
      <c r="BW136" s="104"/>
      <c r="BX136" s="104"/>
      <c r="BY136" s="104"/>
      <c r="BZ136" s="104"/>
      <c r="CA136" s="104"/>
      <c r="CB136" s="104"/>
      <c r="CC136" s="104"/>
      <c r="CD136" s="104"/>
      <c r="CE136" s="104"/>
      <c r="CF136" s="104"/>
      <c r="CG136" s="104"/>
    </row>
    <row r="137" s="107" customFormat="true" ht="14.25" hidden="false" customHeight="true" outlineLevel="0" collapsed="false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M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AA137" s="80"/>
      <c r="AC137" s="80"/>
      <c r="AD137" s="80"/>
      <c r="AF137" s="80"/>
      <c r="AG137" s="80"/>
      <c r="AH137" s="80"/>
      <c r="AI137" s="80"/>
      <c r="AJ137" s="80"/>
      <c r="AK137" s="80"/>
      <c r="AL137" s="80"/>
      <c r="AM137" s="80"/>
      <c r="AO137" s="80"/>
      <c r="AQ137" s="80"/>
      <c r="AR137" s="80"/>
      <c r="AT137" s="80"/>
      <c r="AU137" s="80"/>
      <c r="AV137" s="80"/>
      <c r="AW137" s="80"/>
      <c r="AX137" s="80"/>
      <c r="AY137" s="80"/>
      <c r="AZ137" s="80"/>
      <c r="BA137" s="80"/>
      <c r="BC137" s="80"/>
      <c r="BD137" s="80"/>
      <c r="BH137" s="104"/>
      <c r="BI137" s="104"/>
      <c r="BJ137" s="104"/>
      <c r="BK137" s="104"/>
      <c r="BL137" s="104"/>
      <c r="BM137" s="104"/>
      <c r="BN137" s="104"/>
      <c r="BO137" s="104"/>
      <c r="BP137" s="104"/>
      <c r="BQ137" s="104"/>
      <c r="BR137" s="104"/>
      <c r="BS137" s="104"/>
      <c r="BT137" s="104"/>
      <c r="BU137" s="104"/>
      <c r="BV137" s="104"/>
      <c r="BW137" s="104"/>
      <c r="BX137" s="104"/>
      <c r="BY137" s="104"/>
      <c r="BZ137" s="104"/>
      <c r="CA137" s="104"/>
      <c r="CB137" s="104"/>
      <c r="CC137" s="104"/>
      <c r="CD137" s="104"/>
      <c r="CE137" s="104"/>
      <c r="CF137" s="104"/>
      <c r="CG137" s="104"/>
    </row>
    <row r="138" s="107" customFormat="true" ht="14.25" hidden="false" customHeight="true" outlineLevel="0" collapsed="false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M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AA138" s="80"/>
      <c r="AC138" s="80"/>
      <c r="AD138" s="80"/>
      <c r="AF138" s="80"/>
      <c r="AG138" s="80"/>
      <c r="AH138" s="80"/>
      <c r="AI138" s="80"/>
      <c r="AJ138" s="80"/>
      <c r="AK138" s="80"/>
      <c r="AL138" s="80"/>
      <c r="AM138" s="80"/>
      <c r="AO138" s="80"/>
      <c r="AQ138" s="80"/>
      <c r="AR138" s="80"/>
      <c r="AT138" s="80"/>
      <c r="AU138" s="80"/>
      <c r="AV138" s="80"/>
      <c r="AW138" s="80"/>
      <c r="AX138" s="80"/>
      <c r="AY138" s="80"/>
      <c r="AZ138" s="80"/>
      <c r="BA138" s="80"/>
      <c r="BC138" s="80"/>
      <c r="BD138" s="80"/>
      <c r="BH138" s="104"/>
      <c r="BI138" s="104"/>
      <c r="BJ138" s="104"/>
      <c r="BK138" s="104"/>
      <c r="BL138" s="104"/>
      <c r="BM138" s="104"/>
      <c r="BN138" s="104"/>
      <c r="BO138" s="104"/>
      <c r="BP138" s="104"/>
      <c r="BQ138" s="104"/>
      <c r="BR138" s="104"/>
      <c r="BS138" s="104"/>
      <c r="BT138" s="104"/>
      <c r="BU138" s="104"/>
      <c r="BV138" s="104"/>
      <c r="BW138" s="104"/>
      <c r="BX138" s="104"/>
      <c r="BY138" s="104"/>
      <c r="BZ138" s="104"/>
      <c r="CA138" s="104"/>
      <c r="CB138" s="104"/>
      <c r="CC138" s="104"/>
      <c r="CD138" s="104"/>
      <c r="CE138" s="104"/>
      <c r="CF138" s="104"/>
      <c r="CG138" s="104"/>
    </row>
    <row r="139" s="107" customFormat="true" ht="14.25" hidden="false" customHeight="true" outlineLevel="0" collapsed="false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M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AA139" s="80"/>
      <c r="AC139" s="80"/>
      <c r="AD139" s="80"/>
      <c r="AF139" s="80"/>
      <c r="AG139" s="80"/>
      <c r="AH139" s="80"/>
      <c r="AI139" s="80"/>
      <c r="AJ139" s="80"/>
      <c r="AK139" s="80"/>
      <c r="AL139" s="80"/>
      <c r="AM139" s="80"/>
      <c r="AO139" s="80"/>
      <c r="AQ139" s="80"/>
      <c r="AR139" s="80"/>
      <c r="AT139" s="80"/>
      <c r="AU139" s="80"/>
      <c r="AV139" s="80"/>
      <c r="AW139" s="80"/>
      <c r="AX139" s="80"/>
      <c r="AY139" s="80"/>
      <c r="AZ139" s="80"/>
      <c r="BA139" s="80"/>
      <c r="BC139" s="80"/>
      <c r="BD139" s="80"/>
      <c r="BH139" s="104"/>
      <c r="BI139" s="104"/>
      <c r="BJ139" s="104"/>
      <c r="BK139" s="104"/>
      <c r="BL139" s="104"/>
      <c r="BM139" s="104"/>
      <c r="BN139" s="104"/>
      <c r="BO139" s="104"/>
      <c r="BP139" s="104"/>
      <c r="BQ139" s="104"/>
      <c r="BR139" s="104"/>
      <c r="BS139" s="104"/>
      <c r="BT139" s="104"/>
      <c r="BU139" s="104"/>
      <c r="BV139" s="104"/>
      <c r="BW139" s="104"/>
      <c r="BX139" s="104"/>
      <c r="BY139" s="104"/>
      <c r="BZ139" s="104"/>
      <c r="CA139" s="104"/>
      <c r="CB139" s="104"/>
      <c r="CC139" s="104"/>
      <c r="CD139" s="104"/>
      <c r="CE139" s="104"/>
      <c r="CF139" s="104"/>
      <c r="CG139" s="104"/>
    </row>
    <row r="140" s="107" customFormat="true" ht="14.25" hidden="false" customHeight="true" outlineLevel="0" collapsed="false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M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AA140" s="80"/>
      <c r="AC140" s="80"/>
      <c r="AD140" s="80"/>
      <c r="AF140" s="80"/>
      <c r="AG140" s="80"/>
      <c r="AH140" s="80"/>
      <c r="AI140" s="80"/>
      <c r="AJ140" s="80"/>
      <c r="AK140" s="80"/>
      <c r="AL140" s="80"/>
      <c r="AM140" s="80"/>
      <c r="AO140" s="80"/>
      <c r="AQ140" s="80"/>
      <c r="AR140" s="80"/>
      <c r="AT140" s="80"/>
      <c r="AU140" s="80"/>
      <c r="AV140" s="80"/>
      <c r="AW140" s="80"/>
      <c r="AX140" s="80"/>
      <c r="AY140" s="80"/>
      <c r="AZ140" s="80"/>
      <c r="BA140" s="80"/>
      <c r="BC140" s="80"/>
      <c r="BD140" s="80"/>
      <c r="BH140" s="104"/>
      <c r="BI140" s="104"/>
      <c r="BJ140" s="104"/>
      <c r="BK140" s="104"/>
      <c r="BL140" s="104"/>
      <c r="BM140" s="104"/>
      <c r="BN140" s="104"/>
      <c r="BO140" s="104"/>
      <c r="BP140" s="104"/>
      <c r="BQ140" s="104"/>
      <c r="BR140" s="104"/>
      <c r="BS140" s="104"/>
      <c r="BT140" s="104"/>
      <c r="BU140" s="104"/>
      <c r="BV140" s="104"/>
      <c r="BW140" s="104"/>
      <c r="BX140" s="104"/>
      <c r="BY140" s="104"/>
      <c r="BZ140" s="104"/>
      <c r="CA140" s="104"/>
      <c r="CB140" s="104"/>
      <c r="CC140" s="104"/>
      <c r="CD140" s="104"/>
      <c r="CE140" s="104"/>
      <c r="CF140" s="104"/>
      <c r="CG140" s="104"/>
    </row>
    <row r="141" s="107" customFormat="true" ht="14.25" hidden="false" customHeight="true" outlineLevel="0" collapsed="false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M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AA141" s="80"/>
      <c r="AC141" s="80"/>
      <c r="AD141" s="80"/>
      <c r="AF141" s="80"/>
      <c r="AG141" s="80"/>
      <c r="AH141" s="80"/>
      <c r="AI141" s="80"/>
      <c r="AJ141" s="80"/>
      <c r="AK141" s="80"/>
      <c r="AL141" s="80"/>
      <c r="AM141" s="80"/>
      <c r="AO141" s="80"/>
      <c r="AQ141" s="80"/>
      <c r="AR141" s="80"/>
      <c r="AT141" s="80"/>
      <c r="AU141" s="80"/>
      <c r="AV141" s="80"/>
      <c r="AW141" s="80"/>
      <c r="AX141" s="80"/>
      <c r="AY141" s="80"/>
      <c r="AZ141" s="80"/>
      <c r="BA141" s="80"/>
      <c r="BC141" s="80"/>
      <c r="BD141" s="80"/>
      <c r="BH141" s="104"/>
      <c r="BI141" s="104"/>
      <c r="BJ141" s="104"/>
      <c r="BK141" s="104"/>
      <c r="BL141" s="104"/>
      <c r="BM141" s="104"/>
      <c r="BN141" s="104"/>
      <c r="BO141" s="104"/>
      <c r="BP141" s="104"/>
      <c r="BQ141" s="104"/>
      <c r="BR141" s="104"/>
      <c r="BS141" s="104"/>
      <c r="BT141" s="104"/>
      <c r="BU141" s="104"/>
      <c r="BV141" s="104"/>
      <c r="BW141" s="104"/>
      <c r="BX141" s="104"/>
      <c r="BY141" s="104"/>
      <c r="BZ141" s="104"/>
      <c r="CA141" s="104"/>
      <c r="CB141" s="104"/>
      <c r="CC141" s="104"/>
      <c r="CD141" s="104"/>
      <c r="CE141" s="104"/>
      <c r="CF141" s="104"/>
      <c r="CG141" s="104"/>
    </row>
    <row r="142" s="107" customFormat="true" ht="14.25" hidden="false" customHeight="true" outlineLevel="0" collapsed="false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M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AA142" s="80"/>
      <c r="AC142" s="80"/>
      <c r="AD142" s="80"/>
      <c r="AF142" s="80"/>
      <c r="AG142" s="80"/>
      <c r="AH142" s="80"/>
      <c r="AI142" s="80"/>
      <c r="AJ142" s="80"/>
      <c r="AK142" s="80"/>
      <c r="AL142" s="80"/>
      <c r="AM142" s="80"/>
      <c r="AO142" s="80"/>
      <c r="AQ142" s="80"/>
      <c r="AR142" s="80"/>
      <c r="AT142" s="80"/>
      <c r="AU142" s="80"/>
      <c r="AV142" s="80"/>
      <c r="AW142" s="80"/>
      <c r="AX142" s="80"/>
      <c r="AY142" s="80"/>
      <c r="AZ142" s="80"/>
      <c r="BA142" s="80"/>
      <c r="BC142" s="80"/>
      <c r="BD142" s="80"/>
      <c r="BH142" s="104"/>
      <c r="BI142" s="104"/>
      <c r="BJ142" s="104"/>
      <c r="BK142" s="104"/>
      <c r="BL142" s="104"/>
      <c r="BM142" s="104"/>
      <c r="BN142" s="104"/>
      <c r="BO142" s="104"/>
      <c r="BP142" s="104"/>
      <c r="BQ142" s="104"/>
      <c r="BR142" s="104"/>
      <c r="BS142" s="104"/>
      <c r="BT142" s="104"/>
      <c r="BU142" s="104"/>
      <c r="BV142" s="104"/>
      <c r="BW142" s="104"/>
      <c r="BX142" s="104"/>
      <c r="BY142" s="104"/>
      <c r="BZ142" s="104"/>
      <c r="CA142" s="104"/>
      <c r="CB142" s="104"/>
      <c r="CC142" s="104"/>
      <c r="CD142" s="104"/>
      <c r="CE142" s="104"/>
      <c r="CF142" s="104"/>
      <c r="CG142" s="104"/>
    </row>
    <row r="143" s="107" customFormat="true" ht="14.25" hidden="false" customHeight="true" outlineLevel="0" collapsed="false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M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AA143" s="80"/>
      <c r="AC143" s="80"/>
      <c r="AD143" s="80"/>
      <c r="AF143" s="80"/>
      <c r="AG143" s="80"/>
      <c r="AH143" s="80"/>
      <c r="AI143" s="80"/>
      <c r="AJ143" s="80"/>
      <c r="AK143" s="80"/>
      <c r="AL143" s="80"/>
      <c r="AM143" s="80"/>
      <c r="AO143" s="80"/>
      <c r="AQ143" s="80"/>
      <c r="AR143" s="80"/>
      <c r="AT143" s="80"/>
      <c r="AU143" s="80"/>
      <c r="AV143" s="80"/>
      <c r="AW143" s="80"/>
      <c r="AX143" s="80"/>
      <c r="AY143" s="80"/>
      <c r="AZ143" s="80"/>
      <c r="BA143" s="80"/>
      <c r="BC143" s="80"/>
      <c r="BD143" s="80"/>
      <c r="BH143" s="104"/>
      <c r="BI143" s="104"/>
      <c r="BJ143" s="104"/>
      <c r="BK143" s="104"/>
      <c r="BL143" s="104"/>
      <c r="BM143" s="104"/>
      <c r="BN143" s="104"/>
      <c r="BO143" s="104"/>
      <c r="BP143" s="104"/>
      <c r="BQ143" s="104"/>
      <c r="BR143" s="104"/>
      <c r="BS143" s="104"/>
      <c r="BT143" s="104"/>
      <c r="BU143" s="104"/>
      <c r="BV143" s="104"/>
      <c r="BW143" s="104"/>
      <c r="BX143" s="104"/>
      <c r="BY143" s="104"/>
      <c r="BZ143" s="104"/>
      <c r="CA143" s="104"/>
      <c r="CB143" s="104"/>
      <c r="CC143" s="104"/>
      <c r="CD143" s="104"/>
      <c r="CE143" s="104"/>
      <c r="CF143" s="104"/>
      <c r="CG143" s="104"/>
    </row>
    <row r="144" s="107" customFormat="true" ht="14.25" hidden="false" customHeight="true" outlineLevel="0" collapsed="false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M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AA144" s="80"/>
      <c r="AC144" s="80"/>
      <c r="AD144" s="80"/>
      <c r="AF144" s="80"/>
      <c r="AG144" s="80"/>
      <c r="AH144" s="80"/>
      <c r="AI144" s="80"/>
      <c r="AJ144" s="80"/>
      <c r="AK144" s="80"/>
      <c r="AL144" s="80"/>
      <c r="AM144" s="80"/>
      <c r="AO144" s="80"/>
      <c r="AQ144" s="80"/>
      <c r="AR144" s="80"/>
      <c r="AT144" s="80"/>
      <c r="AU144" s="80"/>
      <c r="AV144" s="80"/>
      <c r="AW144" s="80"/>
      <c r="AX144" s="80"/>
      <c r="AY144" s="80"/>
      <c r="AZ144" s="80"/>
      <c r="BA144" s="80"/>
      <c r="BC144" s="80"/>
      <c r="BD144" s="80"/>
      <c r="BH144" s="104"/>
      <c r="BI144" s="104"/>
      <c r="BJ144" s="104"/>
      <c r="BK144" s="104"/>
      <c r="BL144" s="104"/>
      <c r="BM144" s="104"/>
      <c r="BN144" s="104"/>
      <c r="BO144" s="104"/>
      <c r="BP144" s="104"/>
      <c r="BQ144" s="104"/>
      <c r="BR144" s="104"/>
      <c r="BS144" s="104"/>
      <c r="BT144" s="104"/>
      <c r="BU144" s="104"/>
      <c r="BV144" s="104"/>
      <c r="BW144" s="104"/>
      <c r="BX144" s="104"/>
      <c r="BY144" s="104"/>
      <c r="BZ144" s="104"/>
      <c r="CA144" s="104"/>
      <c r="CB144" s="104"/>
      <c r="CC144" s="104"/>
      <c r="CD144" s="104"/>
      <c r="CE144" s="104"/>
      <c r="CF144" s="104"/>
      <c r="CG144" s="104"/>
    </row>
    <row r="145" s="107" customFormat="true" ht="14.25" hidden="false" customHeight="true" outlineLevel="0" collapsed="false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M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AA145" s="80"/>
      <c r="AC145" s="80"/>
      <c r="AD145" s="80"/>
      <c r="AF145" s="80"/>
      <c r="AG145" s="80"/>
      <c r="AH145" s="80"/>
      <c r="AI145" s="80"/>
      <c r="AJ145" s="80"/>
      <c r="AK145" s="80"/>
      <c r="AL145" s="80"/>
      <c r="AM145" s="80"/>
      <c r="AO145" s="80"/>
      <c r="AQ145" s="80"/>
      <c r="AR145" s="80"/>
      <c r="AT145" s="80"/>
      <c r="AU145" s="80"/>
      <c r="AV145" s="80"/>
      <c r="AW145" s="80"/>
      <c r="AX145" s="80"/>
      <c r="AY145" s="80"/>
      <c r="AZ145" s="80"/>
      <c r="BA145" s="80"/>
      <c r="BC145" s="80"/>
      <c r="BD145" s="80"/>
      <c r="BH145" s="104"/>
      <c r="BI145" s="104"/>
      <c r="BJ145" s="104"/>
      <c r="BK145" s="104"/>
      <c r="BL145" s="104"/>
      <c r="BM145" s="104"/>
      <c r="BN145" s="104"/>
      <c r="BO145" s="104"/>
      <c r="BP145" s="104"/>
      <c r="BQ145" s="104"/>
      <c r="BR145" s="104"/>
      <c r="BS145" s="104"/>
      <c r="BT145" s="104"/>
      <c r="BU145" s="104"/>
      <c r="BV145" s="104"/>
      <c r="BW145" s="104"/>
      <c r="BX145" s="104"/>
      <c r="BY145" s="104"/>
      <c r="BZ145" s="104"/>
      <c r="CA145" s="104"/>
      <c r="CB145" s="104"/>
      <c r="CC145" s="104"/>
      <c r="CD145" s="104"/>
      <c r="CE145" s="104"/>
      <c r="CF145" s="104"/>
      <c r="CG145" s="104"/>
    </row>
    <row r="146" s="107" customFormat="true" ht="14.25" hidden="false" customHeight="true" outlineLevel="0" collapsed="false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M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AA146" s="80"/>
      <c r="AC146" s="80"/>
      <c r="AD146" s="80"/>
      <c r="AF146" s="80"/>
      <c r="AG146" s="80"/>
      <c r="AH146" s="80"/>
      <c r="AI146" s="80"/>
      <c r="AJ146" s="80"/>
      <c r="AK146" s="80"/>
      <c r="AL146" s="80"/>
      <c r="AM146" s="80"/>
      <c r="AO146" s="80"/>
      <c r="AQ146" s="80"/>
      <c r="AR146" s="80"/>
      <c r="AT146" s="80"/>
      <c r="AU146" s="80"/>
      <c r="AV146" s="80"/>
      <c r="AW146" s="80"/>
      <c r="AX146" s="80"/>
      <c r="AY146" s="80"/>
      <c r="AZ146" s="80"/>
      <c r="BA146" s="80"/>
      <c r="BC146" s="80"/>
      <c r="BD146" s="80"/>
      <c r="BH146" s="104"/>
      <c r="BI146" s="104"/>
      <c r="BJ146" s="104"/>
      <c r="BK146" s="104"/>
      <c r="BL146" s="104"/>
      <c r="BM146" s="104"/>
      <c r="BN146" s="104"/>
      <c r="BO146" s="104"/>
      <c r="BP146" s="104"/>
      <c r="BQ146" s="104"/>
      <c r="BR146" s="104"/>
      <c r="BS146" s="104"/>
      <c r="BT146" s="104"/>
      <c r="BU146" s="104"/>
      <c r="BV146" s="104"/>
      <c r="BW146" s="104"/>
      <c r="BX146" s="104"/>
      <c r="BY146" s="104"/>
      <c r="BZ146" s="104"/>
      <c r="CA146" s="104"/>
      <c r="CB146" s="104"/>
      <c r="CC146" s="104"/>
      <c r="CD146" s="104"/>
      <c r="CE146" s="104"/>
      <c r="CF146" s="104"/>
      <c r="CG146" s="104"/>
    </row>
    <row r="147" s="107" customFormat="true" ht="14.25" hidden="false" customHeight="true" outlineLevel="0" collapsed="false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M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AA147" s="80"/>
      <c r="AC147" s="80"/>
      <c r="AD147" s="80"/>
      <c r="AF147" s="80"/>
      <c r="AG147" s="80"/>
      <c r="AH147" s="80"/>
      <c r="AI147" s="80"/>
      <c r="AJ147" s="80"/>
      <c r="AK147" s="80"/>
      <c r="AL147" s="80"/>
      <c r="AM147" s="80"/>
      <c r="AO147" s="80"/>
      <c r="AQ147" s="80"/>
      <c r="AR147" s="80"/>
      <c r="AT147" s="80"/>
      <c r="AU147" s="80"/>
      <c r="AV147" s="80"/>
      <c r="AW147" s="80"/>
      <c r="AX147" s="80"/>
      <c r="AY147" s="80"/>
      <c r="AZ147" s="80"/>
      <c r="BA147" s="80"/>
      <c r="BC147" s="80"/>
      <c r="BD147" s="80"/>
      <c r="BH147" s="104"/>
      <c r="BI147" s="104"/>
      <c r="BJ147" s="104"/>
      <c r="BK147" s="104"/>
      <c r="BL147" s="104"/>
      <c r="BM147" s="104"/>
      <c r="BN147" s="104"/>
      <c r="BO147" s="104"/>
      <c r="BP147" s="104"/>
      <c r="BQ147" s="104"/>
      <c r="BR147" s="104"/>
      <c r="BS147" s="104"/>
      <c r="BT147" s="104"/>
      <c r="BU147" s="104"/>
      <c r="BV147" s="104"/>
      <c r="BW147" s="104"/>
      <c r="BX147" s="104"/>
      <c r="BY147" s="104"/>
      <c r="BZ147" s="104"/>
      <c r="CA147" s="104"/>
      <c r="CB147" s="104"/>
      <c r="CC147" s="104"/>
      <c r="CD147" s="104"/>
      <c r="CE147" s="104"/>
      <c r="CF147" s="104"/>
      <c r="CG147" s="104"/>
    </row>
    <row r="148" customFormat="false" ht="14.25" hidden="false" customHeight="true" outlineLevel="0" collapsed="false">
      <c r="AB148" s="80"/>
    </row>
    <row r="149" customFormat="false" ht="14.25" hidden="false" customHeight="true" outlineLevel="0" collapsed="false">
      <c r="AB149" s="80"/>
    </row>
    <row r="150" customFormat="false" ht="14.25" hidden="false" customHeight="true" outlineLevel="0" collapsed="false">
      <c r="AB150" s="80"/>
    </row>
    <row r="151" customFormat="false" ht="14.25" hidden="false" customHeight="true" outlineLevel="0" collapsed="false">
      <c r="AB151" s="80"/>
    </row>
    <row r="152" customFormat="false" ht="14.25" hidden="false" customHeight="true" outlineLevel="0" collapsed="false">
      <c r="AB152" s="80"/>
    </row>
    <row r="153" customFormat="false" ht="14.25" hidden="false" customHeight="true" outlineLevel="0" collapsed="false">
      <c r="AB153" s="80"/>
    </row>
    <row r="154" customFormat="false" ht="14.25" hidden="false" customHeight="true" outlineLevel="0" collapsed="false">
      <c r="AB154" s="80"/>
    </row>
    <row r="155" customFormat="false" ht="14.25" hidden="false" customHeight="true" outlineLevel="0" collapsed="false">
      <c r="AB155" s="80"/>
    </row>
    <row r="156" customFormat="false" ht="14.25" hidden="false" customHeight="true" outlineLevel="0" collapsed="false">
      <c r="AB156" s="80"/>
    </row>
    <row r="157" customFormat="false" ht="14.25" hidden="false" customHeight="true" outlineLevel="0" collapsed="false">
      <c r="AB157" s="80"/>
    </row>
    <row r="158" customFormat="false" ht="14.25" hidden="false" customHeight="true" outlineLevel="0" collapsed="false">
      <c r="AB158" s="80"/>
    </row>
    <row r="159" customFormat="false" ht="14.25" hidden="false" customHeight="true" outlineLevel="0" collapsed="false">
      <c r="AB159" s="80"/>
    </row>
    <row r="160" customFormat="false" ht="14.25" hidden="false" customHeight="true" outlineLevel="0" collapsed="false">
      <c r="AB160" s="80"/>
    </row>
    <row r="161" customFormat="false" ht="14.25" hidden="false" customHeight="true" outlineLevel="0" collapsed="false">
      <c r="AB161" s="80"/>
    </row>
    <row r="162" customFormat="false" ht="14.25" hidden="false" customHeight="true" outlineLevel="0" collapsed="false">
      <c r="AB162" s="80"/>
    </row>
    <row r="163" customFormat="false" ht="14.25" hidden="false" customHeight="true" outlineLevel="0" collapsed="false">
      <c r="AB163" s="80"/>
    </row>
    <row r="164" customFormat="false" ht="14.25" hidden="false" customHeight="true" outlineLevel="0" collapsed="false">
      <c r="AB164" s="80"/>
    </row>
    <row r="165" customFormat="false" ht="14.25" hidden="false" customHeight="true" outlineLevel="0" collapsed="false">
      <c r="AB165" s="80"/>
    </row>
    <row r="166" customFormat="false" ht="14.25" hidden="false" customHeight="true" outlineLevel="0" collapsed="false">
      <c r="AB166" s="80"/>
    </row>
    <row r="167" customFormat="false" ht="14.25" hidden="false" customHeight="true" outlineLevel="0" collapsed="false">
      <c r="AB167" s="80"/>
    </row>
    <row r="168" customFormat="false" ht="14.25" hidden="false" customHeight="true" outlineLevel="0" collapsed="false">
      <c r="AB168" s="80"/>
    </row>
    <row r="169" customFormat="false" ht="14.25" hidden="false" customHeight="true" outlineLevel="0" collapsed="false">
      <c r="AB169" s="80"/>
    </row>
    <row r="170" customFormat="false" ht="14.25" hidden="false" customHeight="true" outlineLevel="0" collapsed="false">
      <c r="AB170" s="80"/>
    </row>
    <row r="171" customFormat="false" ht="14.25" hidden="false" customHeight="true" outlineLevel="0" collapsed="false">
      <c r="AB171" s="80"/>
    </row>
    <row r="172" customFormat="false" ht="14.25" hidden="false" customHeight="true" outlineLevel="0" collapsed="false">
      <c r="AB172" s="80"/>
    </row>
    <row r="173" customFormat="false" ht="14.25" hidden="false" customHeight="true" outlineLevel="0" collapsed="false">
      <c r="AB173" s="80"/>
    </row>
    <row r="174" customFormat="false" ht="14.25" hidden="false" customHeight="true" outlineLevel="0" collapsed="false">
      <c r="AB174" s="80"/>
    </row>
    <row r="175" customFormat="false" ht="14.25" hidden="false" customHeight="true" outlineLevel="0" collapsed="false">
      <c r="AB175" s="80"/>
    </row>
    <row r="176" customFormat="false" ht="14.25" hidden="false" customHeight="true" outlineLevel="0" collapsed="false">
      <c r="AB176" s="80"/>
    </row>
    <row r="177" customFormat="false" ht="14.25" hidden="false" customHeight="true" outlineLevel="0" collapsed="false">
      <c r="AB177" s="80"/>
    </row>
    <row r="178" customFormat="false" ht="14.25" hidden="false" customHeight="true" outlineLevel="0" collapsed="false">
      <c r="AB178" s="80"/>
    </row>
    <row r="179" customFormat="false" ht="14.25" hidden="false" customHeight="true" outlineLevel="0" collapsed="false">
      <c r="AB179" s="80"/>
    </row>
    <row r="180" customFormat="false" ht="14.25" hidden="false" customHeight="true" outlineLevel="0" collapsed="false">
      <c r="AB180" s="80"/>
    </row>
    <row r="181" customFormat="false" ht="14.25" hidden="false" customHeight="true" outlineLevel="0" collapsed="false">
      <c r="AB181" s="80"/>
    </row>
    <row r="182" customFormat="false" ht="14.25" hidden="false" customHeight="true" outlineLevel="0" collapsed="false">
      <c r="AB182" s="80"/>
    </row>
    <row r="183" customFormat="false" ht="14.25" hidden="false" customHeight="true" outlineLevel="0" collapsed="false">
      <c r="AB183" s="80"/>
    </row>
    <row r="184" customFormat="false" ht="14.25" hidden="false" customHeight="true" outlineLevel="0" collapsed="false">
      <c r="AB184" s="80"/>
    </row>
    <row r="185" customFormat="false" ht="14.25" hidden="false" customHeight="true" outlineLevel="0" collapsed="false">
      <c r="AB185" s="80"/>
    </row>
    <row r="186" customFormat="false" ht="14.25" hidden="false" customHeight="true" outlineLevel="0" collapsed="false">
      <c r="AB186" s="80"/>
    </row>
    <row r="187" customFormat="false" ht="14.25" hidden="false" customHeight="true" outlineLevel="0" collapsed="false">
      <c r="AB187" s="80"/>
    </row>
    <row r="188" customFormat="false" ht="14.25" hidden="false" customHeight="true" outlineLevel="0" collapsed="false">
      <c r="AB188" s="80"/>
    </row>
    <row r="189" customFormat="false" ht="14.25" hidden="false" customHeight="true" outlineLevel="0" collapsed="false">
      <c r="AB189" s="80"/>
    </row>
    <row r="190" customFormat="false" ht="14.25" hidden="false" customHeight="true" outlineLevel="0" collapsed="false">
      <c r="AB190" s="80"/>
    </row>
    <row r="191" customFormat="false" ht="14.25" hidden="false" customHeight="true" outlineLevel="0" collapsed="false">
      <c r="AB191" s="80"/>
    </row>
    <row r="192" customFormat="false" ht="14.25" hidden="false" customHeight="true" outlineLevel="0" collapsed="false">
      <c r="AB192" s="80"/>
    </row>
    <row r="193" customFormat="false" ht="14.25" hidden="false" customHeight="true" outlineLevel="0" collapsed="false">
      <c r="AB193" s="80"/>
    </row>
    <row r="194" customFormat="false" ht="14.25" hidden="false" customHeight="true" outlineLevel="0" collapsed="false">
      <c r="AB194" s="80"/>
    </row>
    <row r="195" customFormat="false" ht="14.25" hidden="false" customHeight="true" outlineLevel="0" collapsed="false">
      <c r="AB195" s="80"/>
    </row>
    <row r="196" customFormat="false" ht="14.25" hidden="false" customHeight="true" outlineLevel="0" collapsed="false">
      <c r="AB196" s="80"/>
    </row>
    <row r="197" customFormat="false" ht="14.25" hidden="false" customHeight="true" outlineLevel="0" collapsed="false">
      <c r="AB197" s="80"/>
    </row>
    <row r="198" customFormat="false" ht="14.25" hidden="false" customHeight="true" outlineLevel="0" collapsed="false">
      <c r="AB198" s="80"/>
    </row>
    <row r="199" customFormat="false" ht="14.25" hidden="false" customHeight="true" outlineLevel="0" collapsed="false">
      <c r="AB199" s="80"/>
    </row>
    <row r="200" customFormat="false" ht="14.25" hidden="false" customHeight="true" outlineLevel="0" collapsed="false">
      <c r="AB200" s="80"/>
    </row>
    <row r="201" customFormat="false" ht="14.25" hidden="false" customHeight="true" outlineLevel="0" collapsed="false">
      <c r="AB201" s="80"/>
    </row>
    <row r="202" customFormat="false" ht="14.25" hidden="false" customHeight="true" outlineLevel="0" collapsed="false">
      <c r="AB202" s="80"/>
    </row>
    <row r="203" customFormat="false" ht="14.25" hidden="false" customHeight="true" outlineLevel="0" collapsed="false">
      <c r="AB203" s="80"/>
    </row>
    <row r="204" customFormat="false" ht="14.25" hidden="false" customHeight="true" outlineLevel="0" collapsed="false">
      <c r="AB204" s="80"/>
    </row>
    <row r="205" customFormat="false" ht="14.25" hidden="false" customHeight="true" outlineLevel="0" collapsed="false">
      <c r="AB205" s="80"/>
    </row>
    <row r="206" customFormat="false" ht="14.25" hidden="false" customHeight="true" outlineLevel="0" collapsed="false">
      <c r="AB206" s="80"/>
    </row>
    <row r="207" customFormat="false" ht="14.25" hidden="false" customHeight="true" outlineLevel="0" collapsed="false">
      <c r="AB207" s="80"/>
    </row>
    <row r="208" customFormat="false" ht="14.25" hidden="false" customHeight="true" outlineLevel="0" collapsed="false">
      <c r="AB208" s="80"/>
    </row>
    <row r="209" customFormat="false" ht="14.25" hidden="false" customHeight="true" outlineLevel="0" collapsed="false">
      <c r="AB209" s="80"/>
    </row>
    <row r="210" customFormat="false" ht="14.25" hidden="false" customHeight="true" outlineLevel="0" collapsed="false">
      <c r="AB210" s="80"/>
    </row>
    <row r="211" customFormat="false" ht="14.25" hidden="false" customHeight="true" outlineLevel="0" collapsed="false">
      <c r="AB211" s="80"/>
    </row>
    <row r="212" customFormat="false" ht="14.25" hidden="false" customHeight="true" outlineLevel="0" collapsed="false">
      <c r="AB212" s="80"/>
    </row>
    <row r="213" customFormat="false" ht="14.25" hidden="false" customHeight="true" outlineLevel="0" collapsed="false">
      <c r="AB213" s="80"/>
    </row>
    <row r="214" customFormat="false" ht="14.25" hidden="false" customHeight="true" outlineLevel="0" collapsed="false">
      <c r="AB214" s="80"/>
    </row>
    <row r="215" customFormat="false" ht="14.25" hidden="false" customHeight="true" outlineLevel="0" collapsed="false">
      <c r="AB215" s="80"/>
    </row>
    <row r="216" customFormat="false" ht="14.25" hidden="false" customHeight="true" outlineLevel="0" collapsed="false">
      <c r="AB216" s="80"/>
    </row>
    <row r="217" customFormat="false" ht="14.25" hidden="false" customHeight="true" outlineLevel="0" collapsed="false">
      <c r="AB217" s="80"/>
    </row>
    <row r="218" customFormat="false" ht="14.25" hidden="false" customHeight="true" outlineLevel="0" collapsed="false">
      <c r="AB218" s="80"/>
    </row>
    <row r="219" customFormat="false" ht="14.25" hidden="false" customHeight="true" outlineLevel="0" collapsed="false">
      <c r="AB219" s="80"/>
    </row>
    <row r="220" customFormat="false" ht="14.25" hidden="false" customHeight="true" outlineLevel="0" collapsed="false">
      <c r="AB220" s="80"/>
    </row>
    <row r="221" customFormat="false" ht="14.25" hidden="false" customHeight="true" outlineLevel="0" collapsed="false">
      <c r="AB221" s="80"/>
    </row>
    <row r="222" customFormat="false" ht="14.25" hidden="false" customHeight="true" outlineLevel="0" collapsed="false">
      <c r="AB222" s="80"/>
    </row>
    <row r="223" customFormat="false" ht="14.25" hidden="false" customHeight="true" outlineLevel="0" collapsed="false">
      <c r="AB223" s="80"/>
    </row>
    <row r="224" customFormat="false" ht="14.25" hidden="false" customHeight="true" outlineLevel="0" collapsed="false">
      <c r="AB224" s="80"/>
    </row>
    <row r="225" customFormat="false" ht="14.25" hidden="false" customHeight="true" outlineLevel="0" collapsed="false">
      <c r="AB225" s="80"/>
    </row>
    <row r="226" customFormat="false" ht="14.25" hidden="false" customHeight="true" outlineLevel="0" collapsed="false">
      <c r="AB226" s="80"/>
    </row>
    <row r="227" customFormat="false" ht="14.25" hidden="false" customHeight="true" outlineLevel="0" collapsed="false">
      <c r="AB227" s="80"/>
    </row>
    <row r="228" customFormat="false" ht="14.25" hidden="false" customHeight="true" outlineLevel="0" collapsed="false">
      <c r="AB228" s="80"/>
    </row>
    <row r="229" customFormat="false" ht="14.25" hidden="false" customHeight="true" outlineLevel="0" collapsed="false">
      <c r="AB229" s="80"/>
    </row>
    <row r="230" customFormat="false" ht="14.25" hidden="false" customHeight="true" outlineLevel="0" collapsed="false">
      <c r="AB230" s="80"/>
    </row>
    <row r="231" customFormat="false" ht="14.25" hidden="false" customHeight="true" outlineLevel="0" collapsed="false">
      <c r="AB231" s="80"/>
    </row>
    <row r="232" customFormat="false" ht="14.25" hidden="false" customHeight="true" outlineLevel="0" collapsed="false">
      <c r="AB232" s="80"/>
    </row>
    <row r="233" customFormat="false" ht="14.25" hidden="false" customHeight="true" outlineLevel="0" collapsed="false">
      <c r="AB233" s="80"/>
    </row>
    <row r="234" customFormat="false" ht="14.25" hidden="false" customHeight="true" outlineLevel="0" collapsed="false">
      <c r="AB234" s="80"/>
    </row>
    <row r="235" customFormat="false" ht="14.25" hidden="false" customHeight="true" outlineLevel="0" collapsed="false">
      <c r="AB235" s="80"/>
    </row>
    <row r="236" customFormat="false" ht="14.25" hidden="false" customHeight="true" outlineLevel="0" collapsed="false">
      <c r="AB236" s="80"/>
    </row>
    <row r="237" customFormat="false" ht="14.25" hidden="false" customHeight="true" outlineLevel="0" collapsed="false">
      <c r="AB237" s="80"/>
    </row>
    <row r="238" customFormat="false" ht="14.25" hidden="false" customHeight="true" outlineLevel="0" collapsed="false">
      <c r="AB238" s="80"/>
    </row>
    <row r="239" customFormat="false" ht="14.25" hidden="false" customHeight="true" outlineLevel="0" collapsed="false">
      <c r="AB239" s="80"/>
    </row>
    <row r="240" customFormat="false" ht="14.25" hidden="false" customHeight="true" outlineLevel="0" collapsed="false">
      <c r="AB240" s="80"/>
    </row>
    <row r="241" customFormat="false" ht="14.25" hidden="false" customHeight="true" outlineLevel="0" collapsed="false">
      <c r="AB241" s="80"/>
    </row>
    <row r="242" customFormat="false" ht="14.25" hidden="false" customHeight="true" outlineLevel="0" collapsed="false">
      <c r="AB242" s="80"/>
    </row>
    <row r="243" customFormat="false" ht="14.25" hidden="false" customHeight="true" outlineLevel="0" collapsed="false">
      <c r="AB243" s="80"/>
    </row>
    <row r="244" customFormat="false" ht="14.25" hidden="false" customHeight="true" outlineLevel="0" collapsed="false">
      <c r="AB244" s="80"/>
    </row>
    <row r="245" customFormat="false" ht="14.25" hidden="false" customHeight="true" outlineLevel="0" collapsed="false">
      <c r="AB245" s="80"/>
    </row>
    <row r="246" customFormat="false" ht="14.25" hidden="false" customHeight="true" outlineLevel="0" collapsed="false">
      <c r="AB246" s="80"/>
    </row>
    <row r="247" customFormat="false" ht="14.25" hidden="false" customHeight="true" outlineLevel="0" collapsed="false">
      <c r="AB247" s="80"/>
    </row>
    <row r="248" customFormat="false" ht="14.25" hidden="false" customHeight="true" outlineLevel="0" collapsed="false">
      <c r="AB248" s="80"/>
    </row>
    <row r="249" customFormat="false" ht="14.25" hidden="false" customHeight="true" outlineLevel="0" collapsed="false">
      <c r="AB249" s="80"/>
    </row>
    <row r="250" customFormat="false" ht="14.25" hidden="false" customHeight="true" outlineLevel="0" collapsed="false">
      <c r="AB250" s="80"/>
    </row>
    <row r="251" customFormat="false" ht="14.25" hidden="false" customHeight="true" outlineLevel="0" collapsed="false">
      <c r="AB251" s="80"/>
    </row>
    <row r="252" customFormat="false" ht="14.25" hidden="false" customHeight="true" outlineLevel="0" collapsed="false">
      <c r="AB252" s="80"/>
    </row>
    <row r="253" customFormat="false" ht="14.25" hidden="false" customHeight="true" outlineLevel="0" collapsed="false">
      <c r="AB253" s="80"/>
    </row>
    <row r="254" customFormat="false" ht="14.25" hidden="false" customHeight="true" outlineLevel="0" collapsed="false">
      <c r="AB254" s="80"/>
    </row>
    <row r="255" customFormat="false" ht="14.25" hidden="false" customHeight="true" outlineLevel="0" collapsed="false">
      <c r="AB255" s="80"/>
    </row>
    <row r="256" customFormat="false" ht="14.25" hidden="false" customHeight="true" outlineLevel="0" collapsed="false">
      <c r="AB256" s="80"/>
    </row>
    <row r="257" customFormat="false" ht="14.25" hidden="false" customHeight="true" outlineLevel="0" collapsed="false">
      <c r="AB257" s="80"/>
    </row>
    <row r="258" customFormat="false" ht="14.25" hidden="false" customHeight="true" outlineLevel="0" collapsed="false">
      <c r="AB258" s="80"/>
    </row>
    <row r="259" customFormat="false" ht="14.25" hidden="false" customHeight="true" outlineLevel="0" collapsed="false">
      <c r="AB259" s="80"/>
    </row>
    <row r="260" customFormat="false" ht="14.25" hidden="false" customHeight="true" outlineLevel="0" collapsed="false">
      <c r="AB260" s="80"/>
    </row>
    <row r="261" customFormat="false" ht="14.25" hidden="false" customHeight="true" outlineLevel="0" collapsed="false">
      <c r="AB261" s="80"/>
    </row>
    <row r="262" customFormat="false" ht="14.25" hidden="false" customHeight="true" outlineLevel="0" collapsed="false">
      <c r="AB262" s="80"/>
    </row>
    <row r="263" customFormat="false" ht="14.25" hidden="false" customHeight="true" outlineLevel="0" collapsed="false">
      <c r="AB263" s="80"/>
    </row>
    <row r="264" customFormat="false" ht="14.25" hidden="false" customHeight="true" outlineLevel="0" collapsed="false">
      <c r="AB264" s="80"/>
    </row>
    <row r="265" customFormat="false" ht="14.25" hidden="false" customHeight="true" outlineLevel="0" collapsed="false">
      <c r="AB265" s="80"/>
    </row>
    <row r="266" customFormat="false" ht="14.25" hidden="false" customHeight="true" outlineLevel="0" collapsed="false">
      <c r="AB266" s="80"/>
    </row>
    <row r="267" customFormat="false" ht="14.25" hidden="false" customHeight="true" outlineLevel="0" collapsed="false">
      <c r="AB267" s="80"/>
    </row>
    <row r="268" customFormat="false" ht="14.25" hidden="false" customHeight="true" outlineLevel="0" collapsed="false">
      <c r="AB268" s="80"/>
    </row>
    <row r="269" customFormat="false" ht="14.25" hidden="false" customHeight="true" outlineLevel="0" collapsed="false">
      <c r="AB269" s="80"/>
    </row>
    <row r="270" customFormat="false" ht="14.25" hidden="false" customHeight="true" outlineLevel="0" collapsed="false">
      <c r="AB270" s="80"/>
    </row>
    <row r="271" customFormat="false" ht="14.25" hidden="false" customHeight="true" outlineLevel="0" collapsed="false">
      <c r="AB271" s="80"/>
    </row>
    <row r="272" customFormat="false" ht="14.25" hidden="false" customHeight="true" outlineLevel="0" collapsed="false">
      <c r="AB272" s="80"/>
    </row>
    <row r="273" customFormat="false" ht="14.25" hidden="false" customHeight="true" outlineLevel="0" collapsed="false">
      <c r="AB273" s="80"/>
    </row>
    <row r="274" customFormat="false" ht="14.25" hidden="false" customHeight="true" outlineLevel="0" collapsed="false">
      <c r="AB274" s="80"/>
    </row>
    <row r="275" customFormat="false" ht="14.25" hidden="false" customHeight="true" outlineLevel="0" collapsed="false">
      <c r="AB275" s="80"/>
    </row>
    <row r="276" customFormat="false" ht="14.25" hidden="false" customHeight="true" outlineLevel="0" collapsed="false">
      <c r="AB276" s="80"/>
    </row>
    <row r="277" customFormat="false" ht="14.25" hidden="false" customHeight="true" outlineLevel="0" collapsed="false">
      <c r="AB277" s="80"/>
    </row>
    <row r="278" customFormat="false" ht="14.25" hidden="false" customHeight="true" outlineLevel="0" collapsed="false">
      <c r="AB278" s="80"/>
    </row>
    <row r="279" customFormat="false" ht="14.25" hidden="false" customHeight="true" outlineLevel="0" collapsed="false">
      <c r="AB279" s="80"/>
    </row>
    <row r="280" customFormat="false" ht="14.25" hidden="false" customHeight="true" outlineLevel="0" collapsed="false">
      <c r="AB280" s="80"/>
    </row>
    <row r="281" customFormat="false" ht="14.25" hidden="false" customHeight="true" outlineLevel="0" collapsed="false">
      <c r="AB281" s="80"/>
    </row>
    <row r="282" customFormat="false" ht="14.25" hidden="false" customHeight="true" outlineLevel="0" collapsed="false">
      <c r="AB282" s="80"/>
    </row>
    <row r="283" customFormat="false" ht="14.25" hidden="false" customHeight="true" outlineLevel="0" collapsed="false">
      <c r="AB283" s="80"/>
    </row>
    <row r="284" customFormat="false" ht="14.25" hidden="false" customHeight="true" outlineLevel="0" collapsed="false">
      <c r="AB284" s="80"/>
    </row>
    <row r="285" customFormat="false" ht="14.25" hidden="false" customHeight="true" outlineLevel="0" collapsed="false">
      <c r="AB285" s="80"/>
    </row>
    <row r="286" customFormat="false" ht="14.25" hidden="false" customHeight="true" outlineLevel="0" collapsed="false">
      <c r="AB286" s="80"/>
    </row>
    <row r="287" customFormat="false" ht="14.25" hidden="false" customHeight="true" outlineLevel="0" collapsed="false">
      <c r="AB287" s="80"/>
    </row>
    <row r="288" customFormat="false" ht="14.25" hidden="false" customHeight="true" outlineLevel="0" collapsed="false">
      <c r="AB288" s="80"/>
    </row>
    <row r="289" customFormat="false" ht="14.25" hidden="false" customHeight="true" outlineLevel="0" collapsed="false">
      <c r="AB289" s="80"/>
    </row>
    <row r="290" customFormat="false" ht="14.25" hidden="false" customHeight="true" outlineLevel="0" collapsed="false">
      <c r="AB290" s="80"/>
    </row>
    <row r="291" customFormat="false" ht="14.25" hidden="false" customHeight="true" outlineLevel="0" collapsed="false">
      <c r="AB291" s="80"/>
    </row>
    <row r="292" customFormat="false" ht="14.25" hidden="false" customHeight="true" outlineLevel="0" collapsed="false">
      <c r="AB292" s="80"/>
    </row>
    <row r="293" customFormat="false" ht="14.25" hidden="false" customHeight="true" outlineLevel="0" collapsed="false">
      <c r="AB293" s="80"/>
    </row>
    <row r="294" customFormat="false" ht="14.25" hidden="false" customHeight="true" outlineLevel="0" collapsed="false">
      <c r="AB294" s="80"/>
    </row>
    <row r="295" customFormat="false" ht="14.25" hidden="false" customHeight="true" outlineLevel="0" collapsed="false">
      <c r="AB295" s="80"/>
    </row>
    <row r="296" customFormat="false" ht="14.25" hidden="false" customHeight="true" outlineLevel="0" collapsed="false">
      <c r="AB296" s="80"/>
    </row>
    <row r="297" customFormat="false" ht="14.25" hidden="false" customHeight="true" outlineLevel="0" collapsed="false">
      <c r="AB297" s="80"/>
    </row>
    <row r="298" customFormat="false" ht="14.25" hidden="false" customHeight="true" outlineLevel="0" collapsed="false">
      <c r="AB298" s="80"/>
    </row>
    <row r="299" customFormat="false" ht="14.25" hidden="false" customHeight="true" outlineLevel="0" collapsed="false">
      <c r="AB299" s="80"/>
    </row>
    <row r="300" customFormat="false" ht="14.25" hidden="false" customHeight="true" outlineLevel="0" collapsed="false">
      <c r="AB300" s="80"/>
    </row>
    <row r="301" customFormat="false" ht="14.25" hidden="false" customHeight="true" outlineLevel="0" collapsed="false">
      <c r="AB301" s="80"/>
    </row>
    <row r="302" customFormat="false" ht="14.25" hidden="false" customHeight="true" outlineLevel="0" collapsed="false">
      <c r="AB302" s="80"/>
    </row>
    <row r="303" customFormat="false" ht="14.25" hidden="false" customHeight="true" outlineLevel="0" collapsed="false">
      <c r="AB303" s="80"/>
    </row>
    <row r="304" customFormat="false" ht="14.25" hidden="false" customHeight="true" outlineLevel="0" collapsed="false">
      <c r="AB304" s="80"/>
    </row>
    <row r="305" customFormat="false" ht="14.25" hidden="false" customHeight="true" outlineLevel="0" collapsed="false">
      <c r="AB305" s="80"/>
    </row>
    <row r="306" customFormat="false" ht="14.25" hidden="false" customHeight="true" outlineLevel="0" collapsed="false">
      <c r="AB306" s="80"/>
    </row>
    <row r="307" customFormat="false" ht="14.25" hidden="false" customHeight="true" outlineLevel="0" collapsed="false">
      <c r="AB307" s="80"/>
    </row>
    <row r="308" customFormat="false" ht="14.25" hidden="false" customHeight="true" outlineLevel="0" collapsed="false">
      <c r="AB308" s="80"/>
    </row>
    <row r="309" customFormat="false" ht="14.25" hidden="false" customHeight="true" outlineLevel="0" collapsed="false">
      <c r="AB309" s="80"/>
    </row>
    <row r="310" customFormat="false" ht="14.25" hidden="false" customHeight="true" outlineLevel="0" collapsed="false">
      <c r="AB310" s="80"/>
    </row>
    <row r="311" customFormat="false" ht="14.25" hidden="false" customHeight="true" outlineLevel="0" collapsed="false">
      <c r="AB311" s="80"/>
    </row>
    <row r="312" customFormat="false" ht="14.25" hidden="false" customHeight="true" outlineLevel="0" collapsed="false">
      <c r="AB312" s="80"/>
    </row>
    <row r="313" customFormat="false" ht="14.25" hidden="false" customHeight="true" outlineLevel="0" collapsed="false">
      <c r="AB313" s="80"/>
    </row>
    <row r="314" customFormat="false" ht="14.25" hidden="false" customHeight="true" outlineLevel="0" collapsed="false">
      <c r="AB314" s="80"/>
    </row>
    <row r="315" customFormat="false" ht="14.25" hidden="false" customHeight="true" outlineLevel="0" collapsed="false">
      <c r="AB315" s="80"/>
    </row>
    <row r="316" customFormat="false" ht="14.25" hidden="false" customHeight="true" outlineLevel="0" collapsed="false">
      <c r="AB316" s="80"/>
    </row>
    <row r="317" customFormat="false" ht="14.25" hidden="false" customHeight="true" outlineLevel="0" collapsed="false">
      <c r="AB317" s="80"/>
    </row>
    <row r="318" customFormat="false" ht="14.25" hidden="false" customHeight="true" outlineLevel="0" collapsed="false">
      <c r="AB318" s="80"/>
    </row>
    <row r="319" customFormat="false" ht="14.25" hidden="false" customHeight="true" outlineLevel="0" collapsed="false">
      <c r="AB319" s="80"/>
    </row>
    <row r="320" customFormat="false" ht="14.25" hidden="false" customHeight="true" outlineLevel="0" collapsed="false">
      <c r="AB320" s="80"/>
    </row>
    <row r="321" customFormat="false" ht="14.25" hidden="false" customHeight="true" outlineLevel="0" collapsed="false">
      <c r="AB321" s="80"/>
    </row>
    <row r="322" customFormat="false" ht="14.25" hidden="false" customHeight="true" outlineLevel="0" collapsed="false">
      <c r="AB322" s="80"/>
    </row>
    <row r="323" customFormat="false" ht="14.25" hidden="false" customHeight="true" outlineLevel="0" collapsed="false">
      <c r="AB323" s="80"/>
    </row>
    <row r="324" customFormat="false" ht="14.25" hidden="false" customHeight="true" outlineLevel="0" collapsed="false">
      <c r="AB324" s="80"/>
    </row>
    <row r="325" customFormat="false" ht="14.25" hidden="false" customHeight="true" outlineLevel="0" collapsed="false">
      <c r="AB325" s="80"/>
    </row>
    <row r="326" customFormat="false" ht="14.25" hidden="false" customHeight="true" outlineLevel="0" collapsed="false">
      <c r="AB326" s="80"/>
    </row>
    <row r="327" customFormat="false" ht="14.25" hidden="false" customHeight="true" outlineLevel="0" collapsed="false">
      <c r="AB327" s="80"/>
    </row>
    <row r="328" customFormat="false" ht="14.25" hidden="false" customHeight="true" outlineLevel="0" collapsed="false">
      <c r="AB328" s="80"/>
    </row>
    <row r="329" customFormat="false" ht="14.25" hidden="false" customHeight="true" outlineLevel="0" collapsed="false">
      <c r="AB329" s="80"/>
    </row>
    <row r="330" customFormat="false" ht="14.25" hidden="false" customHeight="true" outlineLevel="0" collapsed="false">
      <c r="AB330" s="80"/>
    </row>
    <row r="331" customFormat="false" ht="14.25" hidden="false" customHeight="true" outlineLevel="0" collapsed="false">
      <c r="AB331" s="80"/>
    </row>
    <row r="332" customFormat="false" ht="14.25" hidden="false" customHeight="true" outlineLevel="0" collapsed="false">
      <c r="AB332" s="80"/>
    </row>
    <row r="333" customFormat="false" ht="14.25" hidden="false" customHeight="true" outlineLevel="0" collapsed="false">
      <c r="AB333" s="80"/>
    </row>
    <row r="334" customFormat="false" ht="14.25" hidden="false" customHeight="true" outlineLevel="0" collapsed="false">
      <c r="AB334" s="80"/>
    </row>
    <row r="335" customFormat="false" ht="14.25" hidden="false" customHeight="true" outlineLevel="0" collapsed="false">
      <c r="AB335" s="80"/>
    </row>
    <row r="336" customFormat="false" ht="14.25" hidden="false" customHeight="true" outlineLevel="0" collapsed="false">
      <c r="AB336" s="80"/>
    </row>
    <row r="337" customFormat="false" ht="14.25" hidden="false" customHeight="true" outlineLevel="0" collapsed="false">
      <c r="AB337" s="80"/>
    </row>
    <row r="338" customFormat="false" ht="14.25" hidden="false" customHeight="true" outlineLevel="0" collapsed="false">
      <c r="AB338" s="80"/>
    </row>
    <row r="339" customFormat="false" ht="14.25" hidden="false" customHeight="true" outlineLevel="0" collapsed="false">
      <c r="AB339" s="80"/>
    </row>
    <row r="340" customFormat="false" ht="14.25" hidden="false" customHeight="true" outlineLevel="0" collapsed="false">
      <c r="AB340" s="80"/>
    </row>
    <row r="341" customFormat="false" ht="14.25" hidden="false" customHeight="true" outlineLevel="0" collapsed="false">
      <c r="AB341" s="80"/>
    </row>
    <row r="342" customFormat="false" ht="14.25" hidden="false" customHeight="true" outlineLevel="0" collapsed="false">
      <c r="AB342" s="80"/>
    </row>
    <row r="343" customFormat="false" ht="14.25" hidden="false" customHeight="true" outlineLevel="0" collapsed="false">
      <c r="AB343" s="80"/>
    </row>
    <row r="344" customFormat="false" ht="14.25" hidden="false" customHeight="true" outlineLevel="0" collapsed="false">
      <c r="AB344" s="80"/>
    </row>
    <row r="345" customFormat="false" ht="14.25" hidden="false" customHeight="true" outlineLevel="0" collapsed="false">
      <c r="AB345" s="80"/>
    </row>
    <row r="346" customFormat="false" ht="14.25" hidden="false" customHeight="true" outlineLevel="0" collapsed="false">
      <c r="AB346" s="80"/>
    </row>
    <row r="347" customFormat="false" ht="14.25" hidden="false" customHeight="true" outlineLevel="0" collapsed="false">
      <c r="AB347" s="80"/>
    </row>
    <row r="348" customFormat="false" ht="14.25" hidden="false" customHeight="true" outlineLevel="0" collapsed="false">
      <c r="AB348" s="80"/>
    </row>
    <row r="349" customFormat="false" ht="14.25" hidden="false" customHeight="true" outlineLevel="0" collapsed="false">
      <c r="AB349" s="80"/>
    </row>
    <row r="350" customFormat="false" ht="14.25" hidden="false" customHeight="true" outlineLevel="0" collapsed="false">
      <c r="AB350" s="80"/>
    </row>
    <row r="351" customFormat="false" ht="14.25" hidden="false" customHeight="true" outlineLevel="0" collapsed="false">
      <c r="AB351" s="80"/>
    </row>
    <row r="352" customFormat="false" ht="14.25" hidden="false" customHeight="true" outlineLevel="0" collapsed="false">
      <c r="AB352" s="80"/>
    </row>
    <row r="353" customFormat="false" ht="14.25" hidden="false" customHeight="true" outlineLevel="0" collapsed="false">
      <c r="AB353" s="80"/>
    </row>
    <row r="354" customFormat="false" ht="14.25" hidden="false" customHeight="true" outlineLevel="0" collapsed="false">
      <c r="AB354" s="80"/>
    </row>
    <row r="355" customFormat="false" ht="14.25" hidden="false" customHeight="true" outlineLevel="0" collapsed="false">
      <c r="AB355" s="80"/>
    </row>
    <row r="356" customFormat="false" ht="14.25" hidden="false" customHeight="true" outlineLevel="0" collapsed="false">
      <c r="AB356" s="80"/>
    </row>
    <row r="357" customFormat="false" ht="14.25" hidden="false" customHeight="true" outlineLevel="0" collapsed="false">
      <c r="AB357" s="80"/>
    </row>
    <row r="358" customFormat="false" ht="14.25" hidden="false" customHeight="true" outlineLevel="0" collapsed="false">
      <c r="AB358" s="80"/>
    </row>
    <row r="359" customFormat="false" ht="14.25" hidden="false" customHeight="true" outlineLevel="0" collapsed="false">
      <c r="AB359" s="80"/>
    </row>
    <row r="360" customFormat="false" ht="14.25" hidden="false" customHeight="true" outlineLevel="0" collapsed="false">
      <c r="AB360" s="80"/>
    </row>
    <row r="361" customFormat="false" ht="14.25" hidden="false" customHeight="true" outlineLevel="0" collapsed="false">
      <c r="AB361" s="80"/>
    </row>
    <row r="362" customFormat="false" ht="14.25" hidden="false" customHeight="true" outlineLevel="0" collapsed="false">
      <c r="AB362" s="80"/>
    </row>
    <row r="363" customFormat="false" ht="14.25" hidden="false" customHeight="true" outlineLevel="0" collapsed="false">
      <c r="AB363" s="80"/>
    </row>
    <row r="364" customFormat="false" ht="14.25" hidden="false" customHeight="true" outlineLevel="0" collapsed="false">
      <c r="AB364" s="80"/>
    </row>
    <row r="365" customFormat="false" ht="14.25" hidden="false" customHeight="true" outlineLevel="0" collapsed="false">
      <c r="AB365" s="80"/>
    </row>
    <row r="366" customFormat="false" ht="14.25" hidden="false" customHeight="true" outlineLevel="0" collapsed="false">
      <c r="AB366" s="80"/>
    </row>
    <row r="367" customFormat="false" ht="14.25" hidden="false" customHeight="true" outlineLevel="0" collapsed="false">
      <c r="AB367" s="80"/>
    </row>
    <row r="368" customFormat="false" ht="14.25" hidden="false" customHeight="true" outlineLevel="0" collapsed="false">
      <c r="AB368" s="80"/>
    </row>
    <row r="369" customFormat="false" ht="14.25" hidden="false" customHeight="true" outlineLevel="0" collapsed="false">
      <c r="AB369" s="80"/>
    </row>
    <row r="370" customFormat="false" ht="14.25" hidden="false" customHeight="true" outlineLevel="0" collapsed="false">
      <c r="AB370" s="80"/>
    </row>
    <row r="371" customFormat="false" ht="14.25" hidden="false" customHeight="true" outlineLevel="0" collapsed="false">
      <c r="AB371" s="80"/>
    </row>
    <row r="372" customFormat="false" ht="14.25" hidden="false" customHeight="true" outlineLevel="0" collapsed="false">
      <c r="AB372" s="80"/>
    </row>
    <row r="373" customFormat="false" ht="14.25" hidden="false" customHeight="true" outlineLevel="0" collapsed="false">
      <c r="AB373" s="80"/>
    </row>
    <row r="374" customFormat="false" ht="14.25" hidden="false" customHeight="true" outlineLevel="0" collapsed="false">
      <c r="AB374" s="80"/>
    </row>
    <row r="375" customFormat="false" ht="14.25" hidden="false" customHeight="true" outlineLevel="0" collapsed="false">
      <c r="AB375" s="80"/>
    </row>
    <row r="376" customFormat="false" ht="14.25" hidden="false" customHeight="true" outlineLevel="0" collapsed="false">
      <c r="AB376" s="80"/>
    </row>
    <row r="377" customFormat="false" ht="14.25" hidden="false" customHeight="true" outlineLevel="0" collapsed="false">
      <c r="AB377" s="80"/>
    </row>
    <row r="378" customFormat="false" ht="14.25" hidden="false" customHeight="true" outlineLevel="0" collapsed="false">
      <c r="AB378" s="80"/>
    </row>
    <row r="379" customFormat="false" ht="14.25" hidden="false" customHeight="true" outlineLevel="0" collapsed="false">
      <c r="AB379" s="80"/>
    </row>
    <row r="380" customFormat="false" ht="14.25" hidden="false" customHeight="true" outlineLevel="0" collapsed="false">
      <c r="AB380" s="80"/>
    </row>
    <row r="381" customFormat="false" ht="14.25" hidden="false" customHeight="true" outlineLevel="0" collapsed="false">
      <c r="AB381" s="80"/>
    </row>
    <row r="382" customFormat="false" ht="14.25" hidden="false" customHeight="true" outlineLevel="0" collapsed="false">
      <c r="AB382" s="80"/>
    </row>
    <row r="383" customFormat="false" ht="14.25" hidden="false" customHeight="true" outlineLevel="0" collapsed="false">
      <c r="AB383" s="80"/>
    </row>
    <row r="384" customFormat="false" ht="14.25" hidden="false" customHeight="true" outlineLevel="0" collapsed="false">
      <c r="AB384" s="80"/>
    </row>
    <row r="385" customFormat="false" ht="14.25" hidden="false" customHeight="true" outlineLevel="0" collapsed="false">
      <c r="AB385" s="80"/>
    </row>
    <row r="386" customFormat="false" ht="14.25" hidden="false" customHeight="true" outlineLevel="0" collapsed="false">
      <c r="AB386" s="80"/>
    </row>
    <row r="387" customFormat="false" ht="14.25" hidden="false" customHeight="true" outlineLevel="0" collapsed="false">
      <c r="AB387" s="80"/>
    </row>
    <row r="388" customFormat="false" ht="14.25" hidden="false" customHeight="true" outlineLevel="0" collapsed="false">
      <c r="AB388" s="80"/>
    </row>
    <row r="389" customFormat="false" ht="14.25" hidden="false" customHeight="true" outlineLevel="0" collapsed="false">
      <c r="AB389" s="80"/>
    </row>
    <row r="390" customFormat="false" ht="14.25" hidden="false" customHeight="true" outlineLevel="0" collapsed="false">
      <c r="AB390" s="80"/>
    </row>
    <row r="391" customFormat="false" ht="14.25" hidden="false" customHeight="true" outlineLevel="0" collapsed="false">
      <c r="AB391" s="80"/>
    </row>
    <row r="392" customFormat="false" ht="14.25" hidden="false" customHeight="true" outlineLevel="0" collapsed="false">
      <c r="AB392" s="80"/>
    </row>
    <row r="393" customFormat="false" ht="14.25" hidden="false" customHeight="true" outlineLevel="0" collapsed="false">
      <c r="AB393" s="80"/>
    </row>
    <row r="394" customFormat="false" ht="14.25" hidden="false" customHeight="true" outlineLevel="0" collapsed="false">
      <c r="AB394" s="80"/>
    </row>
    <row r="395" customFormat="false" ht="14.25" hidden="false" customHeight="true" outlineLevel="0" collapsed="false">
      <c r="AB395" s="80"/>
    </row>
    <row r="396" customFormat="false" ht="14.25" hidden="false" customHeight="true" outlineLevel="0" collapsed="false">
      <c r="AB396" s="80"/>
    </row>
    <row r="397" customFormat="false" ht="14.25" hidden="false" customHeight="true" outlineLevel="0" collapsed="false">
      <c r="AB397" s="80"/>
    </row>
    <row r="398" customFormat="false" ht="14.25" hidden="false" customHeight="true" outlineLevel="0" collapsed="false">
      <c r="AB398" s="80"/>
    </row>
    <row r="399" customFormat="false" ht="14.25" hidden="false" customHeight="true" outlineLevel="0" collapsed="false">
      <c r="AB399" s="80"/>
    </row>
    <row r="400" customFormat="false" ht="14.25" hidden="false" customHeight="true" outlineLevel="0" collapsed="false">
      <c r="AB400" s="80"/>
    </row>
    <row r="401" customFormat="false" ht="14.25" hidden="false" customHeight="true" outlineLevel="0" collapsed="false">
      <c r="AB401" s="80"/>
    </row>
    <row r="402" customFormat="false" ht="14.25" hidden="false" customHeight="true" outlineLevel="0" collapsed="false">
      <c r="AB402" s="80"/>
    </row>
    <row r="403" customFormat="false" ht="14.25" hidden="false" customHeight="true" outlineLevel="0" collapsed="false">
      <c r="AB403" s="80"/>
    </row>
    <row r="404" customFormat="false" ht="14.25" hidden="false" customHeight="true" outlineLevel="0" collapsed="false">
      <c r="AB404" s="80"/>
    </row>
    <row r="405" customFormat="false" ht="14.25" hidden="false" customHeight="true" outlineLevel="0" collapsed="false">
      <c r="AB405" s="80"/>
    </row>
    <row r="406" customFormat="false" ht="14.25" hidden="false" customHeight="true" outlineLevel="0" collapsed="false">
      <c r="AB406" s="80"/>
    </row>
    <row r="407" customFormat="false" ht="14.25" hidden="false" customHeight="true" outlineLevel="0" collapsed="false">
      <c r="AB407" s="80"/>
    </row>
    <row r="408" customFormat="false" ht="14.25" hidden="false" customHeight="true" outlineLevel="0" collapsed="false">
      <c r="AB408" s="80"/>
    </row>
    <row r="409" customFormat="false" ht="14.25" hidden="false" customHeight="true" outlineLevel="0" collapsed="false">
      <c r="AB409" s="80"/>
    </row>
    <row r="410" customFormat="false" ht="14.25" hidden="false" customHeight="true" outlineLevel="0" collapsed="false">
      <c r="AB410" s="80"/>
    </row>
    <row r="411" customFormat="false" ht="14.25" hidden="false" customHeight="true" outlineLevel="0" collapsed="false">
      <c r="AB411" s="80"/>
    </row>
    <row r="412" customFormat="false" ht="14.25" hidden="false" customHeight="true" outlineLevel="0" collapsed="false">
      <c r="AB412" s="80"/>
    </row>
    <row r="413" customFormat="false" ht="14.25" hidden="false" customHeight="true" outlineLevel="0" collapsed="false">
      <c r="AB413" s="80"/>
    </row>
    <row r="414" customFormat="false" ht="14.25" hidden="false" customHeight="true" outlineLevel="0" collapsed="false">
      <c r="AB414" s="80"/>
    </row>
    <row r="415" customFormat="false" ht="14.25" hidden="false" customHeight="true" outlineLevel="0" collapsed="false">
      <c r="AB415" s="80"/>
    </row>
    <row r="416" customFormat="false" ht="14.25" hidden="false" customHeight="true" outlineLevel="0" collapsed="false">
      <c r="AB416" s="80"/>
    </row>
    <row r="417" customFormat="false" ht="14.25" hidden="false" customHeight="true" outlineLevel="0" collapsed="false">
      <c r="AB417" s="80"/>
    </row>
    <row r="418" customFormat="false" ht="14.25" hidden="false" customHeight="true" outlineLevel="0" collapsed="false">
      <c r="AB418" s="80"/>
    </row>
    <row r="419" customFormat="false" ht="14.25" hidden="false" customHeight="true" outlineLevel="0" collapsed="false">
      <c r="AB419" s="80"/>
    </row>
    <row r="420" customFormat="false" ht="14.25" hidden="false" customHeight="true" outlineLevel="0" collapsed="false">
      <c r="AB420" s="80"/>
    </row>
    <row r="421" customFormat="false" ht="14.25" hidden="false" customHeight="true" outlineLevel="0" collapsed="false">
      <c r="AB421" s="80"/>
    </row>
    <row r="422" customFormat="false" ht="14.25" hidden="false" customHeight="true" outlineLevel="0" collapsed="false">
      <c r="AB422" s="80"/>
    </row>
    <row r="423" customFormat="false" ht="14.25" hidden="false" customHeight="true" outlineLevel="0" collapsed="false">
      <c r="AB423" s="80"/>
    </row>
    <row r="424" customFormat="false" ht="14.25" hidden="false" customHeight="true" outlineLevel="0" collapsed="false">
      <c r="AB424" s="80"/>
    </row>
    <row r="425" customFormat="false" ht="14.25" hidden="false" customHeight="true" outlineLevel="0" collapsed="false">
      <c r="AB425" s="80"/>
    </row>
    <row r="426" customFormat="false" ht="14.25" hidden="false" customHeight="true" outlineLevel="0" collapsed="false">
      <c r="AB426" s="80"/>
    </row>
    <row r="427" customFormat="false" ht="14.25" hidden="false" customHeight="true" outlineLevel="0" collapsed="false">
      <c r="AB427" s="80"/>
    </row>
    <row r="428" customFormat="false" ht="14.25" hidden="false" customHeight="true" outlineLevel="0" collapsed="false">
      <c r="AB428" s="80"/>
    </row>
    <row r="429" customFormat="false" ht="14.25" hidden="false" customHeight="true" outlineLevel="0" collapsed="false">
      <c r="AB429" s="80"/>
    </row>
    <row r="430" customFormat="false" ht="14.25" hidden="false" customHeight="true" outlineLevel="0" collapsed="false">
      <c r="AB430" s="80"/>
    </row>
    <row r="431" customFormat="false" ht="14.25" hidden="false" customHeight="true" outlineLevel="0" collapsed="false">
      <c r="AB431" s="80"/>
    </row>
    <row r="432" customFormat="false" ht="14.25" hidden="false" customHeight="true" outlineLevel="0" collapsed="false">
      <c r="AB432" s="80"/>
    </row>
    <row r="433" customFormat="false" ht="14.25" hidden="false" customHeight="true" outlineLevel="0" collapsed="false">
      <c r="AB433" s="80"/>
    </row>
    <row r="434" customFormat="false" ht="14.25" hidden="false" customHeight="true" outlineLevel="0" collapsed="false">
      <c r="AB434" s="80"/>
    </row>
    <row r="435" customFormat="false" ht="14.25" hidden="false" customHeight="true" outlineLevel="0" collapsed="false">
      <c r="AB435" s="80"/>
    </row>
    <row r="436" customFormat="false" ht="14.25" hidden="false" customHeight="true" outlineLevel="0" collapsed="false">
      <c r="AB436" s="80"/>
    </row>
    <row r="437" customFormat="false" ht="14.25" hidden="false" customHeight="true" outlineLevel="0" collapsed="false">
      <c r="AB437" s="80"/>
    </row>
    <row r="438" customFormat="false" ht="14.25" hidden="false" customHeight="true" outlineLevel="0" collapsed="false">
      <c r="AB438" s="80"/>
    </row>
    <row r="439" customFormat="false" ht="14.25" hidden="false" customHeight="true" outlineLevel="0" collapsed="false">
      <c r="AB439" s="80"/>
    </row>
    <row r="440" customFormat="false" ht="14.25" hidden="false" customHeight="true" outlineLevel="0" collapsed="false">
      <c r="AB440" s="80"/>
    </row>
    <row r="441" customFormat="false" ht="14.25" hidden="false" customHeight="true" outlineLevel="0" collapsed="false">
      <c r="AB441" s="80"/>
    </row>
    <row r="442" customFormat="false" ht="14.25" hidden="false" customHeight="true" outlineLevel="0" collapsed="false">
      <c r="AB442" s="80"/>
    </row>
    <row r="443" customFormat="false" ht="14.25" hidden="false" customHeight="true" outlineLevel="0" collapsed="false">
      <c r="AB443" s="80"/>
    </row>
    <row r="444" customFormat="false" ht="14.25" hidden="false" customHeight="true" outlineLevel="0" collapsed="false">
      <c r="AB444" s="80"/>
    </row>
    <row r="445" customFormat="false" ht="14.25" hidden="false" customHeight="true" outlineLevel="0" collapsed="false">
      <c r="AB445" s="80"/>
    </row>
    <row r="446" customFormat="false" ht="14.25" hidden="false" customHeight="true" outlineLevel="0" collapsed="false">
      <c r="AB446" s="80"/>
    </row>
    <row r="447" customFormat="false" ht="14.25" hidden="false" customHeight="true" outlineLevel="0" collapsed="false">
      <c r="AB447" s="80"/>
    </row>
    <row r="448" customFormat="false" ht="14.25" hidden="false" customHeight="true" outlineLevel="0" collapsed="false">
      <c r="AB448" s="80"/>
    </row>
    <row r="449" customFormat="false" ht="14.25" hidden="false" customHeight="true" outlineLevel="0" collapsed="false">
      <c r="AB449" s="80"/>
    </row>
    <row r="450" customFormat="false" ht="14.25" hidden="false" customHeight="true" outlineLevel="0" collapsed="false">
      <c r="AB450" s="80"/>
    </row>
    <row r="451" customFormat="false" ht="14.25" hidden="false" customHeight="true" outlineLevel="0" collapsed="false">
      <c r="AB451" s="80"/>
    </row>
    <row r="452" customFormat="false" ht="14.25" hidden="false" customHeight="true" outlineLevel="0" collapsed="false">
      <c r="AB452" s="80"/>
    </row>
    <row r="453" customFormat="false" ht="14.25" hidden="false" customHeight="true" outlineLevel="0" collapsed="false">
      <c r="AB453" s="80"/>
    </row>
    <row r="454" customFormat="false" ht="14.25" hidden="false" customHeight="true" outlineLevel="0" collapsed="false">
      <c r="AB454" s="80"/>
    </row>
    <row r="455" customFormat="false" ht="14.25" hidden="false" customHeight="true" outlineLevel="0" collapsed="false">
      <c r="AB455" s="80"/>
    </row>
    <row r="456" customFormat="false" ht="14.25" hidden="false" customHeight="true" outlineLevel="0" collapsed="false">
      <c r="AB456" s="80"/>
    </row>
    <row r="457" customFormat="false" ht="14.25" hidden="false" customHeight="true" outlineLevel="0" collapsed="false">
      <c r="AB457" s="80"/>
    </row>
    <row r="458" customFormat="false" ht="14.25" hidden="false" customHeight="true" outlineLevel="0" collapsed="false">
      <c r="AB458" s="80"/>
    </row>
    <row r="459" customFormat="false" ht="14.25" hidden="false" customHeight="true" outlineLevel="0" collapsed="false">
      <c r="AB459" s="80"/>
    </row>
    <row r="460" customFormat="false" ht="14.25" hidden="false" customHeight="true" outlineLevel="0" collapsed="false">
      <c r="AB460" s="80"/>
    </row>
    <row r="461" customFormat="false" ht="14.25" hidden="false" customHeight="true" outlineLevel="0" collapsed="false">
      <c r="AB461" s="80"/>
    </row>
    <row r="462" customFormat="false" ht="14.25" hidden="false" customHeight="true" outlineLevel="0" collapsed="false">
      <c r="AB462" s="80"/>
    </row>
    <row r="463" customFormat="false" ht="14.25" hidden="false" customHeight="true" outlineLevel="0" collapsed="false">
      <c r="AB463" s="80"/>
    </row>
    <row r="464" customFormat="false" ht="14.25" hidden="false" customHeight="true" outlineLevel="0" collapsed="false">
      <c r="AB464" s="80"/>
    </row>
    <row r="465" customFormat="false" ht="14.25" hidden="false" customHeight="true" outlineLevel="0" collapsed="false">
      <c r="AB465" s="80"/>
    </row>
    <row r="466" customFormat="false" ht="14.25" hidden="false" customHeight="true" outlineLevel="0" collapsed="false">
      <c r="AB466" s="80"/>
    </row>
    <row r="467" customFormat="false" ht="14.25" hidden="false" customHeight="true" outlineLevel="0" collapsed="false">
      <c r="AB467" s="80"/>
    </row>
    <row r="468" customFormat="false" ht="14.25" hidden="false" customHeight="true" outlineLevel="0" collapsed="false">
      <c r="AB468" s="80"/>
    </row>
    <row r="469" customFormat="false" ht="14.25" hidden="false" customHeight="true" outlineLevel="0" collapsed="false">
      <c r="AB469" s="80"/>
    </row>
    <row r="470" customFormat="false" ht="14.25" hidden="false" customHeight="true" outlineLevel="0" collapsed="false">
      <c r="AB470" s="80"/>
    </row>
    <row r="471" customFormat="false" ht="14.25" hidden="false" customHeight="true" outlineLevel="0" collapsed="false">
      <c r="AB471" s="80"/>
    </row>
    <row r="472" customFormat="false" ht="14.25" hidden="false" customHeight="true" outlineLevel="0" collapsed="false">
      <c r="AB472" s="80"/>
    </row>
    <row r="473" customFormat="false" ht="14.25" hidden="false" customHeight="true" outlineLevel="0" collapsed="false">
      <c r="AB473" s="80"/>
    </row>
    <row r="474" customFormat="false" ht="14.25" hidden="false" customHeight="true" outlineLevel="0" collapsed="false">
      <c r="AB474" s="80"/>
    </row>
    <row r="475" customFormat="false" ht="14.25" hidden="false" customHeight="true" outlineLevel="0" collapsed="false">
      <c r="AB475" s="80"/>
    </row>
    <row r="476" customFormat="false" ht="14.25" hidden="false" customHeight="true" outlineLevel="0" collapsed="false">
      <c r="AB476" s="80"/>
    </row>
    <row r="477" customFormat="false" ht="14.25" hidden="false" customHeight="true" outlineLevel="0" collapsed="false">
      <c r="AB477" s="80"/>
    </row>
    <row r="478" customFormat="false" ht="14.25" hidden="false" customHeight="true" outlineLevel="0" collapsed="false">
      <c r="AB478" s="80"/>
    </row>
    <row r="479" customFormat="false" ht="14.25" hidden="false" customHeight="true" outlineLevel="0" collapsed="false">
      <c r="AB479" s="80"/>
    </row>
    <row r="480" customFormat="false" ht="14.25" hidden="false" customHeight="true" outlineLevel="0" collapsed="false">
      <c r="AB480" s="80"/>
    </row>
    <row r="481" customFormat="false" ht="14.25" hidden="false" customHeight="true" outlineLevel="0" collapsed="false">
      <c r="AB481" s="80"/>
    </row>
    <row r="482" customFormat="false" ht="14.25" hidden="false" customHeight="true" outlineLevel="0" collapsed="false">
      <c r="AB482" s="80"/>
    </row>
    <row r="483" customFormat="false" ht="14.25" hidden="false" customHeight="true" outlineLevel="0" collapsed="false">
      <c r="AB483" s="80"/>
    </row>
    <row r="484" customFormat="false" ht="14.25" hidden="false" customHeight="true" outlineLevel="0" collapsed="false">
      <c r="AB484" s="80"/>
    </row>
    <row r="485" customFormat="false" ht="14.25" hidden="false" customHeight="true" outlineLevel="0" collapsed="false">
      <c r="AB485" s="80"/>
    </row>
    <row r="486" customFormat="false" ht="14.25" hidden="false" customHeight="true" outlineLevel="0" collapsed="false">
      <c r="AB486" s="80"/>
    </row>
    <row r="487" customFormat="false" ht="14.25" hidden="false" customHeight="true" outlineLevel="0" collapsed="false">
      <c r="AB487" s="80"/>
    </row>
    <row r="488" customFormat="false" ht="14.25" hidden="false" customHeight="true" outlineLevel="0" collapsed="false">
      <c r="AB488" s="80"/>
    </row>
    <row r="489" customFormat="false" ht="14.25" hidden="false" customHeight="true" outlineLevel="0" collapsed="false">
      <c r="AB489" s="80"/>
    </row>
    <row r="490" customFormat="false" ht="14.25" hidden="false" customHeight="true" outlineLevel="0" collapsed="false">
      <c r="AB490" s="80"/>
    </row>
    <row r="491" customFormat="false" ht="14.25" hidden="false" customHeight="true" outlineLevel="0" collapsed="false">
      <c r="AB491" s="80"/>
    </row>
    <row r="492" customFormat="false" ht="14.25" hidden="false" customHeight="true" outlineLevel="0" collapsed="false">
      <c r="AB492" s="80"/>
    </row>
    <row r="493" customFormat="false" ht="14.25" hidden="false" customHeight="true" outlineLevel="0" collapsed="false">
      <c r="AB493" s="80"/>
    </row>
    <row r="494" customFormat="false" ht="14.25" hidden="false" customHeight="true" outlineLevel="0" collapsed="false">
      <c r="AB494" s="80"/>
    </row>
    <row r="495" customFormat="false" ht="14.25" hidden="false" customHeight="true" outlineLevel="0" collapsed="false">
      <c r="AB495" s="80"/>
    </row>
    <row r="496" customFormat="false" ht="14.25" hidden="false" customHeight="true" outlineLevel="0" collapsed="false">
      <c r="AB496" s="80"/>
    </row>
    <row r="497" customFormat="false" ht="14.25" hidden="false" customHeight="true" outlineLevel="0" collapsed="false">
      <c r="AB497" s="80"/>
    </row>
    <row r="498" customFormat="false" ht="14.25" hidden="false" customHeight="true" outlineLevel="0" collapsed="false">
      <c r="AB498" s="80"/>
    </row>
    <row r="499" customFormat="false" ht="14.25" hidden="false" customHeight="true" outlineLevel="0" collapsed="false">
      <c r="AB499" s="80"/>
    </row>
    <row r="500" customFormat="false" ht="14.25" hidden="false" customHeight="true" outlineLevel="0" collapsed="false">
      <c r="AB500" s="80"/>
    </row>
    <row r="501" customFormat="false" ht="14.25" hidden="false" customHeight="true" outlineLevel="0" collapsed="false">
      <c r="AB501" s="80"/>
    </row>
    <row r="502" customFormat="false" ht="14.25" hidden="false" customHeight="true" outlineLevel="0" collapsed="false">
      <c r="AB502" s="80"/>
    </row>
    <row r="503" customFormat="false" ht="14.25" hidden="false" customHeight="true" outlineLevel="0" collapsed="false">
      <c r="AB503" s="80"/>
    </row>
    <row r="504" customFormat="false" ht="14.25" hidden="false" customHeight="true" outlineLevel="0" collapsed="false">
      <c r="AB504" s="80"/>
    </row>
    <row r="505" customFormat="false" ht="14.25" hidden="false" customHeight="true" outlineLevel="0" collapsed="false">
      <c r="AB505" s="80"/>
    </row>
    <row r="506" customFormat="false" ht="14.25" hidden="false" customHeight="true" outlineLevel="0" collapsed="false">
      <c r="AB506" s="80"/>
    </row>
    <row r="507" customFormat="false" ht="14.25" hidden="false" customHeight="true" outlineLevel="0" collapsed="false">
      <c r="AB507" s="80"/>
    </row>
    <row r="508" customFormat="false" ht="14.25" hidden="false" customHeight="true" outlineLevel="0" collapsed="false">
      <c r="AB508" s="80"/>
    </row>
    <row r="509" customFormat="false" ht="14.25" hidden="false" customHeight="true" outlineLevel="0" collapsed="false">
      <c r="AB509" s="80"/>
    </row>
    <row r="510" customFormat="false" ht="14.25" hidden="false" customHeight="true" outlineLevel="0" collapsed="false">
      <c r="AB510" s="80"/>
    </row>
    <row r="511" customFormat="false" ht="14.25" hidden="false" customHeight="true" outlineLevel="0" collapsed="false">
      <c r="AB511" s="80"/>
    </row>
    <row r="512" customFormat="false" ht="14.25" hidden="false" customHeight="true" outlineLevel="0" collapsed="false">
      <c r="AB512" s="80"/>
    </row>
    <row r="513" customFormat="false" ht="14.25" hidden="false" customHeight="true" outlineLevel="0" collapsed="false">
      <c r="AB513" s="80"/>
    </row>
    <row r="514" customFormat="false" ht="14.25" hidden="false" customHeight="true" outlineLevel="0" collapsed="false">
      <c r="AB514" s="80"/>
    </row>
    <row r="515" customFormat="false" ht="14.25" hidden="false" customHeight="true" outlineLevel="0" collapsed="false">
      <c r="AB515" s="80"/>
    </row>
    <row r="516" customFormat="false" ht="14.25" hidden="false" customHeight="true" outlineLevel="0" collapsed="false">
      <c r="AB516" s="80"/>
    </row>
    <row r="517" customFormat="false" ht="14.25" hidden="false" customHeight="true" outlineLevel="0" collapsed="false">
      <c r="AB517" s="80"/>
    </row>
    <row r="518" customFormat="false" ht="14.25" hidden="false" customHeight="true" outlineLevel="0" collapsed="false">
      <c r="AB518" s="80"/>
    </row>
    <row r="519" customFormat="false" ht="14.25" hidden="false" customHeight="true" outlineLevel="0" collapsed="false">
      <c r="AB519" s="80"/>
    </row>
    <row r="520" customFormat="false" ht="14.25" hidden="false" customHeight="true" outlineLevel="0" collapsed="false">
      <c r="AB520" s="80"/>
    </row>
    <row r="521" customFormat="false" ht="14.25" hidden="false" customHeight="true" outlineLevel="0" collapsed="false">
      <c r="AB521" s="80"/>
    </row>
    <row r="522" customFormat="false" ht="14.25" hidden="false" customHeight="true" outlineLevel="0" collapsed="false">
      <c r="AB522" s="80"/>
    </row>
    <row r="523" customFormat="false" ht="14.25" hidden="false" customHeight="true" outlineLevel="0" collapsed="false">
      <c r="AB523" s="80"/>
    </row>
    <row r="524" customFormat="false" ht="14.25" hidden="false" customHeight="true" outlineLevel="0" collapsed="false">
      <c r="AB524" s="80"/>
    </row>
    <row r="525" customFormat="false" ht="14.25" hidden="false" customHeight="true" outlineLevel="0" collapsed="false">
      <c r="AB525" s="80"/>
    </row>
    <row r="526" customFormat="false" ht="14.25" hidden="false" customHeight="true" outlineLevel="0" collapsed="false">
      <c r="AB526" s="80"/>
    </row>
    <row r="527" customFormat="false" ht="14.25" hidden="false" customHeight="true" outlineLevel="0" collapsed="false">
      <c r="AB527" s="80"/>
    </row>
    <row r="528" customFormat="false" ht="14.25" hidden="false" customHeight="true" outlineLevel="0" collapsed="false">
      <c r="AB528" s="80"/>
    </row>
    <row r="529" customFormat="false" ht="14.25" hidden="false" customHeight="true" outlineLevel="0" collapsed="false">
      <c r="AB529" s="80"/>
    </row>
    <row r="530" customFormat="false" ht="14.25" hidden="false" customHeight="true" outlineLevel="0" collapsed="false">
      <c r="AB530" s="80"/>
    </row>
    <row r="531" customFormat="false" ht="14.25" hidden="false" customHeight="true" outlineLevel="0" collapsed="false">
      <c r="AB531" s="80"/>
    </row>
    <row r="532" customFormat="false" ht="14.25" hidden="false" customHeight="true" outlineLevel="0" collapsed="false">
      <c r="AB532" s="80"/>
    </row>
    <row r="533" customFormat="false" ht="14.25" hidden="false" customHeight="true" outlineLevel="0" collapsed="false">
      <c r="AB533" s="80"/>
    </row>
    <row r="534" customFormat="false" ht="14.25" hidden="false" customHeight="true" outlineLevel="0" collapsed="false">
      <c r="AB534" s="80"/>
    </row>
    <row r="535" customFormat="false" ht="14.25" hidden="false" customHeight="true" outlineLevel="0" collapsed="false">
      <c r="AB535" s="80"/>
    </row>
    <row r="536" customFormat="false" ht="14.25" hidden="false" customHeight="true" outlineLevel="0" collapsed="false">
      <c r="AB536" s="80"/>
    </row>
    <row r="537" customFormat="false" ht="14.25" hidden="false" customHeight="true" outlineLevel="0" collapsed="false">
      <c r="AB537" s="80"/>
    </row>
    <row r="538" customFormat="false" ht="14.25" hidden="false" customHeight="true" outlineLevel="0" collapsed="false">
      <c r="AB538" s="80"/>
    </row>
    <row r="539" customFormat="false" ht="14.25" hidden="false" customHeight="true" outlineLevel="0" collapsed="false">
      <c r="AB539" s="80"/>
    </row>
    <row r="540" customFormat="false" ht="14.25" hidden="false" customHeight="true" outlineLevel="0" collapsed="false">
      <c r="AB540" s="80"/>
    </row>
    <row r="541" customFormat="false" ht="14.25" hidden="false" customHeight="true" outlineLevel="0" collapsed="false">
      <c r="AB541" s="80"/>
    </row>
    <row r="542" customFormat="false" ht="14.25" hidden="false" customHeight="true" outlineLevel="0" collapsed="false">
      <c r="AB542" s="80"/>
    </row>
    <row r="543" customFormat="false" ht="14.25" hidden="false" customHeight="true" outlineLevel="0" collapsed="false">
      <c r="AB543" s="80"/>
    </row>
    <row r="544" customFormat="false" ht="14.25" hidden="false" customHeight="true" outlineLevel="0" collapsed="false">
      <c r="AB544" s="80"/>
    </row>
    <row r="545" customFormat="false" ht="14.25" hidden="false" customHeight="true" outlineLevel="0" collapsed="false">
      <c r="AB545" s="80"/>
    </row>
    <row r="546" customFormat="false" ht="14.25" hidden="false" customHeight="true" outlineLevel="0" collapsed="false">
      <c r="AB546" s="80"/>
    </row>
    <row r="547" customFormat="false" ht="14.25" hidden="false" customHeight="true" outlineLevel="0" collapsed="false">
      <c r="AB547" s="80"/>
    </row>
    <row r="548" customFormat="false" ht="14.25" hidden="false" customHeight="true" outlineLevel="0" collapsed="false">
      <c r="AB548" s="80"/>
    </row>
    <row r="549" customFormat="false" ht="14.25" hidden="false" customHeight="true" outlineLevel="0" collapsed="false">
      <c r="AB549" s="80"/>
    </row>
    <row r="550" customFormat="false" ht="14.25" hidden="false" customHeight="true" outlineLevel="0" collapsed="false">
      <c r="AB550" s="80"/>
    </row>
    <row r="551" customFormat="false" ht="14.25" hidden="false" customHeight="true" outlineLevel="0" collapsed="false">
      <c r="AB551" s="80"/>
    </row>
    <row r="552" customFormat="false" ht="14.25" hidden="false" customHeight="true" outlineLevel="0" collapsed="false">
      <c r="AB552" s="80"/>
    </row>
    <row r="553" customFormat="false" ht="14.25" hidden="false" customHeight="true" outlineLevel="0" collapsed="false">
      <c r="AB553" s="80"/>
    </row>
    <row r="554" customFormat="false" ht="14.25" hidden="false" customHeight="true" outlineLevel="0" collapsed="false">
      <c r="AB554" s="80"/>
    </row>
    <row r="555" customFormat="false" ht="14.25" hidden="false" customHeight="true" outlineLevel="0" collapsed="false">
      <c r="AB555" s="80"/>
    </row>
    <row r="556" customFormat="false" ht="14.25" hidden="false" customHeight="true" outlineLevel="0" collapsed="false">
      <c r="AB556" s="80"/>
    </row>
    <row r="557" customFormat="false" ht="14.25" hidden="false" customHeight="true" outlineLevel="0" collapsed="false">
      <c r="AB557" s="80"/>
    </row>
    <row r="558" customFormat="false" ht="14.25" hidden="false" customHeight="true" outlineLevel="0" collapsed="false">
      <c r="AB558" s="80"/>
    </row>
    <row r="559" customFormat="false" ht="14.25" hidden="false" customHeight="true" outlineLevel="0" collapsed="false">
      <c r="AB559" s="80"/>
    </row>
    <row r="560" customFormat="false" ht="14.25" hidden="false" customHeight="true" outlineLevel="0" collapsed="false">
      <c r="AB560" s="80"/>
    </row>
    <row r="561" customFormat="false" ht="14.25" hidden="false" customHeight="true" outlineLevel="0" collapsed="false">
      <c r="AB561" s="80"/>
    </row>
    <row r="562" customFormat="false" ht="14.25" hidden="false" customHeight="true" outlineLevel="0" collapsed="false">
      <c r="AB562" s="80"/>
    </row>
    <row r="563" customFormat="false" ht="14.25" hidden="false" customHeight="true" outlineLevel="0" collapsed="false">
      <c r="AB563" s="80"/>
    </row>
    <row r="564" customFormat="false" ht="14.25" hidden="false" customHeight="true" outlineLevel="0" collapsed="false">
      <c r="AB564" s="80"/>
    </row>
    <row r="565" customFormat="false" ht="14.25" hidden="false" customHeight="true" outlineLevel="0" collapsed="false">
      <c r="AB565" s="80"/>
    </row>
    <row r="566" customFormat="false" ht="14.25" hidden="false" customHeight="true" outlineLevel="0" collapsed="false">
      <c r="AB566" s="80"/>
    </row>
    <row r="567" customFormat="false" ht="14.25" hidden="false" customHeight="true" outlineLevel="0" collapsed="false">
      <c r="AB567" s="80"/>
    </row>
    <row r="568" customFormat="false" ht="14.25" hidden="false" customHeight="true" outlineLevel="0" collapsed="false">
      <c r="AB568" s="80"/>
    </row>
    <row r="569" customFormat="false" ht="14.25" hidden="false" customHeight="true" outlineLevel="0" collapsed="false">
      <c r="AB569" s="80"/>
    </row>
    <row r="570" customFormat="false" ht="14.25" hidden="false" customHeight="true" outlineLevel="0" collapsed="false">
      <c r="AB570" s="80"/>
    </row>
    <row r="571" customFormat="false" ht="14.25" hidden="false" customHeight="true" outlineLevel="0" collapsed="false">
      <c r="AB571" s="80"/>
    </row>
    <row r="572" customFormat="false" ht="14.25" hidden="false" customHeight="true" outlineLevel="0" collapsed="false">
      <c r="AB572" s="80"/>
    </row>
    <row r="573" customFormat="false" ht="14.25" hidden="false" customHeight="true" outlineLevel="0" collapsed="false">
      <c r="AB573" s="80"/>
    </row>
    <row r="574" customFormat="false" ht="14.25" hidden="false" customHeight="true" outlineLevel="0" collapsed="false">
      <c r="AB574" s="80"/>
    </row>
    <row r="575" customFormat="false" ht="14.25" hidden="false" customHeight="true" outlineLevel="0" collapsed="false">
      <c r="AB575" s="80"/>
    </row>
    <row r="576" customFormat="false" ht="14.25" hidden="false" customHeight="true" outlineLevel="0" collapsed="false">
      <c r="AB576" s="80"/>
    </row>
    <row r="577" customFormat="false" ht="14.25" hidden="false" customHeight="true" outlineLevel="0" collapsed="false">
      <c r="AB577" s="80"/>
    </row>
    <row r="578" customFormat="false" ht="14.25" hidden="false" customHeight="true" outlineLevel="0" collapsed="false">
      <c r="AB578" s="80"/>
    </row>
    <row r="579" customFormat="false" ht="14.25" hidden="false" customHeight="true" outlineLevel="0" collapsed="false">
      <c r="AB579" s="80"/>
    </row>
    <row r="580" customFormat="false" ht="14.25" hidden="false" customHeight="true" outlineLevel="0" collapsed="false">
      <c r="AB580" s="80"/>
    </row>
    <row r="581" customFormat="false" ht="14.25" hidden="false" customHeight="true" outlineLevel="0" collapsed="false">
      <c r="AB581" s="80"/>
    </row>
    <row r="582" customFormat="false" ht="14.25" hidden="false" customHeight="true" outlineLevel="0" collapsed="false">
      <c r="AB582" s="80"/>
    </row>
    <row r="583" customFormat="false" ht="14.25" hidden="false" customHeight="true" outlineLevel="0" collapsed="false">
      <c r="AB583" s="80"/>
    </row>
    <row r="584" customFormat="false" ht="14.25" hidden="false" customHeight="true" outlineLevel="0" collapsed="false">
      <c r="AB584" s="80"/>
    </row>
    <row r="585" customFormat="false" ht="14.25" hidden="false" customHeight="true" outlineLevel="0" collapsed="false">
      <c r="AB585" s="80"/>
    </row>
    <row r="586" customFormat="false" ht="14.25" hidden="false" customHeight="true" outlineLevel="0" collapsed="false">
      <c r="AB586" s="80"/>
    </row>
    <row r="587" customFormat="false" ht="14.25" hidden="false" customHeight="true" outlineLevel="0" collapsed="false">
      <c r="AB587" s="80"/>
    </row>
    <row r="588" customFormat="false" ht="14.25" hidden="false" customHeight="true" outlineLevel="0" collapsed="false">
      <c r="AB588" s="80"/>
    </row>
    <row r="589" customFormat="false" ht="14.25" hidden="false" customHeight="true" outlineLevel="0" collapsed="false">
      <c r="AB589" s="80"/>
    </row>
    <row r="590" customFormat="false" ht="14.25" hidden="false" customHeight="true" outlineLevel="0" collapsed="false">
      <c r="AB590" s="80"/>
    </row>
    <row r="591" customFormat="false" ht="14.25" hidden="false" customHeight="true" outlineLevel="0" collapsed="false">
      <c r="AB591" s="80"/>
    </row>
    <row r="592" customFormat="false" ht="14.25" hidden="false" customHeight="true" outlineLevel="0" collapsed="false">
      <c r="AB592" s="80"/>
    </row>
    <row r="593" customFormat="false" ht="14.25" hidden="false" customHeight="true" outlineLevel="0" collapsed="false">
      <c r="AB593" s="80"/>
    </row>
    <row r="594" customFormat="false" ht="14.25" hidden="false" customHeight="true" outlineLevel="0" collapsed="false">
      <c r="AB594" s="80"/>
    </row>
    <row r="595" customFormat="false" ht="14.25" hidden="false" customHeight="true" outlineLevel="0" collapsed="false">
      <c r="AB595" s="80"/>
    </row>
    <row r="596" customFormat="false" ht="14.25" hidden="false" customHeight="true" outlineLevel="0" collapsed="false">
      <c r="AB596" s="80"/>
    </row>
    <row r="597" customFormat="false" ht="14.25" hidden="false" customHeight="true" outlineLevel="0" collapsed="false">
      <c r="AB597" s="80"/>
    </row>
    <row r="598" customFormat="false" ht="14.25" hidden="false" customHeight="true" outlineLevel="0" collapsed="false">
      <c r="AB598" s="80"/>
    </row>
    <row r="599" customFormat="false" ht="14.25" hidden="false" customHeight="true" outlineLevel="0" collapsed="false">
      <c r="AB599" s="80"/>
    </row>
    <row r="600" customFormat="false" ht="14.25" hidden="false" customHeight="true" outlineLevel="0" collapsed="false">
      <c r="AB600" s="80"/>
    </row>
    <row r="601" customFormat="false" ht="14.25" hidden="false" customHeight="true" outlineLevel="0" collapsed="false">
      <c r="AB601" s="80"/>
    </row>
    <row r="602" customFormat="false" ht="14.25" hidden="false" customHeight="true" outlineLevel="0" collapsed="false">
      <c r="AB602" s="80"/>
    </row>
    <row r="603" customFormat="false" ht="14.25" hidden="false" customHeight="true" outlineLevel="0" collapsed="false">
      <c r="AB603" s="80"/>
    </row>
    <row r="604" customFormat="false" ht="14.25" hidden="false" customHeight="true" outlineLevel="0" collapsed="false">
      <c r="AB604" s="80"/>
    </row>
    <row r="605" customFormat="false" ht="14.25" hidden="false" customHeight="true" outlineLevel="0" collapsed="false">
      <c r="AB605" s="80"/>
    </row>
    <row r="606" customFormat="false" ht="14.25" hidden="false" customHeight="true" outlineLevel="0" collapsed="false">
      <c r="AB606" s="80"/>
    </row>
    <row r="607" customFormat="false" ht="14.25" hidden="false" customHeight="true" outlineLevel="0" collapsed="false">
      <c r="AB607" s="80"/>
    </row>
    <row r="608" customFormat="false" ht="14.25" hidden="false" customHeight="true" outlineLevel="0" collapsed="false">
      <c r="AB608" s="80"/>
    </row>
    <row r="609" customFormat="false" ht="14.25" hidden="false" customHeight="true" outlineLevel="0" collapsed="false">
      <c r="AB609" s="80"/>
    </row>
    <row r="610" customFormat="false" ht="14.25" hidden="false" customHeight="true" outlineLevel="0" collapsed="false">
      <c r="AB610" s="80"/>
    </row>
    <row r="611" customFormat="false" ht="14.25" hidden="false" customHeight="true" outlineLevel="0" collapsed="false">
      <c r="AB611" s="80"/>
    </row>
    <row r="612" customFormat="false" ht="14.25" hidden="false" customHeight="true" outlineLevel="0" collapsed="false">
      <c r="AB612" s="80"/>
    </row>
    <row r="613" customFormat="false" ht="14.25" hidden="false" customHeight="true" outlineLevel="0" collapsed="false">
      <c r="AB613" s="80"/>
    </row>
    <row r="614" customFormat="false" ht="14.25" hidden="false" customHeight="true" outlineLevel="0" collapsed="false">
      <c r="AB614" s="80"/>
    </row>
    <row r="615" customFormat="false" ht="14.25" hidden="false" customHeight="true" outlineLevel="0" collapsed="false">
      <c r="AB615" s="80"/>
    </row>
    <row r="616" customFormat="false" ht="14.25" hidden="false" customHeight="true" outlineLevel="0" collapsed="false">
      <c r="AB616" s="80"/>
    </row>
    <row r="617" customFormat="false" ht="14.25" hidden="false" customHeight="true" outlineLevel="0" collapsed="false">
      <c r="AB617" s="80"/>
    </row>
    <row r="618" customFormat="false" ht="14.25" hidden="false" customHeight="true" outlineLevel="0" collapsed="false">
      <c r="AB618" s="80"/>
    </row>
    <row r="619" customFormat="false" ht="14.25" hidden="false" customHeight="true" outlineLevel="0" collapsed="false">
      <c r="AB619" s="80"/>
    </row>
    <row r="620" customFormat="false" ht="14.25" hidden="false" customHeight="true" outlineLevel="0" collapsed="false">
      <c r="AB620" s="80"/>
    </row>
    <row r="621" customFormat="false" ht="14.25" hidden="false" customHeight="true" outlineLevel="0" collapsed="false">
      <c r="AB621" s="80"/>
    </row>
    <row r="622" customFormat="false" ht="14.25" hidden="false" customHeight="true" outlineLevel="0" collapsed="false">
      <c r="AB622" s="80"/>
    </row>
    <row r="623" customFormat="false" ht="14.25" hidden="false" customHeight="true" outlineLevel="0" collapsed="false">
      <c r="AB623" s="80"/>
    </row>
    <row r="624" customFormat="false" ht="14.25" hidden="false" customHeight="true" outlineLevel="0" collapsed="false">
      <c r="AB624" s="80"/>
    </row>
    <row r="625" customFormat="false" ht="14.25" hidden="false" customHeight="true" outlineLevel="0" collapsed="false">
      <c r="AB625" s="80"/>
    </row>
    <row r="626" customFormat="false" ht="14.25" hidden="false" customHeight="true" outlineLevel="0" collapsed="false">
      <c r="AB626" s="80"/>
    </row>
    <row r="627" customFormat="false" ht="14.25" hidden="false" customHeight="true" outlineLevel="0" collapsed="false">
      <c r="AB627" s="80"/>
    </row>
    <row r="628" customFormat="false" ht="14.25" hidden="false" customHeight="true" outlineLevel="0" collapsed="false">
      <c r="AB628" s="80"/>
    </row>
    <row r="629" customFormat="false" ht="14.25" hidden="false" customHeight="true" outlineLevel="0" collapsed="false">
      <c r="AB629" s="80"/>
    </row>
    <row r="630" customFormat="false" ht="14.25" hidden="false" customHeight="true" outlineLevel="0" collapsed="false">
      <c r="AB630" s="80"/>
    </row>
    <row r="631" customFormat="false" ht="14.25" hidden="false" customHeight="true" outlineLevel="0" collapsed="false">
      <c r="AB631" s="80"/>
    </row>
    <row r="632" customFormat="false" ht="14.25" hidden="false" customHeight="true" outlineLevel="0" collapsed="false">
      <c r="AB632" s="80"/>
    </row>
    <row r="633" customFormat="false" ht="14.25" hidden="false" customHeight="true" outlineLevel="0" collapsed="false">
      <c r="AB633" s="80"/>
    </row>
    <row r="634" customFormat="false" ht="14.25" hidden="false" customHeight="true" outlineLevel="0" collapsed="false">
      <c r="AB634" s="80"/>
    </row>
    <row r="635" customFormat="false" ht="14.25" hidden="false" customHeight="true" outlineLevel="0" collapsed="false">
      <c r="AB635" s="80"/>
    </row>
    <row r="636" customFormat="false" ht="14.25" hidden="false" customHeight="true" outlineLevel="0" collapsed="false">
      <c r="AB636" s="80"/>
    </row>
    <row r="637" customFormat="false" ht="14.25" hidden="false" customHeight="true" outlineLevel="0" collapsed="false">
      <c r="AB637" s="80"/>
    </row>
    <row r="638" customFormat="false" ht="14.25" hidden="false" customHeight="true" outlineLevel="0" collapsed="false">
      <c r="AB638" s="80"/>
    </row>
    <row r="639" customFormat="false" ht="14.25" hidden="false" customHeight="true" outlineLevel="0" collapsed="false">
      <c r="AB639" s="80"/>
    </row>
    <row r="640" customFormat="false" ht="14.25" hidden="false" customHeight="true" outlineLevel="0" collapsed="false">
      <c r="AB640" s="80"/>
    </row>
    <row r="641" customFormat="false" ht="14.25" hidden="false" customHeight="true" outlineLevel="0" collapsed="false">
      <c r="AB641" s="80"/>
    </row>
    <row r="642" customFormat="false" ht="14.25" hidden="false" customHeight="true" outlineLevel="0" collapsed="false">
      <c r="AB642" s="80"/>
    </row>
    <row r="643" customFormat="false" ht="14.25" hidden="false" customHeight="true" outlineLevel="0" collapsed="false">
      <c r="AB643" s="80"/>
    </row>
    <row r="644" customFormat="false" ht="14.25" hidden="false" customHeight="true" outlineLevel="0" collapsed="false">
      <c r="AB644" s="80"/>
    </row>
    <row r="645" customFormat="false" ht="14.25" hidden="false" customHeight="true" outlineLevel="0" collapsed="false">
      <c r="AB645" s="80"/>
    </row>
    <row r="646" customFormat="false" ht="14.25" hidden="false" customHeight="true" outlineLevel="0" collapsed="false">
      <c r="AB646" s="80"/>
    </row>
    <row r="647" customFormat="false" ht="14.25" hidden="false" customHeight="true" outlineLevel="0" collapsed="false">
      <c r="AB647" s="80"/>
    </row>
    <row r="648" customFormat="false" ht="14.25" hidden="false" customHeight="true" outlineLevel="0" collapsed="false">
      <c r="AB648" s="80"/>
    </row>
    <row r="649" customFormat="false" ht="14.25" hidden="false" customHeight="true" outlineLevel="0" collapsed="false">
      <c r="AB649" s="80"/>
    </row>
    <row r="650" customFormat="false" ht="14.25" hidden="false" customHeight="true" outlineLevel="0" collapsed="false">
      <c r="AB650" s="80"/>
    </row>
    <row r="651" customFormat="false" ht="14.25" hidden="false" customHeight="true" outlineLevel="0" collapsed="false">
      <c r="AB651" s="80"/>
    </row>
    <row r="652" customFormat="false" ht="14.25" hidden="false" customHeight="true" outlineLevel="0" collapsed="false">
      <c r="AB652" s="80"/>
    </row>
    <row r="653" customFormat="false" ht="14.25" hidden="false" customHeight="true" outlineLevel="0" collapsed="false">
      <c r="AB653" s="80"/>
    </row>
    <row r="654" customFormat="false" ht="14.25" hidden="false" customHeight="true" outlineLevel="0" collapsed="false">
      <c r="AB654" s="80"/>
    </row>
    <row r="655" customFormat="false" ht="14.25" hidden="false" customHeight="true" outlineLevel="0" collapsed="false">
      <c r="AB655" s="80"/>
    </row>
    <row r="656" customFormat="false" ht="14.25" hidden="false" customHeight="true" outlineLevel="0" collapsed="false">
      <c r="AB656" s="80"/>
    </row>
    <row r="657" customFormat="false" ht="14.25" hidden="false" customHeight="true" outlineLevel="0" collapsed="false">
      <c r="AB657" s="80"/>
    </row>
    <row r="658" customFormat="false" ht="14.25" hidden="false" customHeight="true" outlineLevel="0" collapsed="false">
      <c r="AB658" s="80"/>
    </row>
    <row r="659" customFormat="false" ht="14.25" hidden="false" customHeight="true" outlineLevel="0" collapsed="false">
      <c r="AB659" s="80"/>
    </row>
    <row r="660" customFormat="false" ht="14.25" hidden="false" customHeight="true" outlineLevel="0" collapsed="false">
      <c r="AB660" s="80"/>
    </row>
    <row r="661" customFormat="false" ht="14.25" hidden="false" customHeight="true" outlineLevel="0" collapsed="false">
      <c r="AB661" s="80"/>
    </row>
    <row r="662" customFormat="false" ht="14.25" hidden="false" customHeight="true" outlineLevel="0" collapsed="false">
      <c r="AB662" s="80"/>
    </row>
    <row r="663" customFormat="false" ht="14.25" hidden="false" customHeight="true" outlineLevel="0" collapsed="false">
      <c r="AB663" s="80"/>
    </row>
    <row r="664" customFormat="false" ht="14.25" hidden="false" customHeight="true" outlineLevel="0" collapsed="false">
      <c r="AB664" s="80"/>
    </row>
    <row r="665" customFormat="false" ht="14.25" hidden="false" customHeight="true" outlineLevel="0" collapsed="false">
      <c r="AB665" s="80"/>
    </row>
    <row r="666" customFormat="false" ht="14.25" hidden="false" customHeight="true" outlineLevel="0" collapsed="false">
      <c r="AB666" s="80"/>
    </row>
    <row r="667" customFormat="false" ht="14.25" hidden="false" customHeight="true" outlineLevel="0" collapsed="false">
      <c r="AB667" s="80"/>
    </row>
    <row r="668" customFormat="false" ht="14.25" hidden="false" customHeight="true" outlineLevel="0" collapsed="false">
      <c r="AB668" s="80"/>
    </row>
    <row r="669" customFormat="false" ht="14.25" hidden="false" customHeight="true" outlineLevel="0" collapsed="false">
      <c r="AB669" s="80"/>
    </row>
    <row r="670" customFormat="false" ht="14.25" hidden="false" customHeight="true" outlineLevel="0" collapsed="false">
      <c r="AB670" s="80"/>
    </row>
    <row r="671" customFormat="false" ht="14.25" hidden="false" customHeight="true" outlineLevel="0" collapsed="false">
      <c r="AB671" s="80"/>
    </row>
    <row r="672" customFormat="false" ht="14.25" hidden="false" customHeight="true" outlineLevel="0" collapsed="false">
      <c r="AB672" s="80"/>
    </row>
    <row r="673" customFormat="false" ht="14.25" hidden="false" customHeight="true" outlineLevel="0" collapsed="false">
      <c r="AB673" s="80"/>
    </row>
    <row r="674" customFormat="false" ht="14.25" hidden="false" customHeight="true" outlineLevel="0" collapsed="false">
      <c r="AB674" s="80"/>
    </row>
    <row r="675" customFormat="false" ht="14.25" hidden="false" customHeight="true" outlineLevel="0" collapsed="false">
      <c r="AB675" s="80"/>
    </row>
    <row r="676" customFormat="false" ht="14.25" hidden="false" customHeight="true" outlineLevel="0" collapsed="false">
      <c r="AB676" s="80"/>
    </row>
    <row r="677" customFormat="false" ht="14.25" hidden="false" customHeight="true" outlineLevel="0" collapsed="false">
      <c r="AB677" s="80"/>
    </row>
    <row r="678" customFormat="false" ht="14.25" hidden="false" customHeight="true" outlineLevel="0" collapsed="false">
      <c r="AB678" s="80"/>
    </row>
    <row r="679" customFormat="false" ht="14.25" hidden="false" customHeight="true" outlineLevel="0" collapsed="false">
      <c r="AB679" s="80"/>
    </row>
    <row r="680" customFormat="false" ht="14.25" hidden="false" customHeight="true" outlineLevel="0" collapsed="false">
      <c r="AB680" s="80"/>
    </row>
    <row r="681" customFormat="false" ht="14.25" hidden="false" customHeight="true" outlineLevel="0" collapsed="false">
      <c r="AB681" s="80"/>
    </row>
    <row r="682" customFormat="false" ht="14.25" hidden="false" customHeight="true" outlineLevel="0" collapsed="false">
      <c r="AB682" s="80"/>
    </row>
    <row r="683" customFormat="false" ht="14.25" hidden="false" customHeight="true" outlineLevel="0" collapsed="false">
      <c r="AB683" s="80"/>
    </row>
    <row r="684" customFormat="false" ht="14.25" hidden="false" customHeight="true" outlineLevel="0" collapsed="false">
      <c r="AB684" s="80"/>
    </row>
    <row r="685" customFormat="false" ht="14.25" hidden="false" customHeight="true" outlineLevel="0" collapsed="false">
      <c r="AB685" s="80"/>
    </row>
    <row r="686" customFormat="false" ht="14.25" hidden="false" customHeight="true" outlineLevel="0" collapsed="false">
      <c r="AB686" s="80"/>
    </row>
    <row r="687" customFormat="false" ht="14.25" hidden="false" customHeight="true" outlineLevel="0" collapsed="false">
      <c r="AB687" s="80"/>
    </row>
    <row r="688" customFormat="false" ht="14.25" hidden="false" customHeight="true" outlineLevel="0" collapsed="false">
      <c r="AB688" s="80"/>
    </row>
    <row r="689" customFormat="false" ht="14.25" hidden="false" customHeight="true" outlineLevel="0" collapsed="false">
      <c r="AB689" s="80"/>
    </row>
    <row r="690" customFormat="false" ht="14.25" hidden="false" customHeight="true" outlineLevel="0" collapsed="false">
      <c r="AB690" s="80"/>
    </row>
    <row r="691" customFormat="false" ht="14.25" hidden="false" customHeight="true" outlineLevel="0" collapsed="false">
      <c r="AB691" s="80"/>
    </row>
    <row r="692" customFormat="false" ht="14.25" hidden="false" customHeight="true" outlineLevel="0" collapsed="false">
      <c r="AB692" s="80"/>
    </row>
    <row r="693" customFormat="false" ht="14.25" hidden="false" customHeight="true" outlineLevel="0" collapsed="false">
      <c r="AB693" s="80"/>
    </row>
    <row r="694" customFormat="false" ht="14.25" hidden="false" customHeight="true" outlineLevel="0" collapsed="false">
      <c r="AB694" s="80"/>
    </row>
    <row r="695" customFormat="false" ht="14.25" hidden="false" customHeight="true" outlineLevel="0" collapsed="false">
      <c r="AB695" s="80"/>
    </row>
    <row r="696" customFormat="false" ht="14.25" hidden="false" customHeight="true" outlineLevel="0" collapsed="false">
      <c r="AB696" s="80"/>
    </row>
    <row r="697" customFormat="false" ht="14.25" hidden="false" customHeight="true" outlineLevel="0" collapsed="false">
      <c r="AB697" s="80"/>
    </row>
    <row r="698" customFormat="false" ht="14.25" hidden="false" customHeight="true" outlineLevel="0" collapsed="false">
      <c r="AB698" s="80"/>
    </row>
    <row r="699" customFormat="false" ht="14.25" hidden="false" customHeight="true" outlineLevel="0" collapsed="false">
      <c r="AB699" s="80"/>
    </row>
    <row r="700" customFormat="false" ht="14.25" hidden="false" customHeight="true" outlineLevel="0" collapsed="false">
      <c r="AB700" s="80"/>
    </row>
    <row r="701" customFormat="false" ht="14.25" hidden="false" customHeight="true" outlineLevel="0" collapsed="false">
      <c r="AB701" s="80"/>
    </row>
    <row r="702" customFormat="false" ht="14.25" hidden="false" customHeight="true" outlineLevel="0" collapsed="false">
      <c r="AB702" s="80"/>
    </row>
    <row r="703" customFormat="false" ht="14.25" hidden="false" customHeight="true" outlineLevel="0" collapsed="false">
      <c r="AB703" s="80"/>
    </row>
    <row r="704" customFormat="false" ht="14.25" hidden="false" customHeight="true" outlineLevel="0" collapsed="false">
      <c r="AB704" s="80"/>
    </row>
    <row r="705" customFormat="false" ht="14.25" hidden="false" customHeight="true" outlineLevel="0" collapsed="false">
      <c r="AB705" s="80"/>
    </row>
    <row r="706" customFormat="false" ht="14.25" hidden="false" customHeight="true" outlineLevel="0" collapsed="false">
      <c r="AB706" s="80"/>
    </row>
    <row r="707" customFormat="false" ht="14.25" hidden="false" customHeight="true" outlineLevel="0" collapsed="false">
      <c r="AB707" s="80"/>
    </row>
    <row r="708" customFormat="false" ht="14.25" hidden="false" customHeight="true" outlineLevel="0" collapsed="false">
      <c r="AB708" s="80"/>
    </row>
    <row r="709" customFormat="false" ht="14.25" hidden="false" customHeight="true" outlineLevel="0" collapsed="false">
      <c r="AB709" s="80"/>
    </row>
    <row r="710" customFormat="false" ht="14.25" hidden="false" customHeight="true" outlineLevel="0" collapsed="false">
      <c r="AB710" s="80"/>
    </row>
    <row r="711" customFormat="false" ht="14.25" hidden="false" customHeight="true" outlineLevel="0" collapsed="false">
      <c r="AB711" s="80"/>
    </row>
    <row r="712" customFormat="false" ht="14.25" hidden="false" customHeight="true" outlineLevel="0" collapsed="false">
      <c r="AB712" s="80"/>
    </row>
    <row r="713" customFormat="false" ht="14.25" hidden="false" customHeight="true" outlineLevel="0" collapsed="false">
      <c r="AB713" s="80"/>
    </row>
    <row r="714" customFormat="false" ht="14.25" hidden="false" customHeight="true" outlineLevel="0" collapsed="false">
      <c r="AB714" s="80"/>
    </row>
    <row r="715" customFormat="false" ht="14.25" hidden="false" customHeight="true" outlineLevel="0" collapsed="false">
      <c r="AB715" s="80"/>
    </row>
    <row r="716" customFormat="false" ht="14.25" hidden="false" customHeight="true" outlineLevel="0" collapsed="false">
      <c r="AB716" s="80"/>
    </row>
    <row r="717" customFormat="false" ht="14.25" hidden="false" customHeight="true" outlineLevel="0" collapsed="false">
      <c r="AB717" s="80"/>
    </row>
    <row r="718" customFormat="false" ht="14.25" hidden="false" customHeight="true" outlineLevel="0" collapsed="false">
      <c r="AB718" s="80"/>
    </row>
    <row r="719" customFormat="false" ht="14.25" hidden="false" customHeight="true" outlineLevel="0" collapsed="false">
      <c r="AB719" s="80"/>
    </row>
    <row r="720" customFormat="false" ht="14.25" hidden="false" customHeight="true" outlineLevel="0" collapsed="false">
      <c r="AB720" s="80"/>
    </row>
    <row r="721" customFormat="false" ht="14.25" hidden="false" customHeight="true" outlineLevel="0" collapsed="false">
      <c r="AB721" s="80"/>
    </row>
    <row r="722" customFormat="false" ht="14.25" hidden="false" customHeight="true" outlineLevel="0" collapsed="false">
      <c r="AB722" s="80"/>
    </row>
    <row r="723" customFormat="false" ht="14.25" hidden="false" customHeight="true" outlineLevel="0" collapsed="false">
      <c r="AB723" s="80"/>
    </row>
    <row r="724" customFormat="false" ht="14.25" hidden="false" customHeight="true" outlineLevel="0" collapsed="false">
      <c r="AB724" s="80"/>
    </row>
    <row r="725" customFormat="false" ht="14.25" hidden="false" customHeight="true" outlineLevel="0" collapsed="false">
      <c r="AB725" s="80"/>
    </row>
    <row r="726" customFormat="false" ht="14.25" hidden="false" customHeight="true" outlineLevel="0" collapsed="false">
      <c r="AB726" s="80"/>
    </row>
    <row r="727" customFormat="false" ht="14.25" hidden="false" customHeight="true" outlineLevel="0" collapsed="false">
      <c r="AB727" s="80"/>
    </row>
    <row r="728" customFormat="false" ht="14.25" hidden="false" customHeight="true" outlineLevel="0" collapsed="false">
      <c r="AB728" s="80"/>
    </row>
    <row r="729" customFormat="false" ht="14.25" hidden="false" customHeight="true" outlineLevel="0" collapsed="false">
      <c r="AB729" s="80"/>
    </row>
    <row r="730" customFormat="false" ht="14.25" hidden="false" customHeight="true" outlineLevel="0" collapsed="false">
      <c r="AB730" s="80"/>
    </row>
    <row r="731" customFormat="false" ht="14.25" hidden="false" customHeight="true" outlineLevel="0" collapsed="false">
      <c r="AB731" s="80"/>
    </row>
    <row r="732" customFormat="false" ht="14.25" hidden="false" customHeight="true" outlineLevel="0" collapsed="false">
      <c r="AB732" s="80"/>
    </row>
    <row r="733" customFormat="false" ht="14.25" hidden="false" customHeight="true" outlineLevel="0" collapsed="false">
      <c r="AB733" s="80"/>
    </row>
    <row r="734" customFormat="false" ht="14.25" hidden="false" customHeight="true" outlineLevel="0" collapsed="false">
      <c r="AB734" s="80"/>
    </row>
    <row r="735" customFormat="false" ht="14.25" hidden="false" customHeight="true" outlineLevel="0" collapsed="false">
      <c r="AB735" s="80"/>
    </row>
    <row r="736" customFormat="false" ht="14.25" hidden="false" customHeight="true" outlineLevel="0" collapsed="false">
      <c r="AB736" s="80"/>
    </row>
    <row r="737" customFormat="false" ht="14.25" hidden="false" customHeight="true" outlineLevel="0" collapsed="false">
      <c r="AB737" s="80"/>
    </row>
    <row r="738" customFormat="false" ht="14.25" hidden="false" customHeight="true" outlineLevel="0" collapsed="false">
      <c r="AB738" s="80"/>
    </row>
    <row r="739" customFormat="false" ht="14.25" hidden="false" customHeight="true" outlineLevel="0" collapsed="false">
      <c r="AB739" s="80"/>
    </row>
    <row r="740" customFormat="false" ht="14.25" hidden="false" customHeight="true" outlineLevel="0" collapsed="false">
      <c r="AB740" s="80"/>
    </row>
    <row r="741" customFormat="false" ht="14.25" hidden="false" customHeight="true" outlineLevel="0" collapsed="false">
      <c r="AB741" s="80"/>
    </row>
    <row r="742" customFormat="false" ht="14.25" hidden="false" customHeight="true" outlineLevel="0" collapsed="false">
      <c r="AB742" s="80"/>
    </row>
    <row r="743" customFormat="false" ht="14.25" hidden="false" customHeight="true" outlineLevel="0" collapsed="false">
      <c r="AB743" s="80"/>
    </row>
    <row r="744" customFormat="false" ht="14.25" hidden="false" customHeight="true" outlineLevel="0" collapsed="false">
      <c r="AB744" s="80"/>
    </row>
    <row r="745" customFormat="false" ht="14.25" hidden="false" customHeight="true" outlineLevel="0" collapsed="false">
      <c r="AB745" s="80"/>
    </row>
    <row r="746" customFormat="false" ht="14.25" hidden="false" customHeight="true" outlineLevel="0" collapsed="false">
      <c r="AB746" s="80"/>
    </row>
    <row r="747" customFormat="false" ht="14.25" hidden="false" customHeight="true" outlineLevel="0" collapsed="false">
      <c r="AB747" s="80"/>
    </row>
    <row r="748" customFormat="false" ht="14.25" hidden="false" customHeight="true" outlineLevel="0" collapsed="false">
      <c r="AB748" s="80"/>
    </row>
    <row r="749" customFormat="false" ht="14.25" hidden="false" customHeight="true" outlineLevel="0" collapsed="false">
      <c r="AB749" s="80"/>
    </row>
    <row r="750" customFormat="false" ht="14.25" hidden="false" customHeight="true" outlineLevel="0" collapsed="false">
      <c r="AB750" s="80"/>
    </row>
    <row r="751" customFormat="false" ht="14.25" hidden="false" customHeight="true" outlineLevel="0" collapsed="false">
      <c r="AB751" s="80"/>
    </row>
    <row r="752" customFormat="false" ht="14.25" hidden="false" customHeight="true" outlineLevel="0" collapsed="false">
      <c r="AB752" s="80"/>
    </row>
    <row r="753" customFormat="false" ht="14.25" hidden="false" customHeight="true" outlineLevel="0" collapsed="false">
      <c r="AB753" s="80"/>
    </row>
    <row r="754" customFormat="false" ht="14.25" hidden="false" customHeight="true" outlineLevel="0" collapsed="false">
      <c r="AB754" s="80"/>
    </row>
    <row r="755" customFormat="false" ht="14.25" hidden="false" customHeight="true" outlineLevel="0" collapsed="false">
      <c r="AB755" s="80"/>
    </row>
    <row r="756" customFormat="false" ht="14.25" hidden="false" customHeight="true" outlineLevel="0" collapsed="false">
      <c r="AB756" s="80"/>
    </row>
    <row r="757" customFormat="false" ht="14.25" hidden="false" customHeight="true" outlineLevel="0" collapsed="false">
      <c r="AB757" s="80"/>
    </row>
    <row r="758" customFormat="false" ht="14.25" hidden="false" customHeight="true" outlineLevel="0" collapsed="false">
      <c r="AB758" s="80"/>
    </row>
    <row r="759" customFormat="false" ht="14.25" hidden="false" customHeight="true" outlineLevel="0" collapsed="false">
      <c r="AB759" s="80"/>
    </row>
    <row r="760" customFormat="false" ht="14.25" hidden="false" customHeight="true" outlineLevel="0" collapsed="false">
      <c r="AB760" s="80"/>
    </row>
    <row r="761" customFormat="false" ht="14.25" hidden="false" customHeight="true" outlineLevel="0" collapsed="false">
      <c r="AB761" s="80"/>
    </row>
    <row r="762" customFormat="false" ht="14.25" hidden="false" customHeight="true" outlineLevel="0" collapsed="false">
      <c r="AB762" s="80"/>
    </row>
    <row r="763" customFormat="false" ht="14.25" hidden="false" customHeight="true" outlineLevel="0" collapsed="false">
      <c r="AB763" s="80"/>
    </row>
    <row r="764" customFormat="false" ht="14.25" hidden="false" customHeight="true" outlineLevel="0" collapsed="false">
      <c r="AB764" s="80"/>
    </row>
    <row r="765" customFormat="false" ht="14.25" hidden="false" customHeight="true" outlineLevel="0" collapsed="false">
      <c r="AB765" s="80"/>
    </row>
    <row r="766" customFormat="false" ht="14.25" hidden="false" customHeight="true" outlineLevel="0" collapsed="false">
      <c r="AB766" s="80"/>
    </row>
    <row r="767" customFormat="false" ht="14.25" hidden="false" customHeight="true" outlineLevel="0" collapsed="false">
      <c r="AB767" s="80"/>
    </row>
    <row r="768" customFormat="false" ht="14.25" hidden="false" customHeight="true" outlineLevel="0" collapsed="false">
      <c r="AB768" s="80"/>
    </row>
    <row r="769" customFormat="false" ht="14.25" hidden="false" customHeight="true" outlineLevel="0" collapsed="false">
      <c r="AB769" s="80"/>
    </row>
    <row r="770" customFormat="false" ht="14.25" hidden="false" customHeight="true" outlineLevel="0" collapsed="false">
      <c r="AB770" s="80"/>
    </row>
    <row r="771" customFormat="false" ht="14.25" hidden="false" customHeight="true" outlineLevel="0" collapsed="false">
      <c r="AB771" s="80"/>
    </row>
    <row r="772" customFormat="false" ht="14.25" hidden="false" customHeight="true" outlineLevel="0" collapsed="false">
      <c r="AB772" s="80"/>
    </row>
    <row r="773" customFormat="false" ht="14.25" hidden="false" customHeight="true" outlineLevel="0" collapsed="false">
      <c r="AB773" s="80"/>
    </row>
    <row r="774" customFormat="false" ht="14.25" hidden="false" customHeight="true" outlineLevel="0" collapsed="false">
      <c r="AB774" s="80"/>
    </row>
    <row r="775" customFormat="false" ht="14.25" hidden="false" customHeight="true" outlineLevel="0" collapsed="false">
      <c r="AB775" s="80"/>
    </row>
    <row r="776" customFormat="false" ht="14.25" hidden="false" customHeight="true" outlineLevel="0" collapsed="false">
      <c r="AB776" s="80"/>
    </row>
    <row r="777" customFormat="false" ht="14.25" hidden="false" customHeight="true" outlineLevel="0" collapsed="false">
      <c r="AB777" s="80"/>
    </row>
    <row r="778" customFormat="false" ht="14.25" hidden="false" customHeight="true" outlineLevel="0" collapsed="false">
      <c r="AB778" s="80"/>
    </row>
    <row r="779" customFormat="false" ht="14.25" hidden="false" customHeight="true" outlineLevel="0" collapsed="false">
      <c r="AB779" s="80"/>
    </row>
    <row r="780" customFormat="false" ht="14.25" hidden="false" customHeight="true" outlineLevel="0" collapsed="false">
      <c r="AB780" s="80"/>
    </row>
    <row r="781" customFormat="false" ht="14.25" hidden="false" customHeight="true" outlineLevel="0" collapsed="false">
      <c r="AB781" s="80"/>
    </row>
    <row r="782" customFormat="false" ht="14.25" hidden="false" customHeight="true" outlineLevel="0" collapsed="false">
      <c r="AB782" s="80"/>
    </row>
    <row r="783" customFormat="false" ht="14.25" hidden="false" customHeight="true" outlineLevel="0" collapsed="false">
      <c r="AB783" s="80"/>
    </row>
    <row r="784" customFormat="false" ht="14.25" hidden="false" customHeight="true" outlineLevel="0" collapsed="false">
      <c r="AB784" s="80"/>
    </row>
    <row r="785" customFormat="false" ht="14.25" hidden="false" customHeight="true" outlineLevel="0" collapsed="false">
      <c r="AB785" s="80"/>
    </row>
    <row r="786" customFormat="false" ht="14.25" hidden="false" customHeight="true" outlineLevel="0" collapsed="false">
      <c r="AB786" s="80"/>
    </row>
    <row r="787" customFormat="false" ht="14.25" hidden="false" customHeight="true" outlineLevel="0" collapsed="false">
      <c r="AB787" s="80"/>
    </row>
    <row r="788" customFormat="false" ht="14.25" hidden="false" customHeight="true" outlineLevel="0" collapsed="false">
      <c r="AB788" s="80"/>
    </row>
    <row r="789" customFormat="false" ht="14.25" hidden="false" customHeight="true" outlineLevel="0" collapsed="false">
      <c r="AB789" s="80"/>
    </row>
    <row r="790" customFormat="false" ht="14.25" hidden="false" customHeight="true" outlineLevel="0" collapsed="false">
      <c r="AB790" s="80"/>
    </row>
    <row r="791" customFormat="false" ht="14.25" hidden="false" customHeight="true" outlineLevel="0" collapsed="false">
      <c r="AB791" s="80"/>
    </row>
    <row r="792" customFormat="false" ht="14.25" hidden="false" customHeight="true" outlineLevel="0" collapsed="false">
      <c r="AB792" s="80"/>
    </row>
    <row r="793" customFormat="false" ht="14.25" hidden="false" customHeight="true" outlineLevel="0" collapsed="false">
      <c r="AB793" s="80"/>
    </row>
    <row r="794" customFormat="false" ht="14.25" hidden="false" customHeight="true" outlineLevel="0" collapsed="false">
      <c r="AB794" s="80"/>
    </row>
    <row r="795" customFormat="false" ht="14.25" hidden="false" customHeight="true" outlineLevel="0" collapsed="false">
      <c r="AB795" s="80"/>
    </row>
    <row r="796" customFormat="false" ht="14.25" hidden="false" customHeight="true" outlineLevel="0" collapsed="false">
      <c r="AB796" s="80"/>
    </row>
    <row r="797" customFormat="false" ht="14.25" hidden="false" customHeight="true" outlineLevel="0" collapsed="false">
      <c r="AB797" s="80"/>
    </row>
    <row r="798" customFormat="false" ht="14.25" hidden="false" customHeight="true" outlineLevel="0" collapsed="false">
      <c r="AB798" s="80"/>
    </row>
    <row r="799" customFormat="false" ht="14.25" hidden="false" customHeight="true" outlineLevel="0" collapsed="false">
      <c r="AB799" s="80"/>
    </row>
    <row r="800" customFormat="false" ht="14.25" hidden="false" customHeight="true" outlineLevel="0" collapsed="false">
      <c r="AB800" s="80"/>
    </row>
    <row r="801" customFormat="false" ht="14.25" hidden="false" customHeight="true" outlineLevel="0" collapsed="false">
      <c r="AB801" s="80"/>
    </row>
    <row r="802" customFormat="false" ht="14.25" hidden="false" customHeight="true" outlineLevel="0" collapsed="false">
      <c r="AB802" s="80"/>
    </row>
    <row r="803" customFormat="false" ht="14.25" hidden="false" customHeight="true" outlineLevel="0" collapsed="false">
      <c r="AB803" s="80"/>
    </row>
    <row r="804" customFormat="false" ht="14.25" hidden="false" customHeight="true" outlineLevel="0" collapsed="false">
      <c r="AB804" s="80"/>
    </row>
    <row r="805" customFormat="false" ht="14.25" hidden="false" customHeight="true" outlineLevel="0" collapsed="false">
      <c r="AB805" s="80"/>
    </row>
    <row r="806" customFormat="false" ht="14.25" hidden="false" customHeight="true" outlineLevel="0" collapsed="false">
      <c r="AB806" s="80"/>
    </row>
    <row r="807" customFormat="false" ht="14.25" hidden="false" customHeight="true" outlineLevel="0" collapsed="false">
      <c r="AB807" s="80"/>
    </row>
    <row r="808" customFormat="false" ht="14.25" hidden="false" customHeight="true" outlineLevel="0" collapsed="false">
      <c r="AB808" s="80"/>
    </row>
    <row r="809" customFormat="false" ht="14.25" hidden="false" customHeight="true" outlineLevel="0" collapsed="false">
      <c r="AB809" s="80"/>
    </row>
    <row r="810" customFormat="false" ht="14.25" hidden="false" customHeight="true" outlineLevel="0" collapsed="false">
      <c r="AB810" s="80"/>
    </row>
    <row r="811" customFormat="false" ht="14.25" hidden="false" customHeight="true" outlineLevel="0" collapsed="false">
      <c r="AB811" s="80"/>
    </row>
    <row r="812" customFormat="false" ht="14.25" hidden="false" customHeight="true" outlineLevel="0" collapsed="false">
      <c r="AB812" s="80"/>
    </row>
    <row r="813" customFormat="false" ht="14.25" hidden="false" customHeight="true" outlineLevel="0" collapsed="false">
      <c r="AB813" s="80"/>
    </row>
    <row r="814" customFormat="false" ht="14.25" hidden="false" customHeight="true" outlineLevel="0" collapsed="false">
      <c r="AB814" s="80"/>
    </row>
    <row r="815" customFormat="false" ht="14.25" hidden="false" customHeight="true" outlineLevel="0" collapsed="false">
      <c r="AB815" s="80"/>
    </row>
    <row r="816" customFormat="false" ht="14.25" hidden="false" customHeight="true" outlineLevel="0" collapsed="false">
      <c r="AB816" s="80"/>
    </row>
    <row r="817" customFormat="false" ht="14.25" hidden="false" customHeight="true" outlineLevel="0" collapsed="false">
      <c r="AB817" s="80"/>
    </row>
    <row r="818" customFormat="false" ht="14.25" hidden="false" customHeight="true" outlineLevel="0" collapsed="false">
      <c r="AB818" s="80"/>
    </row>
    <row r="819" customFormat="false" ht="14.25" hidden="false" customHeight="true" outlineLevel="0" collapsed="false">
      <c r="AB819" s="80"/>
    </row>
    <row r="820" customFormat="false" ht="14.25" hidden="false" customHeight="true" outlineLevel="0" collapsed="false">
      <c r="AB820" s="80"/>
    </row>
    <row r="821" customFormat="false" ht="14.25" hidden="false" customHeight="true" outlineLevel="0" collapsed="false">
      <c r="AB821" s="80"/>
    </row>
    <row r="822" customFormat="false" ht="14.25" hidden="false" customHeight="true" outlineLevel="0" collapsed="false">
      <c r="AB822" s="80"/>
    </row>
    <row r="823" customFormat="false" ht="14.25" hidden="false" customHeight="true" outlineLevel="0" collapsed="false">
      <c r="AB823" s="80"/>
    </row>
    <row r="824" customFormat="false" ht="14.25" hidden="false" customHeight="true" outlineLevel="0" collapsed="false">
      <c r="AB824" s="80"/>
    </row>
    <row r="825" customFormat="false" ht="14.25" hidden="false" customHeight="true" outlineLevel="0" collapsed="false">
      <c r="AB825" s="80"/>
    </row>
    <row r="826" customFormat="false" ht="14.25" hidden="false" customHeight="true" outlineLevel="0" collapsed="false">
      <c r="AB826" s="80"/>
    </row>
    <row r="827" customFormat="false" ht="14.25" hidden="false" customHeight="true" outlineLevel="0" collapsed="false">
      <c r="AB827" s="80"/>
    </row>
    <row r="828" customFormat="false" ht="14.25" hidden="false" customHeight="true" outlineLevel="0" collapsed="false">
      <c r="AB828" s="80"/>
    </row>
    <row r="829" customFormat="false" ht="14.25" hidden="false" customHeight="true" outlineLevel="0" collapsed="false">
      <c r="AB829" s="80"/>
    </row>
    <row r="830" customFormat="false" ht="14.25" hidden="false" customHeight="true" outlineLevel="0" collapsed="false">
      <c r="AB830" s="80"/>
    </row>
    <row r="831" customFormat="false" ht="14.25" hidden="false" customHeight="true" outlineLevel="0" collapsed="false">
      <c r="AB831" s="80"/>
    </row>
    <row r="832" customFormat="false" ht="14.25" hidden="false" customHeight="true" outlineLevel="0" collapsed="false">
      <c r="AB832" s="80"/>
    </row>
  </sheetData>
  <conditionalFormatting sqref="AY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3:K52">
    <cfRule type="colorScale" priority="4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Y3:Y102">
    <cfRule type="colorScale" priority="5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AM3:AM102">
    <cfRule type="colorScale" priority="6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BA3:BA52">
    <cfRule type="colorScale" priority="7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J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Z3:AZ52">
    <cfRule type="colorScale" priority="9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AL3:AL102">
    <cfRule type="colorScale" priority="10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AK2:AK10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3:AK102">
    <cfRule type="colorScale" priority="12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M3:M52">
    <cfRule type="colorScale" priority="13">
      <colorScale>
        <cfvo type="min" val="0"/>
        <cfvo type="max" val="0"/>
        <color rgb="FFFCFCFF"/>
        <color rgb="FFF8696B"/>
      </colorScale>
    </cfRule>
  </conditionalFormatting>
  <conditionalFormatting sqref="J3:J52">
    <cfRule type="colorScale" priority="14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I2:I1048576 W2:Y2 W3:W102 W103:Y1048576 AK2:AM2 AK103:AM1048576 AZ2:BA2 AZ53:BA1048576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D2:BD1048576">
    <cfRule type="cellIs" priority="16" operator="equal" aboveAverage="0" equalAverage="0" bottom="0" percent="0" rank="0" text="" dxfId="569">
      <formula>"R"</formula>
    </cfRule>
  </conditionalFormatting>
  <conditionalFormatting sqref="F3:H52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H3:AJ102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3:V102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102">
    <cfRule type="colorScale" priority="20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AV3:AY52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D3:BD52">
    <cfRule type="colorScale" priority="22">
      <colorScale>
        <cfvo type="min" val="0"/>
        <cfvo type="percentile" val="50"/>
        <cfvo type="max" val="0"/>
        <color rgb="FFF8696B"/>
        <color rgb="FFFCFCFF"/>
        <color rgb="FF5A8AC6"/>
      </colorScale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8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13" min="13" style="113" width="5.33"/>
    <col collapsed="false" customWidth="true" hidden="false" outlineLevel="0" max="14" min="14" style="113" width="5.44"/>
    <col collapsed="false" customWidth="true" hidden="false" outlineLevel="0" max="17" min="15" style="53" width="5.67"/>
    <col collapsed="false" customWidth="false" hidden="false" outlineLevel="0" max="16384" min="18" style="53" width="8.88"/>
  </cols>
  <sheetData>
    <row r="1" customFormat="false" ht="14.25" hidden="false" customHeight="true" outlineLevel="0" collapsed="false">
      <c r="A1" s="0" t="s">
        <v>480</v>
      </c>
      <c r="B1" s="0" t="s">
        <v>103</v>
      </c>
      <c r="C1" s="0" t="s">
        <v>481</v>
      </c>
      <c r="D1" s="0" t="s">
        <v>482</v>
      </c>
      <c r="E1" s="0" t="s">
        <v>483</v>
      </c>
      <c r="F1" s="0" t="s">
        <v>484</v>
      </c>
      <c r="G1" s="0" t="s">
        <v>31</v>
      </c>
      <c r="H1" s="0" t="s">
        <v>481</v>
      </c>
      <c r="I1" s="0" t="s">
        <v>483</v>
      </c>
      <c r="J1" s="0" t="s">
        <v>484</v>
      </c>
      <c r="K1" s="0" t="s">
        <v>54</v>
      </c>
      <c r="L1" s="0" t="s">
        <v>485</v>
      </c>
      <c r="M1" s="113" t="s">
        <v>486</v>
      </c>
      <c r="N1" s="113" t="s">
        <v>487</v>
      </c>
      <c r="O1" s="114" t="s">
        <v>106</v>
      </c>
      <c r="P1" s="114" t="s">
        <v>107</v>
      </c>
      <c r="Q1" s="114" t="s">
        <v>108</v>
      </c>
    </row>
    <row r="2" customFormat="false" ht="14.25" hidden="false" customHeight="true" outlineLevel="0" collapsed="false">
      <c r="A2" s="0" t="s">
        <v>488</v>
      </c>
      <c r="O2" s="114"/>
      <c r="P2" s="114"/>
      <c r="Q2" s="114"/>
    </row>
    <row r="3" customFormat="false" ht="14.25" hidden="false" customHeight="true" outlineLevel="0" collapsed="false">
      <c r="A3" s="0" t="s">
        <v>489</v>
      </c>
      <c r="B3" s="0" t="s">
        <v>490</v>
      </c>
      <c r="C3" s="0" t="n">
        <v>492.1</v>
      </c>
      <c r="D3" s="0" t="n">
        <v>333.4</v>
      </c>
      <c r="E3" s="0" t="n">
        <v>3813.4</v>
      </c>
      <c r="F3" s="0" t="n">
        <v>27.5</v>
      </c>
      <c r="G3" s="0" t="n">
        <v>11.2</v>
      </c>
      <c r="H3" s="0" t="n">
        <v>118.1</v>
      </c>
      <c r="I3" s="0" t="n">
        <v>586</v>
      </c>
      <c r="J3" s="0" t="n">
        <v>11.5</v>
      </c>
      <c r="K3" s="0" t="n">
        <v>4.1</v>
      </c>
      <c r="L3" s="0" t="n">
        <v>370.5</v>
      </c>
      <c r="M3" s="115" t="n">
        <f aca="false">IFERROR(((E3/D3)/10.96)*0.5218*D3,0)</f>
        <v>181.554025547445</v>
      </c>
      <c r="N3" s="115" t="n">
        <f aca="false">IFERROR((((I3/H3)/5.3)*0.401)*H3,0)</f>
        <v>44.3369811320755</v>
      </c>
      <c r="O3" s="116" t="n">
        <f aca="false">MAX(QB!D5*Scoring!$B$30+QB!E5/Scoring!$C$30+QB!F5*Scoring!$D$30+QB!G5*Scoring!$E$30+QB!H5*Scoring!$F$30+QB!I5/Scoring!$G$30+QB!J5*Scoring!$H$30+QB!K5*Scoring!$I$30+M5*Scoring!$J$30+QB!N5*Scoring!$K$30,0)+C5*Scoring!$B$10*0.07+(C5-D5)*Scoring!$B$5</f>
        <v>347.46</v>
      </c>
      <c r="P3" s="116" t="n">
        <f aca="false">MAX(QB!D3*Scoring!$B$30+QB!E3/Scoring!$C$30+QB!F3*Scoring!$D$30+QB!G3*Scoring!$E$30+QB!H3*Scoring!$F$30+QB!I3/Scoring!$G$30+QB!J3*Scoring!$H$30+QB!K3*Scoring!$I$30+M3*Scoring!$J$30+QB!N3*Scoring!$K$30,0)+C3*Scoring!$B$10*0.07+(C3-D3)*Scoring!$B$5</f>
        <v>370.736</v>
      </c>
      <c r="Q3" s="116" t="n">
        <f aca="false">MAX(QB!D4*Scoring!$B$30+QB!E4/Scoring!$C$30+QB!F4*Scoring!$D$30+QB!G4*Scoring!$E$30+QB!H4*Scoring!$F$30+QB!I4/Scoring!$G$30+QB!J4*Scoring!$H$30+QB!K4*Scoring!$I$30+M4*Scoring!$J$30+QB!N4*Scoring!$K$30,0)+C4*Scoring!$B$10*0.07+(C4-D4)*Scoring!$B$5</f>
        <v>396.968</v>
      </c>
    </row>
    <row r="4" customFormat="false" ht="14.25" hidden="false" customHeight="true" outlineLevel="0" collapsed="false">
      <c r="B4" s="0" t="s">
        <v>491</v>
      </c>
      <c r="C4" s="0" t="n">
        <v>508.2</v>
      </c>
      <c r="D4" s="0" t="n">
        <v>340.1</v>
      </c>
      <c r="E4" s="0" t="n">
        <v>3949.2</v>
      </c>
      <c r="F4" s="0" t="n">
        <v>30</v>
      </c>
      <c r="G4" s="0" t="n">
        <v>9</v>
      </c>
      <c r="H4" s="0" t="n">
        <v>125</v>
      </c>
      <c r="I4" s="0" t="n">
        <v>610</v>
      </c>
      <c r="J4" s="0" t="n">
        <v>12.5</v>
      </c>
      <c r="K4" s="0" t="n">
        <v>4</v>
      </c>
      <c r="L4" s="0" t="n">
        <v>396</v>
      </c>
      <c r="M4" s="115" t="n">
        <f aca="false">IFERROR(((E4/D4)/10.96)*0.5218*D4,0)</f>
        <v>188.019394160584</v>
      </c>
      <c r="N4" s="115" t="n">
        <f aca="false">IFERROR((((I4/H4)/5.3)*0.401)*H4,0)</f>
        <v>46.1528301886793</v>
      </c>
      <c r="O4" s="116"/>
      <c r="P4" s="116"/>
      <c r="Q4" s="116"/>
    </row>
    <row r="5" customFormat="false" ht="14.25" hidden="false" customHeight="true" outlineLevel="0" collapsed="false">
      <c r="B5" s="0" t="s">
        <v>492</v>
      </c>
      <c r="C5" s="0" t="n">
        <v>479</v>
      </c>
      <c r="D5" s="0" t="n">
        <v>326</v>
      </c>
      <c r="E5" s="0" t="n">
        <v>3704</v>
      </c>
      <c r="F5" s="0" t="n">
        <v>26</v>
      </c>
      <c r="G5" s="0" t="n">
        <v>13</v>
      </c>
      <c r="H5" s="0" t="n">
        <v>113</v>
      </c>
      <c r="I5" s="0" t="n">
        <v>567</v>
      </c>
      <c r="J5" s="0" t="n">
        <v>10</v>
      </c>
      <c r="K5" s="0" t="n">
        <v>4.2</v>
      </c>
      <c r="L5" s="0" t="n">
        <v>370.6</v>
      </c>
      <c r="M5" s="115" t="n">
        <f aca="false">IFERROR(((E5/D5)/10.96)*0.5218*D5,0)</f>
        <v>176.345547445255</v>
      </c>
      <c r="N5" s="115" t="n">
        <f aca="false">IFERROR((((I5/H5)/5.3)*0.401)*H5,0)</f>
        <v>42.8994339622642</v>
      </c>
      <c r="O5" s="116"/>
      <c r="P5" s="116"/>
      <c r="Q5" s="116"/>
    </row>
    <row r="6" customFormat="false" ht="14.25" hidden="false" customHeight="true" outlineLevel="0" collapsed="false">
      <c r="A6" s="0" t="s">
        <v>493</v>
      </c>
      <c r="B6" s="0" t="s">
        <v>494</v>
      </c>
      <c r="C6" s="0" t="n">
        <v>448.9</v>
      </c>
      <c r="D6" s="0" t="n">
        <v>291.6</v>
      </c>
      <c r="E6" s="0" t="n">
        <v>3651.3</v>
      </c>
      <c r="F6" s="0" t="n">
        <v>28.3</v>
      </c>
      <c r="G6" s="0" t="n">
        <v>9.6</v>
      </c>
      <c r="H6" s="0" t="n">
        <v>118.7</v>
      </c>
      <c r="I6" s="0" t="n">
        <v>640.3</v>
      </c>
      <c r="J6" s="0" t="n">
        <v>3.2</v>
      </c>
      <c r="K6" s="0" t="n">
        <v>4.2</v>
      </c>
      <c r="L6" s="0" t="n">
        <v>324.8</v>
      </c>
      <c r="M6" s="115" t="n">
        <f aca="false">IFERROR(((E6/D6)/10.96)*0.5218*D6,0)</f>
        <v>173.836527372263</v>
      </c>
      <c r="N6" s="115" t="n">
        <f aca="false">IFERROR((((I6/H6)/5.3)*0.401)*H6,0)</f>
        <v>48.4453396226415</v>
      </c>
      <c r="O6" s="116" t="n">
        <f aca="false">MAX(QB!D8*Scoring!$B$30+QB!E8/Scoring!$C$30+QB!F8*Scoring!$D$30+QB!G8*Scoring!$E$30+QB!H8*Scoring!$F$30+QB!I8/Scoring!$G$30+QB!J8*Scoring!$H$30+QB!K8*Scoring!$I$30+M8*Scoring!$J$30+QB!N8*Scoring!$K$30,0)+C8*Scoring!$B$10*0.07+(C8-D8)*Scoring!$B$5</f>
        <v>297.36</v>
      </c>
      <c r="P6" s="116" t="n">
        <f aca="false">MAX(QB!D6*Scoring!$B$30+QB!E6/Scoring!$C$30+QB!F6*Scoring!$D$30+QB!G6*Scoring!$E$30+QB!H6*Scoring!$F$30+QB!I6/Scoring!$G$30+QB!J6*Scoring!$H$30+QB!K6*Scoring!$I$30+M6*Scoring!$J$30+QB!N6*Scoring!$K$30,0)+C6*Scoring!$B$10*0.07+(C6-D6)*Scoring!$B$5</f>
        <v>324.482</v>
      </c>
      <c r="Q6" s="116" t="n">
        <f aca="false">MAX(QB!D7*Scoring!$B$30+QB!E7/Scoring!$C$30+QB!F7*Scoring!$D$30+QB!G7*Scoring!$E$30+QB!H7*Scoring!$F$30+QB!I7/Scoring!$G$30+QB!J7*Scoring!$H$30+QB!K7*Scoring!$I$30+M7*Scoring!$J$30+QB!N7*Scoring!$K$30,0)+C7*Scoring!$B$10*0.07+(C7-D7)*Scoring!$B$5</f>
        <v>360.712</v>
      </c>
    </row>
    <row r="7" customFormat="false" ht="14.25" hidden="false" customHeight="true" outlineLevel="0" collapsed="false">
      <c r="B7" s="0" t="s">
        <v>491</v>
      </c>
      <c r="C7" s="0" t="n">
        <v>475</v>
      </c>
      <c r="D7" s="0" t="n">
        <v>304</v>
      </c>
      <c r="E7" s="0" t="n">
        <v>3885.8</v>
      </c>
      <c r="F7" s="0" t="n">
        <v>33</v>
      </c>
      <c r="G7" s="0" t="n">
        <v>8</v>
      </c>
      <c r="H7" s="0" t="n">
        <v>127</v>
      </c>
      <c r="I7" s="0" t="n">
        <v>670.8</v>
      </c>
      <c r="J7" s="0" t="n">
        <v>3.7</v>
      </c>
      <c r="K7" s="0" t="n">
        <v>4</v>
      </c>
      <c r="L7" s="0" t="n">
        <v>362</v>
      </c>
      <c r="M7" s="115" t="n">
        <f aca="false">IFERROR(((E7/D7)/10.96)*0.5218*D7,0)</f>
        <v>185.000952554745</v>
      </c>
      <c r="N7" s="115" t="n">
        <f aca="false">IFERROR((((I7/H7)/5.3)*0.401)*H7,0)</f>
        <v>50.7529811320755</v>
      </c>
      <c r="O7" s="116"/>
      <c r="P7" s="116"/>
      <c r="Q7" s="116"/>
    </row>
    <row r="8" customFormat="false" ht="14.25" hidden="false" customHeight="true" outlineLevel="0" collapsed="false">
      <c r="B8" s="0" t="s">
        <v>492</v>
      </c>
      <c r="C8" s="0" t="n">
        <v>405</v>
      </c>
      <c r="D8" s="0" t="n">
        <v>268</v>
      </c>
      <c r="E8" s="0" t="n">
        <v>3364</v>
      </c>
      <c r="F8" s="0" t="n">
        <v>26</v>
      </c>
      <c r="G8" s="0" t="n">
        <v>11</v>
      </c>
      <c r="H8" s="0" t="n">
        <v>107</v>
      </c>
      <c r="I8" s="0" t="n">
        <v>604</v>
      </c>
      <c r="J8" s="0" t="n">
        <v>3</v>
      </c>
      <c r="K8" s="0" t="n">
        <v>4.3</v>
      </c>
      <c r="L8" s="0" t="n">
        <v>322.5</v>
      </c>
      <c r="M8" s="115" t="n">
        <f aca="false">IFERROR(((E8/D8)/10.96)*0.5218*D8,0)</f>
        <v>160.158321167883</v>
      </c>
      <c r="N8" s="115" t="n">
        <f aca="false">IFERROR((((I8/H8)/5.3)*0.401)*H8,0)</f>
        <v>45.6988679245283</v>
      </c>
      <c r="O8" s="116"/>
      <c r="P8" s="116"/>
      <c r="Q8" s="116"/>
    </row>
    <row r="9" customFormat="false" ht="14.25" hidden="false" customHeight="true" outlineLevel="0" collapsed="false">
      <c r="A9" s="0" t="s">
        <v>495</v>
      </c>
      <c r="B9" s="0" t="s">
        <v>496</v>
      </c>
      <c r="C9" s="0" t="n">
        <v>492.8</v>
      </c>
      <c r="D9" s="0" t="n">
        <v>321.8</v>
      </c>
      <c r="E9" s="0" t="n">
        <v>3677.4</v>
      </c>
      <c r="F9" s="0" t="n">
        <v>23.8</v>
      </c>
      <c r="G9" s="0" t="n">
        <v>11</v>
      </c>
      <c r="H9" s="0" t="n">
        <v>130</v>
      </c>
      <c r="I9" s="0" t="n">
        <v>685.7</v>
      </c>
      <c r="J9" s="0" t="n">
        <v>4.7</v>
      </c>
      <c r="K9" s="0" t="n">
        <v>2.8</v>
      </c>
      <c r="L9" s="0" t="n">
        <v>322.2</v>
      </c>
      <c r="M9" s="115" t="n">
        <f aca="false">IFERROR(((E9/D9)/10.96)*0.5218*D9,0)</f>
        <v>175.079135036496</v>
      </c>
      <c r="N9" s="115" t="n">
        <f aca="false">IFERROR((((I9/H9)/5.3)*0.401)*H9,0)</f>
        <v>51.880320754717</v>
      </c>
      <c r="O9" s="116" t="n">
        <f aca="false">MAX(QB!D11*Scoring!$B$30+QB!E11/Scoring!$C$30+QB!F11*Scoring!$D$30+QB!G11*Scoring!$E$30+QB!H11*Scoring!$F$30+QB!I11/Scoring!$G$30+QB!J11*Scoring!$H$30+QB!K11*Scoring!$I$30+M11*Scoring!$J$30+QB!N11*Scoring!$K$30,0)+C11*Scoring!$B$10*0.07+(C11-D11)*Scoring!$B$5</f>
        <v>294.64</v>
      </c>
      <c r="P9" s="116" t="n">
        <f aca="false">MAX(QB!D9*Scoring!$B$30+QB!E9/Scoring!$C$30+QB!F9*Scoring!$D$30+QB!G9*Scoring!$E$30+QB!H9*Scoring!$F$30+QB!I9/Scoring!$G$30+QB!J9*Scoring!$H$30+QB!K9*Scoring!$I$30+M9*Scoring!$J$30+QB!N9*Scoring!$K$30,0)+C9*Scoring!$B$10*0.07+(C9-D9)*Scoring!$B$5</f>
        <v>322.466</v>
      </c>
      <c r="Q9" s="116" t="n">
        <f aca="false">MAX(QB!D10*Scoring!$B$30+QB!E10/Scoring!$C$30+QB!F10*Scoring!$D$30+QB!G10*Scoring!$E$30+QB!H10*Scoring!$F$30+QB!I10/Scoring!$G$30+QB!J10*Scoring!$H$30+QB!K10*Scoring!$I$30+M10*Scoring!$J$30+QB!N10*Scoring!$K$30,0)+C10*Scoring!$B$10*0.07+(C10-D10)*Scoring!$B$5</f>
        <v>349.148</v>
      </c>
    </row>
    <row r="10" customFormat="false" ht="14.25" hidden="false" customHeight="true" outlineLevel="0" collapsed="false">
      <c r="B10" s="0" t="s">
        <v>491</v>
      </c>
      <c r="C10" s="0" t="n">
        <v>519.4</v>
      </c>
      <c r="D10" s="0" t="n">
        <v>346.5</v>
      </c>
      <c r="E10" s="0" t="n">
        <v>3846.2</v>
      </c>
      <c r="F10" s="0" t="n">
        <v>26</v>
      </c>
      <c r="G10" s="0" t="n">
        <v>9.9</v>
      </c>
      <c r="H10" s="0" t="n">
        <v>140</v>
      </c>
      <c r="I10" s="0" t="n">
        <v>746</v>
      </c>
      <c r="J10" s="0" t="n">
        <v>5.1</v>
      </c>
      <c r="K10" s="0" t="n">
        <v>2</v>
      </c>
      <c r="L10" s="0" t="n">
        <v>353</v>
      </c>
      <c r="M10" s="115" t="n">
        <f aca="false">IFERROR(((E10/D10)/10.96)*0.5218*D10,0)</f>
        <v>183.115616788321</v>
      </c>
      <c r="N10" s="115" t="n">
        <f aca="false">IFERROR((((I10/H10)/5.3)*0.401)*H10,0)</f>
        <v>56.442641509434</v>
      </c>
      <c r="O10" s="116"/>
      <c r="P10" s="116"/>
      <c r="Q10" s="116"/>
    </row>
    <row r="11" customFormat="false" ht="14.25" hidden="false" customHeight="true" outlineLevel="0" collapsed="false">
      <c r="B11" s="0" t="s">
        <v>492</v>
      </c>
      <c r="C11" s="0" t="n">
        <v>463</v>
      </c>
      <c r="D11" s="0" t="n">
        <v>292</v>
      </c>
      <c r="E11" s="0" t="n">
        <v>3416</v>
      </c>
      <c r="F11" s="0" t="n">
        <v>22.3</v>
      </c>
      <c r="G11" s="0" t="n">
        <v>12</v>
      </c>
      <c r="H11" s="0" t="n">
        <v>119</v>
      </c>
      <c r="I11" s="0" t="n">
        <v>642</v>
      </c>
      <c r="J11" s="0" t="n">
        <v>4</v>
      </c>
      <c r="K11" s="0" t="n">
        <v>3.7</v>
      </c>
      <c r="L11" s="0" t="n">
        <v>317.5</v>
      </c>
      <c r="M11" s="115" t="n">
        <f aca="false">IFERROR(((E11/D11)/10.96)*0.5218*D11,0)</f>
        <v>162.63401459854</v>
      </c>
      <c r="N11" s="115" t="n">
        <f aca="false">IFERROR((((I11/H11)/5.3)*0.401)*H11,0)</f>
        <v>48.573962264151</v>
      </c>
      <c r="O11" s="116"/>
      <c r="P11" s="116"/>
      <c r="Q11" s="116"/>
    </row>
    <row r="12" customFormat="false" ht="14.25" hidden="false" customHeight="true" outlineLevel="0" collapsed="false">
      <c r="A12" s="0" t="s">
        <v>497</v>
      </c>
      <c r="B12" s="0" t="s">
        <v>498</v>
      </c>
      <c r="C12" s="0" t="n">
        <v>496.7</v>
      </c>
      <c r="D12" s="0" t="n">
        <v>341.4</v>
      </c>
      <c r="E12" s="0" t="n">
        <v>4003.5</v>
      </c>
      <c r="F12" s="0" t="n">
        <v>27.7</v>
      </c>
      <c r="G12" s="0" t="n">
        <v>10.4</v>
      </c>
      <c r="H12" s="0" t="n">
        <v>99.4</v>
      </c>
      <c r="I12" s="0" t="n">
        <v>494.2</v>
      </c>
      <c r="J12" s="0" t="n">
        <v>3.7</v>
      </c>
      <c r="K12" s="0" t="n">
        <v>5.6</v>
      </c>
      <c r="L12" s="0" t="n">
        <v>321</v>
      </c>
      <c r="M12" s="115" t="n">
        <f aca="false">IFERROR(((E12/D12)/10.96)*0.5218*D12,0)</f>
        <v>190.604589416058</v>
      </c>
      <c r="N12" s="115" t="n">
        <f aca="false">IFERROR((((I12/H12)/5.3)*0.401)*H12,0)</f>
        <v>37.391358490566</v>
      </c>
      <c r="O12" s="116" t="n">
        <f aca="false">MAX(QB!D14*Scoring!$B$30+QB!E14/Scoring!$C$30+QB!F14*Scoring!$D$30+QB!G14*Scoring!$E$30+QB!H14*Scoring!$F$30+QB!I14/Scoring!$G$30+QB!J14*Scoring!$H$30+QB!K14*Scoring!$I$30+M14*Scoring!$J$30+QB!N14*Scoring!$K$30,0)+C14*Scoring!$B$10*0.07+(C14-D14)*Scoring!$B$5</f>
        <v>300.98</v>
      </c>
      <c r="P12" s="116" t="n">
        <f aca="false">MAX(QB!D12*Scoring!$B$30+QB!E12/Scoring!$C$30+QB!F12*Scoring!$D$30+QB!G12*Scoring!$E$30+QB!H12*Scoring!$F$30+QB!I12/Scoring!$G$30+QB!J12*Scoring!$H$30+QB!K12*Scoring!$I$30+M12*Scoring!$J$30+QB!N12*Scoring!$K$30,0)+C12*Scoring!$B$10*0.07+(C12-D12)*Scoring!$B$5</f>
        <v>320.96</v>
      </c>
      <c r="Q12" s="116" t="n">
        <f aca="false">MAX(QB!D13*Scoring!$B$30+QB!E13/Scoring!$C$30+QB!F13*Scoring!$D$30+QB!G13*Scoring!$E$30+QB!H13*Scoring!$F$30+QB!I13/Scoring!$G$30+QB!J13*Scoring!$H$30+QB!K13*Scoring!$I$30+M13*Scoring!$J$30+QB!N13*Scoring!$K$30,0)+C13*Scoring!$B$10*0.07+(C13-D13)*Scoring!$B$5</f>
        <v>334.644</v>
      </c>
    </row>
    <row r="13" customFormat="false" ht="14.25" hidden="false" customHeight="true" outlineLevel="0" collapsed="false">
      <c r="B13" s="0" t="s">
        <v>491</v>
      </c>
      <c r="C13" s="0" t="n">
        <v>519.2</v>
      </c>
      <c r="D13" s="0" t="n">
        <v>355.1</v>
      </c>
      <c r="E13" s="0" t="n">
        <v>4099.6</v>
      </c>
      <c r="F13" s="0" t="n">
        <v>28</v>
      </c>
      <c r="G13" s="0" t="n">
        <v>9</v>
      </c>
      <c r="H13" s="0" t="n">
        <v>101.1</v>
      </c>
      <c r="I13" s="0" t="n">
        <v>532.6</v>
      </c>
      <c r="J13" s="0" t="n">
        <v>4.1</v>
      </c>
      <c r="K13" s="0" t="n">
        <v>5.1</v>
      </c>
      <c r="L13" s="0" t="n">
        <v>350</v>
      </c>
      <c r="M13" s="115" t="n">
        <f aca="false">IFERROR(((E13/D13)/10.96)*0.5218*D13,0)</f>
        <v>195.179861313869</v>
      </c>
      <c r="N13" s="115" t="n">
        <f aca="false">IFERROR((((I13/H13)/5.3)*0.401)*H13,0)</f>
        <v>40.2967169811321</v>
      </c>
      <c r="O13" s="116"/>
      <c r="P13" s="116"/>
      <c r="Q13" s="116"/>
    </row>
    <row r="14" customFormat="false" ht="14.25" hidden="false" customHeight="true" outlineLevel="0" collapsed="false">
      <c r="B14" s="0" t="s">
        <v>492</v>
      </c>
      <c r="C14" s="0" t="n">
        <v>477</v>
      </c>
      <c r="D14" s="0" t="n">
        <v>328</v>
      </c>
      <c r="E14" s="0" t="n">
        <v>3862</v>
      </c>
      <c r="F14" s="0" t="n">
        <v>27.1</v>
      </c>
      <c r="G14" s="0" t="n">
        <v>11.2</v>
      </c>
      <c r="H14" s="0" t="n">
        <v>96</v>
      </c>
      <c r="I14" s="0" t="n">
        <v>433</v>
      </c>
      <c r="J14" s="0" t="n">
        <v>3</v>
      </c>
      <c r="K14" s="0" t="n">
        <v>6</v>
      </c>
      <c r="L14" s="0" t="n">
        <v>320.2</v>
      </c>
      <c r="M14" s="115" t="n">
        <f aca="false">IFERROR(((E14/D14)/10.96)*0.5218*D14,0)</f>
        <v>183.867846715328</v>
      </c>
      <c r="N14" s="115" t="n">
        <f aca="false">IFERROR((((I14/H14)/5.3)*0.401)*H14,0)</f>
        <v>32.7609433962264</v>
      </c>
      <c r="O14" s="116"/>
      <c r="P14" s="116"/>
      <c r="Q14" s="116"/>
    </row>
    <row r="15" customFormat="false" ht="14.25" hidden="false" customHeight="true" outlineLevel="0" collapsed="false">
      <c r="A15" s="0" t="s">
        <v>499</v>
      </c>
      <c r="B15" s="0" t="s">
        <v>500</v>
      </c>
      <c r="C15" s="0" t="n">
        <v>488</v>
      </c>
      <c r="D15" s="0" t="n">
        <v>316.8</v>
      </c>
      <c r="E15" s="0" t="n">
        <v>3566.5</v>
      </c>
      <c r="F15" s="0" t="n">
        <v>24.2</v>
      </c>
      <c r="G15" s="0" t="n">
        <v>7.4</v>
      </c>
      <c r="H15" s="0" t="n">
        <v>111.8</v>
      </c>
      <c r="I15" s="0" t="n">
        <v>461.1</v>
      </c>
      <c r="J15" s="0" t="n">
        <v>8.4</v>
      </c>
      <c r="K15" s="0" t="n">
        <v>4</v>
      </c>
      <c r="L15" s="0" t="n">
        <v>320.2</v>
      </c>
      <c r="M15" s="115" t="n">
        <f aca="false">IFERROR(((E15/D15)/10.96)*0.5218*D15,0)</f>
        <v>169.79924270073</v>
      </c>
      <c r="N15" s="115" t="n">
        <f aca="false">IFERROR((((I15/H15)/5.3)*0.401)*H15,0)</f>
        <v>34.887</v>
      </c>
      <c r="O15" s="116" t="n">
        <f aca="false">MAX(QB!D17*Scoring!$B$30+QB!E17/Scoring!$C$30+QB!F17*Scoring!$D$30+QB!G17*Scoring!$E$30+QB!H17*Scoring!$F$30+QB!I17/Scoring!$G$30+QB!J17*Scoring!$H$30+QB!K17*Scoring!$I$30+M17*Scoring!$J$30+QB!N17*Scoring!$K$30,0)+C17*Scoring!$B$10*0.07+(C17-D17)*Scoring!$B$5</f>
        <v>301.02</v>
      </c>
      <c r="P15" s="116" t="n">
        <f aca="false">MAX(QB!D15*Scoring!$B$30+QB!E15/Scoring!$C$30+QB!F15*Scoring!$D$30+QB!G15*Scoring!$E$30+QB!H15*Scoring!$F$30+QB!I15/Scoring!$G$30+QB!J15*Scoring!$H$30+QB!K15*Scoring!$I$30+M15*Scoring!$J$30+QB!N15*Scoring!$K$30,0)+C15*Scoring!$B$10*0.07+(C15-D15)*Scoring!$B$5</f>
        <v>320.57</v>
      </c>
      <c r="Q15" s="116" t="n">
        <f aca="false">MAX(QB!D16*Scoring!$B$30+QB!E16/Scoring!$C$30+QB!F16*Scoring!$D$30+QB!G16*Scoring!$E$30+QB!H16*Scoring!$F$30+QB!I16/Scoring!$G$30+QB!J16*Scoring!$H$30+QB!K16*Scoring!$I$30+M16*Scoring!$J$30+QB!N16*Scoring!$K$30,0)+C16*Scoring!$B$10*0.07+(C16-D16)*Scoring!$B$5</f>
        <v>344.664</v>
      </c>
    </row>
    <row r="16" customFormat="false" ht="14.25" hidden="false" customHeight="true" outlineLevel="0" collapsed="false">
      <c r="B16" s="0" t="s">
        <v>491</v>
      </c>
      <c r="C16" s="0" t="n">
        <v>499.1</v>
      </c>
      <c r="D16" s="0" t="n">
        <v>327.4</v>
      </c>
      <c r="E16" s="0" t="n">
        <v>3776.6</v>
      </c>
      <c r="F16" s="0" t="n">
        <v>26</v>
      </c>
      <c r="G16" s="0" t="n">
        <v>6</v>
      </c>
      <c r="H16" s="0" t="n">
        <v>118</v>
      </c>
      <c r="I16" s="0" t="n">
        <v>490</v>
      </c>
      <c r="J16" s="0" t="n">
        <v>9.1</v>
      </c>
      <c r="K16" s="0" t="n">
        <v>4</v>
      </c>
      <c r="L16" s="0" t="n">
        <v>348</v>
      </c>
      <c r="M16" s="115" t="n">
        <f aca="false">IFERROR(((E16/D16)/10.96)*0.5218*D16,0)</f>
        <v>179.801996350365</v>
      </c>
      <c r="N16" s="115" t="n">
        <f aca="false">IFERROR((((I16/H16)/5.3)*0.401)*H16,0)</f>
        <v>37.0735849056604</v>
      </c>
      <c r="O16" s="116"/>
      <c r="P16" s="116"/>
      <c r="Q16" s="116"/>
    </row>
    <row r="17" customFormat="false" ht="14.25" hidden="false" customHeight="true" outlineLevel="0" collapsed="false">
      <c r="B17" s="0" t="s">
        <v>492</v>
      </c>
      <c r="C17" s="0" t="n">
        <v>471</v>
      </c>
      <c r="D17" s="0" t="n">
        <v>302</v>
      </c>
      <c r="E17" s="0" t="n">
        <v>3367</v>
      </c>
      <c r="F17" s="0" t="n">
        <v>23</v>
      </c>
      <c r="G17" s="0" t="n">
        <v>9.2</v>
      </c>
      <c r="H17" s="0" t="n">
        <v>106.3</v>
      </c>
      <c r="I17" s="0" t="n">
        <v>437.4</v>
      </c>
      <c r="J17" s="0" t="n">
        <v>8</v>
      </c>
      <c r="K17" s="0" t="n">
        <v>4.1</v>
      </c>
      <c r="L17" s="0" t="n">
        <v>319.8</v>
      </c>
      <c r="M17" s="115" t="n">
        <f aca="false">IFERROR(((E17/D17)/10.96)*0.5218*D17,0)</f>
        <v>160.301149635037</v>
      </c>
      <c r="N17" s="115" t="n">
        <f aca="false">IFERROR((((I17/H17)/5.3)*0.401)*H17,0)</f>
        <v>33.0938490566038</v>
      </c>
      <c r="O17" s="116"/>
      <c r="P17" s="116"/>
      <c r="Q17" s="116"/>
    </row>
    <row r="18" customFormat="false" ht="14.25" hidden="false" customHeight="true" outlineLevel="0" collapsed="false">
      <c r="A18" s="0" t="s">
        <v>501</v>
      </c>
      <c r="B18" s="0" t="s">
        <v>502</v>
      </c>
      <c r="C18" s="0" t="n">
        <v>591.5</v>
      </c>
      <c r="D18" s="0" t="n">
        <v>395.8</v>
      </c>
      <c r="E18" s="0" t="n">
        <v>4175.4</v>
      </c>
      <c r="F18" s="0" t="n">
        <v>33.3</v>
      </c>
      <c r="G18" s="0" t="n">
        <v>11.6</v>
      </c>
      <c r="H18" s="0" t="n">
        <v>48.2</v>
      </c>
      <c r="I18" s="0" t="n">
        <v>178.9</v>
      </c>
      <c r="J18" s="0" t="n">
        <v>1.4</v>
      </c>
      <c r="K18" s="0" t="n">
        <v>1.9</v>
      </c>
      <c r="L18" s="0" t="n">
        <v>310.8</v>
      </c>
      <c r="M18" s="115" t="n">
        <f aca="false">IFERROR(((E18/D18)/10.96)*0.5218*D18,0)</f>
        <v>198.788660583942</v>
      </c>
      <c r="N18" s="115" t="n">
        <f aca="false">IFERROR((((I18/H18)/5.3)*0.401)*H18,0)</f>
        <v>13.535641509434</v>
      </c>
      <c r="O18" s="116" t="n">
        <f aca="false">MAX(QB!D20*Scoring!$B$30+QB!E20/Scoring!$C$30+QB!F20*Scoring!$D$30+QB!G20*Scoring!$E$30+QB!H20*Scoring!$F$30+QB!I20/Scoring!$G$30+QB!J20*Scoring!$H$30+QB!K20*Scoring!$I$30+M20*Scoring!$J$30+QB!N20*Scoring!$K$30,0)+C20*Scoring!$B$10*0.07+(C20-D20)*Scoring!$B$5</f>
        <v>299.52</v>
      </c>
      <c r="P18" s="116" t="n">
        <f aca="false">MAX(QB!D18*Scoring!$B$30+QB!E18/Scoring!$C$30+QB!F18*Scoring!$D$30+QB!G18*Scoring!$E$30+QB!H18*Scoring!$F$30+QB!I18/Scoring!$G$30+QB!J18*Scoring!$H$30+QB!K18*Scoring!$I$30+M18*Scoring!$J$30+QB!N18*Scoring!$K$30,0)+C18*Scoring!$B$10*0.07+(C18-D18)*Scoring!$B$5</f>
        <v>311.106</v>
      </c>
      <c r="Q18" s="116" t="n">
        <f aca="false">MAX(QB!D19*Scoring!$B$30+QB!E19/Scoring!$C$30+QB!F19*Scoring!$D$30+QB!G19*Scoring!$E$30+QB!H19*Scoring!$F$30+QB!I19/Scoring!$G$30+QB!J19*Scoring!$H$30+QB!K19*Scoring!$I$30+M19*Scoring!$J$30+QB!N19*Scoring!$K$30,0)+C19*Scoring!$B$10*0.07+(C19-D19)*Scoring!$B$5</f>
        <v>326.14</v>
      </c>
    </row>
    <row r="19" customFormat="false" ht="14.25" hidden="false" customHeight="true" outlineLevel="0" collapsed="false">
      <c r="B19" s="0" t="s">
        <v>491</v>
      </c>
      <c r="C19" s="0" t="n">
        <v>621</v>
      </c>
      <c r="D19" s="0" t="n">
        <v>410</v>
      </c>
      <c r="E19" s="0" t="n">
        <v>4267</v>
      </c>
      <c r="F19" s="0" t="n">
        <v>34</v>
      </c>
      <c r="G19" s="0" t="n">
        <v>10</v>
      </c>
      <c r="H19" s="0" t="n">
        <v>61</v>
      </c>
      <c r="I19" s="0" t="n">
        <v>188.6</v>
      </c>
      <c r="J19" s="0" t="n">
        <v>2.1</v>
      </c>
      <c r="K19" s="0" t="n">
        <v>1</v>
      </c>
      <c r="L19" s="0" t="n">
        <v>351</v>
      </c>
      <c r="M19" s="115" t="n">
        <f aca="false">IFERROR(((E19/D19)/10.96)*0.5218*D19,0)</f>
        <v>203.149689781022</v>
      </c>
      <c r="N19" s="115" t="n">
        <f aca="false">IFERROR((((I19/H19)/5.3)*0.401)*H19,0)</f>
        <v>14.2695471698113</v>
      </c>
      <c r="O19" s="116"/>
      <c r="P19" s="116"/>
      <c r="Q19" s="116"/>
    </row>
    <row r="20" customFormat="false" ht="14.25" hidden="false" customHeight="true" outlineLevel="0" collapsed="false">
      <c r="B20" s="0" t="s">
        <v>492</v>
      </c>
      <c r="C20" s="0" t="n">
        <v>572.5</v>
      </c>
      <c r="D20" s="0" t="n">
        <v>387.4</v>
      </c>
      <c r="E20" s="0" t="n">
        <v>4128</v>
      </c>
      <c r="F20" s="0" t="n">
        <v>32.9</v>
      </c>
      <c r="G20" s="0" t="n">
        <v>14</v>
      </c>
      <c r="H20" s="0" t="n">
        <v>32</v>
      </c>
      <c r="I20" s="0" t="n">
        <v>166</v>
      </c>
      <c r="J20" s="0" t="n">
        <v>1</v>
      </c>
      <c r="K20" s="0" t="n">
        <v>2.9</v>
      </c>
      <c r="L20" s="0" t="n">
        <v>304.3</v>
      </c>
      <c r="M20" s="115" t="n">
        <f aca="false">IFERROR(((E20/D20)/10.96)*0.5218*D20,0)</f>
        <v>196.53197080292</v>
      </c>
      <c r="N20" s="115" t="n">
        <f aca="false">IFERROR((((I20/H20)/5.3)*0.401)*H20,0)</f>
        <v>12.5596226415094</v>
      </c>
      <c r="O20" s="116"/>
      <c r="P20" s="116"/>
      <c r="Q20" s="116"/>
    </row>
    <row r="21" customFormat="false" ht="14.25" hidden="false" customHeight="true" outlineLevel="0" collapsed="false">
      <c r="A21" s="0" t="s">
        <v>503</v>
      </c>
      <c r="B21" s="0" t="s">
        <v>504</v>
      </c>
      <c r="C21" s="0" t="n">
        <v>509</v>
      </c>
      <c r="D21" s="0" t="n">
        <v>324</v>
      </c>
      <c r="E21" s="0" t="n">
        <v>3585.9</v>
      </c>
      <c r="F21" s="0" t="n">
        <v>22.3</v>
      </c>
      <c r="G21" s="0" t="n">
        <v>11</v>
      </c>
      <c r="H21" s="0" t="n">
        <v>100.9</v>
      </c>
      <c r="I21" s="0" t="n">
        <v>549.3</v>
      </c>
      <c r="J21" s="0" t="n">
        <v>6.5</v>
      </c>
      <c r="K21" s="0" t="n">
        <v>2.9</v>
      </c>
      <c r="L21" s="0" t="n">
        <v>309.5</v>
      </c>
      <c r="M21" s="115" t="n">
        <f aca="false">IFERROR(((E21/D21)/10.96)*0.5218*D21,0)</f>
        <v>170.722866788321</v>
      </c>
      <c r="N21" s="115" t="n">
        <f aca="false">IFERROR((((I21/H21)/5.3)*0.401)*H21,0)</f>
        <v>41.5602452830189</v>
      </c>
      <c r="O21" s="116" t="n">
        <f aca="false">MAX(QB!D23*Scoring!$B$30+QB!E23/Scoring!$C$30+QB!F23*Scoring!$D$30+QB!G23*Scoring!$E$30+QB!H23*Scoring!$F$30+QB!I23/Scoring!$G$30+QB!J23*Scoring!$H$30+QB!K23*Scoring!$I$30+M23*Scoring!$J$30+QB!N23*Scoring!$K$30,0)+C23*Scoring!$B$10*0.07+(C23-D23)*Scoring!$B$5</f>
        <v>288.06</v>
      </c>
      <c r="P21" s="116" t="n">
        <f aca="false">MAX(QB!D21*Scoring!$B$30+QB!E21/Scoring!$C$30+QB!F21*Scoring!$D$30+QB!G21*Scoring!$E$30+QB!H21*Scoring!$F$30+QB!I21/Scoring!$G$30+QB!J21*Scoring!$H$30+QB!K21*Scoring!$I$30+M21*Scoring!$J$30+QB!N21*Scoring!$K$30,0)+C21*Scoring!$B$10*0.07+(C21-D21)*Scoring!$B$5</f>
        <v>309.766</v>
      </c>
      <c r="Q21" s="116" t="n">
        <f aca="false">MAX(QB!D22*Scoring!$B$30+QB!E22/Scoring!$C$30+QB!F22*Scoring!$D$30+QB!G22*Scoring!$E$30+QB!H22*Scoring!$F$30+QB!I22/Scoring!$G$30+QB!J22*Scoring!$H$30+QB!K22*Scoring!$I$30+M22*Scoring!$J$30+QB!N22*Scoring!$K$30,0)+C22*Scoring!$B$10*0.07+(C22-D22)*Scoring!$B$5</f>
        <v>336.552</v>
      </c>
    </row>
    <row r="22" customFormat="false" ht="14.25" hidden="false" customHeight="true" outlineLevel="0" collapsed="false">
      <c r="B22" s="0" t="s">
        <v>491</v>
      </c>
      <c r="C22" s="0" t="n">
        <v>517</v>
      </c>
      <c r="D22" s="0" t="n">
        <v>331</v>
      </c>
      <c r="E22" s="0" t="n">
        <v>3678.8</v>
      </c>
      <c r="F22" s="0" t="n">
        <v>26</v>
      </c>
      <c r="G22" s="0" t="n">
        <v>9</v>
      </c>
      <c r="H22" s="0" t="n">
        <v>103</v>
      </c>
      <c r="I22" s="0" t="n">
        <v>564</v>
      </c>
      <c r="J22" s="0" t="n">
        <v>7</v>
      </c>
      <c r="K22" s="0" t="n">
        <v>2</v>
      </c>
      <c r="L22" s="0" t="n">
        <v>346</v>
      </c>
      <c r="M22" s="115" t="n">
        <f aca="false">IFERROR(((E22/D22)/10.96)*0.5218*D22,0)</f>
        <v>175.145788321168</v>
      </c>
      <c r="N22" s="115" t="n">
        <f aca="false">IFERROR((((I22/H22)/5.3)*0.401)*H22,0)</f>
        <v>42.6724528301887</v>
      </c>
      <c r="O22" s="116"/>
      <c r="P22" s="116"/>
      <c r="Q22" s="116"/>
    </row>
    <row r="23" customFormat="false" ht="14.25" hidden="false" customHeight="true" outlineLevel="0" collapsed="false">
      <c r="B23" s="0" t="s">
        <v>492</v>
      </c>
      <c r="C23" s="0" t="n">
        <v>502.1</v>
      </c>
      <c r="D23" s="0" t="n">
        <v>315</v>
      </c>
      <c r="E23" s="0" t="n">
        <v>3509</v>
      </c>
      <c r="F23" s="0" t="n">
        <v>20</v>
      </c>
      <c r="G23" s="0" t="n">
        <v>14</v>
      </c>
      <c r="H23" s="0" t="n">
        <v>99</v>
      </c>
      <c r="I23" s="0" t="n">
        <v>531</v>
      </c>
      <c r="J23" s="0" t="n">
        <v>6</v>
      </c>
      <c r="K23" s="0" t="n">
        <v>3.7</v>
      </c>
      <c r="L23" s="0" t="n">
        <v>299.5</v>
      </c>
      <c r="M23" s="115" t="n">
        <f aca="false">IFERROR(((E23/D23)/10.96)*0.5218*D23,0)</f>
        <v>167.061697080292</v>
      </c>
      <c r="N23" s="115" t="n">
        <f aca="false">IFERROR((((I23/H23)/5.3)*0.401)*H23,0)</f>
        <v>40.1756603773585</v>
      </c>
      <c r="O23" s="116"/>
      <c r="P23" s="116"/>
      <c r="Q23" s="116"/>
    </row>
    <row r="24" customFormat="false" ht="14.25" hidden="false" customHeight="true" outlineLevel="0" collapsed="false">
      <c r="A24" s="0" t="s">
        <v>505</v>
      </c>
      <c r="B24" s="0" t="s">
        <v>506</v>
      </c>
      <c r="C24" s="0" t="n">
        <v>545.7</v>
      </c>
      <c r="D24" s="0" t="n">
        <v>336.1</v>
      </c>
      <c r="E24" s="0" t="n">
        <v>3912.5</v>
      </c>
      <c r="F24" s="0" t="n">
        <v>27</v>
      </c>
      <c r="G24" s="0" t="n">
        <v>13</v>
      </c>
      <c r="H24" s="0" t="n">
        <v>72.5</v>
      </c>
      <c r="I24" s="0" t="n">
        <v>322</v>
      </c>
      <c r="J24" s="0" t="n">
        <v>4.9</v>
      </c>
      <c r="K24" s="0" t="n">
        <v>3.4</v>
      </c>
      <c r="L24" s="0" t="n">
        <v>306.6</v>
      </c>
      <c r="M24" s="115" t="n">
        <f aca="false">IFERROR(((E24/D24)/10.96)*0.5218*D24,0)</f>
        <v>186.272125912409</v>
      </c>
      <c r="N24" s="115" t="n">
        <f aca="false">IFERROR((((I24/H24)/5.3)*0.401)*H24,0)</f>
        <v>24.362641509434</v>
      </c>
      <c r="O24" s="116" t="n">
        <f aca="false">MAX(QB!D26*Scoring!$B$30+QB!E26/Scoring!$C$30+QB!F26*Scoring!$D$30+QB!G26*Scoring!$E$30+QB!H26*Scoring!$F$30+QB!I26/Scoring!$G$30+QB!J26*Scoring!$H$30+QB!K26*Scoring!$I$30+M26*Scoring!$J$30+QB!N26*Scoring!$K$30,0)+C26*Scoring!$B$10*0.07+(C26-D26)*Scoring!$B$5</f>
        <v>285.26</v>
      </c>
      <c r="P24" s="116" t="n">
        <f aca="false">MAX(QB!D24*Scoring!$B$30+QB!E24/Scoring!$C$30+QB!F24*Scoring!$D$30+QB!G24*Scoring!$E$30+QB!H24*Scoring!$F$30+QB!I24/Scoring!$G$30+QB!J24*Scoring!$H$30+QB!K24*Scoring!$I$30+M24*Scoring!$J$30+QB!N24*Scoring!$K$30,0)+C24*Scoring!$B$10*0.07+(C24-D24)*Scoring!$B$5</f>
        <v>306.3</v>
      </c>
      <c r="Q24" s="116" t="n">
        <f aca="false">MAX(QB!D25*Scoring!$B$30+QB!E25/Scoring!$C$30+QB!F25*Scoring!$D$30+QB!G25*Scoring!$E$30+QB!H25*Scoring!$F$30+QB!I25/Scoring!$G$30+QB!J25*Scoring!$H$30+QB!K25*Scoring!$I$30+M25*Scoring!$J$30+QB!N25*Scoring!$K$30,0)+C25*Scoring!$B$10*0.07+(C25-D25)*Scoring!$B$5</f>
        <v>334.43</v>
      </c>
    </row>
    <row r="25" customFormat="false" ht="14.25" hidden="false" customHeight="true" outlineLevel="0" collapsed="false">
      <c r="B25" s="0" t="s">
        <v>491</v>
      </c>
      <c r="C25" s="0" t="n">
        <v>560.1</v>
      </c>
      <c r="D25" s="0" t="n">
        <v>347.4</v>
      </c>
      <c r="E25" s="0" t="n">
        <v>3948</v>
      </c>
      <c r="F25" s="0" t="n">
        <v>31</v>
      </c>
      <c r="G25" s="0" t="n">
        <v>11</v>
      </c>
      <c r="H25" s="0" t="n">
        <v>77</v>
      </c>
      <c r="I25" s="0" t="n">
        <v>335.1</v>
      </c>
      <c r="J25" s="0" t="n">
        <v>6</v>
      </c>
      <c r="K25" s="0" t="n">
        <v>3</v>
      </c>
      <c r="L25" s="0" t="n">
        <v>357</v>
      </c>
      <c r="M25" s="115" t="n">
        <f aca="false">IFERROR(((E25/D25)/10.96)*0.5218*D25,0)</f>
        <v>187.962262773723</v>
      </c>
      <c r="N25" s="115" t="n">
        <f aca="false">IFERROR((((I25/H25)/5.3)*0.401)*H25,0)</f>
        <v>25.3537924528302</v>
      </c>
      <c r="O25" s="116"/>
      <c r="P25" s="116"/>
      <c r="Q25" s="116"/>
    </row>
    <row r="26" customFormat="false" ht="14.25" hidden="false" customHeight="true" outlineLevel="0" collapsed="false">
      <c r="B26" s="0" t="s">
        <v>492</v>
      </c>
      <c r="C26" s="0" t="n">
        <v>536</v>
      </c>
      <c r="D26" s="0" t="n">
        <v>326</v>
      </c>
      <c r="E26" s="0" t="n">
        <v>3844</v>
      </c>
      <c r="F26" s="0" t="n">
        <v>25</v>
      </c>
      <c r="G26" s="0" t="n">
        <v>15</v>
      </c>
      <c r="H26" s="0" t="n">
        <v>67</v>
      </c>
      <c r="I26" s="0" t="n">
        <v>301</v>
      </c>
      <c r="J26" s="0" t="n">
        <v>4</v>
      </c>
      <c r="K26" s="0" t="n">
        <v>3.8</v>
      </c>
      <c r="L26" s="0" t="n">
        <v>289.6</v>
      </c>
      <c r="M26" s="115" t="n">
        <f aca="false">IFERROR(((E26/D26)/10.96)*0.5218*D26,0)</f>
        <v>183.010875912409</v>
      </c>
      <c r="N26" s="115" t="n">
        <f aca="false">IFERROR((((I26/H26)/5.3)*0.401)*H26,0)</f>
        <v>22.7737735849057</v>
      </c>
      <c r="O26" s="116"/>
      <c r="P26" s="116"/>
      <c r="Q26" s="116"/>
    </row>
    <row r="27" customFormat="false" ht="14.25" hidden="false" customHeight="true" outlineLevel="0" collapsed="false">
      <c r="A27" s="0" t="s">
        <v>507</v>
      </c>
      <c r="B27" s="0" t="s">
        <v>508</v>
      </c>
      <c r="C27" s="0" t="n">
        <v>547.5</v>
      </c>
      <c r="D27" s="0" t="n">
        <v>369.6</v>
      </c>
      <c r="E27" s="0" t="n">
        <v>4154</v>
      </c>
      <c r="F27" s="0" t="n">
        <v>27.3</v>
      </c>
      <c r="G27" s="0" t="n">
        <v>14.3</v>
      </c>
      <c r="H27" s="0" t="n">
        <v>70.8</v>
      </c>
      <c r="I27" s="0" t="n">
        <v>304</v>
      </c>
      <c r="J27" s="0" t="n">
        <v>3.8</v>
      </c>
      <c r="K27" s="0" t="n">
        <v>4.3</v>
      </c>
      <c r="L27" s="0" t="n">
        <v>306</v>
      </c>
      <c r="M27" s="115" t="n">
        <f aca="false">IFERROR(((E27/D27)/10.96)*0.5218*D27,0)</f>
        <v>197.769817518248</v>
      </c>
      <c r="N27" s="115" t="n">
        <f aca="false">IFERROR((((I27/H27)/5.3)*0.401)*H27,0)</f>
        <v>23.0007547169811</v>
      </c>
      <c r="O27" s="116" t="n">
        <f aca="false">MAX(QB!D29*Scoring!$B$30+QB!E29/Scoring!$C$30+QB!F29*Scoring!$D$30+QB!G29*Scoring!$E$30+QB!H29*Scoring!$F$30+QB!I29/Scoring!$G$30+QB!J29*Scoring!$H$30+QB!K29*Scoring!$I$30+M29*Scoring!$J$30+QB!N29*Scoring!$K$30,0)+C29*Scoring!$B$10*0.07+(C29-D29)*Scoring!$B$5</f>
        <v>288.71</v>
      </c>
      <c r="P27" s="116" t="n">
        <f aca="false">MAX(QB!D27*Scoring!$B$30+QB!E27/Scoring!$C$30+QB!F27*Scoring!$D$30+QB!G27*Scoring!$E$30+QB!H27*Scoring!$F$30+QB!I27/Scoring!$G$30+QB!J27*Scoring!$H$30+QB!K27*Scoring!$I$30+M27*Scoring!$J$30+QB!N27*Scoring!$K$30,0)+C27*Scoring!$B$10*0.07+(C27-D27)*Scoring!$B$5</f>
        <v>305.66</v>
      </c>
      <c r="Q27" s="116" t="n">
        <f aca="false">MAX(QB!D28*Scoring!$B$30+QB!E28/Scoring!$C$30+QB!F28*Scoring!$D$30+QB!G28*Scoring!$E$30+QB!H28*Scoring!$F$30+QB!I28/Scoring!$G$30+QB!J28*Scoring!$H$30+QB!K28*Scoring!$I$30+M28*Scoring!$J$30+QB!N28*Scoring!$K$30,0)+C28*Scoring!$B$10*0.07+(C28-D28)*Scoring!$B$5</f>
        <v>327.62</v>
      </c>
    </row>
    <row r="28" customFormat="false" ht="14.25" hidden="false" customHeight="true" outlineLevel="0" collapsed="false">
      <c r="B28" s="0" t="s">
        <v>491</v>
      </c>
      <c r="C28" s="0" t="n">
        <v>558</v>
      </c>
      <c r="D28" s="0" t="n">
        <v>380</v>
      </c>
      <c r="E28" s="0" t="n">
        <v>4178</v>
      </c>
      <c r="F28" s="0" t="n">
        <v>29</v>
      </c>
      <c r="G28" s="0" t="n">
        <v>13</v>
      </c>
      <c r="H28" s="0" t="n">
        <v>82</v>
      </c>
      <c r="I28" s="0" t="n">
        <v>349</v>
      </c>
      <c r="J28" s="0" t="n">
        <v>5</v>
      </c>
      <c r="K28" s="0" t="n">
        <v>3.7</v>
      </c>
      <c r="L28" s="0" t="n">
        <v>344</v>
      </c>
      <c r="M28" s="115" t="n">
        <f aca="false">IFERROR(((E28/D28)/10.96)*0.5218*D28,0)</f>
        <v>198.912445255474</v>
      </c>
      <c r="N28" s="115" t="n">
        <f aca="false">IFERROR((((I28/H28)/5.3)*0.401)*H28,0)</f>
        <v>26.4054716981132</v>
      </c>
      <c r="O28" s="116"/>
      <c r="P28" s="116"/>
      <c r="Q28" s="116"/>
    </row>
    <row r="29" customFormat="false" ht="14.25" hidden="false" customHeight="true" outlineLevel="0" collapsed="false">
      <c r="B29" s="0" t="s">
        <v>492</v>
      </c>
      <c r="C29" s="0" t="n">
        <v>529.6</v>
      </c>
      <c r="D29" s="0" t="n">
        <v>351.8</v>
      </c>
      <c r="E29" s="0" t="n">
        <v>4125</v>
      </c>
      <c r="F29" s="0" t="n">
        <v>26</v>
      </c>
      <c r="G29" s="0" t="n">
        <v>16</v>
      </c>
      <c r="H29" s="0" t="n">
        <v>65</v>
      </c>
      <c r="I29" s="0" t="n">
        <v>277.1</v>
      </c>
      <c r="J29" s="0" t="n">
        <v>3</v>
      </c>
      <c r="K29" s="0" t="n">
        <v>5</v>
      </c>
      <c r="L29" s="0" t="n">
        <v>292.1</v>
      </c>
      <c r="M29" s="115" t="n">
        <f aca="false">IFERROR(((E29/D29)/10.96)*0.5218*D29,0)</f>
        <v>196.389142335766</v>
      </c>
      <c r="N29" s="115" t="n">
        <f aca="false">IFERROR((((I29/H29)/5.3)*0.401)*H29,0)</f>
        <v>20.9654905660377</v>
      </c>
      <c r="O29" s="116"/>
      <c r="P29" s="116"/>
      <c r="Q29" s="116"/>
    </row>
    <row r="30" customFormat="false" ht="14.25" hidden="false" customHeight="true" outlineLevel="0" collapsed="false">
      <c r="A30" s="0" t="s">
        <v>509</v>
      </c>
      <c r="B30" s="0" t="s">
        <v>510</v>
      </c>
      <c r="C30" s="0" t="n">
        <v>579.8</v>
      </c>
      <c r="D30" s="0" t="n">
        <v>382.4</v>
      </c>
      <c r="E30" s="0" t="n">
        <v>4275</v>
      </c>
      <c r="F30" s="0" t="n">
        <v>30.9</v>
      </c>
      <c r="G30" s="0" t="n">
        <v>11.3</v>
      </c>
      <c r="H30" s="0" t="n">
        <v>49.1</v>
      </c>
      <c r="I30" s="0" t="n">
        <v>173.3</v>
      </c>
      <c r="J30" s="0" t="n">
        <v>1.7</v>
      </c>
      <c r="K30" s="0" t="n">
        <v>2.8</v>
      </c>
      <c r="L30" s="0" t="n">
        <v>305.3</v>
      </c>
      <c r="M30" s="115" t="n">
        <f aca="false">IFERROR(((E30/D30)/10.96)*0.5218*D30,0)</f>
        <v>203.530565693431</v>
      </c>
      <c r="N30" s="115" t="n">
        <f aca="false">IFERROR((((I30/H30)/5.3)*0.401)*H30,0)</f>
        <v>13.1119433962264</v>
      </c>
      <c r="O30" s="116" t="n">
        <f aca="false">MAX(QB!D32*Scoring!$B$30+QB!E32/Scoring!$C$30+QB!F32*Scoring!$D$30+QB!G32*Scoring!$E$30+QB!H32*Scoring!$F$30+QB!I32/Scoring!$G$30+QB!J32*Scoring!$H$30+QB!K32*Scoring!$I$30+M32*Scoring!$J$30+QB!N32*Scoring!$K$30,0)+C32*Scoring!$B$10*0.07+(C32-D32)*Scoring!$B$5</f>
        <v>286.024</v>
      </c>
      <c r="P30" s="116" t="n">
        <f aca="false">MAX(QB!D30*Scoring!$B$30+QB!E30/Scoring!$C$30+QB!F30*Scoring!$D$30+QB!G30*Scoring!$E$30+QB!H30*Scoring!$F$30+QB!I30/Scoring!$G$30+QB!J30*Scoring!$H$30+QB!K30*Scoring!$I$30+M30*Scoring!$J$30+QB!N30*Scoring!$K$30,0)+C30*Scoring!$B$10*0.07+(C30-D30)*Scoring!$B$5</f>
        <v>305.23</v>
      </c>
      <c r="Q30" s="116" t="n">
        <f aca="false">MAX(QB!D31*Scoring!$B$30+QB!E31/Scoring!$C$30+QB!F31*Scoring!$D$30+QB!G31*Scoring!$E$30+QB!H31*Scoring!$F$30+QB!I31/Scoring!$G$30+QB!J31*Scoring!$H$30+QB!K31*Scoring!$I$30+M31*Scoring!$J$30+QB!N31*Scoring!$K$30,0)+C31*Scoring!$B$10*0.07+(C31-D31)*Scoring!$B$5</f>
        <v>326.92</v>
      </c>
    </row>
    <row r="31" customFormat="false" ht="14.25" hidden="false" customHeight="true" outlineLevel="0" collapsed="false">
      <c r="B31" s="0" t="s">
        <v>491</v>
      </c>
      <c r="C31" s="0" t="n">
        <v>614</v>
      </c>
      <c r="D31" s="0" t="n">
        <v>400</v>
      </c>
      <c r="E31" s="0" t="n">
        <v>4428</v>
      </c>
      <c r="F31" s="0" t="n">
        <v>33</v>
      </c>
      <c r="G31" s="0" t="n">
        <v>10</v>
      </c>
      <c r="H31" s="0" t="n">
        <v>51.3</v>
      </c>
      <c r="I31" s="0" t="n">
        <v>186</v>
      </c>
      <c r="J31" s="0" t="n">
        <v>2.2</v>
      </c>
      <c r="K31" s="0" t="n">
        <v>2</v>
      </c>
      <c r="L31" s="0" t="n">
        <v>361</v>
      </c>
      <c r="M31" s="115" t="n">
        <f aca="false">IFERROR(((E31/D31)/10.96)*0.5218*D31,0)</f>
        <v>210.814817518248</v>
      </c>
      <c r="N31" s="115" t="n">
        <f aca="false">IFERROR((((I31/H31)/5.3)*0.401)*H31,0)</f>
        <v>14.0728301886792</v>
      </c>
      <c r="O31" s="116"/>
      <c r="P31" s="116"/>
      <c r="Q31" s="116"/>
    </row>
    <row r="32" customFormat="false" ht="14.25" hidden="false" customHeight="true" outlineLevel="0" collapsed="false">
      <c r="B32" s="0" t="s">
        <v>492</v>
      </c>
      <c r="C32" s="0" t="n">
        <v>553.4</v>
      </c>
      <c r="D32" s="0" t="n">
        <v>370.1</v>
      </c>
      <c r="E32" s="0" t="n">
        <v>4108.1</v>
      </c>
      <c r="F32" s="0" t="n">
        <v>29.7</v>
      </c>
      <c r="G32" s="0" t="n">
        <v>12</v>
      </c>
      <c r="H32" s="0" t="n">
        <v>45</v>
      </c>
      <c r="I32" s="0" t="n">
        <v>161</v>
      </c>
      <c r="J32" s="0" t="n">
        <v>1</v>
      </c>
      <c r="K32" s="0" t="n">
        <v>3.6</v>
      </c>
      <c r="L32" s="0" t="n">
        <v>286.1</v>
      </c>
      <c r="M32" s="115" t="n">
        <f aca="false">IFERROR(((E32/D32)/10.96)*0.5218*D32,0)</f>
        <v>195.584541970803</v>
      </c>
      <c r="N32" s="115" t="n">
        <f aca="false">IFERROR((((I32/H32)/5.3)*0.401)*H32,0)</f>
        <v>12.181320754717</v>
      </c>
      <c r="O32" s="116"/>
      <c r="P32" s="116"/>
      <c r="Q32" s="116"/>
    </row>
    <row r="33" customFormat="false" ht="14.25" hidden="false" customHeight="true" outlineLevel="0" collapsed="false">
      <c r="A33" s="0" t="s">
        <v>511</v>
      </c>
      <c r="B33" s="0" t="s">
        <v>512</v>
      </c>
      <c r="C33" s="0" t="n">
        <v>554.8</v>
      </c>
      <c r="D33" s="0" t="n">
        <v>353.7</v>
      </c>
      <c r="E33" s="0" t="n">
        <v>3836.2</v>
      </c>
      <c r="F33" s="0" t="n">
        <v>27.1</v>
      </c>
      <c r="G33" s="0" t="n">
        <v>11.9</v>
      </c>
      <c r="H33" s="0" t="n">
        <v>60.4</v>
      </c>
      <c r="I33" s="0" t="n">
        <v>359.7</v>
      </c>
      <c r="J33" s="0" t="n">
        <v>3.4</v>
      </c>
      <c r="K33" s="0" t="n">
        <v>2</v>
      </c>
      <c r="L33" s="0" t="n">
        <v>302.4</v>
      </c>
      <c r="M33" s="115" t="n">
        <f aca="false">IFERROR(((E33/D33)/10.96)*0.5218*D33,0)</f>
        <v>182.63952189781</v>
      </c>
      <c r="N33" s="115" t="n">
        <f aca="false">IFERROR((((I33/H33)/5.3)*0.401)*H33,0)</f>
        <v>27.2150377358491</v>
      </c>
      <c r="O33" s="116" t="n">
        <f aca="false">MAX(QB!D35*Scoring!$B$30+QB!E35/Scoring!$C$30+QB!F35*Scoring!$D$30+QB!G35*Scoring!$E$30+QB!H35*Scoring!$F$30+QB!I35/Scoring!$G$30+QB!J35*Scoring!$H$30+QB!K35*Scoring!$I$30+M35*Scoring!$J$30+QB!N35*Scoring!$K$30,0)+C35*Scoring!$B$10*0.07+(C35-D35)*Scoring!$B$5</f>
        <v>281.58</v>
      </c>
      <c r="P33" s="116" t="n">
        <f aca="false">MAX(QB!D33*Scoring!$B$30+QB!E33/Scoring!$C$30+QB!F33*Scoring!$D$30+QB!G33*Scoring!$E$30+QB!H33*Scoring!$F$30+QB!I33/Scoring!$G$30+QB!J33*Scoring!$H$30+QB!K33*Scoring!$I$30+M33*Scoring!$J$30+QB!N33*Scoring!$K$30,0)+C33*Scoring!$B$10*0.07+(C33-D33)*Scoring!$B$5</f>
        <v>302.318</v>
      </c>
      <c r="Q33" s="116" t="n">
        <f aca="false">MAX(QB!D34*Scoring!$B$30+QB!E34/Scoring!$C$30+QB!F34*Scoring!$D$30+QB!G34*Scoring!$E$30+QB!H34*Scoring!$F$30+QB!I34/Scoring!$G$30+QB!J34*Scoring!$H$30+QB!K34*Scoring!$I$30+M34*Scoring!$J$30+QB!N34*Scoring!$K$30,0)+C34*Scoring!$B$10*0.07+(C34-D34)*Scoring!$B$5</f>
        <v>330.724</v>
      </c>
    </row>
    <row r="34" customFormat="false" ht="14.25" hidden="false" customHeight="true" outlineLevel="0" collapsed="false">
      <c r="B34" s="0" t="s">
        <v>491</v>
      </c>
      <c r="C34" s="0" t="n">
        <v>567</v>
      </c>
      <c r="D34" s="0" t="n">
        <v>358.2</v>
      </c>
      <c r="E34" s="0" t="n">
        <v>4000.6</v>
      </c>
      <c r="F34" s="0" t="n">
        <v>29</v>
      </c>
      <c r="G34" s="0" t="n">
        <v>11</v>
      </c>
      <c r="H34" s="0" t="n">
        <v>71</v>
      </c>
      <c r="I34" s="0" t="n">
        <v>437</v>
      </c>
      <c r="J34" s="0" t="n">
        <v>4</v>
      </c>
      <c r="K34" s="0" t="n">
        <v>1</v>
      </c>
      <c r="L34" s="0" t="n">
        <v>343</v>
      </c>
      <c r="M34" s="115" t="n">
        <f aca="false">IFERROR(((E34/D34)/10.96)*0.5218*D34,0)</f>
        <v>190.46652189781</v>
      </c>
      <c r="N34" s="115" t="n">
        <f aca="false">IFERROR((((I34/H34)/5.3)*0.401)*H34,0)</f>
        <v>33.0635849056604</v>
      </c>
      <c r="O34" s="116"/>
      <c r="P34" s="116"/>
      <c r="Q34" s="116"/>
    </row>
    <row r="35" customFormat="false" ht="14.25" hidden="false" customHeight="true" outlineLevel="0" collapsed="false">
      <c r="B35" s="0" t="s">
        <v>492</v>
      </c>
      <c r="C35" s="0" t="n">
        <v>547</v>
      </c>
      <c r="D35" s="0" t="n">
        <v>350</v>
      </c>
      <c r="E35" s="0" t="n">
        <v>3677</v>
      </c>
      <c r="F35" s="0" t="n">
        <v>26</v>
      </c>
      <c r="G35" s="0" t="n">
        <v>13</v>
      </c>
      <c r="H35" s="0" t="n">
        <v>53.1</v>
      </c>
      <c r="I35" s="0" t="n">
        <v>315</v>
      </c>
      <c r="J35" s="0" t="n">
        <v>3</v>
      </c>
      <c r="K35" s="0" t="n">
        <v>3</v>
      </c>
      <c r="L35" s="0" t="n">
        <v>291</v>
      </c>
      <c r="M35" s="115" t="n">
        <f aca="false">IFERROR(((E35/D35)/10.96)*0.5218*D35,0)</f>
        <v>175.060091240876</v>
      </c>
      <c r="N35" s="115" t="n">
        <f aca="false">IFERROR((((I35/H35)/5.3)*0.401)*H35,0)</f>
        <v>23.8330188679245</v>
      </c>
      <c r="O35" s="116"/>
      <c r="P35" s="116"/>
      <c r="Q35" s="116"/>
    </row>
    <row r="36" customFormat="false" ht="14.25" hidden="false" customHeight="true" outlineLevel="0" collapsed="false">
      <c r="A36" s="0" t="s">
        <v>513</v>
      </c>
      <c r="B36" s="0" t="s">
        <v>514</v>
      </c>
      <c r="C36" s="0" t="n">
        <v>550.2</v>
      </c>
      <c r="D36" s="0" t="n">
        <v>330.5</v>
      </c>
      <c r="E36" s="0" t="n">
        <v>3871.9</v>
      </c>
      <c r="F36" s="0" t="n">
        <v>27.4</v>
      </c>
      <c r="G36" s="0" t="n">
        <v>9.3</v>
      </c>
      <c r="H36" s="0" t="n">
        <v>79.4</v>
      </c>
      <c r="I36" s="0" t="n">
        <v>398.8</v>
      </c>
      <c r="J36" s="0" t="n">
        <v>2.1</v>
      </c>
      <c r="K36" s="0" t="n">
        <v>3</v>
      </c>
      <c r="L36" s="0" t="n">
        <v>301.6</v>
      </c>
      <c r="M36" s="115" t="n">
        <f aca="false">IFERROR(((E36/D36)/10.96)*0.5218*D36,0)</f>
        <v>184.339180656934</v>
      </c>
      <c r="N36" s="115" t="n">
        <f aca="false">IFERROR((((I36/H36)/5.3)*0.401)*H36,0)</f>
        <v>30.173358490566</v>
      </c>
      <c r="O36" s="116" t="n">
        <f aca="false">MAX(QB!D38*Scoring!$B$30+QB!E38/Scoring!$C$30+QB!F38*Scoring!$D$30+QB!G38*Scoring!$E$30+QB!H38*Scoring!$F$30+QB!I38/Scoring!$G$30+QB!J38*Scoring!$H$30+QB!K38*Scoring!$I$30+M38*Scoring!$J$30+QB!N38*Scoring!$K$30,0)+C38*Scoring!$B$10*0.07+(C38-D38)*Scoring!$B$5</f>
        <v>286.198</v>
      </c>
      <c r="P36" s="116" t="n">
        <f aca="false">MAX(QB!D36*Scoring!$B$30+QB!E36/Scoring!$C$30+QB!F36*Scoring!$D$30+QB!G36*Scoring!$E$30+QB!H36*Scoring!$F$30+QB!I36/Scoring!$G$30+QB!J36*Scoring!$H$30+QB!K36*Scoring!$I$30+M36*Scoring!$J$30+QB!N36*Scoring!$K$30,0)+C36*Scoring!$B$10*0.07+(C36-D36)*Scoring!$B$5</f>
        <v>301.656</v>
      </c>
      <c r="Q36" s="116" t="n">
        <f aca="false">MAX(QB!D37*Scoring!$B$30+QB!E37/Scoring!$C$30+QB!F37*Scoring!$D$30+QB!G37*Scoring!$E$30+QB!H37*Scoring!$F$30+QB!I37/Scoring!$G$30+QB!J37*Scoring!$H$30+QB!K37*Scoring!$I$30+M37*Scoring!$J$30+QB!N37*Scoring!$K$30,0)+C37*Scoring!$B$10*0.07+(C37-D37)*Scoring!$B$5</f>
        <v>319.32</v>
      </c>
    </row>
    <row r="37" customFormat="false" ht="14.25" hidden="false" customHeight="true" outlineLevel="0" collapsed="false">
      <c r="B37" s="0" t="s">
        <v>491</v>
      </c>
      <c r="C37" s="0" t="n">
        <v>579</v>
      </c>
      <c r="D37" s="0" t="n">
        <v>339</v>
      </c>
      <c r="E37" s="0" t="n">
        <v>3908</v>
      </c>
      <c r="F37" s="0" t="n">
        <v>30</v>
      </c>
      <c r="G37" s="0" t="n">
        <v>8</v>
      </c>
      <c r="H37" s="0" t="n">
        <v>88</v>
      </c>
      <c r="I37" s="0" t="n">
        <v>412</v>
      </c>
      <c r="J37" s="0" t="n">
        <v>2.3</v>
      </c>
      <c r="K37" s="0" t="n">
        <v>2</v>
      </c>
      <c r="L37" s="0" t="n">
        <v>349</v>
      </c>
      <c r="M37" s="115" t="n">
        <f aca="false">IFERROR(((E37/D37)/10.96)*0.5218*D37,0)</f>
        <v>186.057883211679</v>
      </c>
      <c r="N37" s="115" t="n">
        <f aca="false">IFERROR((((I37/H37)/5.3)*0.401)*H37,0)</f>
        <v>31.1720754716981</v>
      </c>
      <c r="O37" s="116"/>
      <c r="P37" s="116"/>
      <c r="Q37" s="116"/>
    </row>
    <row r="38" customFormat="false" ht="14.25" hidden="false" customHeight="true" outlineLevel="0" collapsed="false">
      <c r="B38" s="0" t="s">
        <v>492</v>
      </c>
      <c r="C38" s="0" t="n">
        <v>533.7</v>
      </c>
      <c r="D38" s="0" t="n">
        <v>319.6</v>
      </c>
      <c r="E38" s="0" t="n">
        <v>3836.7</v>
      </c>
      <c r="F38" s="0" t="n">
        <v>25.2</v>
      </c>
      <c r="G38" s="0" t="n">
        <v>10</v>
      </c>
      <c r="H38" s="0" t="n">
        <v>71.1</v>
      </c>
      <c r="I38" s="0" t="n">
        <v>381.3</v>
      </c>
      <c r="J38" s="0" t="n">
        <v>2</v>
      </c>
      <c r="K38" s="0" t="n">
        <v>4.1</v>
      </c>
      <c r="L38" s="0" t="n">
        <v>281.9</v>
      </c>
      <c r="M38" s="115" t="n">
        <f aca="false">IFERROR(((E38/D38)/10.96)*0.5218*D38,0)</f>
        <v>182.663326642336</v>
      </c>
      <c r="N38" s="115" t="n">
        <f aca="false">IFERROR((((I38/H38)/5.3)*0.401)*H38,0)</f>
        <v>28.8493018867925</v>
      </c>
      <c r="O38" s="116"/>
      <c r="P38" s="116"/>
      <c r="Q38" s="116"/>
    </row>
    <row r="39" customFormat="false" ht="14.25" hidden="false" customHeight="true" outlineLevel="0" collapsed="false">
      <c r="A39" s="0" t="s">
        <v>515</v>
      </c>
      <c r="B39" s="0" t="s">
        <v>516</v>
      </c>
      <c r="C39" s="0" t="n">
        <v>529.4</v>
      </c>
      <c r="D39" s="0" t="n">
        <v>349.4</v>
      </c>
      <c r="E39" s="0" t="n">
        <v>3854.1</v>
      </c>
      <c r="F39" s="0" t="n">
        <v>26.2</v>
      </c>
      <c r="G39" s="0" t="n">
        <v>11.7</v>
      </c>
      <c r="H39" s="0" t="n">
        <v>78.4</v>
      </c>
      <c r="I39" s="0" t="n">
        <v>451.2</v>
      </c>
      <c r="J39" s="0" t="n">
        <v>2.1</v>
      </c>
      <c r="K39" s="0" t="n">
        <v>2.8</v>
      </c>
      <c r="L39" s="0" t="n">
        <v>299.5</v>
      </c>
      <c r="M39" s="115" t="n">
        <f aca="false">IFERROR(((E39/D39)/10.96)*0.5218*D39,0)</f>
        <v>183.491731751825</v>
      </c>
      <c r="N39" s="115" t="n">
        <f aca="false">IFERROR((((I39/H39)/5.3)*0.401)*H39,0)</f>
        <v>34.137962264151</v>
      </c>
      <c r="O39" s="116" t="n">
        <f aca="false">MAX(QB!D41*Scoring!$B$30+QB!E41/Scoring!$C$30+QB!F41*Scoring!$D$30+QB!G41*Scoring!$E$30+QB!H41*Scoring!$F$30+QB!I41/Scoring!$G$30+QB!J41*Scoring!$H$30+QB!K41*Scoring!$I$30+M41*Scoring!$J$30+QB!N41*Scoring!$K$30,0)+C41*Scoring!$B$10*0.07+(C41-D41)*Scoring!$B$5</f>
        <v>282.89</v>
      </c>
      <c r="P39" s="116" t="n">
        <f aca="false">MAX(QB!D39*Scoring!$B$30+QB!E39/Scoring!$C$30+QB!F39*Scoring!$D$30+QB!G39*Scoring!$E$30+QB!H39*Scoring!$F$30+QB!I39/Scoring!$G$30+QB!J39*Scoring!$H$30+QB!K39*Scoring!$I$30+M39*Scoring!$J$30+QB!N39*Scoring!$K$30,0)+C39*Scoring!$B$10*0.07+(C39-D39)*Scoring!$B$5</f>
        <v>299.384</v>
      </c>
      <c r="Q39" s="116" t="n">
        <f aca="false">MAX(QB!D40*Scoring!$B$30+QB!E40/Scoring!$C$30+QB!F40*Scoring!$D$30+QB!G40*Scoring!$E$30+QB!H40*Scoring!$F$30+QB!I40/Scoring!$G$30+QB!J40*Scoring!$H$30+QB!K40*Scoring!$I$30+M40*Scoring!$J$30+QB!N40*Scoring!$K$30,0)+C40*Scoring!$B$10*0.07+(C40-D40)*Scoring!$B$5</f>
        <v>321.48</v>
      </c>
    </row>
    <row r="40" customFormat="false" ht="14.25" hidden="false" customHeight="true" outlineLevel="0" collapsed="false">
      <c r="B40" s="0" t="s">
        <v>491</v>
      </c>
      <c r="C40" s="0" t="n">
        <v>534</v>
      </c>
      <c r="D40" s="0" t="n">
        <v>352</v>
      </c>
      <c r="E40" s="0" t="n">
        <v>3952</v>
      </c>
      <c r="F40" s="0" t="n">
        <v>28</v>
      </c>
      <c r="G40" s="0" t="n">
        <v>11</v>
      </c>
      <c r="H40" s="0" t="n">
        <v>83</v>
      </c>
      <c r="I40" s="0" t="n">
        <v>520</v>
      </c>
      <c r="J40" s="0" t="n">
        <v>2.4</v>
      </c>
      <c r="K40" s="0" t="n">
        <v>2</v>
      </c>
      <c r="L40" s="0" t="n">
        <v>334</v>
      </c>
      <c r="M40" s="115" t="n">
        <f aca="false">IFERROR(((E40/D40)/10.96)*0.5218*D40,0)</f>
        <v>188.152700729927</v>
      </c>
      <c r="N40" s="115" t="n">
        <f aca="false">IFERROR((((I40/H40)/5.3)*0.401)*H40,0)</f>
        <v>39.3433962264151</v>
      </c>
      <c r="O40" s="116"/>
      <c r="P40" s="116"/>
      <c r="Q40" s="116"/>
    </row>
    <row r="41" customFormat="false" ht="14.25" hidden="false" customHeight="true" outlineLevel="0" collapsed="false">
      <c r="B41" s="0" t="s">
        <v>492</v>
      </c>
      <c r="C41" s="0" t="n">
        <v>527</v>
      </c>
      <c r="D41" s="0" t="n">
        <v>345.3</v>
      </c>
      <c r="E41" s="0" t="n">
        <v>3761</v>
      </c>
      <c r="F41" s="0" t="n">
        <v>25</v>
      </c>
      <c r="G41" s="0" t="n">
        <v>13</v>
      </c>
      <c r="H41" s="0" t="n">
        <v>74</v>
      </c>
      <c r="I41" s="0" t="n">
        <v>406.5</v>
      </c>
      <c r="J41" s="0" t="n">
        <v>2</v>
      </c>
      <c r="K41" s="0" t="n">
        <v>3.6</v>
      </c>
      <c r="L41" s="0" t="n">
        <v>283.6</v>
      </c>
      <c r="M41" s="115" t="n">
        <f aca="false">IFERROR(((E41/D41)/10.96)*0.5218*D41,0)</f>
        <v>179.059288321168</v>
      </c>
      <c r="N41" s="115" t="n">
        <f aca="false">IFERROR((((I41/H41)/5.3)*0.401)*H41,0)</f>
        <v>30.7559433962264</v>
      </c>
      <c r="O41" s="116"/>
      <c r="P41" s="116"/>
      <c r="Q41" s="116"/>
    </row>
    <row r="42" customFormat="false" ht="14.25" hidden="false" customHeight="true" outlineLevel="0" collapsed="false">
      <c r="A42" s="0" t="s">
        <v>517</v>
      </c>
      <c r="B42" s="0" t="s">
        <v>518</v>
      </c>
      <c r="C42" s="0" t="n">
        <v>555.5</v>
      </c>
      <c r="D42" s="0" t="n">
        <v>355.2</v>
      </c>
      <c r="E42" s="0" t="n">
        <v>3744.6</v>
      </c>
      <c r="F42" s="0" t="n">
        <v>26.8</v>
      </c>
      <c r="G42" s="0" t="n">
        <v>11</v>
      </c>
      <c r="H42" s="0" t="n">
        <v>79.1</v>
      </c>
      <c r="I42" s="0" t="n">
        <v>341.3</v>
      </c>
      <c r="J42" s="0" t="n">
        <v>3.7</v>
      </c>
      <c r="K42" s="0" t="n">
        <v>2</v>
      </c>
      <c r="L42" s="0" t="n">
        <v>298</v>
      </c>
      <c r="M42" s="115" t="n">
        <f aca="false">IFERROR(((E42/D42)/10.96)*0.5218*D42,0)</f>
        <v>178.27849270073</v>
      </c>
      <c r="N42" s="115" t="n">
        <f aca="false">IFERROR((((I42/H42)/5.3)*0.401)*H42,0)</f>
        <v>25.8228867924528</v>
      </c>
      <c r="O42" s="116" t="n">
        <f aca="false">MAX(QB!D44*Scoring!$B$30+QB!E44/Scoring!$C$30+QB!F44*Scoring!$D$30+QB!G44*Scoring!$E$30+QB!H44*Scoring!$F$30+QB!I44/Scoring!$G$30+QB!J44*Scoring!$H$30+QB!K44*Scoring!$I$30+M44*Scoring!$J$30+QB!N44*Scoring!$K$30,0)+C44*Scoring!$B$10*0.07+(C44-D44)*Scoring!$B$5</f>
        <v>276.76</v>
      </c>
      <c r="P42" s="116" t="n">
        <f aca="false">MAX(QB!D42*Scoring!$B$30+QB!E42/Scoring!$C$30+QB!F42*Scoring!$D$30+QB!G42*Scoring!$E$30+QB!H42*Scoring!$F$30+QB!I42/Scoring!$G$30+QB!J42*Scoring!$H$30+QB!K42*Scoring!$I$30+M42*Scoring!$J$30+QB!N42*Scoring!$K$30,0)+C42*Scoring!$B$10*0.07+(C42-D42)*Scoring!$B$5</f>
        <v>298.314</v>
      </c>
      <c r="Q42" s="116" t="n">
        <f aca="false">MAX(QB!D43*Scoring!$B$30+QB!E43/Scoring!$C$30+QB!F43*Scoring!$D$30+QB!G43*Scoring!$E$30+QB!H43*Scoring!$F$30+QB!I43/Scoring!$G$30+QB!J43*Scoring!$H$30+QB!K43*Scoring!$I$30+M43*Scoring!$J$30+QB!N43*Scoring!$K$30,0)+C43*Scoring!$B$10*0.07+(C43-D43)*Scoring!$B$5</f>
        <v>311.188</v>
      </c>
    </row>
    <row r="43" customFormat="false" ht="14.25" hidden="false" customHeight="true" outlineLevel="0" collapsed="false">
      <c r="B43" s="0" t="s">
        <v>491</v>
      </c>
      <c r="C43" s="0" t="n">
        <v>575</v>
      </c>
      <c r="D43" s="0" t="n">
        <v>364</v>
      </c>
      <c r="E43" s="0" t="n">
        <v>3874.7</v>
      </c>
      <c r="F43" s="0" t="n">
        <v>27</v>
      </c>
      <c r="G43" s="0" t="n">
        <v>10</v>
      </c>
      <c r="H43" s="0" t="n">
        <v>82.3</v>
      </c>
      <c r="I43" s="0" t="n">
        <v>362</v>
      </c>
      <c r="J43" s="0" t="n">
        <v>4</v>
      </c>
      <c r="K43" s="0" t="n">
        <v>1</v>
      </c>
      <c r="L43" s="0" t="n">
        <v>322.2</v>
      </c>
      <c r="M43" s="115" t="n">
        <f aca="false">IFERROR(((E43/D43)/10.96)*0.5218*D43,0)</f>
        <v>184.472487226277</v>
      </c>
      <c r="N43" s="115" t="n">
        <f aca="false">IFERROR((((I43/H43)/5.3)*0.401)*H43,0)</f>
        <v>27.3890566037736</v>
      </c>
      <c r="O43" s="116"/>
      <c r="P43" s="116"/>
      <c r="Q43" s="116"/>
    </row>
    <row r="44" customFormat="false" ht="14.25" hidden="false" customHeight="true" outlineLevel="0" collapsed="false">
      <c r="B44" s="0" t="s">
        <v>492</v>
      </c>
      <c r="C44" s="0" t="n">
        <v>527</v>
      </c>
      <c r="D44" s="0" t="n">
        <v>338</v>
      </c>
      <c r="E44" s="0" t="n">
        <v>3509</v>
      </c>
      <c r="F44" s="0" t="n">
        <v>26.5</v>
      </c>
      <c r="G44" s="0" t="n">
        <v>12</v>
      </c>
      <c r="H44" s="0" t="n">
        <v>73</v>
      </c>
      <c r="I44" s="0" t="n">
        <v>306</v>
      </c>
      <c r="J44" s="0" t="n">
        <v>3</v>
      </c>
      <c r="K44" s="0" t="n">
        <v>3.1</v>
      </c>
      <c r="L44" s="0" t="n">
        <v>295.7</v>
      </c>
      <c r="M44" s="115" t="n">
        <f aca="false">IFERROR(((E44/D44)/10.96)*0.5218*D44,0)</f>
        <v>167.061697080292</v>
      </c>
      <c r="N44" s="115" t="n">
        <f aca="false">IFERROR((((I44/H44)/5.3)*0.401)*H44,0)</f>
        <v>23.1520754716981</v>
      </c>
      <c r="O44" s="116"/>
      <c r="P44" s="116"/>
      <c r="Q44" s="116"/>
    </row>
    <row r="45" customFormat="false" ht="14.25" hidden="false" customHeight="true" outlineLevel="0" collapsed="false">
      <c r="A45" s="0" t="s">
        <v>519</v>
      </c>
      <c r="B45" s="0" t="s">
        <v>520</v>
      </c>
      <c r="C45" s="0" t="n">
        <v>547</v>
      </c>
      <c r="D45" s="0" t="n">
        <v>352.7</v>
      </c>
      <c r="E45" s="0" t="n">
        <v>4190.5</v>
      </c>
      <c r="F45" s="0" t="n">
        <v>34</v>
      </c>
      <c r="G45" s="0" t="n">
        <v>8.6</v>
      </c>
      <c r="H45" s="0" t="n">
        <v>23.7</v>
      </c>
      <c r="I45" s="0" t="n">
        <v>33.1</v>
      </c>
      <c r="J45" s="0" t="n">
        <v>0.2</v>
      </c>
      <c r="K45" s="0" t="n">
        <v>2.8</v>
      </c>
      <c r="L45" s="0" t="n">
        <v>293.9</v>
      </c>
      <c r="M45" s="115" t="n">
        <f aca="false">IFERROR(((E45/D45)/10.96)*0.5218*D45,0)</f>
        <v>199.507563868613</v>
      </c>
      <c r="N45" s="115" t="n">
        <f aca="false">IFERROR((((I45/H45)/5.3)*0.401)*H45,0)</f>
        <v>2.50435849056604</v>
      </c>
      <c r="O45" s="116" t="n">
        <f aca="false">MAX(QB!D47*Scoring!$B$30+QB!E47/Scoring!$C$30+QB!F47*Scoring!$D$30+QB!G47*Scoring!$E$30+QB!H47*Scoring!$F$30+QB!I47/Scoring!$G$30+QB!J47*Scoring!$H$30+QB!K47*Scoring!$I$30+M47*Scoring!$J$30+QB!N47*Scoring!$K$30,0)+C47*Scoring!$B$10*0.07+(C47-D47)*Scoring!$B$5</f>
        <v>279.5</v>
      </c>
      <c r="P45" s="116" t="n">
        <f aca="false">MAX(QB!D45*Scoring!$B$30+QB!E45/Scoring!$C$30+QB!F45*Scoring!$D$30+QB!G45*Scoring!$E$30+QB!H45*Scoring!$F$30+QB!I45/Scoring!$G$30+QB!J45*Scoring!$H$30+QB!K45*Scoring!$I$30+M45*Scoring!$J$30+QB!N45*Scoring!$K$30,0)+C45*Scoring!$B$10*0.07+(C45-D45)*Scoring!$B$5</f>
        <v>293.93</v>
      </c>
      <c r="Q45" s="116" t="n">
        <f aca="false">MAX(QB!D46*Scoring!$B$30+QB!E46/Scoring!$C$30+QB!F46*Scoring!$D$30+QB!G46*Scoring!$E$30+QB!H46*Scoring!$F$30+QB!I46/Scoring!$G$30+QB!J46*Scoring!$H$30+QB!K46*Scoring!$I$30+M46*Scoring!$J$30+QB!N46*Scoring!$K$30,0)+C46*Scoring!$B$10*0.07+(C46-D46)*Scoring!$B$5</f>
        <v>307.31</v>
      </c>
    </row>
    <row r="46" customFormat="false" ht="14.25" hidden="false" customHeight="true" outlineLevel="0" collapsed="false">
      <c r="B46" s="0" t="s">
        <v>491</v>
      </c>
      <c r="C46" s="0" t="n">
        <v>557.9</v>
      </c>
      <c r="D46" s="0" t="n">
        <v>359</v>
      </c>
      <c r="E46" s="0" t="n">
        <v>4279.5</v>
      </c>
      <c r="F46" s="0" t="n">
        <v>34.9</v>
      </c>
      <c r="G46" s="0" t="n">
        <v>7</v>
      </c>
      <c r="H46" s="0" t="n">
        <v>27</v>
      </c>
      <c r="I46" s="0" t="n">
        <v>39.3</v>
      </c>
      <c r="J46" s="0" t="n">
        <v>0.6</v>
      </c>
      <c r="K46" s="0" t="n">
        <v>2</v>
      </c>
      <c r="L46" s="0" t="n">
        <v>341</v>
      </c>
      <c r="M46" s="115" t="n">
        <f aca="false">IFERROR(((E46/D46)/10.96)*0.5218*D46,0)</f>
        <v>203.744808394161</v>
      </c>
      <c r="N46" s="115" t="n">
        <f aca="false">IFERROR((((I46/H46)/5.3)*0.401)*H46,0)</f>
        <v>2.97345283018868</v>
      </c>
      <c r="O46" s="116"/>
      <c r="P46" s="116"/>
      <c r="Q46" s="116"/>
    </row>
    <row r="47" customFormat="false" ht="14.25" hidden="false" customHeight="true" outlineLevel="0" collapsed="false">
      <c r="B47" s="0" t="s">
        <v>492</v>
      </c>
      <c r="C47" s="0" t="n">
        <v>539</v>
      </c>
      <c r="D47" s="0" t="n">
        <v>343</v>
      </c>
      <c r="E47" s="0" t="n">
        <v>4050</v>
      </c>
      <c r="F47" s="0" t="n">
        <v>33</v>
      </c>
      <c r="G47" s="0" t="n">
        <v>9.7</v>
      </c>
      <c r="H47" s="0" t="n">
        <v>17</v>
      </c>
      <c r="I47" s="0" t="n">
        <v>22</v>
      </c>
      <c r="J47" s="0" t="n">
        <v>0</v>
      </c>
      <c r="K47" s="0" t="n">
        <v>3.5</v>
      </c>
      <c r="L47" s="0" t="n">
        <v>292.9</v>
      </c>
      <c r="M47" s="115" t="n">
        <f aca="false">IFERROR(((E47/D47)/10.96)*0.5218*D47,0)</f>
        <v>192.818430656934</v>
      </c>
      <c r="N47" s="115" t="n">
        <f aca="false">IFERROR((((I47/H47)/5.3)*0.401)*H47,0)</f>
        <v>1.66452830188679</v>
      </c>
      <c r="O47" s="116"/>
      <c r="P47" s="116"/>
      <c r="Q47" s="116"/>
    </row>
    <row r="48" customFormat="false" ht="14.25" hidden="false" customHeight="true" outlineLevel="0" collapsed="false">
      <c r="A48" s="0" t="s">
        <v>521</v>
      </c>
      <c r="B48" s="0" t="s">
        <v>522</v>
      </c>
      <c r="C48" s="0" t="n">
        <v>519.1</v>
      </c>
      <c r="D48" s="0" t="n">
        <v>344.6</v>
      </c>
      <c r="E48" s="0" t="n">
        <v>3647.5</v>
      </c>
      <c r="F48" s="0" t="n">
        <v>24.4</v>
      </c>
      <c r="G48" s="0" t="n">
        <v>14.4</v>
      </c>
      <c r="H48" s="0" t="n">
        <v>82.7</v>
      </c>
      <c r="I48" s="0" t="n">
        <v>496.7</v>
      </c>
      <c r="J48" s="0" t="n">
        <v>3.5</v>
      </c>
      <c r="K48" s="0" t="n">
        <v>4</v>
      </c>
      <c r="L48" s="0" t="n">
        <v>291.6</v>
      </c>
      <c r="M48" s="115" t="n">
        <f aca="false">IFERROR(((E48/D48)/10.96)*0.5218*D48,0)</f>
        <v>173.655611313869</v>
      </c>
      <c r="N48" s="115" t="n">
        <f aca="false">IFERROR((((I48/H48)/5.3)*0.401)*H48,0)</f>
        <v>37.5805094339623</v>
      </c>
      <c r="O48" s="116" t="n">
        <f aca="false">MAX(QB!D50*Scoring!$B$30+QB!E50/Scoring!$C$30+QB!F50*Scoring!$D$30+QB!G50*Scoring!$E$30+QB!H50*Scoring!$F$30+QB!I50/Scoring!$G$30+QB!J50*Scoring!$H$30+QB!K50*Scoring!$I$30+M50*Scoring!$J$30+QB!N50*Scoring!$K$30,0)+C50*Scoring!$B$10*0.07+(C50-D50)*Scoring!$B$5</f>
        <v>267.52</v>
      </c>
      <c r="P48" s="116" t="n">
        <f aca="false">MAX(QB!D48*Scoring!$B$30+QB!E48/Scoring!$C$30+QB!F48*Scoring!$D$30+QB!G48*Scoring!$E$30+QB!H48*Scoring!$F$30+QB!I48/Scoring!$G$30+QB!J48*Scoring!$H$30+QB!K48*Scoring!$I$30+M48*Scoring!$J$30+QB!N48*Scoring!$K$30,0)+C48*Scoring!$B$10*0.07+(C48-D48)*Scoring!$B$5</f>
        <v>291.77</v>
      </c>
      <c r="Q48" s="116" t="n">
        <f aca="false">MAX(QB!D49*Scoring!$B$30+QB!E49/Scoring!$C$30+QB!F49*Scoring!$D$30+QB!G49*Scoring!$E$30+QB!H49*Scoring!$F$30+QB!I49/Scoring!$G$30+QB!J49*Scoring!$H$30+QB!K49*Scoring!$I$30+M49*Scoring!$J$30+QB!N49*Scoring!$K$30,0)+C49*Scoring!$B$10*0.07+(C49-D49)*Scoring!$B$5</f>
        <v>318.024</v>
      </c>
    </row>
    <row r="49" customFormat="false" ht="14.25" hidden="false" customHeight="true" outlineLevel="0" collapsed="false">
      <c r="B49" s="0" t="s">
        <v>491</v>
      </c>
      <c r="C49" s="0" t="n">
        <v>552.3</v>
      </c>
      <c r="D49" s="0" t="n">
        <v>372.9</v>
      </c>
      <c r="E49" s="0" t="n">
        <v>3777.6</v>
      </c>
      <c r="F49" s="0" t="n">
        <v>28</v>
      </c>
      <c r="G49" s="0" t="n">
        <v>11.3</v>
      </c>
      <c r="H49" s="0" t="n">
        <v>85</v>
      </c>
      <c r="I49" s="0" t="n">
        <v>502.2</v>
      </c>
      <c r="J49" s="0" t="n">
        <v>4</v>
      </c>
      <c r="K49" s="0" t="n">
        <v>4</v>
      </c>
      <c r="L49" s="0" t="n">
        <v>318</v>
      </c>
      <c r="M49" s="115" t="n">
        <f aca="false">IFERROR(((E49/D49)/10.96)*0.5218*D49,0)</f>
        <v>179.849605839416</v>
      </c>
      <c r="N49" s="115" t="n">
        <f aca="false">IFERROR((((I49/H49)/5.3)*0.401)*H49,0)</f>
        <v>37.996641509434</v>
      </c>
      <c r="O49" s="116"/>
      <c r="P49" s="116"/>
      <c r="Q49" s="116"/>
    </row>
    <row r="50" customFormat="false" ht="14.25" hidden="false" customHeight="true" outlineLevel="0" collapsed="false">
      <c r="B50" s="0" t="s">
        <v>492</v>
      </c>
      <c r="C50" s="0" t="n">
        <v>480</v>
      </c>
      <c r="D50" s="0" t="n">
        <v>315</v>
      </c>
      <c r="E50" s="0" t="n">
        <v>3493</v>
      </c>
      <c r="F50" s="0" t="n">
        <v>22.1</v>
      </c>
      <c r="G50" s="0" t="n">
        <v>20</v>
      </c>
      <c r="H50" s="0" t="n">
        <v>80.2</v>
      </c>
      <c r="I50" s="0" t="n">
        <v>494</v>
      </c>
      <c r="J50" s="0" t="n">
        <v>3</v>
      </c>
      <c r="K50" s="0" t="n">
        <v>4</v>
      </c>
      <c r="L50" s="0" t="n">
        <v>283.4</v>
      </c>
      <c r="M50" s="115" t="n">
        <f aca="false">IFERROR(((E50/D50)/10.96)*0.5218*D50,0)</f>
        <v>166.299945255474</v>
      </c>
      <c r="N50" s="115" t="n">
        <f aca="false">IFERROR((((I50/H50)/5.3)*0.401)*H50,0)</f>
        <v>37.3762264150943</v>
      </c>
      <c r="O50" s="116"/>
      <c r="P50" s="116"/>
      <c r="Q50" s="116"/>
    </row>
    <row r="51" customFormat="false" ht="14.25" hidden="false" customHeight="true" outlineLevel="0" collapsed="false">
      <c r="A51" s="0" t="s">
        <v>523</v>
      </c>
      <c r="B51" s="0" t="s">
        <v>524</v>
      </c>
      <c r="C51" s="0" t="n">
        <v>547.2</v>
      </c>
      <c r="D51" s="0" t="n">
        <v>373.8</v>
      </c>
      <c r="E51" s="0" t="n">
        <v>4309.4</v>
      </c>
      <c r="F51" s="0" t="n">
        <v>31.7</v>
      </c>
      <c r="G51" s="0" t="n">
        <v>10</v>
      </c>
      <c r="H51" s="0" t="n">
        <v>24.1</v>
      </c>
      <c r="I51" s="0" t="n">
        <v>48.6</v>
      </c>
      <c r="J51" s="0" t="n">
        <v>0.2</v>
      </c>
      <c r="K51" s="0" t="n">
        <v>3.7</v>
      </c>
      <c r="L51" s="0" t="n">
        <v>288</v>
      </c>
      <c r="M51" s="115" t="n">
        <f aca="false">IFERROR(((E51/D51)/10.96)*0.5218*D51,0)</f>
        <v>205.168332116788</v>
      </c>
      <c r="N51" s="115" t="n">
        <f aca="false">IFERROR((((I51/H51)/5.3)*0.401)*H51,0)</f>
        <v>3.67709433962264</v>
      </c>
      <c r="O51" s="116" t="n">
        <f aca="false">MAX(QB!D53*Scoring!$B$30+QB!E53/Scoring!$C$30+QB!F53*Scoring!$D$30+QB!G53*Scoring!$E$30+QB!H53*Scoring!$F$30+QB!I53/Scoring!$G$30+QB!J53*Scoring!$H$30+QB!K53*Scoring!$I$30+M53*Scoring!$J$30+QB!N53*Scoring!$K$30,0)+C53*Scoring!$B$10*0.07+(C53-D53)*Scoring!$B$5</f>
        <v>272.172</v>
      </c>
      <c r="P51" s="116" t="n">
        <f aca="false">MAX(QB!D51*Scoring!$B$30+QB!E51/Scoring!$C$30+QB!F51*Scoring!$D$30+QB!G51*Scoring!$E$30+QB!H51*Scoring!$F$30+QB!I51/Scoring!$G$30+QB!J51*Scoring!$H$30+QB!K51*Scoring!$I$30+M51*Scoring!$J$30+QB!N51*Scoring!$K$30,0)+C51*Scoring!$B$10*0.07+(C51-D51)*Scoring!$B$5</f>
        <v>287.836</v>
      </c>
      <c r="Q51" s="116" t="n">
        <f aca="false">MAX(QB!D52*Scoring!$B$30+QB!E52/Scoring!$C$30+QB!F52*Scoring!$D$30+QB!G52*Scoring!$E$30+QB!H52*Scoring!$F$30+QB!I52/Scoring!$G$30+QB!J52*Scoring!$H$30+QB!K52*Scoring!$I$30+M52*Scoring!$J$30+QB!N52*Scoring!$K$30,0)+C52*Scoring!$B$10*0.07+(C52-D52)*Scoring!$B$5</f>
        <v>306.76</v>
      </c>
    </row>
    <row r="52" customFormat="false" ht="14.25" hidden="false" customHeight="true" outlineLevel="0" collapsed="false">
      <c r="B52" s="0" t="s">
        <v>491</v>
      </c>
      <c r="C52" s="0" t="n">
        <v>572</v>
      </c>
      <c r="D52" s="0" t="n">
        <v>383</v>
      </c>
      <c r="E52" s="0" t="n">
        <v>4459</v>
      </c>
      <c r="F52" s="0" t="n">
        <v>34</v>
      </c>
      <c r="G52" s="0" t="n">
        <v>10</v>
      </c>
      <c r="H52" s="0" t="n">
        <v>27.2</v>
      </c>
      <c r="I52" s="0" t="n">
        <v>50</v>
      </c>
      <c r="J52" s="0" t="n">
        <v>0.7</v>
      </c>
      <c r="K52" s="0" t="n">
        <v>3.4</v>
      </c>
      <c r="L52" s="0" t="n">
        <v>340</v>
      </c>
      <c r="M52" s="115" t="n">
        <f aca="false">IFERROR(((E52/D52)/10.96)*0.5218*D52,0)</f>
        <v>212.290711678832</v>
      </c>
      <c r="N52" s="115" t="n">
        <f aca="false">IFERROR((((I52/H52)/5.3)*0.401)*H52,0)</f>
        <v>3.78301886792453</v>
      </c>
      <c r="O52" s="116"/>
      <c r="P52" s="116"/>
      <c r="Q52" s="116"/>
    </row>
    <row r="53" customFormat="false" ht="14.25" hidden="false" customHeight="true" outlineLevel="0" collapsed="false">
      <c r="B53" s="0" t="s">
        <v>492</v>
      </c>
      <c r="C53" s="0" t="n">
        <v>526</v>
      </c>
      <c r="D53" s="0" t="n">
        <v>367</v>
      </c>
      <c r="E53" s="0" t="n">
        <v>4219.3</v>
      </c>
      <c r="F53" s="0" t="n">
        <v>29.2</v>
      </c>
      <c r="G53" s="0" t="n">
        <v>10</v>
      </c>
      <c r="H53" s="0" t="n">
        <v>22</v>
      </c>
      <c r="I53" s="0" t="n">
        <v>46</v>
      </c>
      <c r="J53" s="0" t="n">
        <v>0</v>
      </c>
      <c r="K53" s="0" t="n">
        <v>4</v>
      </c>
      <c r="L53" s="0" t="n">
        <v>269.1</v>
      </c>
      <c r="M53" s="115" t="n">
        <f aca="false">IFERROR(((E53/D53)/10.96)*0.5218*D53,0)</f>
        <v>200.878717153285</v>
      </c>
      <c r="N53" s="115" t="n">
        <f aca="false">IFERROR((((I53/H53)/5.3)*0.401)*H53,0)</f>
        <v>3.48037735849057</v>
      </c>
      <c r="O53" s="116"/>
      <c r="P53" s="116"/>
      <c r="Q53" s="116"/>
    </row>
    <row r="54" customFormat="false" ht="14.25" hidden="false" customHeight="true" outlineLevel="0" collapsed="false">
      <c r="A54" s="0" t="s">
        <v>525</v>
      </c>
      <c r="B54" s="0" t="s">
        <v>526</v>
      </c>
      <c r="C54" s="0" t="n">
        <v>550.4</v>
      </c>
      <c r="D54" s="0" t="n">
        <v>362.6</v>
      </c>
      <c r="E54" s="0" t="n">
        <v>3945.4</v>
      </c>
      <c r="F54" s="0" t="n">
        <v>22.2</v>
      </c>
      <c r="G54" s="0" t="n">
        <v>11.7</v>
      </c>
      <c r="H54" s="0" t="n">
        <v>78.6</v>
      </c>
      <c r="I54" s="0" t="n">
        <v>330.1</v>
      </c>
      <c r="J54" s="0" t="n">
        <v>4.1</v>
      </c>
      <c r="K54" s="0" t="n">
        <v>3.6</v>
      </c>
      <c r="L54" s="0" t="n">
        <v>285.1</v>
      </c>
      <c r="M54" s="115" t="n">
        <f aca="false">IFERROR(((E54/D54)/10.96)*0.5218*D54,0)</f>
        <v>187.83847810219</v>
      </c>
      <c r="N54" s="115" t="n">
        <f aca="false">IFERROR((((I54/H54)/5.3)*0.401)*H54,0)</f>
        <v>24.9754905660377</v>
      </c>
      <c r="O54" s="116" t="n">
        <f aca="false">MAX(QB!D56*Scoring!$B$30+QB!E56/Scoring!$C$30+QB!F56*Scoring!$D$30+QB!G56*Scoring!$E$30+QB!H56*Scoring!$F$30+QB!I56/Scoring!$G$30+QB!J56*Scoring!$H$30+QB!K56*Scoring!$I$30+M56*Scoring!$J$30+QB!N56*Scoring!$K$30,0)+C56*Scoring!$B$10*0.07+(C56-D56)*Scoring!$B$5</f>
        <v>267.898</v>
      </c>
      <c r="P54" s="116" t="n">
        <f aca="false">MAX(QB!D54*Scoring!$B$30+QB!E54/Scoring!$C$30+QB!F54*Scoring!$D$30+QB!G54*Scoring!$E$30+QB!H54*Scoring!$F$30+QB!I54/Scoring!$G$30+QB!J54*Scoring!$H$30+QB!K54*Scoring!$I$30+M54*Scoring!$J$30+QB!N54*Scoring!$K$30,0)+C54*Scoring!$B$10*0.07+(C54-D54)*Scoring!$B$5</f>
        <v>285.326</v>
      </c>
      <c r="Q54" s="116" t="n">
        <f aca="false">MAX(QB!D55*Scoring!$B$30+QB!E55/Scoring!$C$30+QB!F55*Scoring!$D$30+QB!G55*Scoring!$E$30+QB!H55*Scoring!$F$30+QB!I55/Scoring!$G$30+QB!J55*Scoring!$H$30+QB!K55*Scoring!$I$30+M55*Scoring!$J$30+QB!N55*Scoring!$K$30,0)+C55*Scoring!$B$10*0.07+(C55-D55)*Scoring!$B$5</f>
        <v>303.14</v>
      </c>
    </row>
    <row r="55" customFormat="false" ht="14.25" hidden="false" customHeight="true" outlineLevel="0" collapsed="false">
      <c r="B55" s="0" t="s">
        <v>491</v>
      </c>
      <c r="C55" s="0" t="n">
        <v>557</v>
      </c>
      <c r="D55" s="0" t="n">
        <v>371</v>
      </c>
      <c r="E55" s="0" t="n">
        <v>4001</v>
      </c>
      <c r="F55" s="0" t="n">
        <v>24</v>
      </c>
      <c r="G55" s="0" t="n">
        <v>10</v>
      </c>
      <c r="H55" s="0" t="n">
        <v>94</v>
      </c>
      <c r="I55" s="0" t="n">
        <v>377</v>
      </c>
      <c r="J55" s="0" t="n">
        <v>4.3</v>
      </c>
      <c r="K55" s="0" t="n">
        <v>3.2</v>
      </c>
      <c r="L55" s="0" t="n">
        <v>308</v>
      </c>
      <c r="M55" s="115" t="n">
        <f aca="false">IFERROR(((E55/D55)/10.96)*0.5218*D55,0)</f>
        <v>190.485565693431</v>
      </c>
      <c r="N55" s="115" t="n">
        <f aca="false">IFERROR((((I55/H55)/5.3)*0.401)*H55,0)</f>
        <v>28.5239622641509</v>
      </c>
      <c r="O55" s="116"/>
      <c r="P55" s="116"/>
      <c r="Q55" s="116"/>
    </row>
    <row r="56" customFormat="false" ht="14.25" hidden="false" customHeight="true" outlineLevel="0" collapsed="false">
      <c r="B56" s="0" t="s">
        <v>492</v>
      </c>
      <c r="C56" s="0" t="n">
        <v>545.3</v>
      </c>
      <c r="D56" s="0" t="n">
        <v>354.9</v>
      </c>
      <c r="E56" s="0" t="n">
        <v>3884.2</v>
      </c>
      <c r="F56" s="0" t="n">
        <v>20.5</v>
      </c>
      <c r="G56" s="0" t="n">
        <v>14</v>
      </c>
      <c r="H56" s="0" t="n">
        <v>65.7</v>
      </c>
      <c r="I56" s="0" t="n">
        <v>285.3</v>
      </c>
      <c r="J56" s="0" t="n">
        <v>4</v>
      </c>
      <c r="K56" s="0" t="n">
        <v>4</v>
      </c>
      <c r="L56" s="0" t="n">
        <v>265.6</v>
      </c>
      <c r="M56" s="115" t="n">
        <f aca="false">IFERROR(((E56/D56)/10.96)*0.5218*D56,0)</f>
        <v>184.924777372263</v>
      </c>
      <c r="N56" s="115" t="n">
        <f aca="false">IFERROR((((I56/H56)/5.3)*0.401)*H56,0)</f>
        <v>21.5859056603774</v>
      </c>
      <c r="O56" s="116"/>
      <c r="P56" s="116"/>
      <c r="Q56" s="116"/>
    </row>
    <row r="57" customFormat="false" ht="14.25" hidden="false" customHeight="true" outlineLevel="0" collapsed="false">
      <c r="A57" s="0" t="s">
        <v>527</v>
      </c>
      <c r="B57" s="0" t="s">
        <v>528</v>
      </c>
      <c r="C57" s="0" t="n">
        <v>541.2</v>
      </c>
      <c r="D57" s="0" t="n">
        <v>348.8</v>
      </c>
      <c r="E57" s="0" t="n">
        <v>3839.7</v>
      </c>
      <c r="F57" s="0" t="n">
        <v>25.9</v>
      </c>
      <c r="G57" s="0" t="n">
        <v>12.9</v>
      </c>
      <c r="H57" s="0" t="n">
        <v>58</v>
      </c>
      <c r="I57" s="0" t="n">
        <v>362.7</v>
      </c>
      <c r="J57" s="0" t="n">
        <v>1.5</v>
      </c>
      <c r="K57" s="0" t="n">
        <v>3.7</v>
      </c>
      <c r="L57" s="0" t="n">
        <v>281.8</v>
      </c>
      <c r="M57" s="115" t="n">
        <f aca="false">IFERROR(((E57/D57)/10.96)*0.5218*D57,0)</f>
        <v>182.806155109489</v>
      </c>
      <c r="N57" s="115" t="n">
        <f aca="false">IFERROR((((I57/H57)/5.3)*0.401)*H57,0)</f>
        <v>27.4420188679245</v>
      </c>
      <c r="O57" s="116" t="n">
        <f aca="false">MAX(QB!D59*Scoring!$B$30+QB!E59/Scoring!$C$30+QB!F59*Scoring!$D$30+QB!G59*Scoring!$E$30+QB!H59*Scoring!$F$30+QB!I59/Scoring!$G$30+QB!J59*Scoring!$H$30+QB!K59*Scoring!$I$30+M59*Scoring!$J$30+QB!N59*Scoring!$K$30,0)+C59*Scoring!$B$10*0.07+(C59-D59)*Scoring!$B$5</f>
        <v>260.52</v>
      </c>
      <c r="P57" s="116" t="n">
        <f aca="false">MAX(QB!D57*Scoring!$B$30+QB!E57/Scoring!$C$30+QB!F57*Scoring!$D$30+QB!G57*Scoring!$E$30+QB!H57*Scoring!$F$30+QB!I57/Scoring!$G$30+QB!J57*Scoring!$H$30+QB!K57*Scoring!$I$30+M57*Scoring!$J$30+QB!N57*Scoring!$K$30,0)+C57*Scoring!$B$10*0.07+(C57-D57)*Scoring!$B$5</f>
        <v>282.158</v>
      </c>
      <c r="Q57" s="116" t="n">
        <f aca="false">MAX(QB!D58*Scoring!$B$30+QB!E58/Scoring!$C$30+QB!F58*Scoring!$D$30+QB!G58*Scoring!$E$30+QB!H58*Scoring!$F$30+QB!I58/Scoring!$G$30+QB!J58*Scoring!$H$30+QB!K58*Scoring!$I$30+M58*Scoring!$J$30+QB!N58*Scoring!$K$30,0)+C58*Scoring!$B$10*0.07+(C58-D58)*Scoring!$B$5</f>
        <v>308</v>
      </c>
    </row>
    <row r="58" customFormat="false" ht="14.25" hidden="false" customHeight="true" outlineLevel="0" collapsed="false">
      <c r="B58" s="0" t="s">
        <v>491</v>
      </c>
      <c r="C58" s="0" t="n">
        <v>554</v>
      </c>
      <c r="D58" s="0" t="n">
        <v>355</v>
      </c>
      <c r="E58" s="0" t="n">
        <v>3945</v>
      </c>
      <c r="F58" s="0" t="n">
        <v>29</v>
      </c>
      <c r="G58" s="0" t="n">
        <v>11.7</v>
      </c>
      <c r="H58" s="0" t="n">
        <v>60</v>
      </c>
      <c r="I58" s="0" t="n">
        <v>399</v>
      </c>
      <c r="J58" s="0" t="n">
        <v>2</v>
      </c>
      <c r="K58" s="0" t="n">
        <v>3</v>
      </c>
      <c r="L58" s="0" t="n">
        <v>333</v>
      </c>
      <c r="M58" s="115" t="n">
        <f aca="false">IFERROR(((E58/D58)/10.96)*0.5218*D58,0)</f>
        <v>187.819434306569</v>
      </c>
      <c r="N58" s="115" t="n">
        <f aca="false">IFERROR((((I58/H58)/5.3)*0.401)*H58,0)</f>
        <v>30.1884905660377</v>
      </c>
      <c r="O58" s="116"/>
      <c r="P58" s="116"/>
      <c r="Q58" s="116"/>
    </row>
    <row r="59" customFormat="false" ht="14.25" hidden="false" customHeight="true" outlineLevel="0" collapsed="false">
      <c r="B59" s="0" t="s">
        <v>492</v>
      </c>
      <c r="C59" s="0" t="n">
        <v>526.5</v>
      </c>
      <c r="D59" s="0" t="n">
        <v>338.4</v>
      </c>
      <c r="E59" s="0" t="n">
        <v>3750</v>
      </c>
      <c r="F59" s="0" t="n">
        <v>24</v>
      </c>
      <c r="G59" s="0" t="n">
        <v>15</v>
      </c>
      <c r="H59" s="0" t="n">
        <v>54.1</v>
      </c>
      <c r="I59" s="0" t="n">
        <v>323.2</v>
      </c>
      <c r="J59" s="0" t="n">
        <v>1</v>
      </c>
      <c r="K59" s="0" t="n">
        <v>4.4</v>
      </c>
      <c r="L59" s="0" t="n">
        <v>264.7</v>
      </c>
      <c r="M59" s="115" t="n">
        <f aca="false">IFERROR(((E59/D59)/10.96)*0.5218*D59,0)</f>
        <v>178.535583941606</v>
      </c>
      <c r="N59" s="115" t="n">
        <f aca="false">IFERROR((((I59/H59)/5.3)*0.401)*H59,0)</f>
        <v>24.4534339622642</v>
      </c>
      <c r="O59" s="116"/>
      <c r="P59" s="116"/>
      <c r="Q59" s="116"/>
    </row>
    <row r="60" customFormat="false" ht="14.25" hidden="false" customHeight="true" outlineLevel="0" collapsed="false">
      <c r="A60" s="0" t="s">
        <v>529</v>
      </c>
      <c r="B60" s="0" t="s">
        <v>530</v>
      </c>
      <c r="C60" s="0" t="n">
        <v>509.8</v>
      </c>
      <c r="D60" s="0" t="n">
        <v>331</v>
      </c>
      <c r="E60" s="0" t="n">
        <v>3914.2</v>
      </c>
      <c r="F60" s="0" t="n">
        <v>26.9</v>
      </c>
      <c r="G60" s="0" t="n">
        <v>10.3</v>
      </c>
      <c r="H60" s="0" t="n">
        <v>51.4</v>
      </c>
      <c r="I60" s="0" t="n">
        <v>216.4</v>
      </c>
      <c r="J60" s="0" t="n">
        <v>1</v>
      </c>
      <c r="K60" s="0" t="n">
        <v>3</v>
      </c>
      <c r="L60" s="0" t="n">
        <v>275.4</v>
      </c>
      <c r="M60" s="115" t="n">
        <f aca="false">IFERROR(((E60/D60)/10.96)*0.5218*D60,0)</f>
        <v>186.353062043796</v>
      </c>
      <c r="N60" s="115" t="n">
        <f aca="false">IFERROR((((I60/H60)/5.3)*0.401)*H60,0)</f>
        <v>16.3729056603774</v>
      </c>
      <c r="O60" s="116" t="n">
        <f aca="false">MAX(QB!D62*Scoring!$B$30+QB!E62/Scoring!$C$30+QB!F62*Scoring!$D$30+QB!G62*Scoring!$E$30+QB!H62*Scoring!$F$30+QB!I62/Scoring!$G$30+QB!J62*Scoring!$H$30+QB!K62*Scoring!$I$30+M62*Scoring!$J$30+QB!N62*Scoring!$K$30,0)+C62*Scoring!$B$10*0.07+(C62-D62)*Scoring!$B$5</f>
        <v>257.94</v>
      </c>
      <c r="P60" s="116" t="n">
        <f aca="false">MAX(QB!D60*Scoring!$B$30+QB!E60/Scoring!$C$30+QB!F60*Scoring!$D$30+QB!G60*Scoring!$E$30+QB!H60*Scoring!$F$30+QB!I60/Scoring!$G$30+QB!J60*Scoring!$H$30+QB!K60*Scoring!$I$30+M60*Scoring!$J$30+QB!N60*Scoring!$K$30,0)+C60*Scoring!$B$10*0.07+(C60-D60)*Scoring!$B$5</f>
        <v>275.508</v>
      </c>
      <c r="Q60" s="116" t="n">
        <f aca="false">MAX(QB!D61*Scoring!$B$30+QB!E61/Scoring!$C$30+QB!F61*Scoring!$D$30+QB!G61*Scoring!$E$30+QB!H61*Scoring!$F$30+QB!I61/Scoring!$G$30+QB!J61*Scoring!$H$30+QB!K61*Scoring!$I$30+M61*Scoring!$J$30+QB!N61*Scoring!$K$30,0)+C61*Scoring!$B$10*0.07+(C61-D61)*Scoring!$B$5</f>
        <v>291.544</v>
      </c>
    </row>
    <row r="61" customFormat="false" ht="14.25" hidden="false" customHeight="true" outlineLevel="0" collapsed="false">
      <c r="B61" s="0" t="s">
        <v>491</v>
      </c>
      <c r="C61" s="0" t="n">
        <v>540.3</v>
      </c>
      <c r="D61" s="0" t="n">
        <v>348.1</v>
      </c>
      <c r="E61" s="0" t="n">
        <v>4038.6</v>
      </c>
      <c r="F61" s="0" t="n">
        <v>29</v>
      </c>
      <c r="G61" s="0" t="n">
        <v>10</v>
      </c>
      <c r="H61" s="0" t="n">
        <v>52</v>
      </c>
      <c r="I61" s="0" t="n">
        <v>220</v>
      </c>
      <c r="J61" s="0" t="n">
        <v>1</v>
      </c>
      <c r="K61" s="0" t="n">
        <v>2</v>
      </c>
      <c r="L61" s="0" t="n">
        <v>307</v>
      </c>
      <c r="M61" s="115" t="n">
        <f aca="false">IFERROR(((E61/D61)/10.96)*0.5218*D61,0)</f>
        <v>192.275682481752</v>
      </c>
      <c r="N61" s="115" t="n">
        <f aca="false">IFERROR((((I61/H61)/5.3)*0.401)*H61,0)</f>
        <v>16.6452830188679</v>
      </c>
      <c r="O61" s="116"/>
      <c r="P61" s="116"/>
      <c r="Q61" s="116"/>
    </row>
    <row r="62" customFormat="false" ht="14.25" hidden="false" customHeight="true" outlineLevel="0" collapsed="false">
      <c r="B62" s="0" t="s">
        <v>492</v>
      </c>
      <c r="C62" s="0" t="n">
        <v>473</v>
      </c>
      <c r="D62" s="0" t="n">
        <v>309</v>
      </c>
      <c r="E62" s="0" t="n">
        <v>3678</v>
      </c>
      <c r="F62" s="0" t="n">
        <v>25.6</v>
      </c>
      <c r="G62" s="0" t="n">
        <v>10.8</v>
      </c>
      <c r="H62" s="0" t="n">
        <v>50.2</v>
      </c>
      <c r="I62" s="0" t="n">
        <v>212.2</v>
      </c>
      <c r="J62" s="0" t="n">
        <v>1</v>
      </c>
      <c r="K62" s="0" t="n">
        <v>4</v>
      </c>
      <c r="L62" s="0" t="n">
        <v>263.4</v>
      </c>
      <c r="M62" s="115" t="n">
        <f aca="false">IFERROR(((E62/D62)/10.96)*0.5218*D62,0)</f>
        <v>175.107700729927</v>
      </c>
      <c r="N62" s="115" t="n">
        <f aca="false">IFERROR((((I62/H62)/5.3)*0.401)*H62,0)</f>
        <v>16.0551320754717</v>
      </c>
      <c r="O62" s="116"/>
      <c r="P62" s="116"/>
      <c r="Q62" s="116"/>
    </row>
    <row r="63" customFormat="false" ht="14.25" hidden="false" customHeight="true" outlineLevel="0" collapsed="false">
      <c r="A63" s="0" t="s">
        <v>531</v>
      </c>
      <c r="B63" s="0" t="s">
        <v>532</v>
      </c>
      <c r="C63" s="0" t="n">
        <v>518.4</v>
      </c>
      <c r="D63" s="0" t="n">
        <v>337.2</v>
      </c>
      <c r="E63" s="0" t="n">
        <v>3755</v>
      </c>
      <c r="F63" s="0" t="n">
        <v>23.2</v>
      </c>
      <c r="G63" s="0" t="n">
        <v>11.7</v>
      </c>
      <c r="H63" s="0" t="n">
        <v>66.7</v>
      </c>
      <c r="I63" s="0" t="n">
        <v>252.3</v>
      </c>
      <c r="J63" s="0" t="n">
        <v>4</v>
      </c>
      <c r="K63" s="0" t="n">
        <v>3.8</v>
      </c>
      <c r="L63" s="0" t="n">
        <v>272.7</v>
      </c>
      <c r="M63" s="115" t="n">
        <f aca="false">IFERROR(((E63/D63)/10.96)*0.5218*D63,0)</f>
        <v>178.773631386861</v>
      </c>
      <c r="N63" s="115" t="n">
        <f aca="false">IFERROR((((I63/H63)/5.3)*0.401)*H63,0)</f>
        <v>19.0891132075472</v>
      </c>
      <c r="O63" s="116" t="n">
        <f aca="false">MAX(QB!D65*Scoring!$B$30+QB!E65/Scoring!$C$30+QB!F65*Scoring!$D$30+QB!G65*Scoring!$E$30+QB!H65*Scoring!$F$30+QB!I65/Scoring!$G$30+QB!J65*Scoring!$H$30+QB!K65*Scoring!$I$30+M65*Scoring!$J$30+QB!N65*Scoring!$K$30,0)+C65*Scoring!$B$10*0.07+(C65-D65)*Scoring!$B$5</f>
        <v>240.12</v>
      </c>
      <c r="P63" s="116" t="n">
        <f aca="false">MAX(QB!D63*Scoring!$B$30+QB!E63/Scoring!$C$30+QB!F63*Scoring!$D$30+QB!G63*Scoring!$E$30+QB!H63*Scoring!$F$30+QB!I63/Scoring!$G$30+QB!J63*Scoring!$H$30+QB!K63*Scoring!$I$30+M63*Scoring!$J$30+QB!N63*Scoring!$K$30,0)+C63*Scoring!$B$10*0.07+(C63-D63)*Scoring!$B$5</f>
        <v>272.93</v>
      </c>
      <c r="Q63" s="116" t="n">
        <f aca="false">MAX(QB!D64*Scoring!$B$30+QB!E64/Scoring!$C$30+QB!F64*Scoring!$D$30+QB!G64*Scoring!$E$30+QB!H64*Scoring!$F$30+QB!I64/Scoring!$G$30+QB!J64*Scoring!$H$30+QB!K64*Scoring!$I$30+M64*Scoring!$J$30+QB!N64*Scoring!$K$30,0)+C64*Scoring!$B$10*0.07+(C64-D64)*Scoring!$B$5</f>
        <v>318.18</v>
      </c>
    </row>
    <row r="64" customFormat="false" ht="14.25" hidden="false" customHeight="true" outlineLevel="0" collapsed="false">
      <c r="B64" s="0" t="s">
        <v>491</v>
      </c>
      <c r="C64" s="0" t="n">
        <v>535</v>
      </c>
      <c r="D64" s="0" t="n">
        <v>349.5</v>
      </c>
      <c r="E64" s="0" t="n">
        <v>3832</v>
      </c>
      <c r="F64" s="0" t="n">
        <v>29</v>
      </c>
      <c r="G64" s="0" t="n">
        <v>11.2</v>
      </c>
      <c r="H64" s="0" t="n">
        <v>73</v>
      </c>
      <c r="I64" s="0" t="n">
        <v>307</v>
      </c>
      <c r="J64" s="0" t="n">
        <v>5.9</v>
      </c>
      <c r="K64" s="0" t="n">
        <v>3</v>
      </c>
      <c r="L64" s="0" t="n">
        <v>318</v>
      </c>
      <c r="M64" s="115" t="n">
        <f aca="false">IFERROR(((E64/D64)/10.96)*0.5218*D64,0)</f>
        <v>182.439562043796</v>
      </c>
      <c r="N64" s="115" t="n">
        <f aca="false">IFERROR((((I64/H64)/5.3)*0.401)*H64,0)</f>
        <v>23.2277358490566</v>
      </c>
      <c r="O64" s="116"/>
      <c r="P64" s="116"/>
      <c r="Q64" s="116"/>
    </row>
    <row r="65" customFormat="false" ht="14.25" hidden="false" customHeight="true" outlineLevel="0" collapsed="false">
      <c r="B65" s="0" t="s">
        <v>492</v>
      </c>
      <c r="C65" s="0" t="n">
        <v>492</v>
      </c>
      <c r="D65" s="0" t="n">
        <v>329</v>
      </c>
      <c r="E65" s="0" t="n">
        <v>3688</v>
      </c>
      <c r="F65" s="0" t="n">
        <v>19.6</v>
      </c>
      <c r="G65" s="0" t="n">
        <v>12</v>
      </c>
      <c r="H65" s="0" t="n">
        <v>54</v>
      </c>
      <c r="I65" s="0" t="n">
        <v>172</v>
      </c>
      <c r="J65" s="0" t="n">
        <v>3</v>
      </c>
      <c r="K65" s="0" t="n">
        <v>4.5</v>
      </c>
      <c r="L65" s="0" t="n">
        <v>266.6</v>
      </c>
      <c r="M65" s="115" t="n">
        <f aca="false">IFERROR(((E65/D65)/10.96)*0.5218*D65,0)</f>
        <v>175.583795620438</v>
      </c>
      <c r="N65" s="115" t="n">
        <f aca="false">IFERROR((((I65/H65)/5.3)*0.401)*H65,0)</f>
        <v>13.0135849056604</v>
      </c>
      <c r="O65" s="116"/>
      <c r="P65" s="116"/>
      <c r="Q65" s="116"/>
    </row>
    <row r="66" customFormat="false" ht="14.25" hidden="false" customHeight="true" outlineLevel="0" collapsed="false">
      <c r="A66" s="0" t="s">
        <v>533</v>
      </c>
      <c r="B66" s="0" t="s">
        <v>534</v>
      </c>
      <c r="C66" s="0" t="n">
        <v>493.5</v>
      </c>
      <c r="D66" s="0" t="n">
        <v>318.2</v>
      </c>
      <c r="E66" s="0" t="n">
        <v>3373.9</v>
      </c>
      <c r="F66" s="0" t="n">
        <v>18.1</v>
      </c>
      <c r="G66" s="0" t="n">
        <v>12.5</v>
      </c>
      <c r="H66" s="0" t="n">
        <v>124.9</v>
      </c>
      <c r="I66" s="0" t="n">
        <v>642.7</v>
      </c>
      <c r="J66" s="0" t="n">
        <v>4.1</v>
      </c>
      <c r="K66" s="0" t="n">
        <v>6.1</v>
      </c>
      <c r="L66" s="0" t="n">
        <v>271.8</v>
      </c>
      <c r="M66" s="115" t="n">
        <f aca="false">IFERROR(((E66/D66)/10.96)*0.5218*D66,0)</f>
        <v>160.629655109489</v>
      </c>
      <c r="N66" s="115" t="n">
        <f aca="false">IFERROR((((I66/H66)/5.3)*0.401)*H66,0)</f>
        <v>48.6269245283019</v>
      </c>
      <c r="O66" s="116" t="n">
        <f aca="false">MAX(QB!D68*Scoring!$B$30+QB!E68/Scoring!$C$30+QB!F68*Scoring!$D$30+QB!G68*Scoring!$E$30+QB!H68*Scoring!$F$30+QB!I68/Scoring!$G$30+QB!J68*Scoring!$H$30+QB!K68*Scoring!$I$30+M68*Scoring!$J$30+QB!N68*Scoring!$K$30,0)+C68*Scoring!$B$10*0.07+(C68-D68)*Scoring!$B$5</f>
        <v>223.27</v>
      </c>
      <c r="P66" s="116" t="n">
        <f aca="false">MAX(QB!D66*Scoring!$B$30+QB!E66/Scoring!$C$30+QB!F66*Scoring!$D$30+QB!G66*Scoring!$E$30+QB!H66*Scoring!$F$30+QB!I66/Scoring!$G$30+QB!J66*Scoring!$H$30+QB!K66*Scoring!$I$30+M66*Scoring!$J$30+QB!N66*Scoring!$K$30,0)+C66*Scoring!$B$10*0.07+(C66-D66)*Scoring!$B$5</f>
        <v>271.526</v>
      </c>
      <c r="Q66" s="116" t="n">
        <f aca="false">MAX(QB!D67*Scoring!$B$30+QB!E67/Scoring!$C$30+QB!F67*Scoring!$D$30+QB!G67*Scoring!$E$30+QB!H67*Scoring!$F$30+QB!I67/Scoring!$G$30+QB!J67*Scoring!$H$30+QB!K67*Scoring!$I$30+M67*Scoring!$J$30+QB!N67*Scoring!$K$30,0)+C67*Scoring!$B$10*0.07+(C67-D67)*Scoring!$B$5</f>
        <v>326.908</v>
      </c>
    </row>
    <row r="67" customFormat="false" ht="14.25" hidden="false" customHeight="true" outlineLevel="0" collapsed="false">
      <c r="B67" s="0" t="s">
        <v>491</v>
      </c>
      <c r="C67" s="0" t="n">
        <v>515</v>
      </c>
      <c r="D67" s="0" t="n">
        <v>322.7</v>
      </c>
      <c r="E67" s="0" t="n">
        <v>3562.7</v>
      </c>
      <c r="F67" s="0" t="n">
        <v>26</v>
      </c>
      <c r="G67" s="0" t="n">
        <v>10</v>
      </c>
      <c r="H67" s="0" t="n">
        <v>145</v>
      </c>
      <c r="I67" s="0" t="n">
        <v>724</v>
      </c>
      <c r="J67" s="0" t="n">
        <v>5</v>
      </c>
      <c r="K67" s="0" t="n">
        <v>6</v>
      </c>
      <c r="L67" s="0" t="n">
        <v>321</v>
      </c>
      <c r="M67" s="115" t="n">
        <f aca="false">IFERROR(((E67/D67)/10.96)*0.5218*D67,0)</f>
        <v>169.618326642336</v>
      </c>
      <c r="N67" s="115" t="n">
        <f aca="false">IFERROR((((I67/H67)/5.3)*0.401)*H67,0)</f>
        <v>54.7781132075472</v>
      </c>
      <c r="O67" s="116"/>
      <c r="P67" s="116"/>
      <c r="Q67" s="116"/>
    </row>
    <row r="68" customFormat="false" ht="14.25" hidden="false" customHeight="true" outlineLevel="0" collapsed="false">
      <c r="B68" s="0" t="s">
        <v>492</v>
      </c>
      <c r="C68" s="0" t="n">
        <v>461</v>
      </c>
      <c r="D68" s="0" t="n">
        <v>313</v>
      </c>
      <c r="E68" s="0" t="n">
        <v>3109</v>
      </c>
      <c r="F68" s="0" t="n">
        <v>13.3</v>
      </c>
      <c r="G68" s="0" t="n">
        <v>17</v>
      </c>
      <c r="H68" s="0" t="n">
        <v>105.7</v>
      </c>
      <c r="I68" s="0" t="n">
        <v>547.1</v>
      </c>
      <c r="J68" s="0" t="n">
        <v>3.4</v>
      </c>
      <c r="K68" s="0" t="n">
        <v>6.2</v>
      </c>
      <c r="L68" s="0" t="n">
        <v>239.8</v>
      </c>
      <c r="M68" s="115" t="n">
        <f aca="false">IFERROR(((E68/D68)/10.96)*0.5218*D68,0)</f>
        <v>148.017901459854</v>
      </c>
      <c r="N68" s="115" t="n">
        <f aca="false">IFERROR((((I68/H68)/5.3)*0.401)*H68,0)</f>
        <v>41.3937924528302</v>
      </c>
      <c r="O68" s="116"/>
      <c r="P68" s="116"/>
      <c r="Q68" s="116"/>
    </row>
    <row r="69" customFormat="false" ht="14.25" hidden="false" customHeight="true" outlineLevel="0" collapsed="false">
      <c r="A69" s="0" t="s">
        <v>535</v>
      </c>
      <c r="B69" s="0" t="s">
        <v>536</v>
      </c>
      <c r="C69" s="0" t="n">
        <v>506.1</v>
      </c>
      <c r="D69" s="0" t="n">
        <v>336.3</v>
      </c>
      <c r="E69" s="0" t="n">
        <v>4082.5</v>
      </c>
      <c r="F69" s="0" t="n">
        <v>27.3</v>
      </c>
      <c r="G69" s="0" t="n">
        <v>12.8</v>
      </c>
      <c r="H69" s="0" t="n">
        <v>44</v>
      </c>
      <c r="I69" s="0" t="n">
        <v>131.5</v>
      </c>
      <c r="J69" s="0" t="n">
        <v>0.6</v>
      </c>
      <c r="K69" s="0" t="n">
        <v>5.3</v>
      </c>
      <c r="L69" s="0" t="n">
        <v>266.2</v>
      </c>
      <c r="M69" s="115" t="n">
        <f aca="false">IFERROR(((E69/D69)/10.96)*0.5218*D69,0)</f>
        <v>194.365739051095</v>
      </c>
      <c r="N69" s="115" t="n">
        <f aca="false">IFERROR((((I69/H69)/5.3)*0.401)*H69,0)</f>
        <v>9.94933962264151</v>
      </c>
      <c r="O69" s="116" t="n">
        <f aca="false">MAX(QB!D71*Scoring!$B$30+QB!E71/Scoring!$C$30+QB!F71*Scoring!$D$30+QB!G71*Scoring!$E$30+QB!H71*Scoring!$F$30+QB!I71/Scoring!$G$30+QB!J71*Scoring!$H$30+QB!K71*Scoring!$I$30+M71*Scoring!$J$30+QB!N71*Scoring!$K$30,0)+C71*Scoring!$B$10*0.07+(C71-D71)*Scoring!$B$5</f>
        <v>243.996</v>
      </c>
      <c r="P69" s="116" t="n">
        <f aca="false">MAX(QB!D69*Scoring!$B$30+QB!E69/Scoring!$C$30+QB!F69*Scoring!$D$30+QB!G69*Scoring!$E$30+QB!H69*Scoring!$F$30+QB!I69/Scoring!$G$30+QB!J69*Scoring!$H$30+QB!K69*Scoring!$I$30+M69*Scoring!$J$30+QB!N69*Scoring!$K$30,0)+C69*Scoring!$B$10*0.07+(C69-D69)*Scoring!$B$5</f>
        <v>265.85</v>
      </c>
      <c r="Q69" s="116" t="n">
        <f aca="false">MAX(QB!D70*Scoring!$B$30+QB!E70/Scoring!$C$30+QB!F70*Scoring!$D$30+QB!G70*Scoring!$E$30+QB!H70*Scoring!$F$30+QB!I70/Scoring!$G$30+QB!J70*Scoring!$H$30+QB!K70*Scoring!$I$30+M70*Scoring!$J$30+QB!N70*Scoring!$K$30,0)+C70*Scoring!$B$10*0.07+(C70-D70)*Scoring!$B$5</f>
        <v>292</v>
      </c>
    </row>
    <row r="70" customFormat="false" ht="14.25" hidden="false" customHeight="true" outlineLevel="0" collapsed="false">
      <c r="B70" s="0" t="s">
        <v>491</v>
      </c>
      <c r="C70" s="0" t="n">
        <v>512.4</v>
      </c>
      <c r="D70" s="0" t="n">
        <v>337</v>
      </c>
      <c r="E70" s="0" t="n">
        <v>4130</v>
      </c>
      <c r="F70" s="0" t="n">
        <v>32</v>
      </c>
      <c r="G70" s="0" t="n">
        <v>12.4</v>
      </c>
      <c r="H70" s="0" t="n">
        <v>48</v>
      </c>
      <c r="I70" s="0" t="n">
        <v>144</v>
      </c>
      <c r="J70" s="0" t="n">
        <v>1</v>
      </c>
      <c r="K70" s="0" t="n">
        <v>4.6</v>
      </c>
      <c r="L70" s="0" t="n">
        <v>315</v>
      </c>
      <c r="M70" s="115" t="n">
        <f aca="false">IFERROR(((E70/D70)/10.96)*0.5218*D70,0)</f>
        <v>196.627189781022</v>
      </c>
      <c r="N70" s="115" t="n">
        <f aca="false">IFERROR((((I70/H70)/5.3)*0.401)*H70,0)</f>
        <v>10.8950943396226</v>
      </c>
      <c r="O70" s="116"/>
      <c r="P70" s="116"/>
      <c r="Q70" s="116"/>
    </row>
    <row r="71" customFormat="false" ht="14.25" hidden="false" customHeight="true" outlineLevel="0" collapsed="false">
      <c r="B71" s="0" t="s">
        <v>492</v>
      </c>
      <c r="C71" s="0" t="n">
        <v>496</v>
      </c>
      <c r="D71" s="0" t="n">
        <v>335</v>
      </c>
      <c r="E71" s="0" t="n">
        <v>4012.4</v>
      </c>
      <c r="F71" s="0" t="n">
        <v>24</v>
      </c>
      <c r="G71" s="0" t="n">
        <v>13</v>
      </c>
      <c r="H71" s="0" t="n">
        <v>40</v>
      </c>
      <c r="I71" s="0" t="n">
        <v>125</v>
      </c>
      <c r="J71" s="0" t="n">
        <v>0</v>
      </c>
      <c r="K71" s="0" t="n">
        <v>6</v>
      </c>
      <c r="L71" s="0" t="n">
        <v>242.5</v>
      </c>
      <c r="M71" s="115" t="n">
        <f aca="false">IFERROR(((E71/D71)/10.96)*0.5218*D71,0)</f>
        <v>191.028313868613</v>
      </c>
      <c r="N71" s="115" t="n">
        <f aca="false">IFERROR((((I71/H71)/5.3)*0.401)*H71,0)</f>
        <v>9.45754716981132</v>
      </c>
      <c r="O71" s="116"/>
      <c r="P71" s="116"/>
      <c r="Q71" s="116"/>
    </row>
    <row r="72" customFormat="false" ht="14.25" hidden="false" customHeight="true" outlineLevel="0" collapsed="false">
      <c r="A72" s="0" t="s">
        <v>537</v>
      </c>
      <c r="B72" s="0" t="s">
        <v>538</v>
      </c>
      <c r="C72" s="0" t="n">
        <v>550.7</v>
      </c>
      <c r="D72" s="0" t="n">
        <v>347.1</v>
      </c>
      <c r="E72" s="0" t="n">
        <v>3875.4</v>
      </c>
      <c r="F72" s="0" t="n">
        <v>23.5</v>
      </c>
      <c r="G72" s="0" t="n">
        <v>11.4</v>
      </c>
      <c r="H72" s="0" t="n">
        <v>54.4</v>
      </c>
      <c r="I72" s="0" t="n">
        <v>238.7</v>
      </c>
      <c r="J72" s="0" t="n">
        <v>1</v>
      </c>
      <c r="K72" s="0" t="n">
        <v>3.5</v>
      </c>
      <c r="L72" s="0" t="n">
        <v>260.6</v>
      </c>
      <c r="M72" s="115" t="n">
        <f aca="false">IFERROR(((E72/D72)/10.96)*0.5218*D72,0)</f>
        <v>184.505813868613</v>
      </c>
      <c r="N72" s="115" t="n">
        <f aca="false">IFERROR((((I72/H72)/5.3)*0.401)*H72,0)</f>
        <v>18.0601320754717</v>
      </c>
      <c r="O72" s="116" t="n">
        <f aca="false">MAX(QB!D74*Scoring!$B$30+QB!E74/Scoring!$C$30+QB!F74*Scoring!$D$30+QB!G74*Scoring!$E$30+QB!H74*Scoring!$F$30+QB!I74/Scoring!$G$30+QB!J74*Scoring!$H$30+QB!K74*Scoring!$I$30+M74*Scoring!$J$30+QB!N74*Scoring!$K$30,0)+C74*Scoring!$B$10*0.07+(C74-D74)*Scoring!$B$5</f>
        <v>242.26</v>
      </c>
      <c r="P72" s="116" t="n">
        <f aca="false">MAX(QB!D72*Scoring!$B$30+QB!E72/Scoring!$C$30+QB!F72*Scoring!$D$30+QB!G72*Scoring!$E$30+QB!H72*Scoring!$F$30+QB!I72/Scoring!$G$30+QB!J72*Scoring!$H$30+QB!K72*Scoring!$I$30+M72*Scoring!$J$30+QB!N72*Scoring!$K$30,0)+C72*Scoring!$B$10*0.07+(C72-D72)*Scoring!$B$5</f>
        <v>260.486</v>
      </c>
      <c r="Q72" s="116" t="n">
        <f aca="false">MAX(QB!D73*Scoring!$B$30+QB!E73/Scoring!$C$30+QB!F73*Scoring!$D$30+QB!G73*Scoring!$E$30+QB!H73*Scoring!$F$30+QB!I73/Scoring!$G$30+QB!J73*Scoring!$H$30+QB!K73*Scoring!$I$30+M73*Scoring!$J$30+QB!N73*Scoring!$K$30,0)+C73*Scoring!$B$10*0.07+(C73-D73)*Scoring!$B$5</f>
        <v>284.834</v>
      </c>
    </row>
    <row r="73" customFormat="false" ht="14.25" hidden="false" customHeight="true" outlineLevel="0" collapsed="false">
      <c r="B73" s="0" t="s">
        <v>491</v>
      </c>
      <c r="C73" s="0" t="n">
        <v>572</v>
      </c>
      <c r="D73" s="0" t="n">
        <v>351.3</v>
      </c>
      <c r="E73" s="0" t="n">
        <v>3948.1</v>
      </c>
      <c r="F73" s="0" t="n">
        <v>28</v>
      </c>
      <c r="G73" s="0" t="n">
        <v>10</v>
      </c>
      <c r="H73" s="0" t="n">
        <v>57.1</v>
      </c>
      <c r="I73" s="0" t="n">
        <v>249.1</v>
      </c>
      <c r="J73" s="0" t="n">
        <v>1</v>
      </c>
      <c r="K73" s="0" t="n">
        <v>3</v>
      </c>
      <c r="L73" s="0" t="n">
        <v>310</v>
      </c>
      <c r="M73" s="115" t="n">
        <f aca="false">IFERROR(((E73/D73)/10.96)*0.5218*D73,0)</f>
        <v>187.967023722628</v>
      </c>
      <c r="N73" s="115" t="n">
        <f aca="false">IFERROR((((I73/H73)/5.3)*0.401)*H73,0)</f>
        <v>18.847</v>
      </c>
      <c r="O73" s="116"/>
      <c r="P73" s="116"/>
      <c r="Q73" s="116"/>
    </row>
    <row r="74" customFormat="false" ht="14.25" hidden="false" customHeight="true" outlineLevel="0" collapsed="false">
      <c r="B74" s="0" t="s">
        <v>492</v>
      </c>
      <c r="C74" s="0" t="n">
        <v>529</v>
      </c>
      <c r="D74" s="0" t="n">
        <v>339</v>
      </c>
      <c r="E74" s="0" t="n">
        <v>3759</v>
      </c>
      <c r="F74" s="0" t="n">
        <v>21</v>
      </c>
      <c r="G74" s="0" t="n">
        <v>12.1</v>
      </c>
      <c r="H74" s="0" t="n">
        <v>51</v>
      </c>
      <c r="I74" s="0" t="n">
        <v>218</v>
      </c>
      <c r="J74" s="0" t="n">
        <v>1</v>
      </c>
      <c r="K74" s="0" t="n">
        <v>3.9</v>
      </c>
      <c r="L74" s="0" t="n">
        <v>246.1</v>
      </c>
      <c r="M74" s="115" t="n">
        <f aca="false">IFERROR(((E74/D74)/10.96)*0.5218*D74,0)</f>
        <v>178.964069343066</v>
      </c>
      <c r="N74" s="115" t="n">
        <f aca="false">IFERROR((((I74/H74)/5.3)*0.401)*H74,0)</f>
        <v>16.4939622641509</v>
      </c>
      <c r="O74" s="116"/>
      <c r="P74" s="116"/>
      <c r="Q74" s="116"/>
    </row>
    <row r="75" customFormat="false" ht="14.25" hidden="false" customHeight="true" outlineLevel="0" collapsed="false">
      <c r="A75" s="0" t="s">
        <v>539</v>
      </c>
      <c r="B75" s="0" t="s">
        <v>540</v>
      </c>
      <c r="C75" s="0" t="n">
        <v>525.4</v>
      </c>
      <c r="D75" s="0" t="n">
        <v>334.2</v>
      </c>
      <c r="E75" s="0" t="n">
        <v>3456.9</v>
      </c>
      <c r="F75" s="0" t="n">
        <v>22.8</v>
      </c>
      <c r="G75" s="0" t="n">
        <v>12</v>
      </c>
      <c r="H75" s="0" t="n">
        <v>57.9</v>
      </c>
      <c r="I75" s="0" t="n">
        <v>261.5</v>
      </c>
      <c r="J75" s="0" t="n">
        <v>3</v>
      </c>
      <c r="K75" s="0" t="n">
        <v>3</v>
      </c>
      <c r="L75" s="0" t="n">
        <v>255.9</v>
      </c>
      <c r="M75" s="115" t="n">
        <f aca="false">IFERROR(((E75/D75)/10.96)*0.5218*D75,0)</f>
        <v>164.58124270073</v>
      </c>
      <c r="N75" s="115" t="n">
        <f aca="false">IFERROR((((I75/H75)/5.3)*0.401)*H75,0)</f>
        <v>19.7851886792453</v>
      </c>
      <c r="O75" s="116" t="n">
        <f aca="false">MAX(QB!D77*Scoring!$B$30+QB!E77/Scoring!$C$30+QB!F77*Scoring!$D$30+QB!G77*Scoring!$E$30+QB!H77*Scoring!$F$30+QB!I77/Scoring!$G$30+QB!J77*Scoring!$H$30+QB!K77*Scoring!$I$30+M77*Scoring!$J$30+QB!N77*Scoring!$K$30,0)+C77*Scoring!$B$10*0.07+(C77-D77)*Scoring!$B$5</f>
        <v>229.3</v>
      </c>
      <c r="P75" s="116" t="n">
        <f aca="false">MAX(QB!D75*Scoring!$B$30+QB!E75/Scoring!$C$30+QB!F75*Scoring!$D$30+QB!G75*Scoring!$E$30+QB!H75*Scoring!$F$30+QB!I75/Scoring!$G$30+QB!J75*Scoring!$H$30+QB!K75*Scoring!$I$30+M75*Scoring!$J$30+QB!N75*Scoring!$K$30,0)+C75*Scoring!$B$10*0.07+(C75-D75)*Scoring!$B$5</f>
        <v>255.626</v>
      </c>
      <c r="Q75" s="116" t="n">
        <f aca="false">MAX(QB!D76*Scoring!$B$30+QB!E76/Scoring!$C$30+QB!F76*Scoring!$D$30+QB!G76*Scoring!$E$30+QB!H76*Scoring!$F$30+QB!I76/Scoring!$G$30+QB!J76*Scoring!$H$30+QB!K76*Scoring!$I$30+M76*Scoring!$J$30+QB!N76*Scoring!$K$30,0)+C76*Scoring!$B$10*0.07+(C76-D76)*Scoring!$B$5</f>
        <v>287.768</v>
      </c>
    </row>
    <row r="76" customFormat="false" ht="14.25" hidden="false" customHeight="true" outlineLevel="0" collapsed="false">
      <c r="B76" s="0" t="s">
        <v>491</v>
      </c>
      <c r="C76" s="0" t="n">
        <v>537.1</v>
      </c>
      <c r="D76" s="0" t="n">
        <v>336</v>
      </c>
      <c r="E76" s="0" t="n">
        <v>3636.7</v>
      </c>
      <c r="F76" s="0" t="n">
        <v>26</v>
      </c>
      <c r="G76" s="0" t="n">
        <v>10</v>
      </c>
      <c r="H76" s="0" t="n">
        <v>61</v>
      </c>
      <c r="I76" s="0" t="n">
        <v>283</v>
      </c>
      <c r="J76" s="0" t="n">
        <v>4</v>
      </c>
      <c r="K76" s="0" t="n">
        <v>2</v>
      </c>
      <c r="L76" s="0" t="n">
        <v>292</v>
      </c>
      <c r="M76" s="115" t="n">
        <f aca="false">IFERROR(((E76/D76)/10.96)*0.5218*D76,0)</f>
        <v>173.141428832117</v>
      </c>
      <c r="N76" s="115" t="n">
        <f aca="false">IFERROR((((I76/H76)/5.3)*0.401)*H76,0)</f>
        <v>21.4118867924528</v>
      </c>
      <c r="O76" s="116"/>
      <c r="P76" s="116"/>
      <c r="Q76" s="116"/>
    </row>
    <row r="77" customFormat="false" ht="14.25" hidden="false" customHeight="true" outlineLevel="0" collapsed="false">
      <c r="B77" s="0" t="s">
        <v>492</v>
      </c>
      <c r="C77" s="0" t="n">
        <v>515</v>
      </c>
      <c r="D77" s="0" t="n">
        <v>332</v>
      </c>
      <c r="E77" s="0" t="n">
        <v>3355</v>
      </c>
      <c r="F77" s="0" t="n">
        <v>20.4</v>
      </c>
      <c r="G77" s="0" t="n">
        <v>14</v>
      </c>
      <c r="H77" s="0" t="n">
        <v>55</v>
      </c>
      <c r="I77" s="0" t="n">
        <v>229</v>
      </c>
      <c r="J77" s="0" t="n">
        <v>2.1</v>
      </c>
      <c r="K77" s="0" t="n">
        <v>4</v>
      </c>
      <c r="L77" s="0" t="n">
        <v>238.2</v>
      </c>
      <c r="M77" s="115" t="n">
        <f aca="false">IFERROR(((E77/D77)/10.96)*0.5218*D77,0)</f>
        <v>159.729835766423</v>
      </c>
      <c r="N77" s="115" t="n">
        <f aca="false">IFERROR((((I77/H77)/5.3)*0.401)*H77,0)</f>
        <v>17.3262264150943</v>
      </c>
      <c r="O77" s="116"/>
      <c r="P77" s="116"/>
      <c r="Q77" s="116"/>
    </row>
    <row r="78" customFormat="false" ht="14.25" hidden="false" customHeight="true" outlineLevel="0" collapsed="false">
      <c r="A78" s="0" t="s">
        <v>541</v>
      </c>
      <c r="B78" s="0" t="s">
        <v>542</v>
      </c>
      <c r="C78" s="0" t="n">
        <v>521.2</v>
      </c>
      <c r="D78" s="0" t="n">
        <v>341</v>
      </c>
      <c r="E78" s="0" t="n">
        <v>3461.6</v>
      </c>
      <c r="F78" s="0" t="n">
        <v>21.8</v>
      </c>
      <c r="G78" s="0" t="n">
        <v>14.8</v>
      </c>
      <c r="H78" s="0" t="n">
        <v>57.3</v>
      </c>
      <c r="I78" s="0" t="n">
        <v>210.8</v>
      </c>
      <c r="J78" s="0" t="n">
        <v>1</v>
      </c>
      <c r="K78" s="0" t="n">
        <v>2.2</v>
      </c>
      <c r="L78" s="0" t="n">
        <v>233.8</v>
      </c>
      <c r="M78" s="115" t="n">
        <f aca="false">IFERROR(((E78/D78)/10.96)*0.5218*D78,0)</f>
        <v>164.80500729927</v>
      </c>
      <c r="N78" s="115" t="n">
        <f aca="false">IFERROR((((I78/H78)/5.3)*0.401)*H78,0)</f>
        <v>15.9492075471698</v>
      </c>
      <c r="O78" s="116" t="n">
        <f aca="false">MAX(QB!D80*Scoring!$B$30+QB!E80/Scoring!$C$30+QB!F80*Scoring!$D$30+QB!G80*Scoring!$E$30+QB!H80*Scoring!$F$30+QB!I80/Scoring!$G$30+QB!J80*Scoring!$H$30+QB!K80*Scoring!$I$30+M80*Scoring!$J$30+QB!N80*Scoring!$K$30,0)+C80*Scoring!$B$10*0.07+(C80-D80)*Scoring!$B$5</f>
        <v>198.58</v>
      </c>
      <c r="P78" s="116" t="n">
        <f aca="false">MAX(QB!D78*Scoring!$B$30+QB!E78/Scoring!$C$30+QB!F78*Scoring!$D$30+QB!G78*Scoring!$E$30+QB!H78*Scoring!$F$30+QB!I78/Scoring!$G$30+QB!J78*Scoring!$H$30+QB!K78*Scoring!$I$30+M78*Scoring!$J$30+QB!N78*Scoring!$K$30,0)+C78*Scoring!$B$10*0.07+(C78-D78)*Scoring!$B$5</f>
        <v>233.544</v>
      </c>
      <c r="Q78" s="116" t="n">
        <f aca="false">MAX(QB!D79*Scoring!$B$30+QB!E79/Scoring!$C$30+QB!F79*Scoring!$D$30+QB!G79*Scoring!$E$30+QB!H79*Scoring!$F$30+QB!I79/Scoring!$G$30+QB!J79*Scoring!$H$30+QB!K79*Scoring!$I$30+M79*Scoring!$J$30+QB!N79*Scoring!$K$30,0)+C79*Scoring!$B$10*0.07+(C79-D79)*Scoring!$B$5</f>
        <v>265.052</v>
      </c>
    </row>
    <row r="79" customFormat="false" ht="14.25" hidden="false" customHeight="true" outlineLevel="0" collapsed="false">
      <c r="B79" s="0" t="s">
        <v>491</v>
      </c>
      <c r="C79" s="0" t="n">
        <v>540</v>
      </c>
      <c r="D79" s="0" t="n">
        <v>362.1</v>
      </c>
      <c r="E79" s="0" t="n">
        <v>3823.8</v>
      </c>
      <c r="F79" s="0" t="n">
        <v>24</v>
      </c>
      <c r="G79" s="0" t="n">
        <v>14</v>
      </c>
      <c r="H79" s="0" t="n">
        <v>58</v>
      </c>
      <c r="I79" s="0" t="n">
        <v>255</v>
      </c>
      <c r="J79" s="0" t="n">
        <v>1.1</v>
      </c>
      <c r="K79" s="0" t="n">
        <v>1</v>
      </c>
      <c r="L79" s="0" t="n">
        <v>250.5</v>
      </c>
      <c r="M79" s="115" t="n">
        <f aca="false">IFERROR(((E79/D79)/10.96)*0.5218*D79,0)</f>
        <v>182.049164233577</v>
      </c>
      <c r="N79" s="115" t="n">
        <f aca="false">IFERROR((((I79/H79)/5.3)*0.401)*H79,0)</f>
        <v>19.2933962264151</v>
      </c>
      <c r="O79" s="116"/>
      <c r="P79" s="116"/>
      <c r="Q79" s="116"/>
    </row>
    <row r="80" customFormat="false" ht="14.25" hidden="false" customHeight="true" outlineLevel="0" collapsed="false">
      <c r="B80" s="0" t="s">
        <v>492</v>
      </c>
      <c r="C80" s="0" t="n">
        <v>492</v>
      </c>
      <c r="D80" s="0" t="n">
        <v>310</v>
      </c>
      <c r="E80" s="0" t="n">
        <v>2942</v>
      </c>
      <c r="F80" s="0" t="n">
        <v>20.5</v>
      </c>
      <c r="G80" s="0" t="n">
        <v>16</v>
      </c>
      <c r="H80" s="0" t="n">
        <v>56</v>
      </c>
      <c r="I80" s="0" t="n">
        <v>157</v>
      </c>
      <c r="J80" s="0" t="n">
        <v>1</v>
      </c>
      <c r="K80" s="0" t="n">
        <v>3.4</v>
      </c>
      <c r="L80" s="0" t="n">
        <v>233.2</v>
      </c>
      <c r="M80" s="115" t="n">
        <f aca="false">IFERROR(((E80/D80)/10.96)*0.5218*D80,0)</f>
        <v>140.067116788321</v>
      </c>
      <c r="N80" s="115" t="n">
        <f aca="false">IFERROR((((I80/H80)/5.3)*0.401)*H80,0)</f>
        <v>11.878679245283</v>
      </c>
      <c r="O80" s="116"/>
      <c r="P80" s="116"/>
      <c r="Q80" s="116"/>
    </row>
    <row r="81" customFormat="false" ht="14.25" hidden="false" customHeight="true" outlineLevel="0" collapsed="false">
      <c r="A81" s="0" t="s">
        <v>543</v>
      </c>
      <c r="B81" s="0" t="s">
        <v>544</v>
      </c>
      <c r="C81" s="0" t="n">
        <v>563.6</v>
      </c>
      <c r="D81" s="0" t="n">
        <v>345</v>
      </c>
      <c r="E81" s="0" t="n">
        <v>3585.5</v>
      </c>
      <c r="F81" s="0" t="n">
        <v>19.8</v>
      </c>
      <c r="G81" s="0" t="n">
        <v>10.4</v>
      </c>
      <c r="H81" s="0" t="n">
        <v>44.2</v>
      </c>
      <c r="I81" s="0" t="n">
        <v>185.2</v>
      </c>
      <c r="J81" s="0" t="n">
        <v>2</v>
      </c>
      <c r="K81" s="0" t="n">
        <v>5.4</v>
      </c>
      <c r="L81" s="0" t="n">
        <v>232.2</v>
      </c>
      <c r="M81" s="115" t="n">
        <f aca="false">IFERROR(((E81/D81)/10.96)*0.5218*D81,0)</f>
        <v>170.703822992701</v>
      </c>
      <c r="N81" s="115" t="n">
        <f aca="false">IFERROR((((I81/H81)/5.3)*0.401)*H81,0)</f>
        <v>14.0123018867925</v>
      </c>
      <c r="O81" s="116" t="n">
        <f aca="false">MAX(QB!D83*Scoring!$B$30+QB!E83/Scoring!$C$30+QB!F83*Scoring!$D$30+QB!G83*Scoring!$E$30+QB!H83*Scoring!$F$30+QB!I83/Scoring!$G$30+QB!J83*Scoring!$H$30+QB!K83*Scoring!$I$30+M83*Scoring!$J$30+QB!N83*Scoring!$K$30,0)+C83*Scoring!$B$10*0.07+(C83-D83)*Scoring!$B$5</f>
        <v>197.28</v>
      </c>
      <c r="P81" s="116" t="n">
        <f aca="false">MAX(QB!D81*Scoring!$B$30+QB!E81/Scoring!$C$30+QB!F81*Scoring!$D$30+QB!G81*Scoring!$E$30+QB!H81*Scoring!$F$30+QB!I81/Scoring!$G$30+QB!J81*Scoring!$H$30+QB!K81*Scoring!$I$30+M81*Scoring!$J$30+QB!N81*Scoring!$K$30,0)+C81*Scoring!$B$10*0.07+(C81-D81)*Scoring!$B$5</f>
        <v>231.94</v>
      </c>
      <c r="Q81" s="116" t="n">
        <f aca="false">MAX(QB!D82*Scoring!$B$30+QB!E82/Scoring!$C$30+QB!F82*Scoring!$D$30+QB!G82*Scoring!$E$30+QB!H82*Scoring!$F$30+QB!I82/Scoring!$G$30+QB!J82*Scoring!$H$30+QB!K82*Scoring!$I$30+M82*Scoring!$J$30+QB!N82*Scoring!$K$30,0)+C82*Scoring!$B$10*0.07+(C82-D82)*Scoring!$B$5</f>
        <v>265.396</v>
      </c>
    </row>
    <row r="82" customFormat="false" ht="14.25" hidden="false" customHeight="true" outlineLevel="0" collapsed="false">
      <c r="B82" s="0" t="s">
        <v>491</v>
      </c>
      <c r="C82" s="0" t="n">
        <v>572</v>
      </c>
      <c r="D82" s="0" t="n">
        <v>355</v>
      </c>
      <c r="E82" s="0" t="n">
        <v>3757.4</v>
      </c>
      <c r="F82" s="0" t="n">
        <v>24</v>
      </c>
      <c r="G82" s="0" t="n">
        <v>10</v>
      </c>
      <c r="H82" s="0" t="n">
        <v>49</v>
      </c>
      <c r="I82" s="0" t="n">
        <v>207</v>
      </c>
      <c r="J82" s="0" t="n">
        <v>3</v>
      </c>
      <c r="K82" s="0" t="n">
        <v>4.8</v>
      </c>
      <c r="L82" s="0" t="n">
        <v>259</v>
      </c>
      <c r="M82" s="115" t="n">
        <f aca="false">IFERROR(((E82/D82)/10.96)*0.5218*D82,0)</f>
        <v>178.887894160584</v>
      </c>
      <c r="N82" s="115" t="n">
        <f aca="false">IFERROR((((I82/H82)/5.3)*0.401)*H82,0)</f>
        <v>15.6616981132075</v>
      </c>
      <c r="O82" s="116"/>
      <c r="P82" s="116"/>
      <c r="Q82" s="116"/>
    </row>
    <row r="83" customFormat="false" ht="14.25" hidden="false" customHeight="true" outlineLevel="0" collapsed="false">
      <c r="B83" s="0" t="s">
        <v>492</v>
      </c>
      <c r="C83" s="0" t="n">
        <v>557.8</v>
      </c>
      <c r="D83" s="0" t="n">
        <v>331</v>
      </c>
      <c r="E83" s="0" t="n">
        <v>3337</v>
      </c>
      <c r="F83" s="0" t="n">
        <v>16.5</v>
      </c>
      <c r="G83" s="0" t="n">
        <v>11</v>
      </c>
      <c r="H83" s="0" t="n">
        <v>37</v>
      </c>
      <c r="I83" s="0" t="n">
        <v>148</v>
      </c>
      <c r="J83" s="0" t="n">
        <v>1</v>
      </c>
      <c r="K83" s="0" t="n">
        <v>6</v>
      </c>
      <c r="L83" s="0" t="n">
        <v>219.6</v>
      </c>
      <c r="M83" s="115" t="n">
        <f aca="false">IFERROR(((E83/D83)/10.96)*0.5218*D83,0)</f>
        <v>158.872864963504</v>
      </c>
      <c r="N83" s="115" t="n">
        <f aca="false">IFERROR((((I83/H83)/5.3)*0.401)*H83,0)</f>
        <v>11.1977358490566</v>
      </c>
      <c r="O83" s="116"/>
      <c r="P83" s="116"/>
      <c r="Q83" s="116"/>
    </row>
    <row r="84" customFormat="false" ht="14.25" hidden="false" customHeight="true" outlineLevel="0" collapsed="false">
      <c r="A84" s="0" t="s">
        <v>545</v>
      </c>
      <c r="B84" s="0" t="s">
        <v>546</v>
      </c>
      <c r="C84" s="0" t="n">
        <v>541.2</v>
      </c>
      <c r="D84" s="0" t="n">
        <v>346.9</v>
      </c>
      <c r="E84" s="0" t="n">
        <v>3588.2</v>
      </c>
      <c r="F84" s="0" t="n">
        <v>19.3</v>
      </c>
      <c r="G84" s="0" t="n">
        <v>10.4</v>
      </c>
      <c r="H84" s="0" t="n">
        <v>48.7</v>
      </c>
      <c r="I84" s="0" t="n">
        <v>209.9</v>
      </c>
      <c r="J84" s="0" t="n">
        <v>1.4</v>
      </c>
      <c r="K84" s="0" t="n">
        <v>4.8</v>
      </c>
      <c r="L84" s="0" t="n">
        <v>230.2</v>
      </c>
      <c r="M84" s="115" t="n">
        <f aca="false">IFERROR(((E84/D84)/10.96)*0.5218*D84,0)</f>
        <v>170.832368613139</v>
      </c>
      <c r="N84" s="115" t="n">
        <f aca="false">IFERROR((((I84/H84)/5.3)*0.401)*H84,0)</f>
        <v>15.8811132075472</v>
      </c>
      <c r="O84" s="116" t="n">
        <f aca="false">MAX(QB!D86*Scoring!$B$30+QB!E86/Scoring!$C$30+QB!F86*Scoring!$D$30+QB!G86*Scoring!$E$30+QB!H86*Scoring!$F$30+QB!I86/Scoring!$G$30+QB!J86*Scoring!$H$30+QB!K86*Scoring!$I$30+M86*Scoring!$J$30+QB!N86*Scoring!$K$30,0)+C86*Scoring!$B$10*0.07+(C86-D86)*Scoring!$B$5</f>
        <v>193.468</v>
      </c>
      <c r="P84" s="116" t="n">
        <f aca="false">MAX(QB!D84*Scoring!$B$30+QB!E84/Scoring!$C$30+QB!F84*Scoring!$D$30+QB!G84*Scoring!$E$30+QB!H84*Scoring!$F$30+QB!I84/Scoring!$G$30+QB!J84*Scoring!$H$30+QB!K84*Scoring!$I$30+M84*Scoring!$J$30+QB!N84*Scoring!$K$30,0)+C84*Scoring!$B$10*0.07+(C84-D84)*Scoring!$B$5</f>
        <v>230.118</v>
      </c>
      <c r="Q84" s="116" t="n">
        <f aca="false">MAX(QB!D85*Scoring!$B$30+QB!E85/Scoring!$C$30+QB!F85*Scoring!$D$30+QB!G85*Scoring!$E$30+QB!H85*Scoring!$F$30+QB!I85/Scoring!$G$30+QB!J85*Scoring!$H$30+QB!K85*Scoring!$I$30+M85*Scoring!$J$30+QB!N85*Scoring!$K$30,0)+C85*Scoring!$B$10*0.07+(C85-D85)*Scoring!$B$5</f>
        <v>266.32</v>
      </c>
    </row>
    <row r="85" customFormat="false" ht="14.25" hidden="false" customHeight="true" outlineLevel="0" collapsed="false">
      <c r="B85" s="0" t="s">
        <v>491</v>
      </c>
      <c r="C85" s="0" t="n">
        <v>586</v>
      </c>
      <c r="D85" s="0" t="n">
        <v>376</v>
      </c>
      <c r="E85" s="0" t="n">
        <v>3768</v>
      </c>
      <c r="F85" s="0" t="n">
        <v>24</v>
      </c>
      <c r="G85" s="0" t="n">
        <v>9.2</v>
      </c>
      <c r="H85" s="0" t="n">
        <v>56</v>
      </c>
      <c r="I85" s="0" t="n">
        <v>242</v>
      </c>
      <c r="J85" s="0" t="n">
        <v>2</v>
      </c>
      <c r="K85" s="0" t="n">
        <v>3.7</v>
      </c>
      <c r="L85" s="0" t="n">
        <v>276</v>
      </c>
      <c r="M85" s="115" t="n">
        <f aca="false">IFERROR(((E85/D85)/10.96)*0.5218*D85,0)</f>
        <v>179.392554744526</v>
      </c>
      <c r="N85" s="115" t="n">
        <f aca="false">IFERROR((((I85/H85)/5.3)*0.401)*H85,0)</f>
        <v>18.3098113207547</v>
      </c>
      <c r="O85" s="116"/>
      <c r="P85" s="116"/>
      <c r="Q85" s="116"/>
    </row>
    <row r="86" customFormat="false" ht="14.25" hidden="false" customHeight="true" outlineLevel="0" collapsed="false">
      <c r="B86" s="0" t="s">
        <v>492</v>
      </c>
      <c r="C86" s="0" t="n">
        <v>516.7</v>
      </c>
      <c r="D86" s="0" t="n">
        <v>326.6</v>
      </c>
      <c r="E86" s="0" t="n">
        <v>3351.7</v>
      </c>
      <c r="F86" s="0" t="n">
        <v>14.9</v>
      </c>
      <c r="G86" s="0" t="n">
        <v>12</v>
      </c>
      <c r="H86" s="0" t="n">
        <v>43</v>
      </c>
      <c r="I86" s="0" t="n">
        <v>178</v>
      </c>
      <c r="J86" s="0" t="n">
        <v>1</v>
      </c>
      <c r="K86" s="0" t="n">
        <v>6</v>
      </c>
      <c r="L86" s="0" t="n">
        <v>198.5</v>
      </c>
      <c r="M86" s="115" t="n">
        <f aca="false">IFERROR(((E86/D86)/10.96)*0.5218*D86,0)</f>
        <v>159.572724452555</v>
      </c>
      <c r="N86" s="115" t="n">
        <f aca="false">IFERROR((((I86/H86)/5.3)*0.401)*H86,0)</f>
        <v>13.4675471698113</v>
      </c>
      <c r="O86" s="116"/>
      <c r="P86" s="116"/>
      <c r="Q86" s="116"/>
    </row>
    <row r="87" customFormat="false" ht="14.25" hidden="false" customHeight="true" outlineLevel="0" collapsed="false">
      <c r="A87" s="0" t="s">
        <v>547</v>
      </c>
      <c r="B87" s="0" t="s">
        <v>548</v>
      </c>
      <c r="C87" s="0" t="n">
        <v>527.4</v>
      </c>
      <c r="D87" s="0" t="n">
        <v>339.3</v>
      </c>
      <c r="E87" s="0" t="n">
        <v>3483.4</v>
      </c>
      <c r="F87" s="0" t="n">
        <v>22</v>
      </c>
      <c r="G87" s="0" t="n">
        <v>9.4</v>
      </c>
      <c r="H87" s="0" t="n">
        <v>26</v>
      </c>
      <c r="I87" s="0" t="n">
        <v>82.5</v>
      </c>
      <c r="J87" s="0" t="n">
        <v>0.6</v>
      </c>
      <c r="K87" s="0" t="n">
        <v>2.7</v>
      </c>
      <c r="L87" s="0" t="n">
        <v>224.7</v>
      </c>
      <c r="M87" s="115" t="n">
        <f aca="false">IFERROR(((E87/D87)/10.96)*0.5218*D87,0)</f>
        <v>165.842894160584</v>
      </c>
      <c r="N87" s="115" t="n">
        <f aca="false">IFERROR((((I87/H87)/5.3)*0.401)*H87,0)</f>
        <v>6.24198113207547</v>
      </c>
      <c r="O87" s="116" t="n">
        <f aca="false">MAX(QB!D89*Scoring!$B$30+QB!E89/Scoring!$C$30+QB!F89*Scoring!$D$30+QB!G89*Scoring!$E$30+QB!H89*Scoring!$F$30+QB!I89/Scoring!$G$30+QB!J89*Scoring!$H$30+QB!K89*Scoring!$I$30+M89*Scoring!$J$30+QB!N89*Scoring!$K$30,0)+C89*Scoring!$B$10*0.07+(C89-D89)*Scoring!$B$5</f>
        <v>190.34</v>
      </c>
      <c r="P87" s="116" t="n">
        <f aca="false">MAX(QB!D87*Scoring!$B$30+QB!E87/Scoring!$C$30+QB!F87*Scoring!$D$30+QB!G87*Scoring!$E$30+QB!H87*Scoring!$F$30+QB!I87/Scoring!$G$30+QB!J87*Scoring!$H$30+QB!K87*Scoring!$I$30+M87*Scoring!$J$30+QB!N87*Scoring!$K$30,0)+C87*Scoring!$B$10*0.07+(C87-D87)*Scoring!$B$5</f>
        <v>224.386</v>
      </c>
      <c r="Q87" s="116" t="n">
        <f aca="false">MAX(QB!D88*Scoring!$B$30+QB!E88/Scoring!$C$30+QB!F88*Scoring!$D$30+QB!G88*Scoring!$E$30+QB!H88*Scoring!$F$30+QB!I88/Scoring!$G$30+QB!J88*Scoring!$H$30+QB!K88*Scoring!$I$30+M88*Scoring!$J$30+QB!N88*Scoring!$K$30,0)+C88*Scoring!$B$10*0.07+(C88-D88)*Scoring!$B$5</f>
        <v>246.772</v>
      </c>
    </row>
    <row r="88" customFormat="false" ht="14.25" hidden="false" customHeight="true" outlineLevel="0" collapsed="false">
      <c r="B88" s="0" t="s">
        <v>491</v>
      </c>
      <c r="C88" s="0" t="n">
        <v>568.3</v>
      </c>
      <c r="D88" s="0" t="n">
        <v>362.8</v>
      </c>
      <c r="E88" s="0" t="n">
        <v>3770.3</v>
      </c>
      <c r="F88" s="0" t="n">
        <v>23</v>
      </c>
      <c r="G88" s="0" t="n">
        <v>8</v>
      </c>
      <c r="H88" s="0" t="n">
        <v>29</v>
      </c>
      <c r="I88" s="0" t="n">
        <v>99.6</v>
      </c>
      <c r="J88" s="0" t="n">
        <v>1</v>
      </c>
      <c r="K88" s="0" t="n">
        <v>2</v>
      </c>
      <c r="L88" s="0" t="n">
        <v>246</v>
      </c>
      <c r="M88" s="115" t="n">
        <f aca="false">IFERROR(((E88/D88)/10.96)*0.5218*D88,0)</f>
        <v>179.502056569343</v>
      </c>
      <c r="N88" s="115" t="n">
        <f aca="false">IFERROR((((I88/H88)/5.3)*0.401)*H88,0)</f>
        <v>7.53577358490566</v>
      </c>
      <c r="O88" s="116"/>
      <c r="P88" s="116"/>
      <c r="Q88" s="116"/>
    </row>
    <row r="89" customFormat="false" ht="14.25" hidden="false" customHeight="true" outlineLevel="0" collapsed="false">
      <c r="B89" s="0" t="s">
        <v>492</v>
      </c>
      <c r="C89" s="0" t="n">
        <v>477</v>
      </c>
      <c r="D89" s="0" t="n">
        <v>301</v>
      </c>
      <c r="E89" s="0" t="n">
        <v>3031</v>
      </c>
      <c r="F89" s="0" t="n">
        <v>20.1</v>
      </c>
      <c r="G89" s="0" t="n">
        <v>11.1</v>
      </c>
      <c r="H89" s="0" t="n">
        <v>21</v>
      </c>
      <c r="I89" s="0" t="n">
        <v>68</v>
      </c>
      <c r="J89" s="0" t="n">
        <v>0</v>
      </c>
      <c r="K89" s="0" t="n">
        <v>3.5</v>
      </c>
      <c r="L89" s="0" t="n">
        <v>218.8</v>
      </c>
      <c r="M89" s="115" t="n">
        <f aca="false">IFERROR(((E89/D89)/10.96)*0.5218*D89,0)</f>
        <v>144.304361313869</v>
      </c>
      <c r="N89" s="115" t="n">
        <f aca="false">IFERROR((((I89/H89)/5.3)*0.401)*H89,0)</f>
        <v>5.14490566037736</v>
      </c>
      <c r="O89" s="116"/>
      <c r="P89" s="116"/>
      <c r="Q89" s="116"/>
    </row>
    <row r="90" customFormat="false" ht="14.25" hidden="false" customHeight="true" outlineLevel="0" collapsed="false">
      <c r="A90" s="0" t="s">
        <v>549</v>
      </c>
      <c r="B90" s="0" t="s">
        <v>550</v>
      </c>
      <c r="C90" s="0" t="n">
        <v>431.5</v>
      </c>
      <c r="D90" s="0" t="n">
        <v>276.2</v>
      </c>
      <c r="E90" s="0" t="n">
        <v>2882.1</v>
      </c>
      <c r="F90" s="0" t="n">
        <v>15.7</v>
      </c>
      <c r="G90" s="0" t="n">
        <v>12.2</v>
      </c>
      <c r="H90" s="0" t="n">
        <v>50.4</v>
      </c>
      <c r="I90" s="0" t="n">
        <v>233</v>
      </c>
      <c r="J90" s="0" t="n">
        <v>1.3</v>
      </c>
      <c r="K90" s="0" t="n">
        <v>2.7</v>
      </c>
      <c r="L90" s="0" t="n">
        <v>191.7</v>
      </c>
      <c r="M90" s="115" t="n">
        <f aca="false">IFERROR(((E90/D90)/10.96)*0.5218*D90,0)</f>
        <v>137.215308394161</v>
      </c>
      <c r="N90" s="115" t="n">
        <f aca="false">IFERROR((((I90/H90)/5.3)*0.401)*H90,0)</f>
        <v>17.6288679245283</v>
      </c>
      <c r="O90" s="116" t="n">
        <f aca="false">MAX(QB!D92*Scoring!$B$30+QB!E92/Scoring!$C$30+QB!F92*Scoring!$D$30+QB!G92*Scoring!$E$30+QB!H92*Scoring!$F$30+QB!I92/Scoring!$G$30+QB!J92*Scoring!$H$30+QB!K92*Scoring!$I$30+M92*Scoring!$J$30+QB!N92*Scoring!$K$30,0)+C92*Scoring!$B$10*0.07+(C92-D92)*Scoring!$B$5</f>
        <v>166.06</v>
      </c>
      <c r="P90" s="116" t="n">
        <f aca="false">MAX(QB!D90*Scoring!$B$30+QB!E90/Scoring!$C$30+QB!F90*Scoring!$D$30+QB!G90*Scoring!$E$30+QB!H90*Scoring!$F$30+QB!I90/Scoring!$G$30+QB!J90*Scoring!$H$30+QB!K90*Scoring!$I$30+M90*Scoring!$J$30+QB!N90*Scoring!$K$30,0)+C90*Scoring!$B$10*0.07+(C90-D90)*Scoring!$B$5</f>
        <v>191.584</v>
      </c>
      <c r="Q90" s="116" t="n">
        <f aca="false">MAX(QB!D91*Scoring!$B$30+QB!E91/Scoring!$C$30+QB!F91*Scoring!$D$30+QB!G91*Scoring!$E$30+QB!H91*Scoring!$F$30+QB!I91/Scoring!$G$30+QB!J91*Scoring!$H$30+QB!K91*Scoring!$I$30+M91*Scoring!$J$30+QB!N91*Scoring!$K$30,0)+C91*Scoring!$B$10*0.07+(C91-D91)*Scoring!$B$5</f>
        <v>217.332</v>
      </c>
    </row>
    <row r="91" customFormat="false" ht="14.25" hidden="false" customHeight="true" outlineLevel="0" collapsed="false">
      <c r="B91" s="0" t="s">
        <v>491</v>
      </c>
      <c r="C91" s="0" t="n">
        <v>449.6</v>
      </c>
      <c r="D91" s="0" t="n">
        <v>284.5</v>
      </c>
      <c r="E91" s="0" t="n">
        <v>3058.3</v>
      </c>
      <c r="F91" s="0" t="n">
        <v>18</v>
      </c>
      <c r="G91" s="0" t="n">
        <v>10</v>
      </c>
      <c r="H91" s="0" t="n">
        <v>52.1</v>
      </c>
      <c r="I91" s="0" t="n">
        <v>256</v>
      </c>
      <c r="J91" s="0" t="n">
        <v>1.9</v>
      </c>
      <c r="K91" s="0" t="n">
        <v>2</v>
      </c>
      <c r="L91" s="0" t="n">
        <v>206.9</v>
      </c>
      <c r="M91" s="115" t="n">
        <f aca="false">IFERROR(((E91/D91)/10.96)*0.5218*D91,0)</f>
        <v>145.604100364964</v>
      </c>
      <c r="N91" s="115" t="n">
        <f aca="false">IFERROR((((I91/H91)/5.3)*0.401)*H91,0)</f>
        <v>19.3690566037736</v>
      </c>
      <c r="O91" s="116"/>
      <c r="P91" s="116"/>
      <c r="Q91" s="116"/>
    </row>
    <row r="92" customFormat="false" ht="14.25" hidden="false" customHeight="true" outlineLevel="0" collapsed="false">
      <c r="B92" s="0" t="s">
        <v>492</v>
      </c>
      <c r="C92" s="0" t="n">
        <v>419</v>
      </c>
      <c r="D92" s="0" t="n">
        <v>264</v>
      </c>
      <c r="E92" s="0" t="n">
        <v>2609</v>
      </c>
      <c r="F92" s="0" t="n">
        <v>14.2</v>
      </c>
      <c r="G92" s="0" t="n">
        <v>16</v>
      </c>
      <c r="H92" s="0" t="n">
        <v>48</v>
      </c>
      <c r="I92" s="0" t="n">
        <v>217</v>
      </c>
      <c r="J92" s="0" t="n">
        <v>1</v>
      </c>
      <c r="K92" s="0" t="n">
        <v>3.4</v>
      </c>
      <c r="L92" s="0" t="n">
        <v>187.5</v>
      </c>
      <c r="M92" s="115" t="n">
        <f aca="false">IFERROR(((E92/D92)/10.96)*0.5218*D92,0)</f>
        <v>124.213156934307</v>
      </c>
      <c r="N92" s="115" t="n">
        <f aca="false">IFERROR((((I92/H92)/5.3)*0.401)*H92,0)</f>
        <v>16.4183018867925</v>
      </c>
      <c r="O92" s="116"/>
      <c r="P92" s="116"/>
      <c r="Q92" s="116"/>
    </row>
    <row r="93" customFormat="false" ht="14.25" hidden="false" customHeight="true" outlineLevel="0" collapsed="false">
      <c r="A93" s="0" t="s">
        <v>551</v>
      </c>
      <c r="B93" s="0" t="s">
        <v>552</v>
      </c>
      <c r="C93" s="0" t="n">
        <v>337.5</v>
      </c>
      <c r="D93" s="0" t="n">
        <v>218.4</v>
      </c>
      <c r="E93" s="0" t="n">
        <v>2350.3</v>
      </c>
      <c r="F93" s="0" t="n">
        <v>13.2</v>
      </c>
      <c r="G93" s="0" t="n">
        <v>7.3</v>
      </c>
      <c r="H93" s="0" t="n">
        <v>17.3</v>
      </c>
      <c r="I93" s="0" t="n">
        <v>41.7</v>
      </c>
      <c r="J93" s="0" t="n">
        <v>0.1</v>
      </c>
      <c r="K93" s="0" t="n">
        <v>1.8</v>
      </c>
      <c r="L93" s="0" t="n">
        <v>140.5</v>
      </c>
      <c r="M93" s="115" t="n">
        <f aca="false">IFERROR(((E93/D93)/10.96)*0.5218*D93,0)</f>
        <v>111.896582116788</v>
      </c>
      <c r="N93" s="115" t="n">
        <f aca="false">IFERROR((((I93/H93)/5.3)*0.401)*H93,0)</f>
        <v>3.15503773584906</v>
      </c>
      <c r="O93" s="116" t="n">
        <f aca="false">MAX(QB!D95*Scoring!$B$30+QB!E95/Scoring!$C$30+QB!F95*Scoring!$D$30+QB!G95*Scoring!$E$30+QB!H95*Scoring!$F$30+QB!I95/Scoring!$G$30+QB!J95*Scoring!$H$30+QB!K95*Scoring!$I$30+M95*Scoring!$J$30+QB!N95*Scoring!$K$30,0)+C95*Scoring!$B$10*0.07+(C95-D95)*Scoring!$B$5</f>
        <v>119.916</v>
      </c>
      <c r="P93" s="116" t="n">
        <f aca="false">MAX(QB!D93*Scoring!$B$30+QB!E93/Scoring!$C$30+QB!F93*Scoring!$D$30+QB!G93*Scoring!$E$30+QB!H93*Scoring!$F$30+QB!I93/Scoring!$G$30+QB!J93*Scoring!$H$30+QB!K93*Scoring!$I$30+M93*Scoring!$J$30+QB!N93*Scoring!$K$30,0)+C93*Scoring!$B$10*0.07+(C93-D93)*Scoring!$B$5</f>
        <v>140.682</v>
      </c>
      <c r="Q93" s="116" t="n">
        <f aca="false">MAX(QB!D94*Scoring!$B$30+QB!E94/Scoring!$C$30+QB!F94*Scoring!$D$30+QB!G94*Scoring!$E$30+QB!H94*Scoring!$F$30+QB!I94/Scoring!$G$30+QB!J94*Scoring!$H$30+QB!K94*Scoring!$I$30+M94*Scoring!$J$30+QB!N94*Scoring!$K$30,0)+C94*Scoring!$B$10*0.07+(C94-D94)*Scoring!$B$5</f>
        <v>162.96</v>
      </c>
    </row>
    <row r="94" customFormat="false" ht="14.25" hidden="false" customHeight="true" outlineLevel="0" collapsed="false">
      <c r="B94" s="0" t="s">
        <v>491</v>
      </c>
      <c r="C94" s="0" t="n">
        <v>369</v>
      </c>
      <c r="D94" s="0" t="n">
        <v>243</v>
      </c>
      <c r="E94" s="0" t="n">
        <v>2544</v>
      </c>
      <c r="F94" s="0" t="n">
        <v>16</v>
      </c>
      <c r="G94" s="0" t="n">
        <v>7</v>
      </c>
      <c r="H94" s="0" t="n">
        <v>18</v>
      </c>
      <c r="I94" s="0" t="n">
        <v>44</v>
      </c>
      <c r="J94" s="0" t="n">
        <v>0.3</v>
      </c>
      <c r="K94" s="0" t="n">
        <v>1</v>
      </c>
      <c r="L94" s="0" t="n">
        <v>166</v>
      </c>
      <c r="M94" s="115" t="n">
        <f aca="false">IFERROR(((E94/D94)/10.96)*0.5218*D94,0)</f>
        <v>121.118540145985</v>
      </c>
      <c r="N94" s="115" t="n">
        <f aca="false">IFERROR((((I94/H94)/5.3)*0.401)*H94,0)</f>
        <v>3.32905660377359</v>
      </c>
      <c r="O94" s="116"/>
      <c r="P94" s="116"/>
      <c r="Q94" s="116"/>
    </row>
    <row r="95" customFormat="false" ht="14.25" hidden="false" customHeight="true" outlineLevel="0" collapsed="false">
      <c r="B95" s="0" t="s">
        <v>492</v>
      </c>
      <c r="C95" s="0" t="n">
        <v>301.6</v>
      </c>
      <c r="D95" s="0" t="n">
        <v>204.2</v>
      </c>
      <c r="E95" s="0" t="n">
        <v>2172.9</v>
      </c>
      <c r="F95" s="0" t="n">
        <v>10.5</v>
      </c>
      <c r="G95" s="0" t="n">
        <v>7.9</v>
      </c>
      <c r="H95" s="0" t="n">
        <v>15.9</v>
      </c>
      <c r="I95" s="0" t="n">
        <v>39</v>
      </c>
      <c r="J95" s="0" t="n">
        <v>0</v>
      </c>
      <c r="K95" s="0" t="n">
        <v>2.5</v>
      </c>
      <c r="L95" s="0" t="n">
        <v>115.3</v>
      </c>
      <c r="M95" s="115" t="n">
        <f aca="false">IFERROR(((E95/D95)/10.96)*0.5218*D95,0)</f>
        <v>103.450658759124</v>
      </c>
      <c r="N95" s="115" t="n">
        <f aca="false">IFERROR((((I95/H95)/5.3)*0.401)*H95,0)</f>
        <v>2.95075471698113</v>
      </c>
      <c r="O95" s="116"/>
      <c r="P95" s="116"/>
      <c r="Q95" s="116"/>
    </row>
    <row r="96" customFormat="false" ht="14.25" hidden="false" customHeight="true" outlineLevel="0" collapsed="false">
      <c r="A96" s="0" t="s">
        <v>553</v>
      </c>
      <c r="B96" s="0" t="s">
        <v>554</v>
      </c>
      <c r="C96" s="0" t="n">
        <v>304.6</v>
      </c>
      <c r="D96" s="0" t="n">
        <v>187.2</v>
      </c>
      <c r="E96" s="0" t="n">
        <v>1994.3</v>
      </c>
      <c r="F96" s="0" t="n">
        <v>10.8</v>
      </c>
      <c r="G96" s="0" t="n">
        <v>7.5</v>
      </c>
      <c r="H96" s="0" t="n">
        <v>44.3</v>
      </c>
      <c r="I96" s="0" t="n">
        <v>191.7</v>
      </c>
      <c r="J96" s="0" t="n">
        <v>1.2</v>
      </c>
      <c r="K96" s="0" t="n">
        <v>3.3</v>
      </c>
      <c r="L96" s="0" t="n">
        <v>135.2</v>
      </c>
      <c r="M96" s="115" t="n">
        <f aca="false">IFERROR(((E96/D96)/10.96)*0.5218*D96,0)</f>
        <v>94.9476040145985</v>
      </c>
      <c r="N96" s="115" t="n">
        <f aca="false">IFERROR((((I96/H96)/5.3)*0.401)*H96,0)</f>
        <v>14.5040943396226</v>
      </c>
      <c r="O96" s="116" t="n">
        <f aca="false">MAX(QB!D98*Scoring!$B$30+QB!E98/Scoring!$C$30+QB!F98*Scoring!$D$30+QB!G98*Scoring!$E$30+QB!H98*Scoring!$F$30+QB!I98/Scoring!$G$30+QB!J98*Scoring!$H$30+QB!K98*Scoring!$I$30+M98*Scoring!$J$30+QB!N98*Scoring!$K$30,0)+C98*Scoring!$B$10*0.07+(C98-D98)*Scoring!$B$5</f>
        <v>68.486</v>
      </c>
      <c r="P96" s="116" t="n">
        <f aca="false">MAX(QB!D96*Scoring!$B$30+QB!E96/Scoring!$C$30+QB!F96*Scoring!$D$30+QB!G96*Scoring!$E$30+QB!H96*Scoring!$F$30+QB!I96/Scoring!$G$30+QB!J96*Scoring!$H$30+QB!K96*Scoring!$I$30+M96*Scoring!$J$30+QB!N96*Scoring!$K$30,0)+C96*Scoring!$B$10*0.07+(C96-D96)*Scoring!$B$5</f>
        <v>135.242</v>
      </c>
      <c r="Q96" s="116" t="n">
        <f aca="false">MAX(QB!D97*Scoring!$B$30+QB!E97/Scoring!$C$30+QB!F97*Scoring!$D$30+QB!G97*Scoring!$E$30+QB!H97*Scoring!$F$30+QB!I97/Scoring!$G$30+QB!J97*Scoring!$H$30+QB!K97*Scoring!$I$30+M97*Scoring!$J$30+QB!N97*Scoring!$K$30,0)+C97*Scoring!$B$10*0.07+(C97-D97)*Scoring!$B$5</f>
        <v>204.04</v>
      </c>
    </row>
    <row r="97" customFormat="false" ht="14.25" hidden="false" customHeight="true" outlineLevel="0" collapsed="false">
      <c r="B97" s="0" t="s">
        <v>491</v>
      </c>
      <c r="C97" s="0" t="n">
        <v>430</v>
      </c>
      <c r="D97" s="0" t="n">
        <v>257</v>
      </c>
      <c r="E97" s="0" t="n">
        <v>2656</v>
      </c>
      <c r="F97" s="0" t="n">
        <v>17</v>
      </c>
      <c r="G97" s="0" t="n">
        <v>4.4</v>
      </c>
      <c r="H97" s="0" t="n">
        <v>60</v>
      </c>
      <c r="I97" s="0" t="n">
        <v>256</v>
      </c>
      <c r="J97" s="0" t="n">
        <v>2</v>
      </c>
      <c r="K97" s="0" t="n">
        <v>1.7</v>
      </c>
      <c r="L97" s="0" t="n">
        <v>200</v>
      </c>
      <c r="M97" s="115" t="n">
        <f aca="false">IFERROR(((E97/D97)/10.96)*0.5218*D97,0)</f>
        <v>126.450802919708</v>
      </c>
      <c r="N97" s="115" t="n">
        <f aca="false">IFERROR((((I97/H97)/5.3)*0.401)*H97,0)</f>
        <v>19.3690566037736</v>
      </c>
      <c r="O97" s="116"/>
      <c r="P97" s="116"/>
      <c r="Q97" s="116"/>
    </row>
    <row r="98" customFormat="false" ht="14.25" hidden="false" customHeight="true" outlineLevel="0" collapsed="false">
      <c r="B98" s="0" t="s">
        <v>492</v>
      </c>
      <c r="C98" s="0" t="n">
        <v>195.7</v>
      </c>
      <c r="D98" s="0" t="n">
        <v>120.5</v>
      </c>
      <c r="E98" s="0" t="n">
        <v>1281.9</v>
      </c>
      <c r="F98" s="0" t="n">
        <v>5.4</v>
      </c>
      <c r="G98" s="0" t="n">
        <v>11</v>
      </c>
      <c r="H98" s="0" t="n">
        <v>25.9</v>
      </c>
      <c r="I98" s="0" t="n">
        <v>130.1</v>
      </c>
      <c r="J98" s="0" t="n">
        <v>0.6</v>
      </c>
      <c r="K98" s="0" t="n">
        <v>5</v>
      </c>
      <c r="L98" s="0" t="n">
        <v>78.2</v>
      </c>
      <c r="M98" s="115" t="n">
        <f aca="false">IFERROR(((E98/D98)/10.96)*0.5218*D98,0)</f>
        <v>61.0306040145985</v>
      </c>
      <c r="N98" s="115" t="n">
        <f aca="false">IFERROR((((I98/H98)/5.3)*0.401)*H98,0)</f>
        <v>9.84341509433962</v>
      </c>
      <c r="O98" s="116"/>
      <c r="P98" s="116"/>
      <c r="Q98" s="116"/>
    </row>
    <row r="99" customFormat="false" ht="14.25" hidden="false" customHeight="true" outlineLevel="0" collapsed="false">
      <c r="A99" s="0" t="s">
        <v>555</v>
      </c>
      <c r="B99" s="0" t="s">
        <v>554</v>
      </c>
      <c r="C99" s="0" t="n">
        <v>242</v>
      </c>
      <c r="D99" s="0" t="n">
        <v>147.1</v>
      </c>
      <c r="E99" s="0" t="n">
        <v>1632.3</v>
      </c>
      <c r="F99" s="0" t="n">
        <v>8.1</v>
      </c>
      <c r="G99" s="0" t="n">
        <v>6.5</v>
      </c>
      <c r="H99" s="0" t="n">
        <v>24.8</v>
      </c>
      <c r="I99" s="0" t="n">
        <v>143</v>
      </c>
      <c r="J99" s="0" t="n">
        <v>0.6</v>
      </c>
      <c r="K99" s="0" t="n">
        <v>1.5</v>
      </c>
      <c r="L99" s="0" t="n">
        <v>106.2</v>
      </c>
      <c r="M99" s="115" t="n">
        <f aca="false">IFERROR(((E99/D99)/10.96)*0.5218*D99,0)</f>
        <v>77.7129689781022</v>
      </c>
      <c r="N99" s="115" t="n">
        <f aca="false">IFERROR((((I99/H99)/5.3)*0.401)*H99,0)</f>
        <v>10.8194339622642</v>
      </c>
      <c r="O99" s="116" t="n">
        <f aca="false">MAX(QB!D101*Scoring!$B$30+QB!E101/Scoring!$C$30+QB!F101*Scoring!$D$30+QB!G101*Scoring!$E$30+QB!H101*Scoring!$F$30+QB!I101/Scoring!$G$30+QB!J101*Scoring!$H$30+QB!K101*Scoring!$I$30+M101*Scoring!$J$30+QB!N101*Scoring!$K$30,0)+C101*Scoring!$B$10*0.07+(C101-D101)*Scoring!$B$5</f>
        <v>36.36</v>
      </c>
      <c r="P99" s="116" t="n">
        <f aca="false">MAX(QB!D99*Scoring!$B$30+QB!E99/Scoring!$C$30+QB!F99*Scoring!$D$30+QB!G99*Scoring!$E$30+QB!H99*Scoring!$F$30+QB!I99/Scoring!$G$30+QB!J99*Scoring!$H$30+QB!K99*Scoring!$I$30+M99*Scoring!$J$30+QB!N99*Scoring!$K$30,0)+C99*Scoring!$B$10*0.07+(C99-D99)*Scoring!$B$5</f>
        <v>106.092</v>
      </c>
      <c r="Q99" s="116" t="n">
        <f aca="false">MAX(QB!D100*Scoring!$B$30+QB!E100/Scoring!$C$30+QB!F100*Scoring!$D$30+QB!G100*Scoring!$E$30+QB!H100*Scoring!$F$30+QB!I100/Scoring!$G$30+QB!J100*Scoring!$H$30+QB!K100*Scoring!$I$30+M100*Scoring!$J$30+QB!N100*Scoring!$K$30,0)+C100*Scoring!$B$10*0.07+(C100-D100)*Scoring!$B$5</f>
        <v>157.396</v>
      </c>
    </row>
    <row r="100" customFormat="false" ht="14.25" hidden="false" customHeight="true" outlineLevel="0" collapsed="false">
      <c r="B100" s="0" t="s">
        <v>491</v>
      </c>
      <c r="C100" s="0" t="n">
        <v>351.1</v>
      </c>
      <c r="D100" s="0" t="n">
        <v>221.2</v>
      </c>
      <c r="E100" s="0" t="n">
        <v>2434.9</v>
      </c>
      <c r="F100" s="0" t="n">
        <v>10.2</v>
      </c>
      <c r="G100" s="0" t="n">
        <v>3</v>
      </c>
      <c r="H100" s="0" t="n">
        <v>32.5</v>
      </c>
      <c r="I100" s="0" t="n">
        <v>182</v>
      </c>
      <c r="J100" s="0" t="n">
        <v>1</v>
      </c>
      <c r="K100" s="0" t="n">
        <v>1</v>
      </c>
      <c r="L100" s="0" t="n">
        <v>142.6</v>
      </c>
      <c r="M100" s="115" t="n">
        <f aca="false">IFERROR(((E100/D100)/10.96)*0.5218*D100,0)</f>
        <v>115.924344890511</v>
      </c>
      <c r="N100" s="115" t="n">
        <f aca="false">IFERROR((((I100/H100)/5.3)*0.401)*H100,0)</f>
        <v>13.7701886792453</v>
      </c>
      <c r="O100" s="116"/>
      <c r="P100" s="116"/>
      <c r="Q100" s="116"/>
    </row>
    <row r="101" customFormat="false" ht="14.25" hidden="false" customHeight="true" outlineLevel="0" collapsed="false">
      <c r="B101" s="0" t="s">
        <v>492</v>
      </c>
      <c r="C101" s="0" t="n">
        <v>107</v>
      </c>
      <c r="D101" s="0" t="n">
        <v>64</v>
      </c>
      <c r="E101" s="0" t="n">
        <v>664</v>
      </c>
      <c r="F101" s="0" t="n">
        <v>4</v>
      </c>
      <c r="G101" s="0" t="n">
        <v>8.5</v>
      </c>
      <c r="H101" s="0" t="n">
        <v>10</v>
      </c>
      <c r="I101" s="0" t="n">
        <v>65</v>
      </c>
      <c r="J101" s="0" t="n">
        <v>0</v>
      </c>
      <c r="K101" s="0" t="n">
        <v>2.1</v>
      </c>
      <c r="L101" s="0" t="n">
        <v>36</v>
      </c>
      <c r="M101" s="115" t="n">
        <f aca="false">IFERROR(((E101/D101)/10.96)*0.5218*D101,0)</f>
        <v>31.612700729927</v>
      </c>
      <c r="N101" s="115" t="n">
        <f aca="false">IFERROR((((I101/H101)/5.3)*0.401)*H101,0)</f>
        <v>4.91792452830189</v>
      </c>
      <c r="O101" s="116"/>
      <c r="P101" s="116"/>
      <c r="Q101" s="116"/>
    </row>
    <row r="102" customFormat="false" ht="14.25" hidden="false" customHeight="true" outlineLevel="0" collapsed="false">
      <c r="A102" s="0" t="s">
        <v>556</v>
      </c>
      <c r="B102" s="0" t="s">
        <v>552</v>
      </c>
      <c r="C102" s="0" t="n">
        <v>222.8</v>
      </c>
      <c r="D102" s="0" t="n">
        <v>138.8</v>
      </c>
      <c r="E102" s="0" t="n">
        <v>1564.8</v>
      </c>
      <c r="F102" s="0" t="n">
        <v>8.5</v>
      </c>
      <c r="G102" s="0" t="n">
        <v>4</v>
      </c>
      <c r="H102" s="0" t="n">
        <v>15.8</v>
      </c>
      <c r="I102" s="0" t="n">
        <v>53.5</v>
      </c>
      <c r="J102" s="0" t="n">
        <v>0.6</v>
      </c>
      <c r="K102" s="0" t="n">
        <v>1.5</v>
      </c>
      <c r="L102" s="0" t="n">
        <v>98.6</v>
      </c>
      <c r="M102" s="115" t="n">
        <f aca="false">IFERROR(((E102/D102)/10.96)*0.5218*D102,0)</f>
        <v>74.4993284671533</v>
      </c>
      <c r="N102" s="115" t="n">
        <f aca="false">IFERROR((((I102/H102)/5.3)*0.401)*H102,0)</f>
        <v>4.04783018867925</v>
      </c>
      <c r="O102" s="116" t="n">
        <f aca="false">MAX(QB!D104*Scoring!$B$30+QB!E104/Scoring!$C$30+QB!F104*Scoring!$D$30+QB!G104*Scoring!$E$30+QB!H104*Scoring!$F$30+QB!I104/Scoring!$G$30+QB!J104*Scoring!$H$30+QB!K104*Scoring!$I$30+M104*Scoring!$J$30+QB!N104*Scoring!$K$30,0)+C104*Scoring!$B$10*0.07+(C104-D104)*Scoring!$B$5</f>
        <v>77.18</v>
      </c>
      <c r="P102" s="116" t="n">
        <f aca="false">MAX(QB!D102*Scoring!$B$30+QB!E102/Scoring!$C$30+QB!F102*Scoring!$D$30+QB!G102*Scoring!$E$30+QB!H102*Scoring!$F$30+QB!I102/Scoring!$G$30+QB!J102*Scoring!$H$30+QB!K102*Scoring!$I$30+M102*Scoring!$J$30+QB!N102*Scoring!$K$30,0)+C102*Scoring!$B$10*0.07+(C102-D102)*Scoring!$B$5</f>
        <v>98.542</v>
      </c>
      <c r="Q102" s="116" t="n">
        <f aca="false">MAX(QB!D103*Scoring!$B$30+QB!E103/Scoring!$C$30+QB!F103*Scoring!$D$30+QB!G103*Scoring!$E$30+QB!H103*Scoring!$F$30+QB!I103/Scoring!$G$30+QB!J103*Scoring!$H$30+QB!K103*Scoring!$I$30+M103*Scoring!$J$30+QB!N103*Scoring!$K$30,0)+C103*Scoring!$B$10*0.07+(C103-D103)*Scoring!$B$5</f>
        <v>121.56</v>
      </c>
    </row>
    <row r="103" customFormat="false" ht="14.25" hidden="false" customHeight="true" outlineLevel="0" collapsed="false">
      <c r="B103" s="0" t="s">
        <v>491</v>
      </c>
      <c r="C103" s="0" t="n">
        <v>265.4</v>
      </c>
      <c r="D103" s="0" t="n">
        <v>168.3</v>
      </c>
      <c r="E103" s="0" t="n">
        <v>1882.5</v>
      </c>
      <c r="F103" s="0" t="n">
        <v>9.4</v>
      </c>
      <c r="G103" s="0" t="n">
        <v>3</v>
      </c>
      <c r="H103" s="0" t="n">
        <v>19.4</v>
      </c>
      <c r="I103" s="0" t="n">
        <v>76.6</v>
      </c>
      <c r="J103" s="0" t="n">
        <v>1</v>
      </c>
      <c r="K103" s="0" t="n">
        <v>1</v>
      </c>
      <c r="L103" s="0" t="n">
        <v>113.2</v>
      </c>
      <c r="M103" s="115" t="n">
        <f aca="false">IFERROR(((E103/D103)/10.96)*0.5218*D103,0)</f>
        <v>89.6248631386861</v>
      </c>
      <c r="N103" s="115" t="n">
        <f aca="false">IFERROR((((I103/H103)/5.3)*0.401)*H103,0)</f>
        <v>5.79558490566038</v>
      </c>
      <c r="O103" s="116"/>
      <c r="P103" s="116"/>
      <c r="Q103" s="116"/>
    </row>
    <row r="104" customFormat="false" ht="14.25" hidden="false" customHeight="true" outlineLevel="0" collapsed="false">
      <c r="B104" s="0" t="s">
        <v>492</v>
      </c>
      <c r="C104" s="0" t="n">
        <v>184</v>
      </c>
      <c r="D104" s="0" t="n">
        <v>112</v>
      </c>
      <c r="E104" s="0" t="n">
        <v>1257</v>
      </c>
      <c r="F104" s="0" t="n">
        <v>8</v>
      </c>
      <c r="G104" s="0" t="n">
        <v>5.1</v>
      </c>
      <c r="H104" s="0" t="n">
        <v>13</v>
      </c>
      <c r="I104" s="0" t="n">
        <v>38</v>
      </c>
      <c r="J104" s="0" t="n">
        <v>0</v>
      </c>
      <c r="K104" s="0" t="n">
        <v>1.9</v>
      </c>
      <c r="L104" s="0" t="n">
        <v>87</v>
      </c>
      <c r="M104" s="115" t="n">
        <f aca="false">IFERROR(((E104/D104)/10.96)*0.5218*D104,0)</f>
        <v>59.8451277372263</v>
      </c>
      <c r="N104" s="115" t="n">
        <f aca="false">IFERROR((((I104/H104)/5.3)*0.401)*H104,0)</f>
        <v>2.87509433962264</v>
      </c>
      <c r="O104" s="116"/>
      <c r="P104" s="116"/>
      <c r="Q104" s="116"/>
    </row>
    <row r="105" customFormat="false" ht="14.25" hidden="false" customHeight="true" outlineLevel="0" collapsed="false">
      <c r="A105" s="0" t="s">
        <v>557</v>
      </c>
      <c r="B105" s="0" t="s">
        <v>550</v>
      </c>
      <c r="C105" s="0" t="n">
        <v>114.2</v>
      </c>
      <c r="D105" s="0" t="n">
        <v>74.2</v>
      </c>
      <c r="E105" s="0" t="n">
        <v>781.8</v>
      </c>
      <c r="F105" s="0" t="n">
        <v>5</v>
      </c>
      <c r="G105" s="0" t="n">
        <v>3.9</v>
      </c>
      <c r="H105" s="0" t="n">
        <v>5.2</v>
      </c>
      <c r="I105" s="0" t="n">
        <v>9</v>
      </c>
      <c r="J105" s="0" t="n">
        <v>0.1</v>
      </c>
      <c r="K105" s="0" t="n">
        <v>0.9</v>
      </c>
      <c r="L105" s="0" t="n">
        <v>47.1</v>
      </c>
      <c r="M105" s="115" t="n">
        <f aca="false">IFERROR(((E105/D105)/10.96)*0.5218*D105,0)</f>
        <v>37.221098540146</v>
      </c>
      <c r="N105" s="115" t="n">
        <f aca="false">IFERROR((((I105/H105)/5.3)*0.401)*H105,0)</f>
        <v>0.680943396226415</v>
      </c>
      <c r="O105" s="116" t="n">
        <f aca="false">MAX(QB!D107*Scoring!$B$30+QB!E107/Scoring!$C$30+QB!F107*Scoring!$D$30+QB!G107*Scoring!$E$30+QB!H107*Scoring!$F$30+QB!I107/Scoring!$G$30+QB!J107*Scoring!$H$30+QB!K107*Scoring!$I$30+M107*Scoring!$J$30+QB!N107*Scoring!$K$30,0)+C107*Scoring!$B$10*0.07+(C107-D107)*Scoring!$B$5</f>
        <v>36.86</v>
      </c>
      <c r="P105" s="116" t="n">
        <f aca="false">MAX(QB!D105*Scoring!$B$30+QB!E105/Scoring!$C$30+QB!F105*Scoring!$D$30+QB!G105*Scoring!$E$30+QB!H105*Scoring!$F$30+QB!I105/Scoring!$G$30+QB!J105*Scoring!$H$30+QB!K105*Scoring!$I$30+M105*Scoring!$J$30+QB!N105*Scoring!$K$30,0)+C105*Scoring!$B$10*0.07+(C105-D105)*Scoring!$B$5</f>
        <v>47.072</v>
      </c>
      <c r="Q105" s="116" t="n">
        <f aca="false">MAX(QB!D106*Scoring!$B$30+QB!E106/Scoring!$C$30+QB!F106*Scoring!$D$30+QB!G106*Scoring!$E$30+QB!H106*Scoring!$F$30+QB!I106/Scoring!$G$30+QB!J106*Scoring!$H$30+QB!K106*Scoring!$I$30+M106*Scoring!$J$30+QB!N106*Scoring!$K$30,0)+C106*Scoring!$B$10*0.07+(C106-D106)*Scoring!$B$5</f>
        <v>56.16</v>
      </c>
    </row>
    <row r="106" customFormat="false" ht="14.25" hidden="false" customHeight="true" outlineLevel="0" collapsed="false">
      <c r="B106" s="0" t="s">
        <v>491</v>
      </c>
      <c r="C106" s="0" t="n">
        <v>121</v>
      </c>
      <c r="D106" s="0" t="n">
        <v>78.6</v>
      </c>
      <c r="E106" s="0" t="n">
        <v>844</v>
      </c>
      <c r="F106" s="0" t="n">
        <v>6</v>
      </c>
      <c r="G106" s="0" t="n">
        <v>2.7</v>
      </c>
      <c r="H106" s="0" t="n">
        <v>7</v>
      </c>
      <c r="I106" s="0" t="n">
        <v>11</v>
      </c>
      <c r="J106" s="0" t="n">
        <v>0.3</v>
      </c>
      <c r="K106" s="0" t="n">
        <v>0.9</v>
      </c>
      <c r="L106" s="0" t="n">
        <v>58.5</v>
      </c>
      <c r="M106" s="115" t="n">
        <f aca="false">IFERROR(((E106/D106)/10.96)*0.5218*D106,0)</f>
        <v>40.1824087591241</v>
      </c>
      <c r="N106" s="115" t="n">
        <f aca="false">IFERROR((((I106/H106)/5.3)*0.401)*H106,0)</f>
        <v>0.832264150943396</v>
      </c>
      <c r="O106" s="116"/>
      <c r="P106" s="116"/>
      <c r="Q106" s="116"/>
    </row>
    <row r="107" customFormat="false" ht="14.25" hidden="false" customHeight="true" outlineLevel="0" collapsed="false">
      <c r="B107" s="0" t="s">
        <v>492</v>
      </c>
      <c r="C107" s="0" t="n">
        <v>103</v>
      </c>
      <c r="D107" s="0" t="n">
        <v>69</v>
      </c>
      <c r="E107" s="0" t="n">
        <v>669</v>
      </c>
      <c r="F107" s="0" t="n">
        <v>4.1</v>
      </c>
      <c r="G107" s="0" t="n">
        <v>5</v>
      </c>
      <c r="H107" s="0" t="n">
        <v>3</v>
      </c>
      <c r="I107" s="0" t="n">
        <v>7</v>
      </c>
      <c r="J107" s="0" t="n">
        <v>0</v>
      </c>
      <c r="K107" s="0" t="n">
        <v>1</v>
      </c>
      <c r="L107" s="0" t="n">
        <v>38</v>
      </c>
      <c r="M107" s="115" t="n">
        <f aca="false">IFERROR(((E107/D107)/10.96)*0.5218*D107,0)</f>
        <v>31.8507481751825</v>
      </c>
      <c r="N107" s="115" t="n">
        <f aca="false">IFERROR((((I107/H107)/5.3)*0.401)*H107,0)</f>
        <v>0.529622641509434</v>
      </c>
      <c r="O107" s="116"/>
      <c r="P107" s="116"/>
      <c r="Q107" s="116"/>
    </row>
    <row r="108" customFormat="false" ht="14.25" hidden="false" customHeight="true" outlineLevel="0" collapsed="false">
      <c r="A108" s="0" t="s">
        <v>558</v>
      </c>
      <c r="B108" s="0" t="s">
        <v>546</v>
      </c>
      <c r="C108" s="0" t="n">
        <v>64.6</v>
      </c>
      <c r="D108" s="0" t="n">
        <v>40.4</v>
      </c>
      <c r="E108" s="0" t="n">
        <v>449.8</v>
      </c>
      <c r="F108" s="0" t="n">
        <v>2.8</v>
      </c>
      <c r="G108" s="0" t="n">
        <v>1.8</v>
      </c>
      <c r="H108" s="0" t="n">
        <v>6.8</v>
      </c>
      <c r="I108" s="0" t="n">
        <v>26.7</v>
      </c>
      <c r="J108" s="0" t="n">
        <v>0.1</v>
      </c>
      <c r="K108" s="0" t="n">
        <v>0.5</v>
      </c>
      <c r="L108" s="0" t="n">
        <v>29.9</v>
      </c>
      <c r="M108" s="115" t="n">
        <f aca="false">IFERROR(((E108/D108)/10.96)*0.5218*D108,0)</f>
        <v>21.4147481751825</v>
      </c>
      <c r="N108" s="115" t="n">
        <f aca="false">IFERROR((((I108/H108)/5.3)*0.401)*H108,0)</f>
        <v>2.0201320754717</v>
      </c>
      <c r="O108" s="116" t="n">
        <f aca="false">MAX(QB!D110*Scoring!$B$30+QB!E110/Scoring!$C$30+QB!F110*Scoring!$D$30+QB!G110*Scoring!$E$30+QB!H110*Scoring!$F$30+QB!I110/Scoring!$G$30+QB!J110*Scoring!$H$30+QB!K110*Scoring!$I$30+M110*Scoring!$J$30+QB!N110*Scoring!$K$30,0)+C110*Scoring!$B$10*0.07+(C110-D110)*Scoring!$B$5</f>
        <v>27.76</v>
      </c>
      <c r="P108" s="116" t="n">
        <f aca="false">MAX(QB!D108*Scoring!$B$30+QB!E108/Scoring!$C$30+QB!F108*Scoring!$D$30+QB!G108*Scoring!$E$30+QB!H108*Scoring!$F$30+QB!I108/Scoring!$G$30+QB!J108*Scoring!$H$30+QB!K108*Scoring!$I$30+M108*Scoring!$J$30+QB!N108*Scoring!$K$30,0)+C108*Scoring!$B$10*0.07+(C108-D108)*Scoring!$B$5</f>
        <v>29.662</v>
      </c>
      <c r="Q108" s="116" t="n">
        <f aca="false">MAX(QB!D109*Scoring!$B$30+QB!E109/Scoring!$C$30+QB!F109*Scoring!$D$30+QB!G109*Scoring!$E$30+QB!H109*Scoring!$F$30+QB!I109/Scoring!$G$30+QB!J109*Scoring!$H$30+QB!K109*Scoring!$I$30+M109*Scoring!$J$30+QB!N109*Scoring!$K$30,0)+C109*Scoring!$B$10*0.07+(C109-D109)*Scoring!$B$5</f>
        <v>32.264</v>
      </c>
    </row>
    <row r="109" customFormat="false" ht="14.25" hidden="false" customHeight="true" outlineLevel="0" collapsed="false">
      <c r="B109" s="0" t="s">
        <v>491</v>
      </c>
      <c r="C109" s="0" t="n">
        <v>66.2</v>
      </c>
      <c r="D109" s="0" t="n">
        <v>40.8</v>
      </c>
      <c r="E109" s="0" t="n">
        <v>450.6</v>
      </c>
      <c r="F109" s="0" t="n">
        <v>3</v>
      </c>
      <c r="G109" s="0" t="n">
        <v>1.5</v>
      </c>
      <c r="H109" s="0" t="n">
        <v>7</v>
      </c>
      <c r="I109" s="0" t="n">
        <v>29.4</v>
      </c>
      <c r="J109" s="0" t="n">
        <v>0.3</v>
      </c>
      <c r="K109" s="0" t="n">
        <v>0.5</v>
      </c>
      <c r="L109" s="0" t="n">
        <v>32.4</v>
      </c>
      <c r="M109" s="115" t="n">
        <f aca="false">IFERROR(((E109/D109)/10.96)*0.5218*D109,0)</f>
        <v>21.4528357664234</v>
      </c>
      <c r="N109" s="115" t="n">
        <f aca="false">IFERROR((((I109/H109)/5.3)*0.401)*H109,0)</f>
        <v>2.22441509433962</v>
      </c>
      <c r="O109" s="116"/>
      <c r="P109" s="116"/>
      <c r="Q109" s="116"/>
    </row>
    <row r="110" customFormat="false" ht="14.25" hidden="false" customHeight="true" outlineLevel="0" collapsed="false">
      <c r="B110" s="0" t="s">
        <v>492</v>
      </c>
      <c r="C110" s="0" t="n">
        <v>63</v>
      </c>
      <c r="D110" s="0" t="n">
        <v>40</v>
      </c>
      <c r="E110" s="0" t="n">
        <v>449</v>
      </c>
      <c r="F110" s="0" t="n">
        <v>2.6</v>
      </c>
      <c r="G110" s="0" t="n">
        <v>2</v>
      </c>
      <c r="H110" s="0" t="n">
        <v>6.6</v>
      </c>
      <c r="I110" s="0" t="n">
        <v>24</v>
      </c>
      <c r="J110" s="0" t="n">
        <v>0</v>
      </c>
      <c r="K110" s="0" t="n">
        <v>0.5</v>
      </c>
      <c r="L110" s="0" t="n">
        <v>29.3</v>
      </c>
      <c r="M110" s="115" t="n">
        <f aca="false">IFERROR(((E110/D110)/10.96)*0.5218*D110,0)</f>
        <v>21.3766605839416</v>
      </c>
      <c r="N110" s="115" t="n">
        <f aca="false">IFERROR((((I110/H110)/5.3)*0.401)*H110,0)</f>
        <v>1.81584905660377</v>
      </c>
      <c r="O110" s="116"/>
      <c r="P110" s="116"/>
      <c r="Q110" s="116"/>
    </row>
    <row r="111" customFormat="false" ht="14.25" hidden="false" customHeight="true" outlineLevel="0" collapsed="false">
      <c r="A111" s="0" t="s">
        <v>559</v>
      </c>
      <c r="B111" s="0" t="s">
        <v>520</v>
      </c>
      <c r="C111" s="0" t="n">
        <v>33.6</v>
      </c>
      <c r="D111" s="0" t="n">
        <v>20.8</v>
      </c>
      <c r="E111" s="0" t="n">
        <v>242.8</v>
      </c>
      <c r="F111" s="0" t="n">
        <v>2.1</v>
      </c>
      <c r="G111" s="0" t="n">
        <v>0.5</v>
      </c>
      <c r="H111" s="0" t="n">
        <v>3</v>
      </c>
      <c r="I111" s="0" t="n">
        <v>13.9</v>
      </c>
      <c r="J111" s="0" t="n">
        <v>0</v>
      </c>
      <c r="K111" s="0" t="n">
        <v>0.1</v>
      </c>
      <c r="L111" s="0" t="n">
        <v>18.8</v>
      </c>
      <c r="M111" s="115" t="n">
        <f aca="false">IFERROR(((E111/D111)/10.96)*0.5218*D111,0)</f>
        <v>11.5595839416058</v>
      </c>
      <c r="N111" s="115" t="n">
        <f aca="false">IFERROR((((I111/H111)/5.3)*0.401)*H111,0)</f>
        <v>1.05167924528302</v>
      </c>
      <c r="O111" s="116" t="n">
        <f aca="false">MAX(QB!D113*Scoring!$B$30+QB!E113/Scoring!$C$30+QB!F113*Scoring!$D$30+QB!G113*Scoring!$E$30+QB!H113*Scoring!$F$30+QB!I113/Scoring!$G$30+QB!J113*Scoring!$H$30+QB!K113*Scoring!$I$30+M113*Scoring!$J$30+QB!N113*Scoring!$K$30,0)+C113*Scoring!$B$10*0.07+(C113-D113)*Scoring!$B$5</f>
        <v>8.36</v>
      </c>
      <c r="P111" s="116" t="n">
        <f aca="false">MAX(QB!D111*Scoring!$B$30+QB!E111/Scoring!$C$30+QB!F111*Scoring!$D$30+QB!G111*Scoring!$E$30+QB!H111*Scoring!$F$30+QB!I111/Scoring!$G$30+QB!J111*Scoring!$H$30+QB!K111*Scoring!$I$30+M111*Scoring!$J$30+QB!N111*Scoring!$K$30,0)+C111*Scoring!$B$10*0.07+(C111-D111)*Scoring!$B$5</f>
        <v>18.802</v>
      </c>
      <c r="Q111" s="116" t="n">
        <f aca="false">MAX(QB!D112*Scoring!$B$30+QB!E112/Scoring!$C$30+QB!F112*Scoring!$D$30+QB!G112*Scoring!$E$30+QB!H112*Scoring!$F$30+QB!I112/Scoring!$G$30+QB!J112*Scoring!$H$30+QB!K112*Scoring!$I$30+M112*Scoring!$J$30+QB!N112*Scoring!$K$30,0)+C112*Scoring!$B$10*0.07+(C112-D112)*Scoring!$B$5</f>
        <v>37.8</v>
      </c>
    </row>
    <row r="112" customFormat="false" ht="14.25" hidden="false" customHeight="true" outlineLevel="0" collapsed="false">
      <c r="B112" s="0" t="s">
        <v>491</v>
      </c>
      <c r="C112" s="0" t="n">
        <v>60</v>
      </c>
      <c r="D112" s="0" t="n">
        <v>38</v>
      </c>
      <c r="E112" s="0" t="n">
        <v>450</v>
      </c>
      <c r="F112" s="0" t="n">
        <v>4</v>
      </c>
      <c r="G112" s="0" t="n">
        <v>0</v>
      </c>
      <c r="H112" s="0" t="n">
        <v>7</v>
      </c>
      <c r="I112" s="0" t="n">
        <v>32</v>
      </c>
      <c r="J112" s="0" t="n">
        <v>0.1</v>
      </c>
      <c r="K112" s="0" t="n">
        <v>0</v>
      </c>
      <c r="L112" s="0" t="n">
        <v>34</v>
      </c>
      <c r="M112" s="115" t="n">
        <f aca="false">IFERROR(((E112/D112)/10.96)*0.5218*D112,0)</f>
        <v>21.4242700729927</v>
      </c>
      <c r="N112" s="115" t="n">
        <f aca="false">IFERROR((((I112/H112)/5.3)*0.401)*H112,0)</f>
        <v>2.4211320754717</v>
      </c>
      <c r="O112" s="116"/>
      <c r="P112" s="116"/>
      <c r="Q112" s="116"/>
    </row>
    <row r="113" customFormat="false" ht="14.25" hidden="false" customHeight="true" outlineLevel="0" collapsed="false">
      <c r="B113" s="0" t="s">
        <v>492</v>
      </c>
      <c r="C113" s="0" t="n">
        <v>19</v>
      </c>
      <c r="D113" s="0" t="n">
        <v>11</v>
      </c>
      <c r="E113" s="0" t="n">
        <v>132</v>
      </c>
      <c r="F113" s="0" t="n">
        <v>1</v>
      </c>
      <c r="G113" s="0" t="n">
        <v>1</v>
      </c>
      <c r="H113" s="0" t="n">
        <v>1</v>
      </c>
      <c r="I113" s="0" t="n">
        <v>4.8</v>
      </c>
      <c r="J113" s="0" t="n">
        <v>0</v>
      </c>
      <c r="K113" s="0" t="n">
        <v>0.2</v>
      </c>
      <c r="L113" s="0" t="n">
        <v>9.8</v>
      </c>
      <c r="M113" s="115" t="n">
        <f aca="false">IFERROR(((E113/D113)/10.96)*0.5218*D113,0)</f>
        <v>6.28445255474453</v>
      </c>
      <c r="N113" s="115" t="n">
        <f aca="false">IFERROR((((I113/H113)/5.3)*0.401)*H113,0)</f>
        <v>0.363169811320755</v>
      </c>
      <c r="O113" s="116"/>
      <c r="P113" s="116"/>
      <c r="Q113" s="116"/>
    </row>
    <row r="114" customFormat="false" ht="14.25" hidden="false" customHeight="true" outlineLevel="0" collapsed="false">
      <c r="A114" s="0" t="s">
        <v>560</v>
      </c>
      <c r="B114" s="0" t="s">
        <v>496</v>
      </c>
      <c r="C114" s="0" t="n">
        <v>34.3</v>
      </c>
      <c r="D114" s="0" t="n">
        <v>21.6</v>
      </c>
      <c r="E114" s="0" t="n">
        <v>253.9</v>
      </c>
      <c r="F114" s="0" t="n">
        <v>2</v>
      </c>
      <c r="G114" s="0" t="n">
        <v>0.8</v>
      </c>
      <c r="H114" s="0" t="n">
        <v>1.4</v>
      </c>
      <c r="I114" s="0" t="n">
        <v>7.9</v>
      </c>
      <c r="J114" s="0" t="n">
        <v>0</v>
      </c>
      <c r="K114" s="0" t="n">
        <v>0.1</v>
      </c>
      <c r="L114" s="0" t="n">
        <v>18</v>
      </c>
      <c r="M114" s="115" t="n">
        <f aca="false">IFERROR(((E114/D114)/10.96)*0.5218*D114,0)</f>
        <v>12.088049270073</v>
      </c>
      <c r="N114" s="115" t="n">
        <f aca="false">IFERROR((((I114/H114)/5.3)*0.401)*H114,0)</f>
        <v>0.597716981132076</v>
      </c>
      <c r="O114" s="116" t="n">
        <f aca="false">MAX(QB!D116*Scoring!$B$30+QB!E116/Scoring!$C$30+QB!F116*Scoring!$D$30+QB!G116*Scoring!$E$30+QB!H116*Scoring!$F$30+QB!I116/Scoring!$G$30+QB!J116*Scoring!$H$30+QB!K116*Scoring!$I$30+M116*Scoring!$J$30+QB!N116*Scoring!$K$30,0)+C116*Scoring!$B$10*0.07+(C116-D116)*Scoring!$B$5</f>
        <v>9.836</v>
      </c>
      <c r="P114" s="116" t="n">
        <f aca="false">MAX(QB!D114*Scoring!$B$30+QB!E114/Scoring!$C$30+QB!F114*Scoring!$D$30+QB!G114*Scoring!$E$30+QB!H114*Scoring!$F$30+QB!I114/Scoring!$G$30+QB!J114*Scoring!$H$30+QB!K114*Scoring!$I$30+M114*Scoring!$J$30+QB!N114*Scoring!$K$30,0)+C114*Scoring!$B$10*0.07+(C114-D114)*Scoring!$B$5</f>
        <v>17.946</v>
      </c>
      <c r="Q114" s="116" t="n">
        <f aca="false">MAX(QB!D115*Scoring!$B$30+QB!E115/Scoring!$C$30+QB!F115*Scoring!$D$30+QB!G115*Scoring!$E$30+QB!H115*Scoring!$F$30+QB!I115/Scoring!$G$30+QB!J115*Scoring!$H$30+QB!K115*Scoring!$I$30+M115*Scoring!$J$30+QB!N115*Scoring!$K$30,0)+C115*Scoring!$B$10*0.07+(C115-D115)*Scoring!$B$5</f>
        <v>26.56</v>
      </c>
    </row>
    <row r="115" customFormat="false" ht="14.25" hidden="false" customHeight="true" outlineLevel="0" collapsed="false">
      <c r="B115" s="0" t="s">
        <v>491</v>
      </c>
      <c r="C115" s="0" t="n">
        <v>46</v>
      </c>
      <c r="D115" s="0" t="n">
        <v>29</v>
      </c>
      <c r="E115" s="0" t="n">
        <v>342</v>
      </c>
      <c r="F115" s="0" t="n">
        <v>3</v>
      </c>
      <c r="G115" s="0" t="n">
        <v>0.7</v>
      </c>
      <c r="H115" s="0" t="n">
        <v>1.8</v>
      </c>
      <c r="I115" s="0" t="n">
        <v>9.8</v>
      </c>
      <c r="J115" s="0" t="n">
        <v>0.1</v>
      </c>
      <c r="K115" s="0" t="n">
        <v>0</v>
      </c>
      <c r="L115" s="0" t="n">
        <v>21</v>
      </c>
      <c r="M115" s="115" t="n">
        <f aca="false">IFERROR(((E115/D115)/10.96)*0.5218*D115,0)</f>
        <v>16.2824452554745</v>
      </c>
      <c r="N115" s="115" t="n">
        <f aca="false">IFERROR((((I115/H115)/5.3)*0.401)*H115,0)</f>
        <v>0.741471698113208</v>
      </c>
      <c r="O115" s="116"/>
      <c r="P115" s="116"/>
      <c r="Q115" s="116"/>
    </row>
    <row r="116" customFormat="false" ht="14.25" hidden="false" customHeight="true" outlineLevel="0" collapsed="false">
      <c r="B116" s="0" t="s">
        <v>492</v>
      </c>
      <c r="C116" s="0" t="n">
        <v>22.6</v>
      </c>
      <c r="D116" s="0" t="n">
        <v>14.3</v>
      </c>
      <c r="E116" s="0" t="n">
        <v>165.9</v>
      </c>
      <c r="F116" s="0" t="n">
        <v>1</v>
      </c>
      <c r="G116" s="0" t="n">
        <v>1</v>
      </c>
      <c r="H116" s="0" t="n">
        <v>1</v>
      </c>
      <c r="I116" s="0" t="n">
        <v>6</v>
      </c>
      <c r="J116" s="0" t="n">
        <v>0</v>
      </c>
      <c r="K116" s="0" t="n">
        <v>0.2</v>
      </c>
      <c r="L116" s="0" t="n">
        <v>10.2</v>
      </c>
      <c r="M116" s="115" t="n">
        <f aca="false">IFERROR(((E116/D116)/10.96)*0.5218*D116,0)</f>
        <v>7.89841423357664</v>
      </c>
      <c r="N116" s="115" t="n">
        <f aca="false">IFERROR((((I116/H116)/5.3)*0.401)*H116,0)</f>
        <v>0.453962264150943</v>
      </c>
      <c r="O116" s="116"/>
      <c r="P116" s="116"/>
      <c r="Q116" s="116"/>
    </row>
    <row r="117" customFormat="false" ht="14.25" hidden="false" customHeight="true" outlineLevel="0" collapsed="false">
      <c r="A117" s="0" t="s">
        <v>561</v>
      </c>
      <c r="B117" s="0" t="s">
        <v>532</v>
      </c>
      <c r="C117" s="0" t="n">
        <v>29.9</v>
      </c>
      <c r="D117" s="0" t="n">
        <v>18.8</v>
      </c>
      <c r="E117" s="0" t="n">
        <v>208.6</v>
      </c>
      <c r="F117" s="0" t="n">
        <v>1.4</v>
      </c>
      <c r="G117" s="0" t="n">
        <v>0.8</v>
      </c>
      <c r="H117" s="0" t="n">
        <v>1.6</v>
      </c>
      <c r="I117" s="0" t="n">
        <v>7.2</v>
      </c>
      <c r="J117" s="0" t="n">
        <v>0</v>
      </c>
      <c r="K117" s="0" t="n">
        <v>0.2</v>
      </c>
      <c r="L117" s="0" t="n">
        <v>13.8</v>
      </c>
      <c r="M117" s="115" t="n">
        <f aca="false">IFERROR(((E117/D117)/10.96)*0.5218*D117,0)</f>
        <v>9.93133941605839</v>
      </c>
      <c r="N117" s="115" t="n">
        <f aca="false">IFERROR((((I117/H117)/5.3)*0.401)*H117,0)</f>
        <v>0.544754716981132</v>
      </c>
      <c r="O117" s="116" t="n">
        <f aca="false">MAX(QB!D119*Scoring!$B$30+QB!E119/Scoring!$C$30+QB!F119*Scoring!$D$30+QB!G119*Scoring!$E$30+QB!H119*Scoring!$F$30+QB!I119/Scoring!$G$30+QB!J119*Scoring!$H$30+QB!K119*Scoring!$I$30+M119*Scoring!$J$30+QB!N119*Scoring!$K$30,0)+C119*Scoring!$B$10*0.07+(C119-D119)*Scoring!$B$5</f>
        <v>8.668</v>
      </c>
      <c r="P117" s="116" t="n">
        <f aca="false">MAX(QB!D117*Scoring!$B$30+QB!E117/Scoring!$C$30+QB!F117*Scoring!$D$30+QB!G117*Scoring!$E$30+QB!H117*Scoring!$F$30+QB!I117/Scoring!$G$30+QB!J117*Scoring!$H$30+QB!K117*Scoring!$I$30+M117*Scoring!$J$30+QB!N117*Scoring!$K$30,0)+C117*Scoring!$B$10*0.07+(C117-D117)*Scoring!$B$5</f>
        <v>13.464</v>
      </c>
      <c r="Q117" s="116" t="n">
        <f aca="false">MAX(QB!D118*Scoring!$B$30+QB!E118/Scoring!$C$30+QB!F118*Scoring!$D$30+QB!G118*Scoring!$E$30+QB!H118*Scoring!$F$30+QB!I118/Scoring!$G$30+QB!J118*Scoring!$H$30+QB!K118*Scoring!$I$30+M118*Scoring!$J$30+QB!N118*Scoring!$K$30,0)+C118*Scoring!$B$10*0.07+(C118-D118)*Scoring!$B$5</f>
        <v>18.96</v>
      </c>
    </row>
    <row r="118" customFormat="false" ht="14.25" hidden="false" customHeight="true" outlineLevel="0" collapsed="false">
      <c r="B118" s="0" t="s">
        <v>491</v>
      </c>
      <c r="C118" s="0" t="n">
        <v>37</v>
      </c>
      <c r="D118" s="0" t="n">
        <v>23</v>
      </c>
      <c r="E118" s="0" t="n">
        <v>259</v>
      </c>
      <c r="F118" s="0" t="n">
        <v>2</v>
      </c>
      <c r="G118" s="0" t="n">
        <v>0.5</v>
      </c>
      <c r="H118" s="0" t="n">
        <v>2</v>
      </c>
      <c r="I118" s="0" t="n">
        <v>9</v>
      </c>
      <c r="J118" s="0" t="n">
        <v>0.1</v>
      </c>
      <c r="K118" s="0" t="n">
        <v>0.2</v>
      </c>
      <c r="L118" s="0" t="n">
        <v>19.3</v>
      </c>
      <c r="M118" s="115" t="n">
        <f aca="false">IFERROR(((E118/D118)/10.96)*0.5218*D118,0)</f>
        <v>12.3308576642336</v>
      </c>
      <c r="N118" s="115" t="n">
        <f aca="false">IFERROR((((I118/H118)/5.3)*0.401)*H118,0)</f>
        <v>0.680943396226415</v>
      </c>
      <c r="O118" s="116"/>
      <c r="P118" s="116"/>
      <c r="Q118" s="116"/>
    </row>
    <row r="119" customFormat="false" ht="14.25" hidden="false" customHeight="true" outlineLevel="0" collapsed="false">
      <c r="B119" s="0" t="s">
        <v>492</v>
      </c>
      <c r="C119" s="0" t="n">
        <v>22.8</v>
      </c>
      <c r="D119" s="0" t="n">
        <v>14.6</v>
      </c>
      <c r="E119" s="0" t="n">
        <v>158.2</v>
      </c>
      <c r="F119" s="0" t="n">
        <v>0.8</v>
      </c>
      <c r="G119" s="0" t="n">
        <v>1</v>
      </c>
      <c r="H119" s="0" t="n">
        <v>1.2</v>
      </c>
      <c r="I119" s="0" t="n">
        <v>5.4</v>
      </c>
      <c r="J119" s="0" t="n">
        <v>0</v>
      </c>
      <c r="K119" s="0" t="n">
        <v>0.2</v>
      </c>
      <c r="L119" s="0" t="n">
        <v>9.4</v>
      </c>
      <c r="M119" s="115" t="n">
        <f aca="false">IFERROR(((E119/D119)/10.96)*0.5218*D119,0)</f>
        <v>7.53182116788321</v>
      </c>
      <c r="N119" s="115" t="n">
        <f aca="false">IFERROR((((I119/H119)/5.3)*0.401)*H119,0)</f>
        <v>0.408566037735849</v>
      </c>
      <c r="O119" s="116"/>
      <c r="P119" s="116"/>
      <c r="Q119" s="116"/>
    </row>
    <row r="120" customFormat="false" ht="14.25" hidden="false" customHeight="true" outlineLevel="0" collapsed="false">
      <c r="A120" s="0" t="s">
        <v>562</v>
      </c>
      <c r="B120" s="0" t="s">
        <v>532</v>
      </c>
      <c r="C120" s="0" t="n">
        <v>22</v>
      </c>
      <c r="D120" s="0" t="n">
        <v>14</v>
      </c>
      <c r="E120" s="0" t="n">
        <v>161</v>
      </c>
      <c r="F120" s="0" t="n">
        <v>1</v>
      </c>
      <c r="G120" s="0" t="n">
        <v>0</v>
      </c>
      <c r="H120" s="0" t="n">
        <v>5</v>
      </c>
      <c r="I120" s="0" t="n">
        <v>20</v>
      </c>
      <c r="J120" s="0" t="n">
        <v>0</v>
      </c>
      <c r="K120" s="0" t="n">
        <v>0</v>
      </c>
      <c r="L120" s="0" t="n">
        <v>12.4</v>
      </c>
      <c r="M120" s="115" t="n">
        <f aca="false">IFERROR(((E120/D120)/10.96)*0.5218*D120,0)</f>
        <v>7.66512773722628</v>
      </c>
      <c r="N120" s="115" t="n">
        <f aca="false">IFERROR((((I120/H120)/5.3)*0.401)*H120,0)</f>
        <v>1.51320754716981</v>
      </c>
      <c r="O120" s="116" t="n">
        <f aca="false">MAX(QB!D122*Scoring!$B$30+QB!E122/Scoring!$C$30+QB!F122*Scoring!$D$30+QB!G122*Scoring!$E$30+QB!H122*Scoring!$F$30+QB!I122/Scoring!$G$30+QB!J122*Scoring!$H$30+QB!K122*Scoring!$I$30+M122*Scoring!$J$30+QB!N122*Scoring!$K$30,0)+C122*Scoring!$B$10*0.07+(C122-D122)*Scoring!$B$5</f>
        <v>12.44</v>
      </c>
      <c r="P120" s="116" t="n">
        <f aca="false">MAX(QB!D120*Scoring!$B$30+QB!E120/Scoring!$C$30+QB!F120*Scoring!$D$30+QB!G120*Scoring!$E$30+QB!H120*Scoring!$F$30+QB!I120/Scoring!$G$30+QB!J120*Scoring!$H$30+QB!K120*Scoring!$I$30+M120*Scoring!$J$30+QB!N120*Scoring!$K$30,0)+C120*Scoring!$B$10*0.07+(C120-D120)*Scoring!$B$5</f>
        <v>12.44</v>
      </c>
      <c r="Q120" s="116" t="n">
        <f aca="false">MAX(QB!D121*Scoring!$B$30+QB!E121/Scoring!$C$30+QB!F121*Scoring!$D$30+QB!G121*Scoring!$E$30+QB!H121*Scoring!$F$30+QB!I121/Scoring!$G$30+QB!J121*Scoring!$H$30+QB!K121*Scoring!$I$30+M121*Scoring!$J$30+QB!N121*Scoring!$K$30,0)+C121*Scoring!$B$10*0.07+(C121-D121)*Scoring!$B$5</f>
        <v>12.44</v>
      </c>
    </row>
    <row r="121" customFormat="false" ht="14.25" hidden="false" customHeight="true" outlineLevel="0" collapsed="false">
      <c r="B121" s="0" t="s">
        <v>491</v>
      </c>
      <c r="C121" s="0" t="n">
        <v>22</v>
      </c>
      <c r="D121" s="0" t="n">
        <v>14</v>
      </c>
      <c r="E121" s="0" t="n">
        <v>161</v>
      </c>
      <c r="F121" s="0" t="n">
        <v>1</v>
      </c>
      <c r="G121" s="0" t="n">
        <v>0</v>
      </c>
      <c r="H121" s="0" t="n">
        <v>5</v>
      </c>
      <c r="I121" s="0" t="n">
        <v>20</v>
      </c>
      <c r="J121" s="0" t="n">
        <v>0</v>
      </c>
      <c r="K121" s="0" t="n">
        <v>0</v>
      </c>
      <c r="L121" s="0" t="n">
        <v>10</v>
      </c>
      <c r="M121" s="115" t="n">
        <f aca="false">IFERROR(((E121/D121)/10.96)*0.5218*D121,0)</f>
        <v>7.66512773722628</v>
      </c>
      <c r="N121" s="115" t="n">
        <f aca="false">IFERROR((((I121/H121)/5.3)*0.401)*H121,0)</f>
        <v>1.51320754716981</v>
      </c>
      <c r="O121" s="116"/>
      <c r="P121" s="116"/>
      <c r="Q121" s="116"/>
    </row>
    <row r="122" customFormat="false" ht="14.25" hidden="false" customHeight="true" outlineLevel="0" collapsed="false">
      <c r="B122" s="0" t="s">
        <v>492</v>
      </c>
      <c r="C122" s="0" t="n">
        <v>22</v>
      </c>
      <c r="D122" s="0" t="n">
        <v>14</v>
      </c>
      <c r="E122" s="0" t="n">
        <v>161</v>
      </c>
      <c r="F122" s="0" t="n">
        <v>1</v>
      </c>
      <c r="G122" s="0" t="n">
        <v>0</v>
      </c>
      <c r="H122" s="0" t="n">
        <v>5</v>
      </c>
      <c r="I122" s="0" t="n">
        <v>20</v>
      </c>
      <c r="J122" s="0" t="n">
        <v>0</v>
      </c>
      <c r="K122" s="0" t="n">
        <v>0</v>
      </c>
      <c r="L122" s="0" t="n">
        <v>10</v>
      </c>
      <c r="M122" s="115" t="n">
        <f aca="false">IFERROR(((E122/D122)/10.96)*0.5218*D122,0)</f>
        <v>7.66512773722628</v>
      </c>
      <c r="N122" s="115" t="n">
        <f aca="false">IFERROR((((I122/H122)/5.3)*0.401)*H122,0)</f>
        <v>1.51320754716981</v>
      </c>
      <c r="O122" s="116"/>
      <c r="P122" s="116"/>
      <c r="Q122" s="116"/>
    </row>
    <row r="123" customFormat="false" ht="14.25" hidden="false" customHeight="true" outlineLevel="0" collapsed="false">
      <c r="A123" s="0" t="s">
        <v>563</v>
      </c>
      <c r="B123" s="0" t="s">
        <v>522</v>
      </c>
      <c r="C123" s="0" t="n">
        <v>27.7</v>
      </c>
      <c r="D123" s="0" t="n">
        <v>16.9</v>
      </c>
      <c r="E123" s="0" t="n">
        <v>196</v>
      </c>
      <c r="F123" s="0" t="n">
        <v>1</v>
      </c>
      <c r="G123" s="0" t="n">
        <v>0.9</v>
      </c>
      <c r="H123" s="0" t="n">
        <v>3.1</v>
      </c>
      <c r="I123" s="0" t="n">
        <v>14.4</v>
      </c>
      <c r="J123" s="0" t="n">
        <v>0</v>
      </c>
      <c r="K123" s="0" t="n">
        <v>0.1</v>
      </c>
      <c r="L123" s="0" t="n">
        <v>12.3</v>
      </c>
      <c r="M123" s="115" t="n">
        <f aca="false">IFERROR(((E123/D123)/10.96)*0.5218*D123,0)</f>
        <v>9.3314598540146</v>
      </c>
      <c r="N123" s="115" t="n">
        <f aca="false">IFERROR((((I123/H123)/5.3)*0.401)*H123,0)</f>
        <v>1.08950943396226</v>
      </c>
      <c r="O123" s="116" t="n">
        <f aca="false">MAX(QB!D125*Scoring!$B$30+QB!E125/Scoring!$C$30+QB!F125*Scoring!$D$30+QB!G125*Scoring!$E$30+QB!H125*Scoring!$F$30+QB!I125/Scoring!$G$30+QB!J125*Scoring!$H$30+QB!K125*Scoring!$I$30+M125*Scoring!$J$30+QB!N125*Scoring!$K$30,0)+C125*Scoring!$B$10*0.07+(C125-D125)*Scoring!$B$5</f>
        <v>8.69</v>
      </c>
      <c r="P123" s="116" t="n">
        <f aca="false">MAX(QB!D123*Scoring!$B$30+QB!E123/Scoring!$C$30+QB!F123*Scoring!$D$30+QB!G123*Scoring!$E$30+QB!H123*Scoring!$F$30+QB!I123/Scoring!$G$30+QB!J123*Scoring!$H$30+QB!K123*Scoring!$I$30+M123*Scoring!$J$30+QB!N123*Scoring!$K$30,0)+C123*Scoring!$B$10*0.07+(C123-D123)*Scoring!$B$5</f>
        <v>12.18</v>
      </c>
      <c r="Q123" s="116" t="n">
        <f aca="false">MAX(QB!D124*Scoring!$B$30+QB!E124/Scoring!$C$30+QB!F124*Scoring!$D$30+QB!G124*Scoring!$E$30+QB!H124*Scoring!$F$30+QB!I124/Scoring!$G$30+QB!J124*Scoring!$H$30+QB!K124*Scoring!$I$30+M124*Scoring!$J$30+QB!N124*Scoring!$K$30,0)+C124*Scoring!$B$10*0.07+(C124-D124)*Scoring!$B$5</f>
        <v>17.24</v>
      </c>
    </row>
    <row r="124" customFormat="false" ht="14.25" hidden="false" customHeight="true" outlineLevel="0" collapsed="false">
      <c r="B124" s="0" t="s">
        <v>491</v>
      </c>
      <c r="C124" s="0" t="n">
        <v>41</v>
      </c>
      <c r="D124" s="0" t="n">
        <v>24</v>
      </c>
      <c r="E124" s="0" t="n">
        <v>286</v>
      </c>
      <c r="F124" s="0" t="n">
        <v>1</v>
      </c>
      <c r="G124" s="0" t="n">
        <v>0.7</v>
      </c>
      <c r="H124" s="0" t="n">
        <v>4</v>
      </c>
      <c r="I124" s="0" t="n">
        <v>19</v>
      </c>
      <c r="J124" s="0" t="n">
        <v>0.1</v>
      </c>
      <c r="K124" s="0" t="n">
        <v>0</v>
      </c>
      <c r="L124" s="0" t="n">
        <v>17.2</v>
      </c>
      <c r="M124" s="115" t="n">
        <f aca="false">IFERROR(((E124/D124)/10.96)*0.5218*D124,0)</f>
        <v>13.6163138686131</v>
      </c>
      <c r="N124" s="115" t="n">
        <f aca="false">IFERROR((((I124/H124)/5.3)*0.401)*H124,0)</f>
        <v>1.43754716981132</v>
      </c>
      <c r="O124" s="116"/>
      <c r="P124" s="116"/>
      <c r="Q124" s="116"/>
    </row>
    <row r="125" customFormat="false" ht="14.25" hidden="false" customHeight="true" outlineLevel="0" collapsed="false">
      <c r="B125" s="0" t="s">
        <v>492</v>
      </c>
      <c r="C125" s="0" t="n">
        <v>19</v>
      </c>
      <c r="D125" s="0" t="n">
        <v>12</v>
      </c>
      <c r="E125" s="0" t="n">
        <v>137</v>
      </c>
      <c r="F125" s="0" t="n">
        <v>1</v>
      </c>
      <c r="G125" s="0" t="n">
        <v>1</v>
      </c>
      <c r="H125" s="0" t="n">
        <v>1.4</v>
      </c>
      <c r="I125" s="0" t="n">
        <v>6.1</v>
      </c>
      <c r="J125" s="0" t="n">
        <v>0</v>
      </c>
      <c r="K125" s="0" t="n">
        <v>0.2</v>
      </c>
      <c r="L125" s="0" t="n">
        <v>7</v>
      </c>
      <c r="M125" s="115" t="n">
        <f aca="false">IFERROR(((E125/D125)/10.96)*0.5218*D125,0)</f>
        <v>6.5225</v>
      </c>
      <c r="N125" s="115" t="n">
        <f aca="false">IFERROR((((I125/H125)/5.3)*0.401)*H125,0)</f>
        <v>0.461528301886792</v>
      </c>
      <c r="O125" s="116"/>
      <c r="P125" s="116"/>
      <c r="Q125" s="116"/>
    </row>
    <row r="126" customFormat="false" ht="14.25" hidden="false" customHeight="true" outlineLevel="0" collapsed="false">
      <c r="A126" s="0" t="s">
        <v>564</v>
      </c>
      <c r="B126" s="0" t="s">
        <v>512</v>
      </c>
      <c r="C126" s="0" t="n">
        <v>26.2</v>
      </c>
      <c r="D126" s="0" t="n">
        <v>16.3</v>
      </c>
      <c r="E126" s="0" t="n">
        <v>175.2</v>
      </c>
      <c r="F126" s="0" t="n">
        <v>1</v>
      </c>
      <c r="G126" s="0" t="n">
        <v>0.8</v>
      </c>
      <c r="H126" s="0" t="n">
        <v>3.6</v>
      </c>
      <c r="I126" s="0" t="n">
        <v>18.4</v>
      </c>
      <c r="J126" s="0" t="n">
        <v>0.1</v>
      </c>
      <c r="K126" s="0" t="n">
        <v>0.1</v>
      </c>
      <c r="L126" s="0" t="n">
        <v>12.1</v>
      </c>
      <c r="M126" s="115" t="n">
        <f aca="false">IFERROR(((E126/D126)/10.96)*0.5218*D126,0)</f>
        <v>8.34118248175182</v>
      </c>
      <c r="N126" s="115" t="n">
        <f aca="false">IFERROR((((I126/H126)/5.3)*0.401)*H126,0)</f>
        <v>1.39215094339623</v>
      </c>
      <c r="O126" s="116" t="n">
        <f aca="false">MAX(QB!D128*Scoring!$B$30+QB!E128/Scoring!$C$30+QB!F128*Scoring!$D$30+QB!G128*Scoring!$E$30+QB!H128*Scoring!$F$30+QB!I128/Scoring!$G$30+QB!J128*Scoring!$H$30+QB!K128*Scoring!$I$30+M128*Scoring!$J$30+QB!N128*Scoring!$K$30,0)+C128*Scoring!$B$10*0.07+(C128-D128)*Scoring!$B$5</f>
        <v>9.35</v>
      </c>
      <c r="P126" s="116" t="n">
        <f aca="false">MAX(QB!D126*Scoring!$B$30+QB!E126/Scoring!$C$30+QB!F126*Scoring!$D$30+QB!G126*Scoring!$E$30+QB!H126*Scoring!$F$30+QB!I126/Scoring!$G$30+QB!J126*Scoring!$H$30+QB!K126*Scoring!$I$30+M126*Scoring!$J$30+QB!N126*Scoring!$K$30,0)+C126*Scoring!$B$10*0.07+(C126-D126)*Scoring!$B$5</f>
        <v>12.448</v>
      </c>
      <c r="Q126" s="116" t="n">
        <f aca="false">MAX(QB!D127*Scoring!$B$30+QB!E127/Scoring!$C$30+QB!F127*Scoring!$D$30+QB!G127*Scoring!$E$30+QB!H127*Scoring!$F$30+QB!I127/Scoring!$G$30+QB!J127*Scoring!$H$30+QB!K127*Scoring!$I$30+M127*Scoring!$J$30+QB!N127*Scoring!$K$30,0)+C127*Scoring!$B$10*0.07+(C127-D127)*Scoring!$B$5</f>
        <v>16.38</v>
      </c>
    </row>
    <row r="127" customFormat="false" ht="14.25" hidden="false" customHeight="true" outlineLevel="0" collapsed="false">
      <c r="B127" s="0" t="s">
        <v>491</v>
      </c>
      <c r="C127" s="0" t="n">
        <v>35</v>
      </c>
      <c r="D127" s="0" t="n">
        <v>22</v>
      </c>
      <c r="E127" s="0" t="n">
        <v>237</v>
      </c>
      <c r="F127" s="0" t="n">
        <v>1</v>
      </c>
      <c r="G127" s="0" t="n">
        <v>0.4</v>
      </c>
      <c r="H127" s="0" t="n">
        <v>4</v>
      </c>
      <c r="I127" s="0" t="n">
        <v>21</v>
      </c>
      <c r="J127" s="0" t="n">
        <v>0.2</v>
      </c>
      <c r="K127" s="0" t="n">
        <v>0</v>
      </c>
      <c r="L127" s="0" t="n">
        <v>15.4</v>
      </c>
      <c r="M127" s="115" t="n">
        <f aca="false">IFERROR(((E127/D127)/10.96)*0.5218*D127,0)</f>
        <v>11.2834489051095</v>
      </c>
      <c r="N127" s="115" t="n">
        <f aca="false">IFERROR((((I127/H127)/5.3)*0.401)*H127,0)</f>
        <v>1.5888679245283</v>
      </c>
      <c r="O127" s="116"/>
      <c r="P127" s="116"/>
      <c r="Q127" s="116"/>
    </row>
    <row r="128" customFormat="false" ht="14.25" hidden="false" customHeight="true" outlineLevel="0" collapsed="false">
      <c r="B128" s="0" t="s">
        <v>492</v>
      </c>
      <c r="C128" s="0" t="n">
        <v>20.6</v>
      </c>
      <c r="D128" s="0" t="n">
        <v>12.8</v>
      </c>
      <c r="E128" s="0" t="n">
        <v>140.5</v>
      </c>
      <c r="F128" s="0" t="n">
        <v>0.9</v>
      </c>
      <c r="G128" s="0" t="n">
        <v>1</v>
      </c>
      <c r="H128" s="0" t="n">
        <v>2.8</v>
      </c>
      <c r="I128" s="0" t="n">
        <v>15.3</v>
      </c>
      <c r="J128" s="0" t="n">
        <v>0</v>
      </c>
      <c r="K128" s="0" t="n">
        <v>0.2</v>
      </c>
      <c r="L128" s="0" t="n">
        <v>7</v>
      </c>
      <c r="M128" s="115" t="n">
        <f aca="false">IFERROR(((E128/D128)/10.96)*0.5218*D128,0)</f>
        <v>6.68913321167883</v>
      </c>
      <c r="N128" s="115" t="n">
        <f aca="false">IFERROR((((I128/H128)/5.3)*0.401)*H128,0)</f>
        <v>1.15760377358491</v>
      </c>
      <c r="O128" s="116"/>
      <c r="P128" s="116"/>
      <c r="Q128" s="116"/>
    </row>
    <row r="129" customFormat="false" ht="14.25" hidden="false" customHeight="true" outlineLevel="0" collapsed="false">
      <c r="A129" s="0" t="s">
        <v>565</v>
      </c>
      <c r="B129" s="0" t="s">
        <v>504</v>
      </c>
      <c r="C129" s="0" t="n">
        <v>26.1</v>
      </c>
      <c r="D129" s="0" t="n">
        <v>15.5</v>
      </c>
      <c r="E129" s="0" t="n">
        <v>194.3</v>
      </c>
      <c r="F129" s="0" t="n">
        <v>1.3</v>
      </c>
      <c r="G129" s="0" t="n">
        <v>1.3</v>
      </c>
      <c r="H129" s="0" t="n">
        <v>2.6</v>
      </c>
      <c r="I129" s="0" t="n">
        <v>10.9</v>
      </c>
      <c r="J129" s="0" t="n">
        <v>0</v>
      </c>
      <c r="K129" s="0" t="n">
        <v>0.6</v>
      </c>
      <c r="L129" s="0" t="n">
        <v>11.7</v>
      </c>
      <c r="M129" s="115" t="n">
        <f aca="false">IFERROR(((E129/D129)/10.96)*0.5218*D129,0)</f>
        <v>9.25052372262774</v>
      </c>
      <c r="N129" s="115" t="n">
        <f aca="false">IFERROR((((I129/H129)/5.3)*0.401)*H129,0)</f>
        <v>0.824698113207547</v>
      </c>
      <c r="O129" s="116" t="n">
        <f aca="false">MAX(QB!D131*Scoring!$B$30+QB!E131/Scoring!$C$30+QB!F131*Scoring!$D$30+QB!G131*Scoring!$E$30+QB!H131*Scoring!$F$30+QB!I131/Scoring!$G$30+QB!J131*Scoring!$H$30+QB!K131*Scoring!$I$30+M131*Scoring!$J$30+QB!N131*Scoring!$K$30,0)+C131*Scoring!$B$10*0.07+(C131-D131)*Scoring!$B$5</f>
        <v>5.59</v>
      </c>
      <c r="P129" s="116" t="n">
        <f aca="false">MAX(QB!D129*Scoring!$B$30+QB!E129/Scoring!$C$30+QB!F129*Scoring!$D$30+QB!G129*Scoring!$E$30+QB!H129*Scoring!$F$30+QB!I129/Scoring!$G$30+QB!J129*Scoring!$H$30+QB!K129*Scoring!$I$30+M129*Scoring!$J$30+QB!N129*Scoring!$K$30,0)+C129*Scoring!$B$10*0.07+(C129-D129)*Scoring!$B$5</f>
        <v>11.562</v>
      </c>
      <c r="Q129" s="116" t="n">
        <f aca="false">MAX(QB!D130*Scoring!$B$30+QB!E130/Scoring!$C$30+QB!F130*Scoring!$D$30+QB!G130*Scoring!$E$30+QB!H130*Scoring!$F$30+QB!I130/Scoring!$G$30+QB!J130*Scoring!$H$30+QB!K130*Scoring!$I$30+M130*Scoring!$J$30+QB!N130*Scoring!$K$30,0)+C130*Scoring!$B$10*0.07+(C130-D130)*Scoring!$B$5</f>
        <v>19.98</v>
      </c>
    </row>
    <row r="130" customFormat="false" ht="14.25" hidden="false" customHeight="true" outlineLevel="0" collapsed="false">
      <c r="B130" s="0" t="s">
        <v>491</v>
      </c>
      <c r="C130" s="0" t="n">
        <v>35</v>
      </c>
      <c r="D130" s="0" t="n">
        <v>20</v>
      </c>
      <c r="E130" s="0" t="n">
        <v>277</v>
      </c>
      <c r="F130" s="0" t="n">
        <v>2</v>
      </c>
      <c r="G130" s="0" t="n">
        <v>0.9</v>
      </c>
      <c r="H130" s="0" t="n">
        <v>5</v>
      </c>
      <c r="I130" s="0" t="n">
        <v>22</v>
      </c>
      <c r="J130" s="0" t="n">
        <v>0</v>
      </c>
      <c r="K130" s="0" t="n">
        <v>0.2</v>
      </c>
      <c r="L130" s="0" t="n">
        <v>19.9</v>
      </c>
      <c r="M130" s="115" t="n">
        <f aca="false">IFERROR(((E130/D130)/10.96)*0.5218*D130,0)</f>
        <v>13.1878284671533</v>
      </c>
      <c r="N130" s="115" t="n">
        <f aca="false">IFERROR((((I130/H130)/5.3)*0.401)*H130,0)</f>
        <v>1.66452830188679</v>
      </c>
      <c r="O130" s="116"/>
      <c r="P130" s="116"/>
      <c r="Q130" s="116"/>
    </row>
    <row r="131" customFormat="false" ht="14.25" hidden="false" customHeight="true" outlineLevel="0" collapsed="false">
      <c r="B131" s="0" t="s">
        <v>492</v>
      </c>
      <c r="C131" s="0" t="n">
        <v>21</v>
      </c>
      <c r="D131" s="0" t="n">
        <v>13</v>
      </c>
      <c r="E131" s="0" t="n">
        <v>143</v>
      </c>
      <c r="F131" s="0" t="n">
        <v>0.9</v>
      </c>
      <c r="G131" s="0" t="n">
        <v>2</v>
      </c>
      <c r="H131" s="0" t="n">
        <v>0.7</v>
      </c>
      <c r="I131" s="0" t="n">
        <v>2.7</v>
      </c>
      <c r="J131" s="0" t="n">
        <v>0</v>
      </c>
      <c r="K131" s="0" t="n">
        <v>1</v>
      </c>
      <c r="L131" s="0" t="n">
        <v>5</v>
      </c>
      <c r="M131" s="115" t="n">
        <f aca="false">IFERROR(((E131/D131)/10.96)*0.5218*D131,0)</f>
        <v>6.80815693430657</v>
      </c>
      <c r="N131" s="115" t="n">
        <f aca="false">IFERROR((((I131/H131)/5.3)*0.401)*H131,0)</f>
        <v>0.204283018867925</v>
      </c>
      <c r="O131" s="116"/>
      <c r="P131" s="116"/>
      <c r="Q131" s="116"/>
    </row>
    <row r="132" customFormat="false" ht="14.25" hidden="false" customHeight="true" outlineLevel="0" collapsed="false">
      <c r="A132" s="0" t="s">
        <v>566</v>
      </c>
      <c r="B132" s="0" t="s">
        <v>498</v>
      </c>
      <c r="C132" s="0" t="n">
        <v>21.2</v>
      </c>
      <c r="D132" s="0" t="n">
        <v>13.8</v>
      </c>
      <c r="E132" s="0" t="n">
        <v>154</v>
      </c>
      <c r="F132" s="0" t="n">
        <v>1</v>
      </c>
      <c r="G132" s="0" t="n">
        <v>0.2</v>
      </c>
      <c r="H132" s="0" t="n">
        <v>3.4</v>
      </c>
      <c r="I132" s="0" t="n">
        <v>15.3</v>
      </c>
      <c r="J132" s="0" t="n">
        <v>0</v>
      </c>
      <c r="K132" s="0" t="n">
        <v>0.1</v>
      </c>
      <c r="L132" s="0" t="n">
        <v>11.5</v>
      </c>
      <c r="M132" s="115" t="n">
        <f aca="false">IFERROR(((E132/D132)/10.96)*0.5218*D132,0)</f>
        <v>7.33186131386861</v>
      </c>
      <c r="N132" s="115" t="n">
        <f aca="false">IFERROR((((I132/H132)/5.3)*0.401)*H132,0)</f>
        <v>1.15760377358491</v>
      </c>
      <c r="O132" s="116" t="n">
        <f aca="false">MAX(QB!D134*Scoring!$B$30+QB!E134/Scoring!$C$30+QB!F134*Scoring!$D$30+QB!G134*Scoring!$E$30+QB!H134*Scoring!$F$30+QB!I134/Scoring!$G$30+QB!J134*Scoring!$H$30+QB!K134*Scoring!$I$30+M134*Scoring!$J$30+QB!N134*Scoring!$K$30,0)+C134*Scoring!$B$10*0.07+(C134-D134)*Scoring!$B$5</f>
        <v>10.354</v>
      </c>
      <c r="P132" s="116" t="n">
        <f aca="false">MAX(QB!D132*Scoring!$B$30+QB!E132/Scoring!$C$30+QB!F132*Scoring!$D$30+QB!G132*Scoring!$E$30+QB!H132*Scoring!$F$30+QB!I132/Scoring!$G$30+QB!J132*Scoring!$H$30+QB!K132*Scoring!$I$30+M132*Scoring!$J$30+QB!N132*Scoring!$K$30,0)+C132*Scoring!$B$10*0.07+(C132-D132)*Scoring!$B$5</f>
        <v>11.29</v>
      </c>
      <c r="Q132" s="116" t="n">
        <f aca="false">MAX(QB!D133*Scoring!$B$30+QB!E133/Scoring!$C$30+QB!F133*Scoring!$D$30+QB!G133*Scoring!$E$30+QB!H133*Scoring!$F$30+QB!I133/Scoring!$G$30+QB!J133*Scoring!$H$30+QB!K133*Scoring!$I$30+M133*Scoring!$J$30+QB!N133*Scoring!$K$30,0)+C133*Scoring!$B$10*0.07+(C133-D133)*Scoring!$B$5</f>
        <v>13.02</v>
      </c>
    </row>
    <row r="133" customFormat="false" ht="14.25" hidden="false" customHeight="true" outlineLevel="0" collapsed="false">
      <c r="B133" s="0" t="s">
        <v>491</v>
      </c>
      <c r="C133" s="0" t="n">
        <v>22.5</v>
      </c>
      <c r="D133" s="0" t="n">
        <v>14.7</v>
      </c>
      <c r="E133" s="0" t="n">
        <v>158</v>
      </c>
      <c r="F133" s="0" t="n">
        <v>1</v>
      </c>
      <c r="G133" s="0" t="n">
        <v>0</v>
      </c>
      <c r="H133" s="0" t="n">
        <v>5</v>
      </c>
      <c r="I133" s="0" t="n">
        <v>21</v>
      </c>
      <c r="J133" s="0" t="n">
        <v>0.1</v>
      </c>
      <c r="K133" s="0" t="n">
        <v>0</v>
      </c>
      <c r="L133" s="0" t="n">
        <v>10.3</v>
      </c>
      <c r="M133" s="115" t="n">
        <f aca="false">IFERROR(((E133/D133)/10.96)*0.5218*D133,0)</f>
        <v>7.52229927007299</v>
      </c>
      <c r="N133" s="115" t="n">
        <f aca="false">IFERROR((((I133/H133)/5.3)*0.401)*H133,0)</f>
        <v>1.5888679245283</v>
      </c>
      <c r="O133" s="116"/>
      <c r="P133" s="116"/>
      <c r="Q133" s="116"/>
    </row>
    <row r="134" customFormat="false" ht="14.25" hidden="false" customHeight="true" outlineLevel="0" collapsed="false">
      <c r="B134" s="0" t="s">
        <v>492</v>
      </c>
      <c r="C134" s="0" t="n">
        <v>20</v>
      </c>
      <c r="D134" s="0" t="n">
        <v>13</v>
      </c>
      <c r="E134" s="0" t="n">
        <v>150.1</v>
      </c>
      <c r="F134" s="0" t="n">
        <v>1</v>
      </c>
      <c r="G134" s="0" t="n">
        <v>0.4</v>
      </c>
      <c r="H134" s="0" t="n">
        <v>1.9</v>
      </c>
      <c r="I134" s="0" t="n">
        <v>9.5</v>
      </c>
      <c r="J134" s="0" t="n">
        <v>0</v>
      </c>
      <c r="K134" s="0" t="n">
        <v>0.1</v>
      </c>
      <c r="L134" s="0" t="n">
        <v>9</v>
      </c>
      <c r="M134" s="115" t="n">
        <f aca="false">IFERROR(((E134/D134)/10.96)*0.5218*D134,0)</f>
        <v>7.14618430656934</v>
      </c>
      <c r="N134" s="115" t="n">
        <f aca="false">IFERROR((((I134/H134)/5.3)*0.401)*H134,0)</f>
        <v>0.71877358490566</v>
      </c>
      <c r="O134" s="116"/>
      <c r="P134" s="116"/>
      <c r="Q134" s="116"/>
    </row>
    <row r="135" customFormat="false" ht="14.25" hidden="false" customHeight="true" outlineLevel="0" collapsed="false">
      <c r="A135" s="0" t="s">
        <v>567</v>
      </c>
      <c r="B135" s="0" t="s">
        <v>514</v>
      </c>
      <c r="C135" s="0" t="n">
        <v>23.1</v>
      </c>
      <c r="D135" s="0" t="n">
        <v>15.1</v>
      </c>
      <c r="E135" s="0" t="n">
        <v>169.9</v>
      </c>
      <c r="F135" s="0" t="n">
        <v>1</v>
      </c>
      <c r="G135" s="0" t="n">
        <v>0.2</v>
      </c>
      <c r="H135" s="0" t="n">
        <v>2.8</v>
      </c>
      <c r="I135" s="0" t="n">
        <v>8.7</v>
      </c>
      <c r="J135" s="0" t="n">
        <v>0</v>
      </c>
      <c r="K135" s="0" t="n">
        <v>0.1</v>
      </c>
      <c r="L135" s="0" t="n">
        <v>11.5</v>
      </c>
      <c r="M135" s="115" t="n">
        <f aca="false">IFERROR(((E135/D135)/10.96)*0.5218*D135,0)</f>
        <v>8.08885218978102</v>
      </c>
      <c r="N135" s="115" t="n">
        <f aca="false">IFERROR((((I135/H135)/5.3)*0.401)*H135,0)</f>
        <v>0.658245283018868</v>
      </c>
      <c r="O135" s="116" t="n">
        <f aca="false">MAX(QB!D137*Scoring!$B$30+QB!E137/Scoring!$C$30+QB!F137*Scoring!$D$30+QB!G137*Scoring!$E$30+QB!H137*Scoring!$F$30+QB!I137/Scoring!$G$30+QB!J137*Scoring!$H$30+QB!K137*Scoring!$I$30+M137*Scoring!$J$30+QB!N137*Scoring!$K$30,0)+C137*Scoring!$B$10*0.07+(C137-D137)*Scoring!$B$5</f>
        <v>9.864</v>
      </c>
      <c r="P135" s="116" t="n">
        <f aca="false">MAX(QB!D135*Scoring!$B$30+QB!E135/Scoring!$C$30+QB!F135*Scoring!$D$30+QB!G135*Scoring!$E$30+QB!H135*Scoring!$F$30+QB!I135/Scoring!$G$30+QB!J135*Scoring!$H$30+QB!K135*Scoring!$I$30+M135*Scoring!$J$30+QB!N135*Scoring!$K$30,0)+C135*Scoring!$B$10*0.07+(C135-D135)*Scoring!$B$5</f>
        <v>11.266</v>
      </c>
      <c r="Q135" s="116" t="n">
        <f aca="false">MAX(QB!D136*Scoring!$B$30+QB!E136/Scoring!$C$30+QB!F136*Scoring!$D$30+QB!G136*Scoring!$E$30+QB!H136*Scoring!$F$30+QB!I136/Scoring!$G$30+QB!J136*Scoring!$H$30+QB!K136*Scoring!$I$30+M136*Scoring!$J$30+QB!N136*Scoring!$K$30,0)+C136*Scoring!$B$10*0.07+(C136-D136)*Scoring!$B$5</f>
        <v>13.8</v>
      </c>
    </row>
    <row r="136" customFormat="false" ht="14.25" hidden="false" customHeight="true" outlineLevel="0" collapsed="false">
      <c r="B136" s="0" t="s">
        <v>491</v>
      </c>
      <c r="C136" s="0" t="n">
        <v>26</v>
      </c>
      <c r="D136" s="0" t="n">
        <v>17</v>
      </c>
      <c r="E136" s="0" t="n">
        <v>195</v>
      </c>
      <c r="F136" s="0" t="n">
        <v>1</v>
      </c>
      <c r="G136" s="0" t="n">
        <v>0</v>
      </c>
      <c r="H136" s="0" t="n">
        <v>5</v>
      </c>
      <c r="I136" s="0" t="n">
        <v>14</v>
      </c>
      <c r="J136" s="0" t="n">
        <v>0.1</v>
      </c>
      <c r="K136" s="0" t="n">
        <v>0</v>
      </c>
      <c r="L136" s="0" t="n">
        <v>12.4</v>
      </c>
      <c r="M136" s="115" t="n">
        <f aca="false">IFERROR(((E136/D136)/10.96)*0.5218*D136,0)</f>
        <v>9.2838503649635</v>
      </c>
      <c r="N136" s="115" t="n">
        <f aca="false">IFERROR((((I136/H136)/5.3)*0.401)*H136,0)</f>
        <v>1.05924528301887</v>
      </c>
      <c r="O136" s="116"/>
      <c r="P136" s="116"/>
      <c r="Q136" s="116"/>
    </row>
    <row r="137" customFormat="false" ht="14.25" hidden="false" customHeight="true" outlineLevel="0" collapsed="false">
      <c r="B137" s="0" t="s">
        <v>492</v>
      </c>
      <c r="C137" s="0" t="n">
        <v>21</v>
      </c>
      <c r="D137" s="0" t="n">
        <v>14</v>
      </c>
      <c r="E137" s="0" t="n">
        <v>156.6</v>
      </c>
      <c r="F137" s="0" t="n">
        <v>1</v>
      </c>
      <c r="G137" s="0" t="n">
        <v>0.6</v>
      </c>
      <c r="H137" s="0" t="n">
        <v>1.5</v>
      </c>
      <c r="I137" s="0" t="n">
        <v>6</v>
      </c>
      <c r="J137" s="0" t="n">
        <v>0</v>
      </c>
      <c r="K137" s="0" t="n">
        <v>0.2</v>
      </c>
      <c r="L137" s="0" t="n">
        <v>8</v>
      </c>
      <c r="M137" s="115" t="n">
        <f aca="false">IFERROR(((E137/D137)/10.96)*0.5218*D137,0)</f>
        <v>7.45564598540146</v>
      </c>
      <c r="N137" s="115" t="n">
        <f aca="false">IFERROR((((I137/H137)/5.3)*0.401)*H137,0)</f>
        <v>0.453962264150943</v>
      </c>
      <c r="O137" s="116"/>
      <c r="P137" s="116"/>
      <c r="Q137" s="116"/>
    </row>
    <row r="138" customFormat="false" ht="14.25" hidden="false" customHeight="true" outlineLevel="0" collapsed="false">
      <c r="A138" s="0" t="s">
        <v>568</v>
      </c>
      <c r="B138" s="0" t="s">
        <v>518</v>
      </c>
      <c r="C138" s="0" t="n">
        <v>23.1</v>
      </c>
      <c r="D138" s="0" t="n">
        <v>14.4</v>
      </c>
      <c r="E138" s="0" t="n">
        <v>152.7</v>
      </c>
      <c r="F138" s="0" t="n">
        <v>1.1</v>
      </c>
      <c r="G138" s="0" t="n">
        <v>0.3</v>
      </c>
      <c r="H138" s="0" t="n">
        <v>3.3</v>
      </c>
      <c r="I138" s="0" t="n">
        <v>12.9</v>
      </c>
      <c r="J138" s="0" t="n">
        <v>0</v>
      </c>
      <c r="K138" s="0" t="n">
        <v>0.1</v>
      </c>
      <c r="L138" s="0" t="n">
        <v>11.3</v>
      </c>
      <c r="M138" s="115" t="n">
        <f aca="false">IFERROR(((E138/D138)/10.96)*0.5218*D138,0)</f>
        <v>7.26996897810219</v>
      </c>
      <c r="N138" s="115" t="n">
        <f aca="false">IFERROR((((I138/H138)/5.3)*0.401)*H138,0)</f>
        <v>0.976018867924529</v>
      </c>
      <c r="O138" s="116" t="n">
        <f aca="false">MAX(QB!D140*Scoring!$B$30+QB!E140/Scoring!$C$30+QB!F140*Scoring!$D$30+QB!G140*Scoring!$E$30+QB!H140*Scoring!$F$30+QB!I140/Scoring!$G$30+QB!J140*Scoring!$H$30+QB!K140*Scoring!$I$30+M140*Scoring!$J$30+QB!N140*Scoring!$K$30,0)+C140*Scoring!$B$10*0.07+(C140-D140)*Scoring!$B$5</f>
        <v>9.44</v>
      </c>
      <c r="P138" s="116" t="n">
        <f aca="false">MAX(QB!D138*Scoring!$B$30+QB!E138/Scoring!$C$30+QB!F138*Scoring!$D$30+QB!G138*Scoring!$E$30+QB!H138*Scoring!$F$30+QB!I138/Scoring!$G$30+QB!J138*Scoring!$H$30+QB!K138*Scoring!$I$30+M138*Scoring!$J$30+QB!N138*Scoring!$K$30,0)+C138*Scoring!$B$10*0.07+(C138-D138)*Scoring!$B$5</f>
        <v>11.298</v>
      </c>
      <c r="Q138" s="116" t="n">
        <f aca="false">MAX(QB!D139*Scoring!$B$30+QB!E139/Scoring!$C$30+QB!F139*Scoring!$D$30+QB!G139*Scoring!$E$30+QB!H139*Scoring!$F$30+QB!I139/Scoring!$G$30+QB!J139*Scoring!$H$30+QB!K139*Scoring!$I$30+M139*Scoring!$J$30+QB!N139*Scoring!$K$30,0)+C139*Scoring!$B$10*0.07+(C139-D139)*Scoring!$B$5</f>
        <v>13.356</v>
      </c>
    </row>
    <row r="139" customFormat="false" ht="14.25" hidden="false" customHeight="true" outlineLevel="0" collapsed="false">
      <c r="B139" s="0" t="s">
        <v>491</v>
      </c>
      <c r="C139" s="0" t="n">
        <v>24</v>
      </c>
      <c r="D139" s="0" t="n">
        <v>15</v>
      </c>
      <c r="E139" s="0" t="n">
        <v>161.4</v>
      </c>
      <c r="F139" s="0" t="n">
        <v>1.1</v>
      </c>
      <c r="G139" s="0" t="n">
        <v>0</v>
      </c>
      <c r="H139" s="0" t="n">
        <v>5</v>
      </c>
      <c r="I139" s="0" t="n">
        <v>19</v>
      </c>
      <c r="J139" s="0" t="n">
        <v>0.1</v>
      </c>
      <c r="K139" s="0" t="n">
        <v>0</v>
      </c>
      <c r="L139" s="0" t="n">
        <v>10.4</v>
      </c>
      <c r="M139" s="115" t="n">
        <f aca="false">IFERROR(((E139/D139)/10.96)*0.5218*D139,0)</f>
        <v>7.68417153284671</v>
      </c>
      <c r="N139" s="115" t="n">
        <f aca="false">IFERROR((((I139/H139)/5.3)*0.401)*H139,0)</f>
        <v>1.43754716981132</v>
      </c>
      <c r="O139" s="116"/>
      <c r="P139" s="116"/>
      <c r="Q139" s="116"/>
    </row>
    <row r="140" customFormat="false" ht="14.25" hidden="false" customHeight="true" outlineLevel="0" collapsed="false">
      <c r="B140" s="0" t="s">
        <v>492</v>
      </c>
      <c r="C140" s="0" t="n">
        <v>22.2</v>
      </c>
      <c r="D140" s="0" t="n">
        <v>13.8</v>
      </c>
      <c r="E140" s="0" t="n">
        <v>144</v>
      </c>
      <c r="F140" s="0" t="n">
        <v>1</v>
      </c>
      <c r="G140" s="0" t="n">
        <v>0.6</v>
      </c>
      <c r="H140" s="0" t="n">
        <v>1.7</v>
      </c>
      <c r="I140" s="0" t="n">
        <v>6.8</v>
      </c>
      <c r="J140" s="0" t="n">
        <v>0</v>
      </c>
      <c r="K140" s="0" t="n">
        <v>0.2</v>
      </c>
      <c r="L140" s="0" t="n">
        <v>9</v>
      </c>
      <c r="M140" s="115" t="n">
        <f aca="false">IFERROR(((E140/D140)/10.96)*0.5218*D140,0)</f>
        <v>6.85576642335766</v>
      </c>
      <c r="N140" s="115" t="n">
        <f aca="false">IFERROR((((I140/H140)/5.3)*0.401)*H140,0)</f>
        <v>0.514490566037736</v>
      </c>
      <c r="O140" s="116"/>
      <c r="P140" s="116"/>
      <c r="Q140" s="116"/>
    </row>
    <row r="141" customFormat="false" ht="14.25" hidden="false" customHeight="true" outlineLevel="0" collapsed="false">
      <c r="A141" s="0" t="s">
        <v>569</v>
      </c>
      <c r="B141" s="0" t="s">
        <v>538</v>
      </c>
      <c r="C141" s="0" t="n">
        <v>26.2</v>
      </c>
      <c r="D141" s="0" t="n">
        <v>16</v>
      </c>
      <c r="E141" s="0" t="n">
        <v>175.8</v>
      </c>
      <c r="F141" s="0" t="n">
        <v>0.9</v>
      </c>
      <c r="G141" s="0" t="n">
        <v>0.5</v>
      </c>
      <c r="H141" s="0" t="n">
        <v>2.7</v>
      </c>
      <c r="I141" s="0" t="n">
        <v>9</v>
      </c>
      <c r="J141" s="0" t="n">
        <v>0</v>
      </c>
      <c r="K141" s="0" t="n">
        <v>0.1</v>
      </c>
      <c r="L141" s="0" t="n">
        <v>11.1</v>
      </c>
      <c r="M141" s="115" t="n">
        <f aca="false">IFERROR(((E141/D141)/10.96)*0.5218*D141,0)</f>
        <v>8.36974817518248</v>
      </c>
      <c r="N141" s="115" t="n">
        <f aca="false">IFERROR((((I141/H141)/5.3)*0.401)*H141,0)</f>
        <v>0.680943396226415</v>
      </c>
      <c r="O141" s="116" t="n">
        <f aca="false">MAX(QB!D143*Scoring!$B$30+QB!E143/Scoring!$C$30+QB!F143*Scoring!$D$30+QB!G143*Scoring!$E$30+QB!H143*Scoring!$F$30+QB!I143/Scoring!$G$30+QB!J143*Scoring!$H$30+QB!K143*Scoring!$I$30+M143*Scoring!$J$30+QB!N143*Scoring!$K$30,0)+C143*Scoring!$B$10*0.07+(C143-D143)*Scoring!$B$5</f>
        <v>8.25</v>
      </c>
      <c r="P141" s="116" t="n">
        <f aca="false">MAX(QB!D141*Scoring!$B$30+QB!E141/Scoring!$C$30+QB!F141*Scoring!$D$30+QB!G141*Scoring!$E$30+QB!H141*Scoring!$F$30+QB!I141/Scoring!$G$30+QB!J141*Scoring!$H$30+QB!K141*Scoring!$I$30+M141*Scoring!$J$30+QB!N141*Scoring!$K$30,0)+C141*Scoring!$B$10*0.07+(C141-D141)*Scoring!$B$5</f>
        <v>10.832</v>
      </c>
      <c r="Q141" s="116" t="n">
        <f aca="false">MAX(QB!D142*Scoring!$B$30+QB!E142/Scoring!$C$30+QB!F142*Scoring!$D$30+QB!G142*Scoring!$E$30+QB!H142*Scoring!$F$30+QB!I142/Scoring!$G$30+QB!J142*Scoring!$H$30+QB!K142*Scoring!$I$30+M142*Scoring!$J$30+QB!N142*Scoring!$K$30,0)+C142*Scoring!$B$10*0.07+(C142-D142)*Scoring!$B$5</f>
        <v>14.74</v>
      </c>
    </row>
    <row r="142" customFormat="false" ht="14.25" hidden="false" customHeight="true" outlineLevel="0" collapsed="false">
      <c r="B142" s="0" t="s">
        <v>491</v>
      </c>
      <c r="C142" s="0" t="n">
        <v>32</v>
      </c>
      <c r="D142" s="0" t="n">
        <v>20</v>
      </c>
      <c r="E142" s="0" t="n">
        <v>221</v>
      </c>
      <c r="F142" s="0" t="n">
        <v>1</v>
      </c>
      <c r="G142" s="0" t="n">
        <v>0</v>
      </c>
      <c r="H142" s="0" t="n">
        <v>5</v>
      </c>
      <c r="I142" s="0" t="n">
        <v>19</v>
      </c>
      <c r="J142" s="0" t="n">
        <v>0</v>
      </c>
      <c r="K142" s="0" t="n">
        <v>0</v>
      </c>
      <c r="L142" s="0" t="n">
        <v>13.2</v>
      </c>
      <c r="M142" s="115" t="n">
        <f aca="false">IFERROR(((E142/D142)/10.96)*0.5218*D142,0)</f>
        <v>10.521697080292</v>
      </c>
      <c r="N142" s="115" t="n">
        <f aca="false">IFERROR((((I142/H142)/5.3)*0.401)*H142,0)</f>
        <v>1.43754716981132</v>
      </c>
      <c r="O142" s="116"/>
      <c r="P142" s="116"/>
      <c r="Q142" s="116"/>
    </row>
    <row r="143" customFormat="false" ht="14.25" hidden="false" customHeight="true" outlineLevel="0" collapsed="false">
      <c r="B143" s="0" t="s">
        <v>492</v>
      </c>
      <c r="C143" s="0" t="n">
        <v>23</v>
      </c>
      <c r="D143" s="0" t="n">
        <v>14</v>
      </c>
      <c r="E143" s="0" t="n">
        <v>146.5</v>
      </c>
      <c r="F143" s="0" t="n">
        <v>0.8</v>
      </c>
      <c r="G143" s="0" t="n">
        <v>1</v>
      </c>
      <c r="H143" s="0" t="n">
        <v>1</v>
      </c>
      <c r="I143" s="0" t="n">
        <v>3.9</v>
      </c>
      <c r="J143" s="0" t="n">
        <v>0</v>
      </c>
      <c r="K143" s="0" t="n">
        <v>0.1</v>
      </c>
      <c r="L143" s="0" t="n">
        <v>8.4</v>
      </c>
      <c r="M143" s="115" t="n">
        <f aca="false">IFERROR(((E143/D143)/10.96)*0.5218*D143,0)</f>
        <v>6.9747901459854</v>
      </c>
      <c r="N143" s="115" t="n">
        <f aca="false">IFERROR((((I143/H143)/5.3)*0.401)*H143,0)</f>
        <v>0.295075471698113</v>
      </c>
      <c r="O143" s="116"/>
      <c r="P143" s="116"/>
      <c r="Q143" s="116"/>
    </row>
    <row r="144" customFormat="false" ht="14.25" hidden="false" customHeight="true" outlineLevel="0" collapsed="false">
      <c r="A144" s="0" t="s">
        <v>570</v>
      </c>
      <c r="B144" s="0" t="s">
        <v>530</v>
      </c>
      <c r="C144" s="0" t="n">
        <v>19.7</v>
      </c>
      <c r="D144" s="0" t="n">
        <v>13</v>
      </c>
      <c r="E144" s="0" t="n">
        <v>143.8</v>
      </c>
      <c r="F144" s="0" t="n">
        <v>0.9</v>
      </c>
      <c r="G144" s="0" t="n">
        <v>0.3</v>
      </c>
      <c r="H144" s="0" t="n">
        <v>3.7</v>
      </c>
      <c r="I144" s="0" t="n">
        <v>16.8</v>
      </c>
      <c r="J144" s="0" t="n">
        <v>0</v>
      </c>
      <c r="K144" s="0" t="n">
        <v>0.1</v>
      </c>
      <c r="L144" s="0" t="n">
        <v>11</v>
      </c>
      <c r="M144" s="115" t="n">
        <f aca="false">IFERROR(((E144/D144)/10.96)*0.5218*D144,0)</f>
        <v>6.84624452554745</v>
      </c>
      <c r="N144" s="115" t="n">
        <f aca="false">IFERROR((((I144/H144)/5.3)*0.401)*H144,0)</f>
        <v>1.27109433962264</v>
      </c>
      <c r="O144" s="116" t="n">
        <f aca="false">MAX(QB!D146*Scoring!$B$30+QB!E146/Scoring!$C$30+QB!F146*Scoring!$D$30+QB!G146*Scoring!$E$30+QB!H146*Scoring!$F$30+QB!I146/Scoring!$G$30+QB!J146*Scoring!$H$30+QB!K146*Scoring!$I$30+M146*Scoring!$J$30+QB!N146*Scoring!$K$30,0)+C146*Scoring!$B$10*0.07+(C146-D146)*Scoring!$B$5</f>
        <v>9.464</v>
      </c>
      <c r="P144" s="116" t="n">
        <f aca="false">MAX(QB!D144*Scoring!$B$30+QB!E144/Scoring!$C$30+QB!F144*Scoring!$D$30+QB!G144*Scoring!$E$30+QB!H144*Scoring!$F$30+QB!I144/Scoring!$G$30+QB!J144*Scoring!$H$30+QB!K144*Scoring!$I$30+M144*Scoring!$J$30+QB!N144*Scoring!$K$30,0)+C144*Scoring!$B$10*0.07+(C144-D144)*Scoring!$B$5</f>
        <v>10.532</v>
      </c>
      <c r="Q144" s="116" t="n">
        <f aca="false">MAX(QB!D145*Scoring!$B$30+QB!E145/Scoring!$C$30+QB!F145*Scoring!$D$30+QB!G145*Scoring!$E$30+QB!H145*Scoring!$F$30+QB!I145/Scoring!$G$30+QB!J145*Scoring!$H$30+QB!K145*Scoring!$I$30+M145*Scoring!$J$30+QB!N145*Scoring!$K$30,0)+C145*Scoring!$B$10*0.07+(C145-D145)*Scoring!$B$5</f>
        <v>12.7</v>
      </c>
    </row>
    <row r="145" customFormat="false" ht="14.25" hidden="false" customHeight="true" outlineLevel="0" collapsed="false">
      <c r="B145" s="0" t="s">
        <v>491</v>
      </c>
      <c r="C145" s="0" t="n">
        <v>20.3</v>
      </c>
      <c r="D145" s="0" t="n">
        <v>13</v>
      </c>
      <c r="E145" s="0" t="n">
        <v>150</v>
      </c>
      <c r="F145" s="0" t="n">
        <v>1</v>
      </c>
      <c r="G145" s="0" t="n">
        <v>0</v>
      </c>
      <c r="H145" s="0" t="n">
        <v>5</v>
      </c>
      <c r="I145" s="0" t="n">
        <v>21</v>
      </c>
      <c r="J145" s="0" t="n">
        <v>0.1</v>
      </c>
      <c r="K145" s="0" t="n">
        <v>0</v>
      </c>
      <c r="L145" s="0" t="n">
        <v>9.5</v>
      </c>
      <c r="M145" s="115" t="n">
        <f aca="false">IFERROR(((E145/D145)/10.96)*0.5218*D145,0)</f>
        <v>7.14142335766423</v>
      </c>
      <c r="N145" s="115" t="n">
        <f aca="false">IFERROR((((I145/H145)/5.3)*0.401)*H145,0)</f>
        <v>1.5888679245283</v>
      </c>
      <c r="O145" s="116"/>
      <c r="P145" s="116"/>
      <c r="Q145" s="116"/>
    </row>
    <row r="146" customFormat="false" ht="14.25" hidden="false" customHeight="true" outlineLevel="0" collapsed="false">
      <c r="B146" s="0" t="s">
        <v>492</v>
      </c>
      <c r="C146" s="0" t="n">
        <v>19</v>
      </c>
      <c r="D146" s="0" t="n">
        <v>13</v>
      </c>
      <c r="E146" s="0" t="n">
        <v>137.6</v>
      </c>
      <c r="F146" s="0" t="n">
        <v>0.9</v>
      </c>
      <c r="G146" s="0" t="n">
        <v>0.5</v>
      </c>
      <c r="H146" s="0" t="n">
        <v>2.3</v>
      </c>
      <c r="I146" s="0" t="n">
        <v>12.6</v>
      </c>
      <c r="J146" s="0" t="n">
        <v>0</v>
      </c>
      <c r="K146" s="0" t="n">
        <v>0.2</v>
      </c>
      <c r="L146" s="0" t="n">
        <v>9</v>
      </c>
      <c r="M146" s="115" t="n">
        <f aca="false">IFERROR(((E146/D146)/10.96)*0.5218*D146,0)</f>
        <v>6.55106569343066</v>
      </c>
      <c r="N146" s="115" t="n">
        <f aca="false">IFERROR((((I146/H146)/5.3)*0.401)*H146,0)</f>
        <v>0.953320754716981</v>
      </c>
      <c r="O146" s="116"/>
      <c r="P146" s="116"/>
      <c r="Q146" s="116"/>
    </row>
    <row r="147" customFormat="false" ht="14.25" hidden="false" customHeight="true" outlineLevel="0" collapsed="false">
      <c r="A147" s="0" t="s">
        <v>571</v>
      </c>
      <c r="B147" s="0" t="s">
        <v>524</v>
      </c>
      <c r="C147" s="0" t="n">
        <v>21.7</v>
      </c>
      <c r="D147" s="0" t="n">
        <v>14.8</v>
      </c>
      <c r="E147" s="0" t="n">
        <v>156.5</v>
      </c>
      <c r="F147" s="0" t="n">
        <v>1</v>
      </c>
      <c r="G147" s="0" t="n">
        <v>0.3</v>
      </c>
      <c r="H147" s="0" t="n">
        <v>3.3</v>
      </c>
      <c r="I147" s="0" t="n">
        <v>7.9</v>
      </c>
      <c r="J147" s="0" t="n">
        <v>0</v>
      </c>
      <c r="K147" s="0" t="n">
        <v>0.1</v>
      </c>
      <c r="L147" s="0" t="n">
        <v>10.6</v>
      </c>
      <c r="M147" s="115" t="n">
        <f aca="false">IFERROR(((E147/D147)/10.96)*0.5218*D147,0)</f>
        <v>7.45088503649635</v>
      </c>
      <c r="N147" s="115" t="n">
        <f aca="false">IFERROR((((I147/H147)/5.3)*0.401)*H147,0)</f>
        <v>0.597716981132076</v>
      </c>
      <c r="O147" s="116" t="n">
        <f aca="false">MAX(QB!D149*Scoring!$B$30+QB!E149/Scoring!$C$30+QB!F149*Scoring!$D$30+QB!G149*Scoring!$E$30+QB!H149*Scoring!$F$30+QB!I149/Scoring!$G$30+QB!J149*Scoring!$H$30+QB!K149*Scoring!$I$30+M149*Scoring!$J$30+QB!N149*Scoring!$K$30,0)+C149*Scoring!$B$10*0.07+(C149-D149)*Scoring!$B$5</f>
        <v>8.604</v>
      </c>
      <c r="P147" s="116" t="n">
        <f aca="false">MAX(QB!D147*Scoring!$B$30+QB!E147/Scoring!$C$30+QB!F147*Scoring!$D$30+QB!G147*Scoring!$E$30+QB!H147*Scoring!$F$30+QB!I147/Scoring!$G$30+QB!J147*Scoring!$H$30+QB!K147*Scoring!$I$30+M147*Scoring!$J$30+QB!N147*Scoring!$K$30,0)+C147*Scoring!$B$10*0.07+(C147-D147)*Scoring!$B$5</f>
        <v>10.55</v>
      </c>
      <c r="Q147" s="116" t="n">
        <f aca="false">MAX(QB!D148*Scoring!$B$30+QB!E148/Scoring!$C$30+QB!F148*Scoring!$D$30+QB!G148*Scoring!$E$30+QB!H148*Scoring!$F$30+QB!I148/Scoring!$G$30+QB!J148*Scoring!$H$30+QB!K148*Scoring!$I$30+M148*Scoring!$J$30+QB!N148*Scoring!$K$30,0)+C148*Scoring!$B$10*0.07+(C148-D148)*Scoring!$B$5</f>
        <v>12.7</v>
      </c>
    </row>
    <row r="148" customFormat="false" ht="14.25" hidden="false" customHeight="true" outlineLevel="0" collapsed="false">
      <c r="B148" s="0" t="s">
        <v>491</v>
      </c>
      <c r="C148" s="0" t="n">
        <v>22</v>
      </c>
      <c r="D148" s="0" t="n">
        <v>16</v>
      </c>
      <c r="E148" s="0" t="n">
        <v>180</v>
      </c>
      <c r="F148" s="0" t="n">
        <v>1</v>
      </c>
      <c r="G148" s="0" t="n">
        <v>0</v>
      </c>
      <c r="H148" s="0" t="n">
        <v>5</v>
      </c>
      <c r="I148" s="0" t="n">
        <v>9</v>
      </c>
      <c r="J148" s="0" t="n">
        <v>0.1</v>
      </c>
      <c r="K148" s="0" t="n">
        <v>0</v>
      </c>
      <c r="L148" s="0" t="n">
        <v>8.7</v>
      </c>
      <c r="M148" s="115" t="n">
        <f aca="false">IFERROR(((E148/D148)/10.96)*0.5218*D148,0)</f>
        <v>8.56970802919708</v>
      </c>
      <c r="N148" s="115" t="n">
        <f aca="false">IFERROR((((I148/H148)/5.3)*0.401)*H148,0)</f>
        <v>0.680943396226415</v>
      </c>
      <c r="O148" s="116"/>
      <c r="P148" s="116"/>
      <c r="Q148" s="116"/>
    </row>
    <row r="149" customFormat="false" ht="14.25" hidden="false" customHeight="true" outlineLevel="0" collapsed="false">
      <c r="B149" s="0" t="s">
        <v>492</v>
      </c>
      <c r="C149" s="0" t="n">
        <v>21.3</v>
      </c>
      <c r="D149" s="0" t="n">
        <v>13.5</v>
      </c>
      <c r="E149" s="0" t="n">
        <v>133.1</v>
      </c>
      <c r="F149" s="0" t="n">
        <v>0.9</v>
      </c>
      <c r="G149" s="0" t="n">
        <v>0.6</v>
      </c>
      <c r="H149" s="0" t="n">
        <v>1.5</v>
      </c>
      <c r="I149" s="0" t="n">
        <v>6.8</v>
      </c>
      <c r="J149" s="0" t="n">
        <v>0</v>
      </c>
      <c r="K149" s="0" t="n">
        <v>0.2</v>
      </c>
      <c r="L149" s="0" t="n">
        <v>8</v>
      </c>
      <c r="M149" s="115" t="n">
        <f aca="false">IFERROR(((E149/D149)/10.96)*0.5218*D149,0)</f>
        <v>6.33682299270073</v>
      </c>
      <c r="N149" s="115" t="n">
        <f aca="false">IFERROR((((I149/H149)/5.3)*0.401)*H149,0)</f>
        <v>0.514490566037736</v>
      </c>
      <c r="O149" s="116"/>
      <c r="P149" s="116"/>
      <c r="Q149" s="116"/>
    </row>
    <row r="150" customFormat="false" ht="14.25" hidden="false" customHeight="true" outlineLevel="0" collapsed="false">
      <c r="A150" s="0" t="s">
        <v>572</v>
      </c>
      <c r="B150" s="0" t="s">
        <v>494</v>
      </c>
      <c r="C150" s="0" t="n">
        <v>18.3</v>
      </c>
      <c r="D150" s="0" t="n">
        <v>11.8</v>
      </c>
      <c r="E150" s="0" t="n">
        <v>130.8</v>
      </c>
      <c r="F150" s="0" t="n">
        <v>0.9</v>
      </c>
      <c r="G150" s="0" t="n">
        <v>0.3</v>
      </c>
      <c r="H150" s="0" t="n">
        <v>3.5</v>
      </c>
      <c r="I150" s="0" t="n">
        <v>18.7</v>
      </c>
      <c r="J150" s="0" t="n">
        <v>0</v>
      </c>
      <c r="K150" s="0" t="n">
        <v>0.1</v>
      </c>
      <c r="L150" s="0" t="n">
        <v>10.6</v>
      </c>
      <c r="M150" s="115" t="n">
        <f aca="false">IFERROR(((E150/D150)/10.96)*0.5218*D150,0)</f>
        <v>6.22732116788321</v>
      </c>
      <c r="N150" s="115" t="n">
        <f aca="false">IFERROR((((I150/H150)/5.3)*0.401)*H150,0)</f>
        <v>1.41484905660377</v>
      </c>
      <c r="O150" s="116" t="n">
        <f aca="false">MAX(QB!D152*Scoring!$B$30+QB!E152/Scoring!$C$30+QB!F152*Scoring!$D$30+QB!G152*Scoring!$E$30+QB!H152*Scoring!$F$30+QB!I152/Scoring!$G$30+QB!J152*Scoring!$H$30+QB!K152*Scoring!$I$30+M152*Scoring!$J$30+QB!N152*Scoring!$K$30,0)+C152*Scoring!$B$10*0.07+(C152-D152)*Scoring!$B$5</f>
        <v>8.994</v>
      </c>
      <c r="P150" s="116" t="n">
        <f aca="false">MAX(QB!D150*Scoring!$B$30+QB!E150/Scoring!$C$30+QB!F150*Scoring!$D$30+QB!G150*Scoring!$E$30+QB!H150*Scoring!$F$30+QB!I150/Scoring!$G$30+QB!J150*Scoring!$H$30+QB!K150*Scoring!$I$30+M150*Scoring!$J$30+QB!N150*Scoring!$K$30,0)+C150*Scoring!$B$10*0.07+(C150-D150)*Scoring!$B$5</f>
        <v>10.202</v>
      </c>
      <c r="Q150" s="116" t="n">
        <f aca="false">MAX(QB!D151*Scoring!$B$30+QB!E151/Scoring!$C$30+QB!F151*Scoring!$D$30+QB!G151*Scoring!$E$30+QB!H151*Scoring!$F$30+QB!I151/Scoring!$G$30+QB!J151*Scoring!$H$30+QB!K151*Scoring!$I$30+M151*Scoring!$J$30+QB!N151*Scoring!$K$30,0)+C151*Scoring!$B$10*0.07+(C151-D151)*Scoring!$B$5</f>
        <v>12.72</v>
      </c>
    </row>
    <row r="151" customFormat="false" ht="14.25" hidden="false" customHeight="true" outlineLevel="0" collapsed="false">
      <c r="B151" s="0" t="s">
        <v>491</v>
      </c>
      <c r="C151" s="0" t="n">
        <v>19.5</v>
      </c>
      <c r="D151" s="0" t="n">
        <v>12.6</v>
      </c>
      <c r="E151" s="0" t="n">
        <v>133</v>
      </c>
      <c r="F151" s="0" t="n">
        <v>1</v>
      </c>
      <c r="G151" s="0" t="n">
        <v>0</v>
      </c>
      <c r="H151" s="0" t="n">
        <v>5</v>
      </c>
      <c r="I151" s="0" t="n">
        <v>28</v>
      </c>
      <c r="J151" s="0" t="n">
        <v>0.1</v>
      </c>
      <c r="K151" s="0" t="n">
        <v>0</v>
      </c>
      <c r="L151" s="0" t="n">
        <v>9</v>
      </c>
      <c r="M151" s="115" t="n">
        <f aca="false">IFERROR(((E151/D151)/10.96)*0.5218*D151,0)</f>
        <v>6.33206204379562</v>
      </c>
      <c r="N151" s="115" t="n">
        <f aca="false">IFERROR((((I151/H151)/5.3)*0.401)*H151,0)</f>
        <v>2.11849056603774</v>
      </c>
      <c r="O151" s="116"/>
      <c r="P151" s="116"/>
      <c r="Q151" s="116"/>
    </row>
    <row r="152" customFormat="false" ht="14.25" hidden="false" customHeight="true" outlineLevel="0" collapsed="false">
      <c r="B152" s="0" t="s">
        <v>492</v>
      </c>
      <c r="C152" s="0" t="n">
        <v>17</v>
      </c>
      <c r="D152" s="0" t="n">
        <v>11</v>
      </c>
      <c r="E152" s="0" t="n">
        <v>128.6</v>
      </c>
      <c r="F152" s="0" t="n">
        <v>0.9</v>
      </c>
      <c r="G152" s="0" t="n">
        <v>0.5</v>
      </c>
      <c r="H152" s="0" t="n">
        <v>2</v>
      </c>
      <c r="I152" s="0" t="n">
        <v>9.5</v>
      </c>
      <c r="J152" s="0" t="n">
        <v>0</v>
      </c>
      <c r="K152" s="0" t="n">
        <v>0.1</v>
      </c>
      <c r="L152" s="0" t="n">
        <v>8.6</v>
      </c>
      <c r="M152" s="115" t="n">
        <f aca="false">IFERROR(((E152/D152)/10.96)*0.5218*D152,0)</f>
        <v>6.1225802919708</v>
      </c>
      <c r="N152" s="115" t="n">
        <f aca="false">IFERROR((((I152/H152)/5.3)*0.401)*H152,0)</f>
        <v>0.718773584905661</v>
      </c>
      <c r="O152" s="116"/>
      <c r="P152" s="116"/>
      <c r="Q152" s="116"/>
    </row>
    <row r="153" customFormat="false" ht="14.25" hidden="false" customHeight="true" outlineLevel="0" collapsed="false">
      <c r="A153" s="0" t="s">
        <v>573</v>
      </c>
      <c r="B153" s="0" t="s">
        <v>506</v>
      </c>
      <c r="C153" s="0" t="n">
        <v>22.8</v>
      </c>
      <c r="D153" s="0" t="n">
        <v>13.9</v>
      </c>
      <c r="E153" s="0" t="n">
        <v>157.9</v>
      </c>
      <c r="F153" s="0" t="n">
        <v>1</v>
      </c>
      <c r="G153" s="0" t="n">
        <v>0.8</v>
      </c>
      <c r="H153" s="0" t="n">
        <v>3</v>
      </c>
      <c r="I153" s="0" t="n">
        <v>11.6</v>
      </c>
      <c r="J153" s="0" t="n">
        <v>0</v>
      </c>
      <c r="K153" s="0" t="n">
        <v>0.1</v>
      </c>
      <c r="L153" s="0" t="n">
        <v>10.5</v>
      </c>
      <c r="M153" s="115" t="n">
        <f aca="false">IFERROR(((E153/D153)/10.96)*0.5218*D153,0)</f>
        <v>7.51753832116788</v>
      </c>
      <c r="N153" s="115" t="n">
        <f aca="false">IFERROR((((I153/H153)/5.3)*0.401)*H153,0)</f>
        <v>0.877660377358491</v>
      </c>
      <c r="O153" s="116" t="n">
        <f aca="false">MAX(QB!D155*Scoring!$B$30+QB!E155/Scoring!$C$30+QB!F155*Scoring!$D$30+QB!G155*Scoring!$E$30+QB!H155*Scoring!$F$30+QB!I155/Scoring!$G$30+QB!J155*Scoring!$H$30+QB!K155*Scoring!$I$30+M155*Scoring!$J$30+QB!N155*Scoring!$K$30,0)+C155*Scoring!$B$10*0.07+(C155-D155)*Scoring!$B$5</f>
        <v>9.1</v>
      </c>
      <c r="P153" s="116" t="n">
        <f aca="false">MAX(QB!D153*Scoring!$B$30+QB!E153/Scoring!$C$30+QB!F153*Scoring!$D$30+QB!G153*Scoring!$E$30+QB!H153*Scoring!$F$30+QB!I153/Scoring!$G$30+QB!J153*Scoring!$H$30+QB!K153*Scoring!$I$30+M153*Scoring!$J$30+QB!N153*Scoring!$K$30,0)+C153*Scoring!$B$10*0.07+(C153-D153)*Scoring!$B$5</f>
        <v>10.476</v>
      </c>
      <c r="Q153" s="116" t="n">
        <f aca="false">MAX(QB!D154*Scoring!$B$30+QB!E154/Scoring!$C$30+QB!F154*Scoring!$D$30+QB!G154*Scoring!$E$30+QB!H154*Scoring!$F$30+QB!I154/Scoring!$G$30+QB!J154*Scoring!$H$30+QB!K154*Scoring!$I$30+M154*Scoring!$J$30+QB!N154*Scoring!$K$30,0)+C154*Scoring!$B$10*0.07+(C154-D154)*Scoring!$B$5</f>
        <v>11.652</v>
      </c>
    </row>
    <row r="154" customFormat="false" ht="14.25" hidden="false" customHeight="true" outlineLevel="0" collapsed="false">
      <c r="B154" s="0" t="s">
        <v>491</v>
      </c>
      <c r="C154" s="0" t="n">
        <v>23.5</v>
      </c>
      <c r="D154" s="0" t="n">
        <v>14.7</v>
      </c>
      <c r="E154" s="0" t="n">
        <v>158.8</v>
      </c>
      <c r="F154" s="0" t="n">
        <v>1</v>
      </c>
      <c r="G154" s="0" t="n">
        <v>0.6</v>
      </c>
      <c r="H154" s="0" t="n">
        <v>5</v>
      </c>
      <c r="I154" s="0" t="n">
        <v>19</v>
      </c>
      <c r="J154" s="0" t="n">
        <v>0</v>
      </c>
      <c r="K154" s="0" t="n">
        <v>0</v>
      </c>
      <c r="L154" s="0" t="n">
        <v>9.4</v>
      </c>
      <c r="M154" s="115" t="n">
        <f aca="false">IFERROR(((E154/D154)/10.96)*0.5218*D154,0)</f>
        <v>7.56038686131387</v>
      </c>
      <c r="N154" s="115" t="n">
        <f aca="false">IFERROR((((I154/H154)/5.3)*0.401)*H154,0)</f>
        <v>1.43754716981132</v>
      </c>
      <c r="O154" s="116"/>
      <c r="P154" s="116"/>
      <c r="Q154" s="116"/>
    </row>
    <row r="155" customFormat="false" ht="14.25" hidden="false" customHeight="true" outlineLevel="0" collapsed="false">
      <c r="B155" s="0" t="s">
        <v>492</v>
      </c>
      <c r="C155" s="0" t="n">
        <v>22</v>
      </c>
      <c r="D155" s="0" t="n">
        <v>13</v>
      </c>
      <c r="E155" s="0" t="n">
        <v>157</v>
      </c>
      <c r="F155" s="0" t="n">
        <v>1</v>
      </c>
      <c r="G155" s="0" t="n">
        <v>1</v>
      </c>
      <c r="H155" s="0" t="n">
        <v>1</v>
      </c>
      <c r="I155" s="0" t="n">
        <v>4.2</v>
      </c>
      <c r="J155" s="0" t="n">
        <v>0</v>
      </c>
      <c r="K155" s="0" t="n">
        <v>0.3</v>
      </c>
      <c r="L155" s="0" t="n">
        <v>7</v>
      </c>
      <c r="M155" s="115" t="n">
        <f aca="false">IFERROR(((E155/D155)/10.96)*0.5218*D155,0)</f>
        <v>7.4746897810219</v>
      </c>
      <c r="N155" s="115" t="n">
        <f aca="false">IFERROR((((I155/H155)/5.3)*0.401)*H155,0)</f>
        <v>0.31777358490566</v>
      </c>
      <c r="O155" s="116"/>
      <c r="P155" s="116"/>
      <c r="Q155" s="116"/>
    </row>
    <row r="156" customFormat="false" ht="14.25" hidden="false" customHeight="true" outlineLevel="0" collapsed="false">
      <c r="A156" s="0" t="s">
        <v>574</v>
      </c>
      <c r="B156" s="0" t="s">
        <v>508</v>
      </c>
      <c r="C156" s="0" t="n">
        <v>22.5</v>
      </c>
      <c r="D156" s="0" t="n">
        <v>14.9</v>
      </c>
      <c r="E156" s="0" t="n">
        <v>160.2</v>
      </c>
      <c r="F156" s="0" t="n">
        <v>1</v>
      </c>
      <c r="G156" s="0" t="n">
        <v>0.5</v>
      </c>
      <c r="H156" s="0" t="n">
        <v>2.7</v>
      </c>
      <c r="I156" s="0" t="n">
        <v>8.4</v>
      </c>
      <c r="J156" s="0" t="n">
        <v>0</v>
      </c>
      <c r="K156" s="0" t="n">
        <v>0.1</v>
      </c>
      <c r="L156" s="0" t="n">
        <v>10.5</v>
      </c>
      <c r="M156" s="115" t="n">
        <f aca="false">IFERROR(((E156/D156)/10.96)*0.5218*D156,0)</f>
        <v>7.6270401459854</v>
      </c>
      <c r="N156" s="115" t="n">
        <f aca="false">IFERROR((((I156/H156)/5.3)*0.401)*H156,0)</f>
        <v>0.635547169811321</v>
      </c>
      <c r="O156" s="116" t="n">
        <f aca="false">MAX(QB!D158*Scoring!$B$30+QB!E158/Scoring!$C$30+QB!F158*Scoring!$D$30+QB!G158*Scoring!$E$30+QB!H158*Scoring!$F$30+QB!I158/Scoring!$G$30+QB!J158*Scoring!$H$30+QB!K158*Scoring!$I$30+M158*Scoring!$J$30+QB!N158*Scoring!$K$30,0)+C158*Scoring!$B$10*0.07+(C158-D158)*Scoring!$B$5</f>
        <v>8.444</v>
      </c>
      <c r="P156" s="116" t="n">
        <f aca="false">MAX(QB!D156*Scoring!$B$30+QB!E156/Scoring!$C$30+QB!F156*Scoring!$D$30+QB!G156*Scoring!$E$30+QB!H156*Scoring!$F$30+QB!I156/Scoring!$G$30+QB!J156*Scoring!$H$30+QB!K156*Scoring!$I$30+M156*Scoring!$J$30+QB!N156*Scoring!$K$30,0)+C156*Scoring!$B$10*0.07+(C156-D156)*Scoring!$B$5</f>
        <v>10.548</v>
      </c>
      <c r="Q156" s="116" t="n">
        <f aca="false">MAX(QB!D157*Scoring!$B$30+QB!E157/Scoring!$C$30+QB!F157*Scoring!$D$30+QB!G157*Scoring!$E$30+QB!H157*Scoring!$F$30+QB!I157/Scoring!$G$30+QB!J157*Scoring!$H$30+QB!K157*Scoring!$I$30+M157*Scoring!$J$30+QB!N157*Scoring!$K$30,0)+C157*Scoring!$B$10*0.07+(C157-D157)*Scoring!$B$5</f>
        <v>12.52</v>
      </c>
    </row>
    <row r="157" customFormat="false" ht="14.25" hidden="false" customHeight="true" outlineLevel="0" collapsed="false">
      <c r="B157" s="0" t="s">
        <v>491</v>
      </c>
      <c r="C157" s="0" t="n">
        <v>23</v>
      </c>
      <c r="D157" s="0" t="n">
        <v>15</v>
      </c>
      <c r="E157" s="0" t="n">
        <v>168</v>
      </c>
      <c r="F157" s="0" t="n">
        <v>1</v>
      </c>
      <c r="G157" s="0" t="n">
        <v>0</v>
      </c>
      <c r="H157" s="0" t="n">
        <v>5</v>
      </c>
      <c r="I157" s="0" t="n">
        <v>18</v>
      </c>
      <c r="J157" s="0" t="n">
        <v>0</v>
      </c>
      <c r="K157" s="0" t="n">
        <v>0</v>
      </c>
      <c r="L157" s="0" t="n">
        <v>11.2</v>
      </c>
      <c r="M157" s="115" t="n">
        <f aca="false">IFERROR(((E157/D157)/10.96)*0.5218*D157,0)</f>
        <v>7.99839416058394</v>
      </c>
      <c r="N157" s="115" t="n">
        <f aca="false">IFERROR((((I157/H157)/5.3)*0.401)*H157,0)</f>
        <v>1.36188679245283</v>
      </c>
      <c r="O157" s="116"/>
      <c r="P157" s="116"/>
      <c r="Q157" s="116"/>
    </row>
    <row r="158" customFormat="false" ht="14.25" hidden="false" customHeight="true" outlineLevel="0" collapsed="false">
      <c r="B158" s="0" t="s">
        <v>492</v>
      </c>
      <c r="C158" s="0" t="n">
        <v>22</v>
      </c>
      <c r="D158" s="0" t="n">
        <v>14.7</v>
      </c>
      <c r="E158" s="0" t="n">
        <v>145.6</v>
      </c>
      <c r="F158" s="0" t="n">
        <v>0.9</v>
      </c>
      <c r="G158" s="0" t="n">
        <v>1</v>
      </c>
      <c r="H158" s="0" t="n">
        <v>1</v>
      </c>
      <c r="I158" s="0" t="n">
        <v>2.2</v>
      </c>
      <c r="J158" s="0" t="n">
        <v>0</v>
      </c>
      <c r="K158" s="0" t="n">
        <v>0.1</v>
      </c>
      <c r="L158" s="0" t="n">
        <v>7</v>
      </c>
      <c r="M158" s="115" t="n">
        <f aca="false">IFERROR(((E158/D158)/10.96)*0.5218*D158,0)</f>
        <v>6.93194160583942</v>
      </c>
      <c r="N158" s="115" t="n">
        <f aca="false">IFERROR((((I158/H158)/5.3)*0.401)*H158,0)</f>
        <v>0.166452830188679</v>
      </c>
      <c r="O158" s="116"/>
      <c r="P158" s="116"/>
      <c r="Q158" s="116"/>
    </row>
    <row r="159" customFormat="false" ht="14.25" hidden="false" customHeight="true" outlineLevel="0" collapsed="false">
      <c r="A159" s="0" t="s">
        <v>575</v>
      </c>
      <c r="B159" s="0" t="s">
        <v>516</v>
      </c>
      <c r="C159" s="0" t="n">
        <v>22.2</v>
      </c>
      <c r="D159" s="0" t="n">
        <v>13.6</v>
      </c>
      <c r="E159" s="0" t="n">
        <v>148.2</v>
      </c>
      <c r="F159" s="0" t="n">
        <v>1</v>
      </c>
      <c r="G159" s="0" t="n">
        <v>0.8</v>
      </c>
      <c r="H159" s="0" t="n">
        <v>3.2</v>
      </c>
      <c r="I159" s="0" t="n">
        <v>12.9</v>
      </c>
      <c r="J159" s="0" t="n">
        <v>0</v>
      </c>
      <c r="K159" s="0" t="n">
        <v>0.1</v>
      </c>
      <c r="L159" s="0" t="n">
        <v>10.4</v>
      </c>
      <c r="M159" s="115" t="n">
        <f aca="false">IFERROR(((E159/D159)/10.96)*0.5218*D159,0)</f>
        <v>7.05572627737226</v>
      </c>
      <c r="N159" s="115" t="n">
        <f aca="false">IFERROR((((I159/H159)/5.3)*0.401)*H159,0)</f>
        <v>0.976018867924529</v>
      </c>
      <c r="O159" s="116" t="n">
        <f aca="false">MAX(QB!D161*Scoring!$B$30+QB!E161/Scoring!$C$30+QB!F161*Scoring!$D$30+QB!G161*Scoring!$E$30+QB!H161*Scoring!$F$30+QB!I161/Scoring!$G$30+QB!J161*Scoring!$H$30+QB!K161*Scoring!$I$30+M161*Scoring!$J$30+QB!N161*Scoring!$K$30,0)+C161*Scoring!$B$10*0.07+(C161-D161)*Scoring!$B$5</f>
        <v>9.38</v>
      </c>
      <c r="P159" s="116" t="n">
        <f aca="false">MAX(QB!D159*Scoring!$B$30+QB!E159/Scoring!$C$30+QB!F159*Scoring!$D$30+QB!G159*Scoring!$E$30+QB!H159*Scoring!$F$30+QB!I159/Scoring!$G$30+QB!J159*Scoring!$H$30+QB!K159*Scoring!$I$30+M159*Scoring!$J$30+QB!N159*Scoring!$K$30,0)+C159*Scoring!$B$10*0.07+(C159-D159)*Scoring!$B$5</f>
        <v>10.218</v>
      </c>
      <c r="Q159" s="116" t="n">
        <f aca="false">MAX(QB!D160*Scoring!$B$30+QB!E160/Scoring!$C$30+QB!F160*Scoring!$D$30+QB!G160*Scoring!$E$30+QB!H160*Scoring!$F$30+QB!I160/Scoring!$G$30+QB!J160*Scoring!$H$30+QB!K160*Scoring!$I$30+M160*Scoring!$J$30+QB!N160*Scoring!$K$30,0)+C160*Scoring!$B$10*0.07+(C160-D160)*Scoring!$B$5</f>
        <v>11.86</v>
      </c>
    </row>
    <row r="160" customFormat="false" ht="14.25" hidden="false" customHeight="true" outlineLevel="0" collapsed="false">
      <c r="B160" s="0" t="s">
        <v>491</v>
      </c>
      <c r="C160" s="0" t="n">
        <v>22.4</v>
      </c>
      <c r="D160" s="0" t="n">
        <v>14</v>
      </c>
      <c r="E160" s="0" t="n">
        <v>149</v>
      </c>
      <c r="F160" s="0" t="n">
        <v>1</v>
      </c>
      <c r="G160" s="0" t="n">
        <v>0.6</v>
      </c>
      <c r="H160" s="0" t="n">
        <v>5</v>
      </c>
      <c r="I160" s="0" t="n">
        <v>19</v>
      </c>
      <c r="J160" s="0" t="n">
        <v>0.1</v>
      </c>
      <c r="K160" s="0" t="n">
        <v>0</v>
      </c>
      <c r="L160" s="0" t="n">
        <v>9.4</v>
      </c>
      <c r="M160" s="115" t="n">
        <f aca="false">IFERROR(((E160/D160)/10.96)*0.5218*D160,0)</f>
        <v>7.09381386861314</v>
      </c>
      <c r="N160" s="115" t="n">
        <f aca="false">IFERROR((((I160/H160)/5.3)*0.401)*H160,0)</f>
        <v>1.43754716981132</v>
      </c>
      <c r="O160" s="116"/>
      <c r="P160" s="116"/>
      <c r="Q160" s="116"/>
    </row>
    <row r="161" customFormat="false" ht="14.25" hidden="false" customHeight="true" outlineLevel="0" collapsed="false">
      <c r="B161" s="0" t="s">
        <v>492</v>
      </c>
      <c r="C161" s="0" t="n">
        <v>22</v>
      </c>
      <c r="D161" s="0" t="n">
        <v>13.2</v>
      </c>
      <c r="E161" s="0" t="n">
        <v>147.5</v>
      </c>
      <c r="F161" s="0" t="n">
        <v>1</v>
      </c>
      <c r="G161" s="0" t="n">
        <v>1</v>
      </c>
      <c r="H161" s="0" t="n">
        <v>1.5</v>
      </c>
      <c r="I161" s="0" t="n">
        <v>6.8</v>
      </c>
      <c r="J161" s="0" t="n">
        <v>0</v>
      </c>
      <c r="K161" s="0" t="n">
        <v>0.1</v>
      </c>
      <c r="L161" s="0" t="n">
        <v>7</v>
      </c>
      <c r="M161" s="115" t="n">
        <f aca="false">IFERROR(((E161/D161)/10.96)*0.5218*D161,0)</f>
        <v>7.0223996350365</v>
      </c>
      <c r="N161" s="115" t="n">
        <f aca="false">IFERROR((((I161/H161)/5.3)*0.401)*H161,0)</f>
        <v>0.514490566037736</v>
      </c>
      <c r="O161" s="116"/>
      <c r="P161" s="116"/>
      <c r="Q161" s="116"/>
    </row>
    <row r="162" customFormat="false" ht="14.25" hidden="false" customHeight="true" outlineLevel="0" collapsed="false">
      <c r="A162" s="0" t="s">
        <v>576</v>
      </c>
      <c r="B162" s="0" t="s">
        <v>500</v>
      </c>
      <c r="C162" s="0" t="n">
        <v>20.3</v>
      </c>
      <c r="D162" s="0" t="n">
        <v>12.8</v>
      </c>
      <c r="E162" s="0" t="n">
        <v>141</v>
      </c>
      <c r="F162" s="0" t="n">
        <v>1</v>
      </c>
      <c r="G162" s="0" t="n">
        <v>0.2</v>
      </c>
      <c r="H162" s="0" t="n">
        <v>3</v>
      </c>
      <c r="I162" s="0" t="n">
        <v>9.9</v>
      </c>
      <c r="J162" s="0" t="n">
        <v>0</v>
      </c>
      <c r="K162" s="0" t="n">
        <v>0</v>
      </c>
      <c r="L162" s="0" t="n">
        <v>10.3</v>
      </c>
      <c r="M162" s="115" t="n">
        <f aca="false">IFERROR(((E162/D162)/10.96)*0.5218*D162,0)</f>
        <v>6.71293795620438</v>
      </c>
      <c r="N162" s="115" t="n">
        <f aca="false">IFERROR((((I162/H162)/5.3)*0.401)*H162,0)</f>
        <v>0.749037735849057</v>
      </c>
      <c r="O162" s="116" t="n">
        <f aca="false">MAX(QB!D164*Scoring!$B$30+QB!E164/Scoring!$C$30+QB!F164*Scoring!$D$30+QB!G164*Scoring!$E$30+QB!H164*Scoring!$F$30+QB!I164/Scoring!$G$30+QB!J164*Scoring!$H$30+QB!K164*Scoring!$I$30+M164*Scoring!$J$30+QB!N164*Scoring!$K$30,0)+C164*Scoring!$B$10*0.07+(C164-D164)*Scoring!$B$5</f>
        <v>8.83</v>
      </c>
      <c r="P162" s="116" t="n">
        <f aca="false">MAX(QB!D162*Scoring!$B$30+QB!E162/Scoring!$C$30+QB!F162*Scoring!$D$30+QB!G162*Scoring!$E$30+QB!H162*Scoring!$F$30+QB!I162/Scoring!$G$30+QB!J162*Scoring!$H$30+QB!K162*Scoring!$I$30+M162*Scoring!$J$30+QB!N162*Scoring!$K$30,0)+C162*Scoring!$B$10*0.07+(C162-D162)*Scoring!$B$5</f>
        <v>10.43</v>
      </c>
      <c r="Q162" s="116" t="n">
        <f aca="false">MAX(QB!D163*Scoring!$B$30+QB!E163/Scoring!$C$30+QB!F163*Scoring!$D$30+QB!G163*Scoring!$E$30+QB!H163*Scoring!$F$30+QB!I163/Scoring!$G$30+QB!J163*Scoring!$H$30+QB!K163*Scoring!$I$30+M163*Scoring!$J$30+QB!N163*Scoring!$K$30,0)+C163*Scoring!$B$10*0.07+(C163-D163)*Scoring!$B$5</f>
        <v>11.72</v>
      </c>
    </row>
    <row r="163" customFormat="false" ht="14.25" hidden="false" customHeight="true" outlineLevel="0" collapsed="false">
      <c r="B163" s="0" t="s">
        <v>491</v>
      </c>
      <c r="C163" s="0" t="n">
        <v>21.7</v>
      </c>
      <c r="D163" s="0" t="n">
        <v>13.7</v>
      </c>
      <c r="E163" s="0" t="n">
        <v>153</v>
      </c>
      <c r="F163" s="0" t="n">
        <v>1</v>
      </c>
      <c r="G163" s="0" t="n">
        <v>0</v>
      </c>
      <c r="H163" s="0" t="n">
        <v>5</v>
      </c>
      <c r="I163" s="0" t="n">
        <v>16</v>
      </c>
      <c r="J163" s="0" t="n">
        <v>0</v>
      </c>
      <c r="K163" s="0" t="n">
        <v>0</v>
      </c>
      <c r="L163" s="0" t="n">
        <v>9.5</v>
      </c>
      <c r="M163" s="115" t="n">
        <f aca="false">IFERROR(((E163/D163)/10.96)*0.5218*D163,0)</f>
        <v>7.28425182481752</v>
      </c>
      <c r="N163" s="115" t="n">
        <f aca="false">IFERROR((((I163/H163)/5.3)*0.401)*H163,0)</f>
        <v>1.21056603773585</v>
      </c>
      <c r="O163" s="116"/>
      <c r="P163" s="116"/>
      <c r="Q163" s="116"/>
    </row>
    <row r="164" customFormat="false" ht="14.25" hidden="false" customHeight="true" outlineLevel="0" collapsed="false">
      <c r="B164" s="0" t="s">
        <v>492</v>
      </c>
      <c r="C164" s="0" t="n">
        <v>19</v>
      </c>
      <c r="D164" s="0" t="n">
        <v>12</v>
      </c>
      <c r="E164" s="0" t="n">
        <v>129</v>
      </c>
      <c r="F164" s="0" t="n">
        <v>1</v>
      </c>
      <c r="G164" s="0" t="n">
        <v>0.5</v>
      </c>
      <c r="H164" s="0" t="n">
        <v>1</v>
      </c>
      <c r="I164" s="0" t="n">
        <v>3.7</v>
      </c>
      <c r="J164" s="0" t="n">
        <v>0</v>
      </c>
      <c r="K164" s="0" t="n">
        <v>0.1</v>
      </c>
      <c r="L164" s="0" t="n">
        <v>8</v>
      </c>
      <c r="M164" s="115" t="n">
        <f aca="false">IFERROR(((E164/D164)/10.96)*0.5218*D164,0)</f>
        <v>6.14162408759124</v>
      </c>
      <c r="N164" s="115" t="n">
        <f aca="false">IFERROR((((I164/H164)/5.3)*0.401)*H164,0)</f>
        <v>0.279943396226415</v>
      </c>
      <c r="O164" s="116"/>
      <c r="P164" s="116"/>
      <c r="Q164" s="116"/>
    </row>
    <row r="165" customFormat="false" ht="14.25" hidden="false" customHeight="true" outlineLevel="0" collapsed="false">
      <c r="A165" s="0" t="s">
        <v>577</v>
      </c>
      <c r="B165" s="0" t="s">
        <v>502</v>
      </c>
      <c r="C165" s="0" t="n">
        <v>24.9</v>
      </c>
      <c r="D165" s="0" t="n">
        <v>16.1</v>
      </c>
      <c r="E165" s="0" t="n">
        <v>169.4</v>
      </c>
      <c r="F165" s="0" t="n">
        <v>1.2</v>
      </c>
      <c r="G165" s="0" t="n">
        <v>0.8</v>
      </c>
      <c r="H165" s="0" t="n">
        <v>2.2</v>
      </c>
      <c r="I165" s="0" t="n">
        <v>8.6</v>
      </c>
      <c r="J165" s="0" t="n">
        <v>0</v>
      </c>
      <c r="K165" s="0" t="n">
        <v>0.6</v>
      </c>
      <c r="L165" s="0" t="n">
        <v>10.3</v>
      </c>
      <c r="M165" s="115" t="n">
        <f aca="false">IFERROR(((E165/D165)/10.96)*0.5218*D165,0)</f>
        <v>8.06504744525548</v>
      </c>
      <c r="N165" s="115" t="n">
        <f aca="false">IFERROR((((I165/H165)/5.3)*0.401)*H165,0)</f>
        <v>0.650679245283019</v>
      </c>
      <c r="O165" s="116" t="n">
        <f aca="false">MAX(QB!D167*Scoring!$B$30+QB!E167/Scoring!$C$30+QB!F167*Scoring!$D$30+QB!G167*Scoring!$E$30+QB!H167*Scoring!$F$30+QB!I167/Scoring!$G$30+QB!J167*Scoring!$H$30+QB!K167*Scoring!$I$30+M167*Scoring!$J$30+QB!N167*Scoring!$K$30,0)+C167*Scoring!$B$10*0.07+(C167-D167)*Scoring!$B$5</f>
        <v>7.712</v>
      </c>
      <c r="P165" s="116" t="n">
        <f aca="false">MAX(QB!D165*Scoring!$B$30+QB!E165/Scoring!$C$30+QB!F165*Scoring!$D$30+QB!G165*Scoring!$E$30+QB!H165*Scoring!$F$30+QB!I165/Scoring!$G$30+QB!J165*Scoring!$H$30+QB!K165*Scoring!$I$30+M165*Scoring!$J$30+QB!N165*Scoring!$K$30,0)+C165*Scoring!$B$10*0.07+(C165-D165)*Scoring!$B$5</f>
        <v>10.436</v>
      </c>
      <c r="Q165" s="116" t="n">
        <f aca="false">MAX(QB!D166*Scoring!$B$30+QB!E166/Scoring!$C$30+QB!F166*Scoring!$D$30+QB!G166*Scoring!$E$30+QB!H166*Scoring!$F$30+QB!I166/Scoring!$G$30+QB!J166*Scoring!$H$30+QB!K166*Scoring!$I$30+M166*Scoring!$J$30+QB!N166*Scoring!$K$30,0)+C166*Scoring!$B$10*0.07+(C166-D166)*Scoring!$B$5</f>
        <v>12.66</v>
      </c>
    </row>
    <row r="166" customFormat="false" ht="14.25" hidden="false" customHeight="true" outlineLevel="0" collapsed="false">
      <c r="B166" s="0" t="s">
        <v>491</v>
      </c>
      <c r="C166" s="0" t="n">
        <v>25</v>
      </c>
      <c r="D166" s="0" t="n">
        <v>17</v>
      </c>
      <c r="E166" s="0" t="n">
        <v>174</v>
      </c>
      <c r="F166" s="0" t="n">
        <v>1.3</v>
      </c>
      <c r="G166" s="0" t="n">
        <v>0.7</v>
      </c>
      <c r="H166" s="0" t="n">
        <v>4</v>
      </c>
      <c r="I166" s="0" t="n">
        <v>16</v>
      </c>
      <c r="J166" s="0" t="n">
        <v>0</v>
      </c>
      <c r="K166" s="0" t="n">
        <v>0.2</v>
      </c>
      <c r="L166" s="0" t="n">
        <v>10.5</v>
      </c>
      <c r="M166" s="115" t="n">
        <f aca="false">IFERROR(((E166/D166)/10.96)*0.5218*D166,0)</f>
        <v>8.28405109489051</v>
      </c>
      <c r="N166" s="115" t="n">
        <f aca="false">IFERROR((((I166/H166)/5.3)*0.401)*H166,0)</f>
        <v>1.21056603773585</v>
      </c>
      <c r="O166" s="116"/>
      <c r="P166" s="116"/>
      <c r="Q166" s="116"/>
    </row>
    <row r="167" customFormat="false" ht="14.25" hidden="false" customHeight="true" outlineLevel="0" collapsed="false">
      <c r="B167" s="0" t="s">
        <v>492</v>
      </c>
      <c r="C167" s="0" t="n">
        <v>24.8</v>
      </c>
      <c r="D167" s="0" t="n">
        <v>15.3</v>
      </c>
      <c r="E167" s="0" t="n">
        <v>164.8</v>
      </c>
      <c r="F167" s="0" t="n">
        <v>1</v>
      </c>
      <c r="G167" s="0" t="n">
        <v>1</v>
      </c>
      <c r="H167" s="0" t="n">
        <v>0.4</v>
      </c>
      <c r="I167" s="0" t="n">
        <v>1.2</v>
      </c>
      <c r="J167" s="0" t="n">
        <v>0</v>
      </c>
      <c r="K167" s="0" t="n">
        <v>1</v>
      </c>
      <c r="L167" s="0" t="n">
        <v>4</v>
      </c>
      <c r="M167" s="115" t="n">
        <f aca="false">IFERROR(((E167/D167)/10.96)*0.5218*D167,0)</f>
        <v>7.84604379562044</v>
      </c>
      <c r="N167" s="115" t="n">
        <f aca="false">IFERROR((((I167/H167)/5.3)*0.401)*H167,0)</f>
        <v>0.0907924528301887</v>
      </c>
      <c r="O167" s="116"/>
      <c r="P167" s="116"/>
      <c r="Q167" s="116"/>
    </row>
    <row r="168" customFormat="false" ht="14.25" hidden="false" customHeight="true" outlineLevel="0" collapsed="false">
      <c r="A168" s="0" t="s">
        <v>578</v>
      </c>
      <c r="B168" s="0" t="s">
        <v>540</v>
      </c>
      <c r="C168" s="0" t="n">
        <v>22.8</v>
      </c>
      <c r="D168" s="0" t="n">
        <v>14.4</v>
      </c>
      <c r="E168" s="0" t="n">
        <v>157.8</v>
      </c>
      <c r="F168" s="0" t="n">
        <v>1</v>
      </c>
      <c r="G168" s="0" t="n">
        <v>0.8</v>
      </c>
      <c r="H168" s="0" t="n">
        <v>2.8</v>
      </c>
      <c r="I168" s="0" t="n">
        <v>10.6</v>
      </c>
      <c r="J168" s="0" t="n">
        <v>0</v>
      </c>
      <c r="K168" s="0" t="n">
        <v>0.1</v>
      </c>
      <c r="L168" s="0" t="n">
        <v>10.3</v>
      </c>
      <c r="M168" s="115" t="n">
        <f aca="false">IFERROR(((E168/D168)/10.96)*0.5218*D168,0)</f>
        <v>7.51277737226278</v>
      </c>
      <c r="N168" s="115" t="n">
        <f aca="false">IFERROR((((I168/H168)/5.3)*0.401)*H168,0)</f>
        <v>0.802</v>
      </c>
      <c r="O168" s="116" t="n">
        <f aca="false">MAX(QB!D170*Scoring!$B$30+QB!E170/Scoring!$C$30+QB!F170*Scoring!$D$30+QB!G170*Scoring!$E$30+QB!H170*Scoring!$F$30+QB!I170/Scoring!$G$30+QB!J170*Scoring!$H$30+QB!K170*Scoring!$I$30+M170*Scoring!$J$30+QB!N170*Scoring!$K$30,0)+C170*Scoring!$B$10*0.07+(C170-D170)*Scoring!$B$5</f>
        <v>7.97</v>
      </c>
      <c r="P168" s="116" t="n">
        <f aca="false">MAX(QB!D168*Scoring!$B$30+QB!E168/Scoring!$C$30+QB!F168*Scoring!$D$30+QB!G168*Scoring!$E$30+QB!H168*Scoring!$F$30+QB!I168/Scoring!$G$30+QB!J168*Scoring!$H$30+QB!K168*Scoring!$I$30+M168*Scoring!$J$30+QB!N168*Scoring!$K$30,0)+C168*Scoring!$B$10*0.07+(C168-D168)*Scoring!$B$5</f>
        <v>10.372</v>
      </c>
      <c r="Q168" s="116" t="n">
        <f aca="false">MAX(QB!D169*Scoring!$B$30+QB!E169/Scoring!$C$30+QB!F169*Scoring!$D$30+QB!G169*Scoring!$E$30+QB!H169*Scoring!$F$30+QB!I169/Scoring!$G$30+QB!J169*Scoring!$H$30+QB!K169*Scoring!$I$30+M169*Scoring!$J$30+QB!N169*Scoring!$K$30,0)+C169*Scoring!$B$10*0.07+(C169-D169)*Scoring!$B$5</f>
        <v>13.1</v>
      </c>
    </row>
    <row r="169" customFormat="false" ht="14.25" hidden="false" customHeight="true" outlineLevel="0" collapsed="false">
      <c r="B169" s="0" t="s">
        <v>491</v>
      </c>
      <c r="C169" s="0" t="n">
        <v>25</v>
      </c>
      <c r="D169" s="0" t="n">
        <v>16</v>
      </c>
      <c r="E169" s="0" t="n">
        <v>185</v>
      </c>
      <c r="F169" s="0" t="n">
        <v>1</v>
      </c>
      <c r="G169" s="0" t="n">
        <v>0.5</v>
      </c>
      <c r="H169" s="0" t="n">
        <v>4</v>
      </c>
      <c r="I169" s="0" t="n">
        <v>22</v>
      </c>
      <c r="J169" s="0" t="n">
        <v>0</v>
      </c>
      <c r="K169" s="0" t="n">
        <v>0</v>
      </c>
      <c r="L169" s="0" t="n">
        <v>12</v>
      </c>
      <c r="M169" s="115" t="n">
        <f aca="false">IFERROR(((E169/D169)/10.96)*0.5218*D169,0)</f>
        <v>8.80775547445256</v>
      </c>
      <c r="N169" s="115" t="n">
        <f aca="false">IFERROR((((I169/H169)/5.3)*0.401)*H169,0)</f>
        <v>1.66452830188679</v>
      </c>
      <c r="O169" s="116"/>
      <c r="P169" s="116"/>
      <c r="Q169" s="116"/>
    </row>
    <row r="170" customFormat="false" ht="14.25" hidden="false" customHeight="true" outlineLevel="0" collapsed="false">
      <c r="B170" s="0" t="s">
        <v>492</v>
      </c>
      <c r="C170" s="0" t="n">
        <v>21</v>
      </c>
      <c r="D170" s="0" t="n">
        <v>13</v>
      </c>
      <c r="E170" s="0" t="n">
        <v>135</v>
      </c>
      <c r="F170" s="0" t="n">
        <v>0.9</v>
      </c>
      <c r="G170" s="0" t="n">
        <v>1</v>
      </c>
      <c r="H170" s="0" t="n">
        <v>1.3</v>
      </c>
      <c r="I170" s="0" t="n">
        <v>3.7</v>
      </c>
      <c r="J170" s="0" t="n">
        <v>0</v>
      </c>
      <c r="K170" s="0" t="n">
        <v>0.2</v>
      </c>
      <c r="L170" s="0" t="n">
        <v>7</v>
      </c>
      <c r="M170" s="115" t="n">
        <f aca="false">IFERROR(((E170/D170)/10.96)*0.5218*D170,0)</f>
        <v>6.42728102189781</v>
      </c>
      <c r="N170" s="115" t="n">
        <f aca="false">IFERROR((((I170/H170)/5.3)*0.401)*H170,0)</f>
        <v>0.279943396226415</v>
      </c>
      <c r="O170" s="116"/>
      <c r="P170" s="116"/>
      <c r="Q170" s="116"/>
    </row>
    <row r="171" customFormat="false" ht="14.25" hidden="false" customHeight="true" outlineLevel="0" collapsed="false">
      <c r="A171" s="0" t="s">
        <v>579</v>
      </c>
      <c r="B171" s="0" t="s">
        <v>528</v>
      </c>
      <c r="C171" s="0" t="n">
        <v>19.7</v>
      </c>
      <c r="D171" s="0" t="n">
        <v>12.8</v>
      </c>
      <c r="E171" s="0" t="n">
        <v>140.1</v>
      </c>
      <c r="F171" s="0" t="n">
        <v>1</v>
      </c>
      <c r="G171" s="0" t="n">
        <v>0.2</v>
      </c>
      <c r="H171" s="0" t="n">
        <v>1.6</v>
      </c>
      <c r="I171" s="0" t="n">
        <v>7.8</v>
      </c>
      <c r="J171" s="0" t="n">
        <v>0</v>
      </c>
      <c r="K171" s="0" t="n">
        <v>0.1</v>
      </c>
      <c r="L171" s="0" t="n">
        <v>10.3</v>
      </c>
      <c r="M171" s="115" t="n">
        <f aca="false">IFERROR(((E171/D171)/10.96)*0.5218*D171,0)</f>
        <v>6.67008941605839</v>
      </c>
      <c r="N171" s="115" t="n">
        <f aca="false">IFERROR((((I171/H171)/5.3)*0.401)*H171,0)</f>
        <v>0.590150943396227</v>
      </c>
      <c r="O171" s="116" t="n">
        <f aca="false">MAX(QB!D173*Scoring!$B$30+QB!E173/Scoring!$C$30+QB!F173*Scoring!$D$30+QB!G173*Scoring!$E$30+QB!H173*Scoring!$F$30+QB!I173/Scoring!$G$30+QB!J173*Scoring!$H$30+QB!K173*Scoring!$I$30+M173*Scoring!$J$30+QB!N173*Scoring!$K$30,0)+C173*Scoring!$B$10*0.07+(C173-D173)*Scoring!$B$5</f>
        <v>8.45</v>
      </c>
      <c r="P171" s="116" t="n">
        <f aca="false">MAX(QB!D171*Scoring!$B$30+QB!E171/Scoring!$C$30+QB!F171*Scoring!$D$30+QB!G171*Scoring!$E$30+QB!H171*Scoring!$F$30+QB!I171/Scoring!$G$30+QB!J171*Scoring!$H$30+QB!K171*Scoring!$I$30+M171*Scoring!$J$30+QB!N171*Scoring!$K$30,0)+C171*Scoring!$B$10*0.07+(C171-D171)*Scoring!$B$5</f>
        <v>9.984</v>
      </c>
      <c r="Q171" s="116" t="n">
        <f aca="false">MAX(QB!D172*Scoring!$B$30+QB!E172/Scoring!$C$30+QB!F172*Scoring!$D$30+QB!G172*Scoring!$E$30+QB!H172*Scoring!$F$30+QB!I172/Scoring!$G$30+QB!J172*Scoring!$H$30+QB!K172*Scoring!$I$30+M172*Scoring!$J$30+QB!N172*Scoring!$K$30,0)+C172*Scoring!$B$10*0.07+(C172-D172)*Scoring!$B$5</f>
        <v>12.008</v>
      </c>
    </row>
    <row r="172" customFormat="false" ht="14.25" hidden="false" customHeight="true" outlineLevel="0" collapsed="false">
      <c r="B172" s="0" t="s">
        <v>491</v>
      </c>
      <c r="C172" s="0" t="n">
        <v>22.3</v>
      </c>
      <c r="D172" s="0" t="n">
        <v>14.5</v>
      </c>
      <c r="E172" s="0" t="n">
        <v>160.2</v>
      </c>
      <c r="F172" s="0" t="n">
        <v>1</v>
      </c>
      <c r="G172" s="0" t="n">
        <v>0</v>
      </c>
      <c r="H172" s="0" t="n">
        <v>2</v>
      </c>
      <c r="I172" s="0" t="n">
        <v>10</v>
      </c>
      <c r="J172" s="0" t="n">
        <v>0.1</v>
      </c>
      <c r="K172" s="0" t="n">
        <v>0</v>
      </c>
      <c r="L172" s="0" t="n">
        <v>10.5</v>
      </c>
      <c r="M172" s="115" t="n">
        <f aca="false">IFERROR(((E172/D172)/10.96)*0.5218*D172,0)</f>
        <v>7.6270401459854</v>
      </c>
      <c r="N172" s="115" t="n">
        <f aca="false">IFERROR((((I172/H172)/5.3)*0.401)*H172,0)</f>
        <v>0.756603773584906</v>
      </c>
      <c r="O172" s="116"/>
      <c r="P172" s="116"/>
      <c r="Q172" s="116"/>
    </row>
    <row r="173" customFormat="false" ht="14.25" hidden="false" customHeight="true" outlineLevel="0" collapsed="false">
      <c r="B173" s="0" t="s">
        <v>492</v>
      </c>
      <c r="C173" s="0" t="n">
        <v>17</v>
      </c>
      <c r="D173" s="0" t="n">
        <v>11</v>
      </c>
      <c r="E173" s="0" t="n">
        <v>120</v>
      </c>
      <c r="F173" s="0" t="n">
        <v>1</v>
      </c>
      <c r="G173" s="0" t="n">
        <v>0.5</v>
      </c>
      <c r="H173" s="0" t="n">
        <v>1.3</v>
      </c>
      <c r="I173" s="0" t="n">
        <v>5.5</v>
      </c>
      <c r="J173" s="0" t="n">
        <v>0</v>
      </c>
      <c r="K173" s="0" t="n">
        <v>0.2</v>
      </c>
      <c r="L173" s="0" t="n">
        <v>8</v>
      </c>
      <c r="M173" s="115" t="n">
        <f aca="false">IFERROR(((E173/D173)/10.96)*0.5218*D173,0)</f>
        <v>5.71313868613139</v>
      </c>
      <c r="N173" s="115" t="n">
        <f aca="false">IFERROR((((I173/H173)/5.3)*0.401)*H173,0)</f>
        <v>0.416132075471698</v>
      </c>
      <c r="O173" s="116"/>
      <c r="P173" s="116"/>
      <c r="Q173" s="116"/>
    </row>
    <row r="174" customFormat="false" ht="14.25" hidden="false" customHeight="true" outlineLevel="0" collapsed="false">
      <c r="A174" s="0" t="s">
        <v>580</v>
      </c>
      <c r="B174" s="0" t="s">
        <v>526</v>
      </c>
      <c r="C174" s="0" t="n">
        <v>22.9</v>
      </c>
      <c r="D174" s="0" t="n">
        <v>14.9</v>
      </c>
      <c r="E174" s="0" t="n">
        <v>156.7</v>
      </c>
      <c r="F174" s="0" t="n">
        <v>0.9</v>
      </c>
      <c r="G174" s="0" t="n">
        <v>0.8</v>
      </c>
      <c r="H174" s="0" t="n">
        <v>2.7</v>
      </c>
      <c r="I174" s="0" t="n">
        <v>12.1</v>
      </c>
      <c r="J174" s="0" t="n">
        <v>0</v>
      </c>
      <c r="K174" s="0" t="n">
        <v>0.1</v>
      </c>
      <c r="L174" s="0" t="n">
        <v>10.2</v>
      </c>
      <c r="M174" s="115" t="n">
        <f aca="false">IFERROR(((E174/D174)/10.96)*0.5218*D174,0)</f>
        <v>7.46040693430657</v>
      </c>
      <c r="N174" s="115" t="n">
        <f aca="false">IFERROR((((I174/H174)/5.3)*0.401)*H174,0)</f>
        <v>0.915490566037736</v>
      </c>
      <c r="O174" s="116" t="n">
        <f aca="false">MAX(QB!D176*Scoring!$B$30+QB!E176/Scoring!$C$30+QB!F176*Scoring!$D$30+QB!G176*Scoring!$E$30+QB!H176*Scoring!$F$30+QB!I176/Scoring!$G$30+QB!J176*Scoring!$H$30+QB!K176*Scoring!$I$30+M176*Scoring!$J$30+QB!N176*Scoring!$K$30,0)+C176*Scoring!$B$10*0.07+(C176-D176)*Scoring!$B$5</f>
        <v>8.646</v>
      </c>
      <c r="P174" s="116" t="n">
        <f aca="false">MAX(QB!D174*Scoring!$B$30+QB!E174/Scoring!$C$30+QB!F174*Scoring!$D$30+QB!G174*Scoring!$E$30+QB!H174*Scoring!$F$30+QB!I174/Scoring!$G$30+QB!J174*Scoring!$H$30+QB!K174*Scoring!$I$30+M174*Scoring!$J$30+QB!N174*Scoring!$K$30,0)+C174*Scoring!$B$10*0.07+(C174-D174)*Scoring!$B$5</f>
        <v>10.078</v>
      </c>
      <c r="Q174" s="116" t="n">
        <f aca="false">MAX(QB!D175*Scoring!$B$30+QB!E175/Scoring!$C$30+QB!F175*Scoring!$D$30+QB!G175*Scoring!$E$30+QB!H175*Scoring!$F$30+QB!I175/Scoring!$G$30+QB!J175*Scoring!$H$30+QB!K175*Scoring!$I$30+M175*Scoring!$J$30+QB!N175*Scoring!$K$30,0)+C175*Scoring!$B$10*0.07+(C175-D175)*Scoring!$B$5</f>
        <v>11.6</v>
      </c>
    </row>
    <row r="175" customFormat="false" ht="14.25" hidden="false" customHeight="true" outlineLevel="0" collapsed="false">
      <c r="B175" s="0" t="s">
        <v>491</v>
      </c>
      <c r="C175" s="0" t="n">
        <v>23</v>
      </c>
      <c r="D175" s="0" t="n">
        <v>15</v>
      </c>
      <c r="E175" s="0" t="n">
        <v>160</v>
      </c>
      <c r="F175" s="0" t="n">
        <v>1</v>
      </c>
      <c r="G175" s="0" t="n">
        <v>0.5</v>
      </c>
      <c r="H175" s="0" t="n">
        <v>4</v>
      </c>
      <c r="I175" s="0" t="n">
        <v>17</v>
      </c>
      <c r="J175" s="0" t="n">
        <v>0</v>
      </c>
      <c r="K175" s="0" t="n">
        <v>0</v>
      </c>
      <c r="L175" s="0" t="n">
        <v>9</v>
      </c>
      <c r="M175" s="115" t="n">
        <f aca="false">IFERROR(((E175/D175)/10.96)*0.5218*D175,0)</f>
        <v>7.61751824817518</v>
      </c>
      <c r="N175" s="115" t="n">
        <f aca="false">IFERROR((((I175/H175)/5.3)*0.401)*H175,0)</f>
        <v>1.28622641509434</v>
      </c>
      <c r="O175" s="116"/>
      <c r="P175" s="116"/>
      <c r="Q175" s="116"/>
    </row>
    <row r="176" customFormat="false" ht="14.25" hidden="false" customHeight="true" outlineLevel="0" collapsed="false">
      <c r="B176" s="0" t="s">
        <v>492</v>
      </c>
      <c r="C176" s="0" t="n">
        <v>22.8</v>
      </c>
      <c r="D176" s="0" t="n">
        <v>14.9</v>
      </c>
      <c r="E176" s="0" t="n">
        <v>153.4</v>
      </c>
      <c r="F176" s="0" t="n">
        <v>0.8</v>
      </c>
      <c r="G176" s="0" t="n">
        <v>1</v>
      </c>
      <c r="H176" s="0" t="n">
        <v>1.3</v>
      </c>
      <c r="I176" s="0" t="n">
        <v>7.1</v>
      </c>
      <c r="J176" s="0" t="n">
        <v>0</v>
      </c>
      <c r="K176" s="0" t="n">
        <v>0.2</v>
      </c>
      <c r="L176" s="0" t="n">
        <v>7</v>
      </c>
      <c r="M176" s="115" t="n">
        <f aca="false">IFERROR(((E176/D176)/10.96)*0.5218*D176,0)</f>
        <v>7.30329562043796</v>
      </c>
      <c r="N176" s="115" t="n">
        <f aca="false">IFERROR((((I176/H176)/5.3)*0.401)*H176,0)</f>
        <v>0.537188679245283</v>
      </c>
      <c r="O176" s="116"/>
      <c r="P176" s="116"/>
      <c r="Q176" s="116"/>
    </row>
    <row r="177" customFormat="false" ht="14.25" hidden="false" customHeight="true" outlineLevel="0" collapsed="false">
      <c r="A177" s="0" t="s">
        <v>581</v>
      </c>
      <c r="B177" s="0" t="s">
        <v>510</v>
      </c>
      <c r="C177" s="0" t="n">
        <v>21.9</v>
      </c>
      <c r="D177" s="0" t="n">
        <v>13.8</v>
      </c>
      <c r="E177" s="0" t="n">
        <v>144.3</v>
      </c>
      <c r="F177" s="0" t="n">
        <v>1</v>
      </c>
      <c r="G177" s="0" t="n">
        <v>0.7</v>
      </c>
      <c r="H177" s="0" t="n">
        <v>1.3</v>
      </c>
      <c r="I177" s="0" t="n">
        <v>6.9</v>
      </c>
      <c r="J177" s="0" t="n">
        <v>0.1</v>
      </c>
      <c r="K177" s="0" t="n">
        <v>0.1</v>
      </c>
      <c r="L177" s="0" t="n">
        <v>10.2</v>
      </c>
      <c r="M177" s="115" t="n">
        <f aca="false">IFERROR(((E177/D177)/10.96)*0.5218*D177,0)</f>
        <v>6.87004927007299</v>
      </c>
      <c r="N177" s="115" t="n">
        <f aca="false">IFERROR((((I177/H177)/5.3)*0.401)*H177,0)</f>
        <v>0.522056603773585</v>
      </c>
      <c r="O177" s="116" t="n">
        <f aca="false">MAX(QB!D179*Scoring!$B$30+QB!E179/Scoring!$C$30+QB!F179*Scoring!$D$30+QB!G179*Scoring!$E$30+QB!H179*Scoring!$F$30+QB!I179/Scoring!$G$30+QB!J179*Scoring!$H$30+QB!K179*Scoring!$I$30+M179*Scoring!$J$30+QB!N179*Scoring!$K$30,0)+C179*Scoring!$B$10*0.07+(C179-D179)*Scoring!$B$5</f>
        <v>10.162</v>
      </c>
      <c r="P177" s="116" t="n">
        <f aca="false">MAX(QB!D177*Scoring!$B$30+QB!E177/Scoring!$C$30+QB!F177*Scoring!$D$30+QB!G177*Scoring!$E$30+QB!H177*Scoring!$F$30+QB!I177/Scoring!$G$30+QB!J177*Scoring!$H$30+QB!K177*Scoring!$I$30+M177*Scoring!$J$30+QB!N177*Scoring!$K$30,0)+C177*Scoring!$B$10*0.07+(C177-D177)*Scoring!$B$5</f>
        <v>10.162</v>
      </c>
      <c r="Q177" s="116" t="n">
        <f aca="false">MAX(QB!D178*Scoring!$B$30+QB!E178/Scoring!$C$30+QB!F178*Scoring!$D$30+QB!G178*Scoring!$E$30+QB!H178*Scoring!$F$30+QB!I178/Scoring!$G$30+QB!J178*Scoring!$H$30+QB!K178*Scoring!$I$30+M178*Scoring!$J$30+QB!N178*Scoring!$K$30,0)+C178*Scoring!$B$10*0.07+(C178-D178)*Scoring!$B$5</f>
        <v>10.162</v>
      </c>
    </row>
    <row r="178" customFormat="false" ht="14.25" hidden="false" customHeight="true" outlineLevel="0" collapsed="false">
      <c r="B178" s="0" t="s">
        <v>491</v>
      </c>
      <c r="C178" s="0" t="n">
        <v>21.9</v>
      </c>
      <c r="D178" s="0" t="n">
        <v>13.8</v>
      </c>
      <c r="E178" s="0" t="n">
        <v>144.3</v>
      </c>
      <c r="F178" s="0" t="n">
        <v>1</v>
      </c>
      <c r="G178" s="0" t="n">
        <v>0.7</v>
      </c>
      <c r="H178" s="0" t="n">
        <v>1.3</v>
      </c>
      <c r="I178" s="0" t="n">
        <v>6.9</v>
      </c>
      <c r="J178" s="0" t="n">
        <v>0.1</v>
      </c>
      <c r="K178" s="0" t="n">
        <v>0.1</v>
      </c>
      <c r="L178" s="0" t="n">
        <v>9.5</v>
      </c>
      <c r="M178" s="115" t="n">
        <f aca="false">IFERROR(((E178/D178)/10.96)*0.5218*D178,0)</f>
        <v>6.87004927007299</v>
      </c>
      <c r="N178" s="115" t="n">
        <f aca="false">IFERROR((((I178/H178)/5.3)*0.401)*H178,0)</f>
        <v>0.522056603773585</v>
      </c>
      <c r="O178" s="116"/>
      <c r="P178" s="116"/>
      <c r="Q178" s="116"/>
    </row>
    <row r="179" customFormat="false" ht="14.25" hidden="false" customHeight="true" outlineLevel="0" collapsed="false">
      <c r="B179" s="0" t="s">
        <v>492</v>
      </c>
      <c r="C179" s="0" t="n">
        <v>21.9</v>
      </c>
      <c r="D179" s="0" t="n">
        <v>13.8</v>
      </c>
      <c r="E179" s="0" t="n">
        <v>144.3</v>
      </c>
      <c r="F179" s="0" t="n">
        <v>1</v>
      </c>
      <c r="G179" s="0" t="n">
        <v>0.7</v>
      </c>
      <c r="H179" s="0" t="n">
        <v>1.3</v>
      </c>
      <c r="I179" s="0" t="n">
        <v>6.9</v>
      </c>
      <c r="J179" s="0" t="n">
        <v>0.1</v>
      </c>
      <c r="K179" s="0" t="n">
        <v>0.1</v>
      </c>
      <c r="L179" s="0" t="n">
        <v>9.5</v>
      </c>
      <c r="M179" s="115" t="n">
        <f aca="false">IFERROR(((E179/D179)/10.96)*0.5218*D179,0)</f>
        <v>6.87004927007299</v>
      </c>
      <c r="N179" s="115" t="n">
        <f aca="false">IFERROR((((I179/H179)/5.3)*0.401)*H179,0)</f>
        <v>0.522056603773585</v>
      </c>
      <c r="O179" s="116"/>
      <c r="P179" s="116"/>
      <c r="Q179" s="116"/>
    </row>
    <row r="180" customFormat="false" ht="14.25" hidden="false" customHeight="true" outlineLevel="0" collapsed="false">
      <c r="A180" s="0" t="s">
        <v>582</v>
      </c>
      <c r="B180" s="0" t="s">
        <v>536</v>
      </c>
      <c r="C180" s="0" t="n">
        <v>20.6</v>
      </c>
      <c r="D180" s="0" t="n">
        <v>13</v>
      </c>
      <c r="E180" s="0" t="n">
        <v>146.6</v>
      </c>
      <c r="F180" s="0" t="n">
        <v>0.9</v>
      </c>
      <c r="G180" s="0" t="n">
        <v>0.8</v>
      </c>
      <c r="H180" s="0" t="n">
        <v>3.1</v>
      </c>
      <c r="I180" s="0" t="n">
        <v>13.1</v>
      </c>
      <c r="J180" s="0" t="n">
        <v>0</v>
      </c>
      <c r="K180" s="0" t="n">
        <v>0.1</v>
      </c>
      <c r="L180" s="0" t="n">
        <v>10</v>
      </c>
      <c r="M180" s="115" t="n">
        <f aca="false">IFERROR(((E180/D180)/10.96)*0.5218*D180,0)</f>
        <v>6.97955109489051</v>
      </c>
      <c r="N180" s="115" t="n">
        <f aca="false">IFERROR((((I180/H180)/5.3)*0.401)*H180,0)</f>
        <v>0.991150943396227</v>
      </c>
      <c r="O180" s="116" t="n">
        <f aca="false">MAX(QB!D182*Scoring!$B$30+QB!E182/Scoring!$C$30+QB!F182*Scoring!$D$30+QB!G182*Scoring!$E$30+QB!H182*Scoring!$F$30+QB!I182/Scoring!$G$30+QB!J182*Scoring!$H$30+QB!K182*Scoring!$I$30+M182*Scoring!$J$30+QB!N182*Scoring!$K$30,0)+C182*Scoring!$B$10*0.07+(C182-D182)*Scoring!$B$5</f>
        <v>7.692</v>
      </c>
      <c r="P180" s="116" t="n">
        <f aca="false">MAX(QB!D180*Scoring!$B$30+QB!E180/Scoring!$C$30+QB!F180*Scoring!$D$30+QB!G180*Scoring!$E$30+QB!H180*Scoring!$F$30+QB!I180/Scoring!$G$30+QB!J180*Scoring!$H$30+QB!K180*Scoring!$I$30+M180*Scoring!$J$30+QB!N180*Scoring!$K$30,0)+C180*Scoring!$B$10*0.07+(C180-D180)*Scoring!$B$5</f>
        <v>9.774</v>
      </c>
      <c r="Q180" s="116" t="n">
        <f aca="false">MAX(QB!D181*Scoring!$B$30+QB!E181/Scoring!$C$30+QB!F181*Scoring!$D$30+QB!G181*Scoring!$E$30+QB!H181*Scoring!$F$30+QB!I181/Scoring!$G$30+QB!J181*Scoring!$H$30+QB!K181*Scoring!$I$30+M181*Scoring!$J$30+QB!N181*Scoring!$K$30,0)+C181*Scoring!$B$10*0.07+(C181-D181)*Scoring!$B$5</f>
        <v>12.46</v>
      </c>
    </row>
    <row r="181" customFormat="false" ht="14.25" hidden="false" customHeight="true" outlineLevel="0" collapsed="false">
      <c r="B181" s="0" t="s">
        <v>491</v>
      </c>
      <c r="C181" s="0" t="n">
        <v>21.2</v>
      </c>
      <c r="D181" s="0" t="n">
        <v>13</v>
      </c>
      <c r="E181" s="0" t="n">
        <v>159</v>
      </c>
      <c r="F181" s="0" t="n">
        <v>1</v>
      </c>
      <c r="G181" s="0" t="n">
        <v>0.6</v>
      </c>
      <c r="H181" s="0" t="n">
        <v>5</v>
      </c>
      <c r="I181" s="0" t="n">
        <v>21</v>
      </c>
      <c r="J181" s="0" t="n">
        <v>0.1</v>
      </c>
      <c r="K181" s="0" t="n">
        <v>0</v>
      </c>
      <c r="L181" s="0" t="n">
        <v>8</v>
      </c>
      <c r="M181" s="115" t="n">
        <f aca="false">IFERROR(((E181/D181)/10.96)*0.5218*D181,0)</f>
        <v>7.56990875912409</v>
      </c>
      <c r="N181" s="115" t="n">
        <f aca="false">IFERROR((((I181/H181)/5.3)*0.401)*H181,0)</f>
        <v>1.5888679245283</v>
      </c>
      <c r="O181" s="116"/>
      <c r="P181" s="116"/>
      <c r="Q181" s="116"/>
    </row>
    <row r="182" customFormat="false" ht="14.25" hidden="false" customHeight="true" outlineLevel="0" collapsed="false">
      <c r="B182" s="0" t="s">
        <v>492</v>
      </c>
      <c r="C182" s="0" t="n">
        <v>20</v>
      </c>
      <c r="D182" s="0" t="n">
        <v>12.9</v>
      </c>
      <c r="E182" s="0" t="n">
        <v>134.3</v>
      </c>
      <c r="F182" s="0" t="n">
        <v>0.8</v>
      </c>
      <c r="G182" s="0" t="n">
        <v>1</v>
      </c>
      <c r="H182" s="0" t="n">
        <v>1.2</v>
      </c>
      <c r="I182" s="0" t="n">
        <v>5.2</v>
      </c>
      <c r="J182" s="0" t="n">
        <v>0</v>
      </c>
      <c r="K182" s="0" t="n">
        <v>0.2</v>
      </c>
      <c r="L182" s="0" t="n">
        <v>7</v>
      </c>
      <c r="M182" s="115" t="n">
        <f aca="false">IFERROR(((E182/D182)/10.96)*0.5218*D182,0)</f>
        <v>6.39395437956204</v>
      </c>
      <c r="N182" s="115" t="n">
        <f aca="false">IFERROR((((I182/H182)/5.3)*0.401)*H182,0)</f>
        <v>0.393433962264151</v>
      </c>
      <c r="O182" s="116"/>
      <c r="P182" s="116"/>
      <c r="Q182" s="116"/>
    </row>
    <row r="183" customFormat="false" ht="14.25" hidden="false" customHeight="true" outlineLevel="0" collapsed="false">
      <c r="A183" s="0" t="s">
        <v>583</v>
      </c>
      <c r="B183" s="0" t="s">
        <v>500</v>
      </c>
      <c r="C183" s="0" t="n">
        <v>19</v>
      </c>
      <c r="D183" s="0" t="n">
        <v>13</v>
      </c>
      <c r="E183" s="0" t="n">
        <v>140</v>
      </c>
      <c r="F183" s="0" t="n">
        <v>1</v>
      </c>
      <c r="G183" s="0" t="n">
        <v>0</v>
      </c>
      <c r="H183" s="0" t="n">
        <v>5</v>
      </c>
      <c r="I183" s="0" t="n">
        <v>23</v>
      </c>
      <c r="J183" s="0" t="n">
        <v>0</v>
      </c>
      <c r="K183" s="0" t="n">
        <v>1</v>
      </c>
      <c r="L183" s="0" t="n">
        <v>9.9</v>
      </c>
      <c r="M183" s="115" t="n">
        <f aca="false">IFERROR(((E183/D183)/10.96)*0.5218*D183,0)</f>
        <v>6.66532846715329</v>
      </c>
      <c r="N183" s="115" t="n">
        <f aca="false">IFERROR((((I183/H183)/5.3)*0.401)*H183,0)</f>
        <v>1.74018867924528</v>
      </c>
      <c r="O183" s="116" t="n">
        <f aca="false">MAX(QB!D185*Scoring!$B$30+QB!E185/Scoring!$C$30+QB!F185*Scoring!$D$30+QB!G185*Scoring!$E$30+QB!H185*Scoring!$F$30+QB!I185/Scoring!$G$30+QB!J185*Scoring!$H$30+QB!K185*Scoring!$I$30+M185*Scoring!$J$30+QB!N185*Scoring!$K$30,0)+C185*Scoring!$B$10*0.07+(C185-D185)*Scoring!$B$5</f>
        <v>9.9</v>
      </c>
      <c r="P183" s="116" t="n">
        <f aca="false">MAX(QB!D183*Scoring!$B$30+QB!E183/Scoring!$C$30+QB!F183*Scoring!$D$30+QB!G183*Scoring!$E$30+QB!H183*Scoring!$F$30+QB!I183/Scoring!$G$30+QB!J183*Scoring!$H$30+QB!K183*Scoring!$I$30+M183*Scoring!$J$30+QB!N183*Scoring!$K$30,0)+C183*Scoring!$B$10*0.07+(C183-D183)*Scoring!$B$5</f>
        <v>9.9</v>
      </c>
      <c r="Q183" s="116" t="n">
        <f aca="false">MAX(QB!D184*Scoring!$B$30+QB!E184/Scoring!$C$30+QB!F184*Scoring!$D$30+QB!G184*Scoring!$E$30+QB!H184*Scoring!$F$30+QB!I184/Scoring!$G$30+QB!J184*Scoring!$H$30+QB!K184*Scoring!$I$30+M184*Scoring!$J$30+QB!N184*Scoring!$K$30,0)+C184*Scoring!$B$10*0.07+(C184-D184)*Scoring!$B$5</f>
        <v>9.9</v>
      </c>
    </row>
    <row r="184" customFormat="false" ht="14.25" hidden="false" customHeight="true" outlineLevel="0" collapsed="false">
      <c r="B184" s="0" t="s">
        <v>491</v>
      </c>
      <c r="C184" s="0" t="n">
        <v>19</v>
      </c>
      <c r="D184" s="0" t="n">
        <v>13</v>
      </c>
      <c r="E184" s="0" t="n">
        <v>140</v>
      </c>
      <c r="F184" s="0" t="n">
        <v>1</v>
      </c>
      <c r="G184" s="0" t="n">
        <v>0</v>
      </c>
      <c r="H184" s="0" t="n">
        <v>5</v>
      </c>
      <c r="I184" s="0" t="n">
        <v>23</v>
      </c>
      <c r="J184" s="0" t="n">
        <v>0</v>
      </c>
      <c r="K184" s="0" t="n">
        <v>1</v>
      </c>
      <c r="L184" s="0" t="n">
        <v>7</v>
      </c>
      <c r="M184" s="115" t="n">
        <f aca="false">IFERROR(((E184/D184)/10.96)*0.5218*D184,0)</f>
        <v>6.66532846715329</v>
      </c>
      <c r="N184" s="115" t="n">
        <f aca="false">IFERROR((((I184/H184)/5.3)*0.401)*H184,0)</f>
        <v>1.74018867924528</v>
      </c>
      <c r="O184" s="116"/>
      <c r="P184" s="116"/>
      <c r="Q184" s="116"/>
    </row>
    <row r="185" customFormat="false" ht="14.25" hidden="false" customHeight="true" outlineLevel="0" collapsed="false">
      <c r="B185" s="0" t="s">
        <v>492</v>
      </c>
      <c r="C185" s="0" t="n">
        <v>19</v>
      </c>
      <c r="D185" s="0" t="n">
        <v>13</v>
      </c>
      <c r="E185" s="0" t="n">
        <v>140</v>
      </c>
      <c r="F185" s="0" t="n">
        <v>1</v>
      </c>
      <c r="G185" s="0" t="n">
        <v>0</v>
      </c>
      <c r="H185" s="0" t="n">
        <v>5</v>
      </c>
      <c r="I185" s="0" t="n">
        <v>23</v>
      </c>
      <c r="J185" s="0" t="n">
        <v>0</v>
      </c>
      <c r="K185" s="0" t="n">
        <v>1</v>
      </c>
      <c r="L185" s="0" t="n">
        <v>7</v>
      </c>
      <c r="M185" s="115" t="n">
        <f aca="false">IFERROR(((E185/D185)/10.96)*0.5218*D185,0)</f>
        <v>6.66532846715329</v>
      </c>
      <c r="N185" s="115" t="n">
        <f aca="false">IFERROR((((I185/H185)/5.3)*0.401)*H185,0)</f>
        <v>1.74018867924528</v>
      </c>
      <c r="O185" s="116"/>
      <c r="P185" s="116"/>
      <c r="Q185" s="116"/>
    </row>
    <row r="186" customFormat="false" ht="14.25" hidden="false" customHeight="true" outlineLevel="0" collapsed="false">
      <c r="A186" s="0" t="s">
        <v>584</v>
      </c>
      <c r="B186" s="0" t="s">
        <v>548</v>
      </c>
      <c r="C186" s="0" t="n">
        <v>23</v>
      </c>
      <c r="D186" s="0" t="n">
        <v>14.9</v>
      </c>
      <c r="E186" s="0" t="n">
        <v>160.2</v>
      </c>
      <c r="F186" s="0" t="n">
        <v>0.9</v>
      </c>
      <c r="G186" s="0" t="n">
        <v>0.5</v>
      </c>
      <c r="H186" s="0" t="n">
        <v>1.3</v>
      </c>
      <c r="I186" s="0" t="n">
        <v>5.7</v>
      </c>
      <c r="J186" s="0" t="n">
        <v>0.1</v>
      </c>
      <c r="K186" s="0" t="n">
        <v>0.2</v>
      </c>
      <c r="L186" s="0" t="n">
        <v>9.9</v>
      </c>
      <c r="M186" s="115" t="n">
        <f aca="false">IFERROR(((E186/D186)/10.96)*0.5218*D186,0)</f>
        <v>7.6270401459854</v>
      </c>
      <c r="N186" s="115" t="n">
        <f aca="false">IFERROR((((I186/H186)/5.3)*0.401)*H186,0)</f>
        <v>0.431264150943396</v>
      </c>
      <c r="O186" s="116" t="n">
        <f aca="false">MAX(QB!D188*Scoring!$B$30+QB!E188/Scoring!$C$30+QB!F188*Scoring!$D$30+QB!G188*Scoring!$E$30+QB!H188*Scoring!$F$30+QB!I188/Scoring!$G$30+QB!J188*Scoring!$H$30+QB!K188*Scoring!$I$30+M188*Scoring!$J$30+QB!N188*Scoring!$K$30,0)+C188*Scoring!$B$10*0.07+(C188-D188)*Scoring!$B$5</f>
        <v>10.278</v>
      </c>
      <c r="P186" s="116" t="n">
        <f aca="false">MAX(QB!D186*Scoring!$B$30+QB!E186/Scoring!$C$30+QB!F186*Scoring!$D$30+QB!G186*Scoring!$E$30+QB!H186*Scoring!$F$30+QB!I186/Scoring!$G$30+QB!J186*Scoring!$H$30+QB!K186*Scoring!$I$30+M186*Scoring!$J$30+QB!N186*Scoring!$K$30,0)+C186*Scoring!$B$10*0.07+(C186-D186)*Scoring!$B$5</f>
        <v>10.278</v>
      </c>
      <c r="Q186" s="116" t="n">
        <f aca="false">MAX(QB!D187*Scoring!$B$30+QB!E187/Scoring!$C$30+QB!F187*Scoring!$D$30+QB!G187*Scoring!$E$30+QB!H187*Scoring!$F$30+QB!I187/Scoring!$G$30+QB!J187*Scoring!$H$30+QB!K187*Scoring!$I$30+M187*Scoring!$J$30+QB!N187*Scoring!$K$30,0)+C187*Scoring!$B$10*0.07+(C187-D187)*Scoring!$B$5</f>
        <v>10.278</v>
      </c>
    </row>
    <row r="187" customFormat="false" ht="14.25" hidden="false" customHeight="true" outlineLevel="0" collapsed="false">
      <c r="B187" s="0" t="s">
        <v>491</v>
      </c>
      <c r="C187" s="0" t="n">
        <v>23</v>
      </c>
      <c r="D187" s="0" t="n">
        <v>14.9</v>
      </c>
      <c r="E187" s="0" t="n">
        <v>160.2</v>
      </c>
      <c r="F187" s="0" t="n">
        <v>0.9</v>
      </c>
      <c r="G187" s="0" t="n">
        <v>0.5</v>
      </c>
      <c r="H187" s="0" t="n">
        <v>1.3</v>
      </c>
      <c r="I187" s="0" t="n">
        <v>5.7</v>
      </c>
      <c r="J187" s="0" t="n">
        <v>0.1</v>
      </c>
      <c r="K187" s="0" t="n">
        <v>0.2</v>
      </c>
      <c r="L187" s="0" t="n">
        <v>9.5</v>
      </c>
      <c r="M187" s="115" t="n">
        <f aca="false">IFERROR(((E187/D187)/10.96)*0.5218*D187,0)</f>
        <v>7.6270401459854</v>
      </c>
      <c r="N187" s="115" t="n">
        <f aca="false">IFERROR((((I187/H187)/5.3)*0.401)*H187,0)</f>
        <v>0.431264150943396</v>
      </c>
      <c r="O187" s="116"/>
      <c r="P187" s="116"/>
      <c r="Q187" s="116"/>
    </row>
    <row r="188" customFormat="false" ht="14.25" hidden="false" customHeight="true" outlineLevel="0" collapsed="false">
      <c r="B188" s="0" t="s">
        <v>492</v>
      </c>
      <c r="C188" s="0" t="n">
        <v>23</v>
      </c>
      <c r="D188" s="0" t="n">
        <v>14.9</v>
      </c>
      <c r="E188" s="0" t="n">
        <v>160.2</v>
      </c>
      <c r="F188" s="0" t="n">
        <v>0.9</v>
      </c>
      <c r="G188" s="0" t="n">
        <v>0.5</v>
      </c>
      <c r="H188" s="0" t="n">
        <v>1.3</v>
      </c>
      <c r="I188" s="0" t="n">
        <v>5.7</v>
      </c>
      <c r="J188" s="0" t="n">
        <v>0.1</v>
      </c>
      <c r="K188" s="0" t="n">
        <v>0.2</v>
      </c>
      <c r="L188" s="0" t="n">
        <v>9.5</v>
      </c>
      <c r="M188" s="115" t="n">
        <f aca="false">IFERROR(((E188/D188)/10.96)*0.5218*D188,0)</f>
        <v>7.6270401459854</v>
      </c>
      <c r="N188" s="115" t="n">
        <f aca="false">IFERROR((((I188/H188)/5.3)*0.401)*H188,0)</f>
        <v>0.431264150943396</v>
      </c>
      <c r="O188" s="116"/>
      <c r="P188" s="116"/>
      <c r="Q188" s="116"/>
    </row>
    <row r="189" customFormat="false" ht="14.25" hidden="false" customHeight="true" outlineLevel="0" collapsed="false">
      <c r="A189" s="0" t="s">
        <v>585</v>
      </c>
      <c r="B189" s="0" t="s">
        <v>546</v>
      </c>
      <c r="C189" s="0" t="n">
        <v>22.9</v>
      </c>
      <c r="D189" s="0" t="n">
        <v>14.3</v>
      </c>
      <c r="E189" s="0" t="n">
        <v>147.8</v>
      </c>
      <c r="F189" s="0" t="n">
        <v>0.8</v>
      </c>
      <c r="G189" s="0" t="n">
        <v>0.3</v>
      </c>
      <c r="H189" s="0" t="n">
        <v>2.4</v>
      </c>
      <c r="I189" s="0" t="n">
        <v>8.8</v>
      </c>
      <c r="J189" s="0" t="n">
        <v>0</v>
      </c>
      <c r="K189" s="0" t="n">
        <v>0.1</v>
      </c>
      <c r="L189" s="0" t="n">
        <v>9.7</v>
      </c>
      <c r="M189" s="115" t="n">
        <f aca="false">IFERROR(((E189/D189)/10.96)*0.5218*D189,0)</f>
        <v>7.03668248175183</v>
      </c>
      <c r="N189" s="115" t="n">
        <f aca="false">IFERROR((((I189/H189)/5.3)*0.401)*H189,0)</f>
        <v>0.665811320754717</v>
      </c>
      <c r="O189" s="116" t="n">
        <f aca="false">MAX(QB!D191*Scoring!$B$30+QB!E191/Scoring!$C$30+QB!F191*Scoring!$D$30+QB!G191*Scoring!$E$30+QB!H191*Scoring!$F$30+QB!I191/Scoring!$G$30+QB!J191*Scoring!$H$30+QB!K191*Scoring!$I$30+M191*Scoring!$J$30+QB!N191*Scoring!$K$30,0)+C191*Scoring!$B$10*0.07+(C191-D191)*Scoring!$B$5</f>
        <v>7.32</v>
      </c>
      <c r="P189" s="116" t="n">
        <f aca="false">MAX(QB!D189*Scoring!$B$30+QB!E189/Scoring!$C$30+QB!F189*Scoring!$D$30+QB!G189*Scoring!$E$30+QB!H189*Scoring!$F$30+QB!I189/Scoring!$G$30+QB!J189*Scoring!$H$30+QB!K189*Scoring!$I$30+M189*Scoring!$J$30+QB!N189*Scoring!$K$30,0)+C189*Scoring!$B$10*0.07+(C189-D189)*Scoring!$B$5</f>
        <v>9.492</v>
      </c>
      <c r="Q189" s="116" t="n">
        <f aca="false">MAX(QB!D190*Scoring!$B$30+QB!E190/Scoring!$C$30+QB!F190*Scoring!$D$30+QB!G190*Scoring!$E$30+QB!H190*Scoring!$F$30+QB!I190/Scoring!$G$30+QB!J190*Scoring!$H$30+QB!K190*Scoring!$I$30+M190*Scoring!$J$30+QB!N190*Scoring!$K$30,0)+C190*Scoring!$B$10*0.07+(C190-D190)*Scoring!$B$5</f>
        <v>11.66</v>
      </c>
    </row>
    <row r="190" customFormat="false" ht="14.25" hidden="false" customHeight="true" outlineLevel="0" collapsed="false">
      <c r="B190" s="0" t="s">
        <v>491</v>
      </c>
      <c r="C190" s="0" t="n">
        <v>24</v>
      </c>
      <c r="D190" s="0" t="n">
        <v>15</v>
      </c>
      <c r="E190" s="0" t="n">
        <v>154</v>
      </c>
      <c r="F190" s="0" t="n">
        <v>1</v>
      </c>
      <c r="G190" s="0" t="n">
        <v>0</v>
      </c>
      <c r="H190" s="0" t="n">
        <v>4</v>
      </c>
      <c r="I190" s="0" t="n">
        <v>15</v>
      </c>
      <c r="J190" s="0" t="n">
        <v>0</v>
      </c>
      <c r="K190" s="0" t="n">
        <v>0</v>
      </c>
      <c r="L190" s="0" t="n">
        <v>8</v>
      </c>
      <c r="M190" s="115" t="n">
        <f aca="false">IFERROR(((E190/D190)/10.96)*0.5218*D190,0)</f>
        <v>7.33186131386861</v>
      </c>
      <c r="N190" s="115" t="n">
        <f aca="false">IFERROR((((I190/H190)/5.3)*0.401)*H190,0)</f>
        <v>1.13490566037736</v>
      </c>
      <c r="O190" s="116"/>
      <c r="P190" s="116"/>
      <c r="Q190" s="116"/>
    </row>
    <row r="191" customFormat="false" ht="14.25" hidden="false" customHeight="true" outlineLevel="0" collapsed="false">
      <c r="B191" s="0" t="s">
        <v>492</v>
      </c>
      <c r="C191" s="0" t="n">
        <v>21.7</v>
      </c>
      <c r="D191" s="0" t="n">
        <v>13.6</v>
      </c>
      <c r="E191" s="0" t="n">
        <v>141.5</v>
      </c>
      <c r="F191" s="0" t="n">
        <v>0.6</v>
      </c>
      <c r="G191" s="0" t="n">
        <v>0.6</v>
      </c>
      <c r="H191" s="0" t="n">
        <v>0.9</v>
      </c>
      <c r="I191" s="0" t="n">
        <v>2.6</v>
      </c>
      <c r="J191" s="0" t="n">
        <v>0</v>
      </c>
      <c r="K191" s="0" t="n">
        <v>0.2</v>
      </c>
      <c r="L191" s="0" t="n">
        <v>7.1</v>
      </c>
      <c r="M191" s="115" t="n">
        <f aca="false">IFERROR(((E191/D191)/10.96)*0.5218*D191,0)</f>
        <v>6.73674270072993</v>
      </c>
      <c r="N191" s="115" t="n">
        <f aca="false">IFERROR((((I191/H191)/5.3)*0.401)*H191,0)</f>
        <v>0.196716981132076</v>
      </c>
      <c r="O191" s="116"/>
      <c r="P191" s="116"/>
      <c r="Q191" s="116"/>
    </row>
    <row r="192" customFormat="false" ht="14.25" hidden="false" customHeight="true" outlineLevel="0" collapsed="false">
      <c r="A192" s="0" t="s">
        <v>586</v>
      </c>
      <c r="B192" s="0" t="s">
        <v>542</v>
      </c>
      <c r="C192" s="0" t="n">
        <v>20.6</v>
      </c>
      <c r="D192" s="0" t="n">
        <v>13.1</v>
      </c>
      <c r="E192" s="0" t="n">
        <v>136.9</v>
      </c>
      <c r="F192" s="0" t="n">
        <v>0.9</v>
      </c>
      <c r="G192" s="0" t="n">
        <v>0.6</v>
      </c>
      <c r="H192" s="0" t="n">
        <v>1.8</v>
      </c>
      <c r="I192" s="0" t="n">
        <v>8.2</v>
      </c>
      <c r="J192" s="0" t="n">
        <v>0</v>
      </c>
      <c r="K192" s="0" t="n">
        <v>0.1</v>
      </c>
      <c r="L192" s="0" t="n">
        <v>9.4</v>
      </c>
      <c r="M192" s="115" t="n">
        <f aca="false">IFERROR(((E192/D192)/10.96)*0.5218*D192,0)</f>
        <v>6.51773905109489</v>
      </c>
      <c r="N192" s="115" t="n">
        <f aca="false">IFERROR((((I192/H192)/5.3)*0.401)*H192,0)</f>
        <v>0.620415094339623</v>
      </c>
      <c r="O192" s="116" t="n">
        <f aca="false">MAX(QB!D194*Scoring!$B$30+QB!E194/Scoring!$C$30+QB!F194*Scoring!$D$30+QB!G194*Scoring!$E$30+QB!H194*Scoring!$F$30+QB!I194/Scoring!$G$30+QB!J194*Scoring!$H$30+QB!K194*Scoring!$I$30+M194*Scoring!$J$30+QB!N194*Scoring!$K$30,0)+C194*Scoring!$B$10*0.07+(C194-D194)*Scoring!$B$5</f>
        <v>6.07</v>
      </c>
      <c r="P192" s="116" t="n">
        <f aca="false">MAX(QB!D192*Scoring!$B$30+QB!E192/Scoring!$C$30+QB!F192*Scoring!$D$30+QB!G192*Scoring!$E$30+QB!H192*Scoring!$F$30+QB!I192/Scoring!$G$30+QB!J192*Scoring!$H$30+QB!K192*Scoring!$I$30+M192*Scoring!$J$30+QB!N192*Scoring!$K$30,0)+C192*Scoring!$B$10*0.07+(C192-D192)*Scoring!$B$5</f>
        <v>9.096</v>
      </c>
      <c r="Q192" s="116" t="n">
        <f aca="false">MAX(QB!D193*Scoring!$B$30+QB!E193/Scoring!$C$30+QB!F193*Scoring!$D$30+QB!G193*Scoring!$E$30+QB!H193*Scoring!$F$30+QB!I193/Scoring!$G$30+QB!J193*Scoring!$H$30+QB!K193*Scoring!$I$30+M193*Scoring!$J$30+QB!N193*Scoring!$K$30,0)+C193*Scoring!$B$10*0.07+(C193-D193)*Scoring!$B$5</f>
        <v>12.58</v>
      </c>
    </row>
    <row r="193" customFormat="false" ht="14.25" hidden="false" customHeight="true" outlineLevel="0" collapsed="false">
      <c r="B193" s="0" t="s">
        <v>491</v>
      </c>
      <c r="C193" s="0" t="n">
        <v>25</v>
      </c>
      <c r="D193" s="0" t="n">
        <v>16</v>
      </c>
      <c r="E193" s="0" t="n">
        <v>177</v>
      </c>
      <c r="F193" s="0" t="n">
        <v>1</v>
      </c>
      <c r="G193" s="0" t="n">
        <v>0</v>
      </c>
      <c r="H193" s="0" t="n">
        <v>2</v>
      </c>
      <c r="I193" s="0" t="n">
        <v>9</v>
      </c>
      <c r="J193" s="0" t="n">
        <v>0.1</v>
      </c>
      <c r="K193" s="0" t="n">
        <v>0</v>
      </c>
      <c r="L193" s="0" t="n">
        <v>12</v>
      </c>
      <c r="M193" s="115" t="n">
        <f aca="false">IFERROR(((E193/D193)/10.96)*0.5218*D193,0)</f>
        <v>8.4268795620438</v>
      </c>
      <c r="N193" s="115" t="n">
        <f aca="false">IFERROR((((I193/H193)/5.3)*0.401)*H193,0)</f>
        <v>0.680943396226415</v>
      </c>
      <c r="O193" s="116"/>
      <c r="P193" s="116"/>
      <c r="Q193" s="116"/>
    </row>
    <row r="194" customFormat="false" ht="14.25" hidden="false" customHeight="true" outlineLevel="0" collapsed="false">
      <c r="B194" s="0" t="s">
        <v>492</v>
      </c>
      <c r="C194" s="0" t="n">
        <v>15</v>
      </c>
      <c r="D194" s="0" t="n">
        <v>10</v>
      </c>
      <c r="E194" s="0" t="n">
        <v>90</v>
      </c>
      <c r="F194" s="0" t="n">
        <v>0.8</v>
      </c>
      <c r="G194" s="0" t="n">
        <v>1</v>
      </c>
      <c r="H194" s="0" t="n">
        <v>1.5</v>
      </c>
      <c r="I194" s="0" t="n">
        <v>6.7</v>
      </c>
      <c r="J194" s="0" t="n">
        <v>0</v>
      </c>
      <c r="K194" s="0" t="n">
        <v>0.2</v>
      </c>
      <c r="L194" s="0" t="n">
        <v>7</v>
      </c>
      <c r="M194" s="115" t="n">
        <f aca="false">IFERROR(((E194/D194)/10.96)*0.5218*D194,0)</f>
        <v>4.28485401459854</v>
      </c>
      <c r="N194" s="115" t="n">
        <f aca="false">IFERROR((((I194/H194)/5.3)*0.401)*H194,0)</f>
        <v>0.506924528301887</v>
      </c>
      <c r="O194" s="116"/>
      <c r="P194" s="116"/>
      <c r="Q194" s="116"/>
    </row>
    <row r="195" customFormat="false" ht="14.25" hidden="false" customHeight="true" outlineLevel="0" collapsed="false">
      <c r="A195" s="0" t="s">
        <v>587</v>
      </c>
      <c r="B195" s="0" t="s">
        <v>500</v>
      </c>
      <c r="C195" s="0" t="n">
        <v>14</v>
      </c>
      <c r="D195" s="0" t="n">
        <v>9</v>
      </c>
      <c r="E195" s="0" t="n">
        <v>105</v>
      </c>
      <c r="F195" s="0" t="n">
        <v>1</v>
      </c>
      <c r="G195" s="0" t="n">
        <v>0</v>
      </c>
      <c r="H195" s="0" t="n">
        <v>2</v>
      </c>
      <c r="I195" s="0" t="n">
        <v>10</v>
      </c>
      <c r="J195" s="0" t="n">
        <v>0</v>
      </c>
      <c r="K195" s="0" t="n">
        <v>0</v>
      </c>
      <c r="L195" s="0" t="n">
        <v>9.2</v>
      </c>
      <c r="M195" s="115" t="n">
        <f aca="false">IFERROR(((E195/D195)/10.96)*0.5218*D195,0)</f>
        <v>4.99899635036496</v>
      </c>
      <c r="N195" s="115" t="n">
        <f aca="false">IFERROR((((I195/H195)/5.3)*0.401)*H195,0)</f>
        <v>0.756603773584906</v>
      </c>
      <c r="O195" s="116" t="n">
        <f aca="false">MAX(QB!D197*Scoring!$B$30+QB!E197/Scoring!$C$30+QB!F197*Scoring!$D$30+QB!G197*Scoring!$E$30+QB!H197*Scoring!$F$30+QB!I197/Scoring!$G$30+QB!J197*Scoring!$H$30+QB!K197*Scoring!$I$30+M197*Scoring!$J$30+QB!N197*Scoring!$K$30,0)+C197*Scoring!$B$10*0.07+(C197-D197)*Scoring!$B$5</f>
        <v>9.2</v>
      </c>
      <c r="P195" s="116" t="n">
        <f aca="false">MAX(QB!D195*Scoring!$B$30+QB!E195/Scoring!$C$30+QB!F195*Scoring!$D$30+QB!G195*Scoring!$E$30+QB!H195*Scoring!$F$30+QB!I195/Scoring!$G$30+QB!J195*Scoring!$H$30+QB!K195*Scoring!$I$30+M195*Scoring!$J$30+QB!N195*Scoring!$K$30,0)+C195*Scoring!$B$10*0.07+(C195-D195)*Scoring!$B$5</f>
        <v>9.2</v>
      </c>
      <c r="Q195" s="116" t="n">
        <f aca="false">MAX(QB!D196*Scoring!$B$30+QB!E196/Scoring!$C$30+QB!F196*Scoring!$D$30+QB!G196*Scoring!$E$30+QB!H196*Scoring!$F$30+QB!I196/Scoring!$G$30+QB!J196*Scoring!$H$30+QB!K196*Scoring!$I$30+M196*Scoring!$J$30+QB!N196*Scoring!$K$30,0)+C196*Scoring!$B$10*0.07+(C196-D196)*Scoring!$B$5</f>
        <v>9.2</v>
      </c>
    </row>
    <row r="196" customFormat="false" ht="14.25" hidden="false" customHeight="true" outlineLevel="0" collapsed="false">
      <c r="B196" s="0" t="s">
        <v>491</v>
      </c>
      <c r="C196" s="0" t="n">
        <v>14</v>
      </c>
      <c r="D196" s="0" t="n">
        <v>9</v>
      </c>
      <c r="E196" s="0" t="n">
        <v>105</v>
      </c>
      <c r="F196" s="0" t="n">
        <v>1</v>
      </c>
      <c r="G196" s="0" t="n">
        <v>0</v>
      </c>
      <c r="H196" s="0" t="n">
        <v>2</v>
      </c>
      <c r="I196" s="0" t="n">
        <v>10</v>
      </c>
      <c r="J196" s="0" t="n">
        <v>0</v>
      </c>
      <c r="K196" s="0" t="n">
        <v>0</v>
      </c>
      <c r="L196" s="0" t="n">
        <v>8</v>
      </c>
      <c r="M196" s="115" t="n">
        <f aca="false">IFERROR(((E196/D196)/10.96)*0.5218*D196,0)</f>
        <v>4.99899635036496</v>
      </c>
      <c r="N196" s="115" t="n">
        <f aca="false">IFERROR((((I196/H196)/5.3)*0.401)*H196,0)</f>
        <v>0.756603773584906</v>
      </c>
      <c r="O196" s="116"/>
      <c r="P196" s="116"/>
      <c r="Q196" s="116"/>
    </row>
    <row r="197" customFormat="false" ht="14.25" hidden="false" customHeight="true" outlineLevel="0" collapsed="false">
      <c r="B197" s="0" t="s">
        <v>492</v>
      </c>
      <c r="C197" s="0" t="n">
        <v>14</v>
      </c>
      <c r="D197" s="0" t="n">
        <v>9</v>
      </c>
      <c r="E197" s="0" t="n">
        <v>105</v>
      </c>
      <c r="F197" s="0" t="n">
        <v>1</v>
      </c>
      <c r="G197" s="0" t="n">
        <v>0</v>
      </c>
      <c r="H197" s="0" t="n">
        <v>2</v>
      </c>
      <c r="I197" s="0" t="n">
        <v>10</v>
      </c>
      <c r="J197" s="0" t="n">
        <v>0</v>
      </c>
      <c r="K197" s="0" t="n">
        <v>0</v>
      </c>
      <c r="L197" s="0" t="n">
        <v>8</v>
      </c>
      <c r="M197" s="115" t="n">
        <f aca="false">IFERROR(((E197/D197)/10.96)*0.5218*D197,0)</f>
        <v>4.99899635036496</v>
      </c>
      <c r="N197" s="115" t="n">
        <f aca="false">IFERROR((((I197/H197)/5.3)*0.401)*H197,0)</f>
        <v>0.756603773584906</v>
      </c>
      <c r="O197" s="116"/>
      <c r="P197" s="116"/>
      <c r="Q197" s="116"/>
    </row>
    <row r="198" customFormat="false" ht="14.25" hidden="false" customHeight="true" outlineLevel="0" collapsed="false">
      <c r="A198" s="0" t="s">
        <v>588</v>
      </c>
      <c r="B198" s="0" t="s">
        <v>490</v>
      </c>
      <c r="C198" s="0" t="n">
        <v>21</v>
      </c>
      <c r="D198" s="0" t="n">
        <v>12.4</v>
      </c>
      <c r="E198" s="0" t="n">
        <v>138.4</v>
      </c>
      <c r="F198" s="0" t="n">
        <v>1</v>
      </c>
      <c r="G198" s="0" t="n">
        <v>0.6</v>
      </c>
      <c r="H198" s="0" t="n">
        <v>2</v>
      </c>
      <c r="I198" s="0" t="n">
        <v>3.6</v>
      </c>
      <c r="J198" s="0" t="n">
        <v>0</v>
      </c>
      <c r="K198" s="0" t="n">
        <v>0.1</v>
      </c>
      <c r="L198" s="0" t="n">
        <v>9.1</v>
      </c>
      <c r="M198" s="115" t="n">
        <f aca="false">IFERROR(((E198/D198)/10.96)*0.5218*D198,0)</f>
        <v>6.58915328467153</v>
      </c>
      <c r="N198" s="115" t="n">
        <f aca="false">IFERROR((((I198/H198)/5.3)*0.401)*H198,0)</f>
        <v>0.272377358490566</v>
      </c>
      <c r="O198" s="116" t="n">
        <f aca="false">MAX(QB!D200*Scoring!$B$30+QB!E200/Scoring!$C$30+QB!F200*Scoring!$D$30+QB!G200*Scoring!$E$30+QB!H200*Scoring!$F$30+QB!I200/Scoring!$G$30+QB!J200*Scoring!$H$30+QB!K200*Scoring!$I$30+M200*Scoring!$J$30+QB!N200*Scoring!$K$30,0)+C200*Scoring!$B$10*0.07+(C200-D200)*Scoring!$B$5</f>
        <v>6.24</v>
      </c>
      <c r="P198" s="116" t="n">
        <f aca="false">MAX(QB!D198*Scoring!$B$30+QB!E198/Scoring!$C$30+QB!F198*Scoring!$D$30+QB!G198*Scoring!$E$30+QB!H198*Scoring!$F$30+QB!I198/Scoring!$G$30+QB!J198*Scoring!$H$30+QB!K198*Scoring!$I$30+M198*Scoring!$J$30+QB!N198*Scoring!$K$30,0)+C198*Scoring!$B$10*0.07+(C198-D198)*Scoring!$B$5</f>
        <v>9.096</v>
      </c>
      <c r="Q198" s="116" t="n">
        <f aca="false">MAX(QB!D199*Scoring!$B$30+QB!E199/Scoring!$C$30+QB!F199*Scoring!$D$30+QB!G199*Scoring!$E$30+QB!H199*Scoring!$F$30+QB!I199/Scoring!$G$30+QB!J199*Scoring!$H$30+QB!K199*Scoring!$I$30+M199*Scoring!$J$30+QB!N199*Scoring!$K$30,0)+C199*Scoring!$B$10*0.07+(C199-D199)*Scoring!$B$5</f>
        <v>11.84</v>
      </c>
    </row>
    <row r="199" customFormat="false" ht="14.25" hidden="false" customHeight="true" outlineLevel="0" collapsed="false">
      <c r="B199" s="0" t="s">
        <v>491</v>
      </c>
      <c r="C199" s="0" t="n">
        <v>26</v>
      </c>
      <c r="D199" s="0" t="n">
        <v>16</v>
      </c>
      <c r="E199" s="0" t="n">
        <v>181</v>
      </c>
      <c r="F199" s="0" t="n">
        <v>1</v>
      </c>
      <c r="G199" s="0" t="n">
        <v>0</v>
      </c>
      <c r="H199" s="0" t="n">
        <v>3</v>
      </c>
      <c r="I199" s="0" t="n">
        <v>6</v>
      </c>
      <c r="J199" s="0" t="n">
        <v>0</v>
      </c>
      <c r="K199" s="0" t="n">
        <v>0</v>
      </c>
      <c r="L199" s="0" t="n">
        <v>11.8</v>
      </c>
      <c r="M199" s="115" t="n">
        <f aca="false">IFERROR(((E199/D199)/10.96)*0.5218*D199,0)</f>
        <v>8.61731751824818</v>
      </c>
      <c r="N199" s="115" t="n">
        <f aca="false">IFERROR((((I199/H199)/5.3)*0.401)*H199,0)</f>
        <v>0.453962264150943</v>
      </c>
      <c r="O199" s="116"/>
      <c r="P199" s="116"/>
      <c r="Q199" s="116"/>
    </row>
    <row r="200" customFormat="false" ht="14.25" hidden="false" customHeight="true" outlineLevel="0" collapsed="false">
      <c r="B200" s="0" t="s">
        <v>492</v>
      </c>
      <c r="C200" s="0" t="n">
        <v>15</v>
      </c>
      <c r="D200" s="0" t="n">
        <v>8</v>
      </c>
      <c r="E200" s="0" t="n">
        <v>96</v>
      </c>
      <c r="F200" s="0" t="n">
        <v>0.9</v>
      </c>
      <c r="G200" s="0" t="n">
        <v>1</v>
      </c>
      <c r="H200" s="0" t="n">
        <v>1.1</v>
      </c>
      <c r="I200" s="0" t="n">
        <v>2</v>
      </c>
      <c r="J200" s="0" t="n">
        <v>0</v>
      </c>
      <c r="K200" s="0" t="n">
        <v>0.2</v>
      </c>
      <c r="L200" s="0" t="n">
        <v>7</v>
      </c>
      <c r="M200" s="115" t="n">
        <f aca="false">IFERROR(((E200/D200)/10.96)*0.5218*D200,0)</f>
        <v>4.57051094890511</v>
      </c>
      <c r="N200" s="115" t="n">
        <f aca="false">IFERROR((((I200/H200)/5.3)*0.401)*H200,0)</f>
        <v>0.151320754716981</v>
      </c>
      <c r="O200" s="116"/>
      <c r="P200" s="116"/>
      <c r="Q200" s="116"/>
    </row>
    <row r="201" customFormat="false" ht="14.25" hidden="false" customHeight="true" outlineLevel="0" collapsed="false">
      <c r="A201" s="0" t="s">
        <v>589</v>
      </c>
      <c r="B201" s="0" t="s">
        <v>544</v>
      </c>
      <c r="C201" s="0" t="n">
        <v>21.5</v>
      </c>
      <c r="D201" s="0" t="n">
        <v>13</v>
      </c>
      <c r="E201" s="0" t="n">
        <v>137</v>
      </c>
      <c r="F201" s="0" t="n">
        <v>0.9</v>
      </c>
      <c r="G201" s="0" t="n">
        <v>0.6</v>
      </c>
      <c r="H201" s="0" t="n">
        <v>2.4</v>
      </c>
      <c r="I201" s="0" t="n">
        <v>5.8</v>
      </c>
      <c r="J201" s="0" t="n">
        <v>0</v>
      </c>
      <c r="K201" s="0" t="n">
        <v>0.1</v>
      </c>
      <c r="L201" s="0" t="n">
        <v>9</v>
      </c>
      <c r="M201" s="115" t="n">
        <f aca="false">IFERROR(((E201/D201)/10.96)*0.5218*D201,0)</f>
        <v>6.5225</v>
      </c>
      <c r="N201" s="115" t="n">
        <f aca="false">IFERROR((((I201/H201)/5.3)*0.401)*H201,0)</f>
        <v>0.438830188679245</v>
      </c>
      <c r="O201" s="116" t="n">
        <f aca="false">MAX(QB!D203*Scoring!$B$30+QB!E203/Scoring!$C$30+QB!F203*Scoring!$D$30+QB!G203*Scoring!$E$30+QB!H203*Scoring!$F$30+QB!I203/Scoring!$G$30+QB!J203*Scoring!$H$30+QB!K203*Scoring!$I$30+M203*Scoring!$J$30+QB!N203*Scoring!$K$30,0)+C203*Scoring!$B$10*0.07+(C203-D203)*Scoring!$B$5</f>
        <v>6.77</v>
      </c>
      <c r="P201" s="116" t="n">
        <f aca="false">MAX(QB!D201*Scoring!$B$30+QB!E201/Scoring!$C$30+QB!F201*Scoring!$D$30+QB!G201*Scoring!$E$30+QB!H201*Scoring!$F$30+QB!I201/Scoring!$G$30+QB!J201*Scoring!$H$30+QB!K201*Scoring!$I$30+M201*Scoring!$J$30+QB!N201*Scoring!$K$30,0)+C201*Scoring!$B$10*0.07+(C201-D201)*Scoring!$B$5</f>
        <v>8.86</v>
      </c>
      <c r="Q201" s="116" t="n">
        <f aca="false">MAX(QB!D202*Scoring!$B$30+QB!E202/Scoring!$C$30+QB!F202*Scoring!$D$30+QB!G202*Scoring!$E$30+QB!H202*Scoring!$F$30+QB!I202/Scoring!$G$30+QB!J202*Scoring!$H$30+QB!K202*Scoring!$I$30+M202*Scoring!$J$30+QB!N202*Scoring!$K$30,0)+C202*Scoring!$B$10*0.07+(C202-D202)*Scoring!$B$5</f>
        <v>11.564</v>
      </c>
    </row>
    <row r="202" customFormat="false" ht="14.25" hidden="false" customHeight="true" outlineLevel="0" collapsed="false">
      <c r="B202" s="0" t="s">
        <v>491</v>
      </c>
      <c r="C202" s="0" t="n">
        <v>23.6</v>
      </c>
      <c r="D202" s="0" t="n">
        <v>15</v>
      </c>
      <c r="E202" s="0" t="n">
        <v>154.1</v>
      </c>
      <c r="F202" s="0" t="n">
        <v>1</v>
      </c>
      <c r="G202" s="0" t="n">
        <v>0</v>
      </c>
      <c r="H202" s="0" t="n">
        <v>4</v>
      </c>
      <c r="I202" s="0" t="n">
        <v>8</v>
      </c>
      <c r="J202" s="0" t="n">
        <v>0.1</v>
      </c>
      <c r="K202" s="0" t="n">
        <v>0</v>
      </c>
      <c r="L202" s="0" t="n">
        <v>10.2</v>
      </c>
      <c r="M202" s="115" t="n">
        <f aca="false">IFERROR(((E202/D202)/10.96)*0.5218*D202,0)</f>
        <v>7.33662226277372</v>
      </c>
      <c r="N202" s="115" t="n">
        <f aca="false">IFERROR((((I202/H202)/5.3)*0.401)*H202,0)</f>
        <v>0.605283018867925</v>
      </c>
      <c r="O202" s="116"/>
      <c r="P202" s="116"/>
      <c r="Q202" s="116"/>
    </row>
    <row r="203" customFormat="false" ht="14.25" hidden="false" customHeight="true" outlineLevel="0" collapsed="false">
      <c r="B203" s="0" t="s">
        <v>492</v>
      </c>
      <c r="C203" s="0" t="n">
        <v>18</v>
      </c>
      <c r="D203" s="0" t="n">
        <v>12</v>
      </c>
      <c r="E203" s="0" t="n">
        <v>123</v>
      </c>
      <c r="F203" s="0" t="n">
        <v>0.7</v>
      </c>
      <c r="G203" s="0" t="n">
        <v>1</v>
      </c>
      <c r="H203" s="0" t="n">
        <v>1.1</v>
      </c>
      <c r="I203" s="0" t="n">
        <v>2.5</v>
      </c>
      <c r="J203" s="0" t="n">
        <v>0</v>
      </c>
      <c r="K203" s="0" t="n">
        <v>0.1</v>
      </c>
      <c r="L203" s="0" t="n">
        <v>7.8</v>
      </c>
      <c r="M203" s="115" t="n">
        <f aca="false">IFERROR(((E203/D203)/10.96)*0.5218*D203,0)</f>
        <v>5.85596715328467</v>
      </c>
      <c r="N203" s="115" t="n">
        <f aca="false">IFERROR((((I203/H203)/5.3)*0.401)*H203,0)</f>
        <v>0.189150943396226</v>
      </c>
      <c r="O203" s="116"/>
      <c r="P203" s="116"/>
      <c r="Q203" s="116"/>
    </row>
    <row r="204" customFormat="false" ht="14.25" hidden="false" customHeight="true" outlineLevel="0" collapsed="false">
      <c r="A204" s="0" t="s">
        <v>590</v>
      </c>
      <c r="B204" s="0" t="s">
        <v>536</v>
      </c>
      <c r="C204" s="0" t="n">
        <v>11</v>
      </c>
      <c r="D204" s="0" t="n">
        <v>7</v>
      </c>
      <c r="E204" s="0" t="n">
        <v>89</v>
      </c>
      <c r="F204" s="0" t="n">
        <v>1</v>
      </c>
      <c r="G204" s="0" t="n">
        <v>0</v>
      </c>
      <c r="H204" s="0" t="n">
        <v>5</v>
      </c>
      <c r="I204" s="0" t="n">
        <v>14</v>
      </c>
      <c r="J204" s="0" t="n">
        <v>0</v>
      </c>
      <c r="K204" s="0" t="n">
        <v>0</v>
      </c>
      <c r="L204" s="0" t="n">
        <v>9</v>
      </c>
      <c r="M204" s="115" t="n">
        <f aca="false">IFERROR(((E204/D204)/10.96)*0.5218*D204,0)</f>
        <v>4.23724452554745</v>
      </c>
      <c r="N204" s="115" t="n">
        <f aca="false">IFERROR((((I204/H204)/5.3)*0.401)*H204,0)</f>
        <v>1.05924528301887</v>
      </c>
      <c r="O204" s="116" t="n">
        <f aca="false">MAX(QB!D206*Scoring!$B$30+QB!E206/Scoring!$C$30+QB!F206*Scoring!$D$30+QB!G206*Scoring!$E$30+QB!H206*Scoring!$F$30+QB!I206/Scoring!$G$30+QB!J206*Scoring!$H$30+QB!K206*Scoring!$I$30+M206*Scoring!$J$30+QB!N206*Scoring!$K$30,0)+C206*Scoring!$B$10*0.07+(C206-D206)*Scoring!$B$5</f>
        <v>8.96</v>
      </c>
      <c r="P204" s="116" t="n">
        <f aca="false">MAX(QB!D204*Scoring!$B$30+QB!E204/Scoring!$C$30+QB!F204*Scoring!$D$30+QB!G204*Scoring!$E$30+QB!H204*Scoring!$F$30+QB!I204/Scoring!$G$30+QB!J204*Scoring!$H$30+QB!K204*Scoring!$I$30+M204*Scoring!$J$30+QB!N204*Scoring!$K$30,0)+C204*Scoring!$B$10*0.07+(C204-D204)*Scoring!$B$5</f>
        <v>8.96</v>
      </c>
      <c r="Q204" s="116" t="n">
        <f aca="false">MAX(QB!D205*Scoring!$B$30+QB!E205/Scoring!$C$30+QB!F205*Scoring!$D$30+QB!G205*Scoring!$E$30+QB!H205*Scoring!$F$30+QB!I205/Scoring!$G$30+QB!J205*Scoring!$H$30+QB!K205*Scoring!$I$30+M205*Scoring!$J$30+QB!N205*Scoring!$K$30,0)+C205*Scoring!$B$10*0.07+(C205-D205)*Scoring!$B$5</f>
        <v>8.96</v>
      </c>
    </row>
    <row r="205" customFormat="false" ht="14.25" hidden="false" customHeight="true" outlineLevel="0" collapsed="false">
      <c r="B205" s="0" t="s">
        <v>491</v>
      </c>
      <c r="C205" s="0" t="n">
        <v>11</v>
      </c>
      <c r="D205" s="0" t="n">
        <v>7</v>
      </c>
      <c r="E205" s="0" t="n">
        <v>89</v>
      </c>
      <c r="F205" s="0" t="n">
        <v>1</v>
      </c>
      <c r="G205" s="0" t="n">
        <v>0</v>
      </c>
      <c r="H205" s="0" t="n">
        <v>5</v>
      </c>
      <c r="I205" s="0" t="n">
        <v>14</v>
      </c>
      <c r="J205" s="0" t="n">
        <v>0</v>
      </c>
      <c r="K205" s="0" t="n">
        <v>0</v>
      </c>
      <c r="L205" s="0" t="n">
        <v>7</v>
      </c>
      <c r="M205" s="115" t="n">
        <f aca="false">IFERROR(((E205/D205)/10.96)*0.5218*D205,0)</f>
        <v>4.23724452554745</v>
      </c>
      <c r="N205" s="115" t="n">
        <f aca="false">IFERROR((((I205/H205)/5.3)*0.401)*H205,0)</f>
        <v>1.05924528301887</v>
      </c>
      <c r="O205" s="116"/>
      <c r="P205" s="116"/>
      <c r="Q205" s="116"/>
    </row>
    <row r="206" customFormat="false" ht="14.25" hidden="false" customHeight="true" outlineLevel="0" collapsed="false">
      <c r="B206" s="0" t="s">
        <v>492</v>
      </c>
      <c r="C206" s="0" t="n">
        <v>11</v>
      </c>
      <c r="D206" s="0" t="n">
        <v>7</v>
      </c>
      <c r="E206" s="0" t="n">
        <v>89</v>
      </c>
      <c r="F206" s="0" t="n">
        <v>1</v>
      </c>
      <c r="G206" s="0" t="n">
        <v>0</v>
      </c>
      <c r="H206" s="0" t="n">
        <v>5</v>
      </c>
      <c r="I206" s="0" t="n">
        <v>14</v>
      </c>
      <c r="J206" s="0" t="n">
        <v>0</v>
      </c>
      <c r="K206" s="0" t="n">
        <v>0</v>
      </c>
      <c r="L206" s="0" t="n">
        <v>7</v>
      </c>
      <c r="M206" s="115" t="n">
        <f aca="false">IFERROR(((E206/D206)/10.96)*0.5218*D206,0)</f>
        <v>4.23724452554745</v>
      </c>
      <c r="N206" s="115" t="n">
        <f aca="false">IFERROR((((I206/H206)/5.3)*0.401)*H206,0)</f>
        <v>1.05924528301887</v>
      </c>
      <c r="O206" s="116"/>
      <c r="P206" s="116"/>
      <c r="Q206" s="116"/>
    </row>
    <row r="207" customFormat="false" ht="14.25" hidden="false" customHeight="true" outlineLevel="0" collapsed="false">
      <c r="A207" s="0" t="s">
        <v>591</v>
      </c>
      <c r="B207" s="0" t="s">
        <v>534</v>
      </c>
      <c r="C207" s="0" t="n">
        <v>18.1</v>
      </c>
      <c r="D207" s="0" t="n">
        <v>11.7</v>
      </c>
      <c r="E207" s="0" t="n">
        <v>123.9</v>
      </c>
      <c r="F207" s="0" t="n">
        <v>0.8</v>
      </c>
      <c r="G207" s="0" t="n">
        <v>0.8</v>
      </c>
      <c r="H207" s="0" t="n">
        <v>1.6</v>
      </c>
      <c r="I207" s="0" t="n">
        <v>6.8</v>
      </c>
      <c r="J207" s="0" t="n">
        <v>0</v>
      </c>
      <c r="K207" s="0" t="n">
        <v>0.1</v>
      </c>
      <c r="L207" s="0" t="n">
        <v>8</v>
      </c>
      <c r="M207" s="115" t="n">
        <f aca="false">IFERROR(((E207/D207)/10.96)*0.5218*D207,0)</f>
        <v>5.89881569343066</v>
      </c>
      <c r="N207" s="115" t="n">
        <f aca="false">IFERROR((((I207/H207)/5.3)*0.401)*H207,0)</f>
        <v>0.514490566037736</v>
      </c>
      <c r="O207" s="116" t="n">
        <f aca="false">MAX(QB!D209*Scoring!$B$30+QB!E209/Scoring!$C$30+QB!F209*Scoring!$D$30+QB!G209*Scoring!$E$30+QB!H209*Scoring!$F$30+QB!I209/Scoring!$G$30+QB!J209*Scoring!$H$30+QB!K209*Scoring!$I$30+M209*Scoring!$J$30+QB!N209*Scoring!$K$30,0)+C209*Scoring!$B$10*0.07+(C209-D209)*Scoring!$B$5</f>
        <v>5.27</v>
      </c>
      <c r="P207" s="116" t="n">
        <f aca="false">MAX(QB!D207*Scoring!$B$30+QB!E207/Scoring!$C$30+QB!F207*Scoring!$D$30+QB!G207*Scoring!$E$30+QB!H207*Scoring!$F$30+QB!I207/Scoring!$G$30+QB!J207*Scoring!$H$30+QB!K207*Scoring!$I$30+M207*Scoring!$J$30+QB!N207*Scoring!$K$30,0)+C207*Scoring!$B$10*0.07+(C207-D207)*Scoring!$B$5</f>
        <v>7.836</v>
      </c>
      <c r="Q207" s="116" t="n">
        <f aca="false">MAX(QB!D208*Scoring!$B$30+QB!E208/Scoring!$C$30+QB!F208*Scoring!$D$30+QB!G208*Scoring!$E$30+QB!H208*Scoring!$F$30+QB!I208/Scoring!$G$30+QB!J208*Scoring!$H$30+QB!K208*Scoring!$I$30+M208*Scoring!$J$30+QB!N208*Scoring!$K$30,0)+C208*Scoring!$B$10*0.07+(C208-D208)*Scoring!$B$5</f>
        <v>10.496</v>
      </c>
    </row>
    <row r="208" customFormat="false" ht="14.25" hidden="false" customHeight="true" outlineLevel="0" collapsed="false">
      <c r="B208" s="0" t="s">
        <v>491</v>
      </c>
      <c r="C208" s="0" t="n">
        <v>22.3</v>
      </c>
      <c r="D208" s="0" t="n">
        <v>14.3</v>
      </c>
      <c r="E208" s="0" t="n">
        <v>154.9</v>
      </c>
      <c r="F208" s="0" t="n">
        <v>1</v>
      </c>
      <c r="G208" s="0" t="n">
        <v>0.5</v>
      </c>
      <c r="H208" s="0" t="n">
        <v>2</v>
      </c>
      <c r="I208" s="0" t="n">
        <v>8</v>
      </c>
      <c r="J208" s="0" t="n">
        <v>0</v>
      </c>
      <c r="K208" s="0" t="n">
        <v>0</v>
      </c>
      <c r="L208" s="0" t="n">
        <v>8</v>
      </c>
      <c r="M208" s="115" t="n">
        <f aca="false">IFERROR(((E208/D208)/10.96)*0.5218*D208,0)</f>
        <v>7.3747098540146</v>
      </c>
      <c r="N208" s="115" t="n">
        <f aca="false">IFERROR((((I208/H208)/5.3)*0.401)*H208,0)</f>
        <v>0.605283018867925</v>
      </c>
      <c r="O208" s="116"/>
      <c r="P208" s="116"/>
      <c r="Q208" s="116"/>
    </row>
    <row r="209" customFormat="false" ht="14.25" hidden="false" customHeight="true" outlineLevel="0" collapsed="false">
      <c r="B209" s="0" t="s">
        <v>492</v>
      </c>
      <c r="C209" s="0" t="n">
        <v>14</v>
      </c>
      <c r="D209" s="0" t="n">
        <v>9</v>
      </c>
      <c r="E209" s="0" t="n">
        <v>93</v>
      </c>
      <c r="F209" s="0" t="n">
        <v>0.6</v>
      </c>
      <c r="G209" s="0" t="n">
        <v>1</v>
      </c>
      <c r="H209" s="0" t="n">
        <v>1.3</v>
      </c>
      <c r="I209" s="0" t="n">
        <v>5.5</v>
      </c>
      <c r="J209" s="0" t="n">
        <v>0</v>
      </c>
      <c r="K209" s="0" t="n">
        <v>0.2</v>
      </c>
      <c r="L209" s="0" t="n">
        <v>5</v>
      </c>
      <c r="M209" s="115" t="n">
        <f aca="false">IFERROR(((E209/D209)/10.96)*0.5218*D209,0)</f>
        <v>4.42768248175183</v>
      </c>
      <c r="N209" s="115" t="n">
        <f aca="false">IFERROR((((I209/H209)/5.3)*0.401)*H209,0)</f>
        <v>0.416132075471698</v>
      </c>
      <c r="O209" s="116"/>
      <c r="P209" s="116"/>
      <c r="Q209" s="116"/>
    </row>
    <row r="210" customFormat="false" ht="14.25" hidden="false" customHeight="true" outlineLevel="0" collapsed="false">
      <c r="A210" s="0" t="s">
        <v>592</v>
      </c>
      <c r="B210" s="0" t="s">
        <v>510</v>
      </c>
      <c r="C210" s="0" t="n">
        <v>12</v>
      </c>
      <c r="D210" s="0" t="n">
        <v>7.5</v>
      </c>
      <c r="E210" s="0" t="n">
        <v>88.5</v>
      </c>
      <c r="F210" s="0" t="n">
        <v>0.5</v>
      </c>
      <c r="G210" s="0" t="n">
        <v>0.5</v>
      </c>
      <c r="H210" s="0" t="n">
        <v>2</v>
      </c>
      <c r="I210" s="0" t="n">
        <v>11</v>
      </c>
      <c r="J210" s="0" t="n">
        <v>0</v>
      </c>
      <c r="K210" s="0" t="n">
        <v>0</v>
      </c>
      <c r="L210" s="0" t="n">
        <v>6.1</v>
      </c>
      <c r="M210" s="115" t="n">
        <f aca="false">IFERROR(((E210/D210)/10.96)*0.5218*D210,0)</f>
        <v>4.2134397810219</v>
      </c>
      <c r="N210" s="115" t="n">
        <f aca="false">IFERROR((((I210/H210)/5.3)*0.401)*H210,0)</f>
        <v>0.832264150943396</v>
      </c>
      <c r="O210" s="116" t="n">
        <f aca="false">MAX(QB!D212*Scoring!$B$30+QB!E212/Scoring!$C$30+QB!F212*Scoring!$D$30+QB!G212*Scoring!$E$30+QB!H212*Scoring!$F$30+QB!I212/Scoring!$G$30+QB!J212*Scoring!$H$30+QB!K212*Scoring!$I$30+M212*Scoring!$J$30+QB!N212*Scoring!$K$30,0)+C212*Scoring!$B$10*0.07+(C212-D212)*Scoring!$B$5</f>
        <v>0</v>
      </c>
      <c r="P210" s="116" t="n">
        <f aca="false">MAX(QB!D210*Scoring!$B$30+QB!E210/Scoring!$C$30+QB!F210*Scoring!$D$30+QB!G210*Scoring!$E$30+QB!H210*Scoring!$F$30+QB!I210/Scoring!$G$30+QB!J210*Scoring!$H$30+QB!K210*Scoring!$I$30+M210*Scoring!$J$30+QB!N210*Scoring!$K$30,0)+C210*Scoring!$B$10*0.07+(C210-D210)*Scoring!$B$5</f>
        <v>6.14</v>
      </c>
      <c r="Q210" s="116" t="n">
        <f aca="false">MAX(QB!D211*Scoring!$B$30+QB!E211/Scoring!$C$30+QB!F211*Scoring!$D$30+QB!G211*Scoring!$E$30+QB!H211*Scoring!$F$30+QB!I211/Scoring!$G$30+QB!J211*Scoring!$H$30+QB!K211*Scoring!$I$30+M211*Scoring!$J$30+QB!N211*Scoring!$K$30,0)+C211*Scoring!$B$10*0.07+(C211-D211)*Scoring!$B$5</f>
        <v>13.28</v>
      </c>
    </row>
    <row r="211" customFormat="false" ht="14.25" hidden="false" customHeight="true" outlineLevel="0" collapsed="false">
      <c r="B211" s="0" t="s">
        <v>491</v>
      </c>
      <c r="C211" s="0" t="n">
        <v>24</v>
      </c>
      <c r="D211" s="0" t="n">
        <v>15</v>
      </c>
      <c r="E211" s="0" t="n">
        <v>177</v>
      </c>
      <c r="F211" s="0" t="n">
        <v>1</v>
      </c>
      <c r="G211" s="0" t="n">
        <v>0</v>
      </c>
      <c r="H211" s="0" t="n">
        <v>4</v>
      </c>
      <c r="I211" s="0" t="n">
        <v>22</v>
      </c>
      <c r="J211" s="0" t="n">
        <v>0</v>
      </c>
      <c r="K211" s="0" t="n">
        <v>0</v>
      </c>
      <c r="L211" s="0" t="n">
        <v>13.3</v>
      </c>
      <c r="M211" s="115" t="n">
        <f aca="false">IFERROR(((E211/D211)/10.96)*0.5218*D211,0)</f>
        <v>8.4268795620438</v>
      </c>
      <c r="N211" s="115" t="n">
        <f aca="false">IFERROR((((I211/H211)/5.3)*0.401)*H211,0)</f>
        <v>1.66452830188679</v>
      </c>
      <c r="O211" s="116"/>
      <c r="P211" s="116"/>
      <c r="Q211" s="116"/>
    </row>
    <row r="212" customFormat="false" ht="14.25" hidden="false" customHeight="true" outlineLevel="0" collapsed="false">
      <c r="B212" s="0" t="s">
        <v>492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115" t="n">
        <f aca="false">IFERROR(((E212/D212)/10.96)*0.5218*D212,0)</f>
        <v>0</v>
      </c>
      <c r="N212" s="115" t="n">
        <f aca="false">IFERROR((((I212/H212)/5.3)*0.401)*H212,0)</f>
        <v>0</v>
      </c>
      <c r="O212" s="116"/>
      <c r="P212" s="116"/>
      <c r="Q212" s="116"/>
    </row>
    <row r="213" customFormat="false" ht="14.25" hidden="false" customHeight="true" outlineLevel="0" collapsed="false">
      <c r="A213" s="0" t="s">
        <v>593</v>
      </c>
      <c r="B213" s="0" t="s">
        <v>548</v>
      </c>
      <c r="C213" s="0" t="n">
        <v>13</v>
      </c>
      <c r="D213" s="0" t="n">
        <v>8</v>
      </c>
      <c r="E213" s="0" t="n">
        <v>93</v>
      </c>
      <c r="F213" s="0" t="n">
        <v>0.5</v>
      </c>
      <c r="G213" s="0" t="n">
        <v>0.5</v>
      </c>
      <c r="H213" s="0" t="n">
        <v>1</v>
      </c>
      <c r="I213" s="0" t="n">
        <v>3.5</v>
      </c>
      <c r="J213" s="0" t="n">
        <v>0</v>
      </c>
      <c r="K213" s="0" t="n">
        <v>0</v>
      </c>
      <c r="L213" s="0" t="n">
        <v>5.6</v>
      </c>
      <c r="M213" s="115" t="n">
        <f aca="false">IFERROR(((E213/D213)/10.96)*0.5218*D213,0)</f>
        <v>4.42768248175183</v>
      </c>
      <c r="N213" s="115" t="n">
        <f aca="false">IFERROR((((I213/H213)/5.3)*0.401)*H213,0)</f>
        <v>0.264811320754717</v>
      </c>
      <c r="O213" s="116" t="n">
        <f aca="false">MAX(QB!D215*Scoring!$B$30+QB!E215/Scoring!$C$30+QB!F215*Scoring!$D$30+QB!G215*Scoring!$E$30+QB!H215*Scoring!$F$30+QB!I215/Scoring!$G$30+QB!J215*Scoring!$H$30+QB!K215*Scoring!$I$30+M215*Scoring!$J$30+QB!N215*Scoring!$K$30,0)+C215*Scoring!$B$10*0.07+(C215-D215)*Scoring!$B$5</f>
        <v>0</v>
      </c>
      <c r="P213" s="116" t="n">
        <f aca="false">MAX(QB!D213*Scoring!$B$30+QB!E213/Scoring!$C$30+QB!F213*Scoring!$D$30+QB!G213*Scoring!$E$30+QB!H213*Scoring!$F$30+QB!I213/Scoring!$G$30+QB!J213*Scoring!$H$30+QB!K213*Scoring!$I$30+M213*Scoring!$J$30+QB!N213*Scoring!$K$30,0)+C213*Scoring!$B$10*0.07+(C213-D213)*Scoring!$B$5</f>
        <v>5.57</v>
      </c>
      <c r="Q213" s="116" t="n">
        <f aca="false">MAX(QB!D214*Scoring!$B$30+QB!E214/Scoring!$C$30+QB!F214*Scoring!$D$30+QB!G214*Scoring!$E$30+QB!H214*Scoring!$F$30+QB!I214/Scoring!$G$30+QB!J214*Scoring!$H$30+QB!K214*Scoring!$I$30+M214*Scoring!$J$30+QB!N214*Scoring!$K$30,0)+C214*Scoring!$B$10*0.07+(C214-D214)*Scoring!$B$5</f>
        <v>12.14</v>
      </c>
    </row>
    <row r="214" customFormat="false" ht="14.25" hidden="false" customHeight="true" outlineLevel="0" collapsed="false">
      <c r="B214" s="0" t="s">
        <v>491</v>
      </c>
      <c r="C214" s="0" t="n">
        <v>26</v>
      </c>
      <c r="D214" s="0" t="n">
        <v>16</v>
      </c>
      <c r="E214" s="0" t="n">
        <v>186</v>
      </c>
      <c r="F214" s="0" t="n">
        <v>1</v>
      </c>
      <c r="G214" s="0" t="n">
        <v>0</v>
      </c>
      <c r="H214" s="0" t="n">
        <v>2</v>
      </c>
      <c r="I214" s="0" t="n">
        <v>7</v>
      </c>
      <c r="J214" s="0" t="n">
        <v>0</v>
      </c>
      <c r="K214" s="0" t="n">
        <v>0</v>
      </c>
      <c r="L214" s="0" t="n">
        <v>12.1</v>
      </c>
      <c r="M214" s="115" t="n">
        <f aca="false">IFERROR(((E214/D214)/10.96)*0.5218*D214,0)</f>
        <v>8.85536496350365</v>
      </c>
      <c r="N214" s="115" t="n">
        <f aca="false">IFERROR((((I214/H214)/5.3)*0.401)*H214,0)</f>
        <v>0.529622641509434</v>
      </c>
      <c r="O214" s="116"/>
      <c r="P214" s="116"/>
      <c r="Q214" s="116"/>
    </row>
    <row r="215" customFormat="false" ht="14.25" hidden="false" customHeight="true" outlineLevel="0" collapsed="false">
      <c r="B215" s="0" t="s">
        <v>492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115" t="n">
        <f aca="false">IFERROR(((E215/D215)/10.96)*0.5218*D215,0)</f>
        <v>0</v>
      </c>
      <c r="N215" s="115" t="n">
        <f aca="false">IFERROR((((I215/H215)/5.3)*0.401)*H215,0)</f>
        <v>0</v>
      </c>
      <c r="O215" s="116"/>
      <c r="P215" s="116"/>
      <c r="Q215" s="116"/>
    </row>
    <row r="216" customFormat="false" ht="14.25" hidden="false" customHeight="true" outlineLevel="0" collapsed="false">
      <c r="A216" s="0" t="s">
        <v>594</v>
      </c>
      <c r="B216" s="0" t="s">
        <v>548</v>
      </c>
      <c r="C216" s="0" t="n">
        <v>10.5</v>
      </c>
      <c r="D216" s="0" t="n">
        <v>6.5</v>
      </c>
      <c r="E216" s="0" t="n">
        <v>67.5</v>
      </c>
      <c r="F216" s="0" t="n">
        <v>0.5</v>
      </c>
      <c r="G216" s="0" t="n">
        <v>0</v>
      </c>
      <c r="H216" s="0" t="n">
        <v>2</v>
      </c>
      <c r="I216" s="0" t="n">
        <v>8.5</v>
      </c>
      <c r="J216" s="0" t="n">
        <v>0</v>
      </c>
      <c r="K216" s="0" t="n">
        <v>0</v>
      </c>
      <c r="L216" s="0" t="n">
        <v>5.6</v>
      </c>
      <c r="M216" s="115" t="n">
        <f aca="false">IFERROR(((E216/D216)/10.96)*0.5218*D216,0)</f>
        <v>3.21364051094891</v>
      </c>
      <c r="N216" s="115" t="n">
        <f aca="false">IFERROR((((I216/H216)/5.3)*0.401)*H216,0)</f>
        <v>0.64311320754717</v>
      </c>
      <c r="O216" s="116" t="n">
        <f aca="false">MAX(QB!D218*Scoring!$B$30+QB!E218/Scoring!$C$30+QB!F218*Scoring!$D$30+QB!G218*Scoring!$E$30+QB!H218*Scoring!$F$30+QB!I218/Scoring!$G$30+QB!J218*Scoring!$H$30+QB!K218*Scoring!$I$30+M218*Scoring!$J$30+QB!N218*Scoring!$K$30,0)+C218*Scoring!$B$10*0.07+(C218-D218)*Scoring!$B$5</f>
        <v>0</v>
      </c>
      <c r="P216" s="116" t="n">
        <f aca="false">MAX(QB!D216*Scoring!$B$30+QB!E216/Scoring!$C$30+QB!F216*Scoring!$D$30+QB!G216*Scoring!$E$30+QB!H216*Scoring!$F$30+QB!I216/Scoring!$G$30+QB!J216*Scoring!$H$30+QB!K216*Scoring!$I$30+M216*Scoring!$J$30+QB!N216*Scoring!$K$30,0)+C216*Scoring!$B$10*0.07+(C216-D216)*Scoring!$B$5</f>
        <v>5.55</v>
      </c>
      <c r="Q216" s="116" t="n">
        <f aca="false">MAX(QB!D217*Scoring!$B$30+QB!E217/Scoring!$C$30+QB!F217*Scoring!$D$30+QB!G217*Scoring!$E$30+QB!H217*Scoring!$F$30+QB!I217/Scoring!$G$30+QB!J217*Scoring!$H$30+QB!K217*Scoring!$I$30+M217*Scoring!$J$30+QB!N217*Scoring!$K$30,0)+C217*Scoring!$B$10*0.07+(C217-D217)*Scoring!$B$5</f>
        <v>11.1</v>
      </c>
    </row>
    <row r="217" customFormat="false" ht="14.25" hidden="false" customHeight="true" outlineLevel="0" collapsed="false">
      <c r="B217" s="0" t="s">
        <v>491</v>
      </c>
      <c r="C217" s="0" t="n">
        <v>21</v>
      </c>
      <c r="D217" s="0" t="n">
        <v>13</v>
      </c>
      <c r="E217" s="0" t="n">
        <v>135</v>
      </c>
      <c r="F217" s="0" t="n">
        <v>1</v>
      </c>
      <c r="G217" s="0" t="n">
        <v>0</v>
      </c>
      <c r="H217" s="0" t="n">
        <v>4</v>
      </c>
      <c r="I217" s="0" t="n">
        <v>17</v>
      </c>
      <c r="J217" s="0" t="n">
        <v>0</v>
      </c>
      <c r="K217" s="0" t="n">
        <v>0</v>
      </c>
      <c r="L217" s="0" t="n">
        <v>9</v>
      </c>
      <c r="M217" s="115" t="n">
        <f aca="false">IFERROR(((E217/D217)/10.96)*0.5218*D217,0)</f>
        <v>6.42728102189781</v>
      </c>
      <c r="N217" s="115" t="n">
        <f aca="false">IFERROR((((I217/H217)/5.3)*0.401)*H217,0)</f>
        <v>1.28622641509434</v>
      </c>
      <c r="O217" s="116"/>
      <c r="P217" s="116"/>
      <c r="Q217" s="116"/>
    </row>
    <row r="218" customFormat="false" ht="14.25" hidden="false" customHeight="true" outlineLevel="0" collapsed="false">
      <c r="B218" s="0" t="s">
        <v>492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115" t="n">
        <f aca="false">IFERROR(((E218/D218)/10.96)*0.5218*D218,0)</f>
        <v>0</v>
      </c>
      <c r="N218" s="115" t="n">
        <f aca="false">IFERROR((((I218/H218)/5.3)*0.401)*H218,0)</f>
        <v>0</v>
      </c>
      <c r="O218" s="116"/>
      <c r="P218" s="116"/>
      <c r="Q218" s="116"/>
    </row>
    <row r="219" customFormat="false" ht="14.25" hidden="false" customHeight="true" outlineLevel="0" collapsed="false">
      <c r="A219" s="0" t="s">
        <v>595</v>
      </c>
      <c r="B219" s="0" t="s">
        <v>520</v>
      </c>
      <c r="C219" s="0" t="n">
        <v>9</v>
      </c>
      <c r="D219" s="0" t="n">
        <v>5.5</v>
      </c>
      <c r="E219" s="0" t="n">
        <v>67.5</v>
      </c>
      <c r="F219" s="0" t="n">
        <v>0.5</v>
      </c>
      <c r="G219" s="0" t="n">
        <v>0</v>
      </c>
      <c r="H219" s="0" t="n">
        <v>1</v>
      </c>
      <c r="I219" s="0" t="n">
        <v>5</v>
      </c>
      <c r="J219" s="0" t="n">
        <v>0</v>
      </c>
      <c r="K219" s="0" t="n">
        <v>0</v>
      </c>
      <c r="L219" s="0" t="n">
        <v>5.2</v>
      </c>
      <c r="M219" s="115" t="n">
        <f aca="false">IFERROR(((E219/D219)/10.96)*0.5218*D219,0)</f>
        <v>3.21364051094891</v>
      </c>
      <c r="N219" s="115" t="n">
        <f aca="false">IFERROR((((I219/H219)/5.3)*0.401)*H219,0)</f>
        <v>0.378301886792453</v>
      </c>
      <c r="O219" s="116" t="n">
        <f aca="false">MAX(QB!D221*Scoring!$B$30+QB!E221/Scoring!$C$30+QB!F221*Scoring!$D$30+QB!G221*Scoring!$E$30+QB!H221*Scoring!$F$30+QB!I221/Scoring!$G$30+QB!J221*Scoring!$H$30+QB!K221*Scoring!$I$30+M221*Scoring!$J$30+QB!N221*Scoring!$K$30,0)+C221*Scoring!$B$10*0.07+(C221-D221)*Scoring!$B$5</f>
        <v>0</v>
      </c>
      <c r="P219" s="116" t="n">
        <f aca="false">MAX(QB!D219*Scoring!$B$30+QB!E219/Scoring!$C$30+QB!F219*Scoring!$D$30+QB!G219*Scoring!$E$30+QB!H219*Scoring!$F$30+QB!I219/Scoring!$G$30+QB!J219*Scoring!$H$30+QB!K219*Scoring!$I$30+M219*Scoring!$J$30+QB!N219*Scoring!$K$30,0)+C219*Scoring!$B$10*0.07+(C219-D219)*Scoring!$B$5</f>
        <v>5.2</v>
      </c>
      <c r="Q219" s="116" t="n">
        <f aca="false">MAX(QB!D220*Scoring!$B$30+QB!E220/Scoring!$C$30+QB!F220*Scoring!$D$30+QB!G220*Scoring!$E$30+QB!H220*Scoring!$F$30+QB!I220/Scoring!$G$30+QB!J220*Scoring!$H$30+QB!K220*Scoring!$I$30+M220*Scoring!$J$30+QB!N220*Scoring!$K$30,0)+C220*Scoring!$B$10*0.07+(C220-D220)*Scoring!$B$5</f>
        <v>10.4</v>
      </c>
    </row>
    <row r="220" customFormat="false" ht="14.25" hidden="false" customHeight="true" outlineLevel="0" collapsed="false">
      <c r="B220" s="0" t="s">
        <v>491</v>
      </c>
      <c r="C220" s="0" t="n">
        <v>18</v>
      </c>
      <c r="D220" s="0" t="n">
        <v>11</v>
      </c>
      <c r="E220" s="0" t="n">
        <v>135</v>
      </c>
      <c r="F220" s="0" t="n">
        <v>1</v>
      </c>
      <c r="G220" s="0" t="n">
        <v>0</v>
      </c>
      <c r="H220" s="0" t="n">
        <v>2</v>
      </c>
      <c r="I220" s="0" t="n">
        <v>10</v>
      </c>
      <c r="J220" s="0" t="n">
        <v>0</v>
      </c>
      <c r="K220" s="0" t="n">
        <v>0</v>
      </c>
      <c r="L220" s="0" t="n">
        <v>8</v>
      </c>
      <c r="M220" s="115" t="n">
        <f aca="false">IFERROR(((E220/D220)/10.96)*0.5218*D220,0)</f>
        <v>6.42728102189781</v>
      </c>
      <c r="N220" s="115" t="n">
        <f aca="false">IFERROR((((I220/H220)/5.3)*0.401)*H220,0)</f>
        <v>0.756603773584906</v>
      </c>
      <c r="O220" s="116"/>
      <c r="P220" s="116"/>
      <c r="Q220" s="116"/>
    </row>
    <row r="221" customFormat="false" ht="14.25" hidden="false" customHeight="true" outlineLevel="0" collapsed="false">
      <c r="B221" s="0" t="s">
        <v>492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115" t="n">
        <f aca="false">IFERROR(((E221/D221)/10.96)*0.5218*D221,0)</f>
        <v>0</v>
      </c>
      <c r="N221" s="115" t="n">
        <f aca="false">IFERROR((((I221/H221)/5.3)*0.401)*H221,0)</f>
        <v>0</v>
      </c>
      <c r="O221" s="116"/>
      <c r="P221" s="116"/>
      <c r="Q221" s="116"/>
    </row>
    <row r="222" customFormat="false" ht="14.25" hidden="false" customHeight="true" outlineLevel="0" collapsed="false">
      <c r="A222" s="0" t="s">
        <v>596</v>
      </c>
      <c r="B222" s="0" t="s">
        <v>534</v>
      </c>
      <c r="C222" s="0" t="n">
        <v>9.5</v>
      </c>
      <c r="D222" s="0" t="n">
        <v>6.5</v>
      </c>
      <c r="E222" s="0" t="n">
        <v>62</v>
      </c>
      <c r="F222" s="0" t="n">
        <v>0.5</v>
      </c>
      <c r="G222" s="0" t="n">
        <v>0.5</v>
      </c>
      <c r="H222" s="0" t="n">
        <v>2</v>
      </c>
      <c r="I222" s="0" t="n">
        <v>9.5</v>
      </c>
      <c r="J222" s="0" t="n">
        <v>0</v>
      </c>
      <c r="K222" s="0" t="n">
        <v>0</v>
      </c>
      <c r="L222" s="0" t="n">
        <v>4.9</v>
      </c>
      <c r="M222" s="115" t="n">
        <f aca="false">IFERROR(((E222/D222)/10.96)*0.5218*D222,0)</f>
        <v>2.95178832116788</v>
      </c>
      <c r="N222" s="115" t="n">
        <f aca="false">IFERROR((((I222/H222)/5.3)*0.401)*H222,0)</f>
        <v>0.718773584905661</v>
      </c>
      <c r="O222" s="116" t="n">
        <f aca="false">MAX(QB!D224*Scoring!$B$30+QB!E224/Scoring!$C$30+QB!F224*Scoring!$D$30+QB!G224*Scoring!$E$30+QB!H224*Scoring!$F$30+QB!I224/Scoring!$G$30+QB!J224*Scoring!$H$30+QB!K224*Scoring!$I$30+M224*Scoring!$J$30+QB!N224*Scoring!$K$30,0)+C224*Scoring!$B$10*0.07+(C224-D224)*Scoring!$B$5</f>
        <v>0</v>
      </c>
      <c r="P222" s="116" t="n">
        <f aca="false">MAX(QB!D222*Scoring!$B$30+QB!E222/Scoring!$C$30+QB!F222*Scoring!$D$30+QB!G222*Scoring!$E$30+QB!H222*Scoring!$F$30+QB!I222/Scoring!$G$30+QB!J222*Scoring!$H$30+QB!K222*Scoring!$I$30+M222*Scoring!$J$30+QB!N222*Scoring!$K$30,0)+C222*Scoring!$B$10*0.07+(C222-D222)*Scoring!$B$5</f>
        <v>4.93</v>
      </c>
      <c r="Q222" s="116" t="n">
        <f aca="false">MAX(QB!D223*Scoring!$B$30+QB!E223/Scoring!$C$30+QB!F223*Scoring!$D$30+QB!G223*Scoring!$E$30+QB!H223*Scoring!$F$30+QB!I223/Scoring!$G$30+QB!J223*Scoring!$H$30+QB!K223*Scoring!$I$30+M223*Scoring!$J$30+QB!N223*Scoring!$K$30,0)+C223*Scoring!$B$10*0.07+(C223-D223)*Scoring!$B$5</f>
        <v>10.86</v>
      </c>
    </row>
    <row r="223" customFormat="false" ht="14.25" hidden="false" customHeight="true" outlineLevel="0" collapsed="false">
      <c r="B223" s="0" t="s">
        <v>491</v>
      </c>
      <c r="C223" s="0" t="n">
        <v>19</v>
      </c>
      <c r="D223" s="0" t="n">
        <v>13</v>
      </c>
      <c r="E223" s="0" t="n">
        <v>124</v>
      </c>
      <c r="F223" s="0" t="n">
        <v>1</v>
      </c>
      <c r="G223" s="0" t="n">
        <v>0</v>
      </c>
      <c r="H223" s="0" t="n">
        <v>4</v>
      </c>
      <c r="I223" s="0" t="n">
        <v>19</v>
      </c>
      <c r="J223" s="0" t="n">
        <v>0</v>
      </c>
      <c r="K223" s="0" t="n">
        <v>0</v>
      </c>
      <c r="L223" s="0" t="n">
        <v>7</v>
      </c>
      <c r="M223" s="115" t="n">
        <f aca="false">IFERROR(((E223/D223)/10.96)*0.5218*D223,0)</f>
        <v>5.90357664233577</v>
      </c>
      <c r="N223" s="115" t="n">
        <f aca="false">IFERROR((((I223/H223)/5.3)*0.401)*H223,0)</f>
        <v>1.43754716981132</v>
      </c>
      <c r="O223" s="116"/>
      <c r="P223" s="116"/>
      <c r="Q223" s="116"/>
    </row>
    <row r="224" customFormat="false" ht="14.25" hidden="false" customHeight="true" outlineLevel="0" collapsed="false">
      <c r="B224" s="0" t="s">
        <v>492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115" t="n">
        <f aca="false">IFERROR(((E224/D224)/10.96)*0.5218*D224,0)</f>
        <v>0</v>
      </c>
      <c r="N224" s="115" t="n">
        <f aca="false">IFERROR((((I224/H224)/5.3)*0.401)*H224,0)</f>
        <v>0</v>
      </c>
      <c r="O224" s="116"/>
      <c r="P224" s="116"/>
      <c r="Q224" s="116"/>
    </row>
    <row r="225" customFormat="false" ht="14.25" hidden="false" customHeight="true" outlineLevel="0" collapsed="false">
      <c r="A225" s="0" t="s">
        <v>597</v>
      </c>
      <c r="B225" s="0" t="s">
        <v>502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115" t="n">
        <f aca="false">IFERROR(((E225/D225)/10.96)*0.5218*D225,0)</f>
        <v>0</v>
      </c>
      <c r="N225" s="115" t="n">
        <f aca="false">IFERROR((((I225/H225)/5.3)*0.401)*H225,0)</f>
        <v>0</v>
      </c>
      <c r="O225" s="116" t="n">
        <f aca="false">MAX(QB!D227*Scoring!$B$30+QB!E227/Scoring!$C$30+QB!F227*Scoring!$D$30+QB!G227*Scoring!$E$30+QB!H227*Scoring!$F$30+QB!I227/Scoring!$G$30+QB!J227*Scoring!$H$30+QB!K227*Scoring!$I$30+M227*Scoring!$J$30+QB!N227*Scoring!$K$30,0)+C227*Scoring!$B$10*0.07+(C227-D227)*Scoring!$B$5</f>
        <v>0</v>
      </c>
      <c r="P225" s="116" t="n">
        <f aca="false">MAX(QB!D225*Scoring!$B$30+QB!E225/Scoring!$C$30+QB!F225*Scoring!$D$30+QB!G225*Scoring!$E$30+QB!H225*Scoring!$F$30+QB!I225/Scoring!$G$30+QB!J225*Scoring!$H$30+QB!K225*Scoring!$I$30+M225*Scoring!$J$30+QB!N225*Scoring!$K$30,0)+C225*Scoring!$B$10*0.07+(C225-D225)*Scoring!$B$5</f>
        <v>0</v>
      </c>
      <c r="Q225" s="116" t="n">
        <f aca="false">MAX(QB!D226*Scoring!$B$30+QB!E226/Scoring!$C$30+QB!F226*Scoring!$D$30+QB!G226*Scoring!$E$30+QB!H226*Scoring!$F$30+QB!I226/Scoring!$G$30+QB!J226*Scoring!$H$30+QB!K226*Scoring!$I$30+M226*Scoring!$J$30+QB!N226*Scoring!$K$30,0)+C226*Scoring!$B$10*0.07+(C226-D226)*Scoring!$B$5</f>
        <v>0</v>
      </c>
    </row>
    <row r="226" customFormat="false" ht="14.25" hidden="false" customHeight="true" outlineLevel="0" collapsed="false">
      <c r="B226" s="0" t="s">
        <v>491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115" t="n">
        <f aca="false">IFERROR(((E226/D226)/10.96)*0.5218*D226,0)</f>
        <v>0</v>
      </c>
      <c r="N226" s="115" t="n">
        <f aca="false">IFERROR((((I226/H226)/5.3)*0.401)*H226,0)</f>
        <v>0</v>
      </c>
      <c r="O226" s="116"/>
      <c r="P226" s="116"/>
      <c r="Q226" s="116"/>
    </row>
    <row r="227" customFormat="false" ht="14.25" hidden="false" customHeight="true" outlineLevel="0" collapsed="false">
      <c r="B227" s="0" t="s">
        <v>492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115" t="n">
        <f aca="false">IFERROR(((E227/D227)/10.96)*0.5218*D227,0)</f>
        <v>0</v>
      </c>
      <c r="N227" s="115" t="n">
        <f aca="false">IFERROR((((I227/H227)/5.3)*0.401)*H227,0)</f>
        <v>0</v>
      </c>
      <c r="O227" s="116"/>
      <c r="P227" s="116"/>
      <c r="Q227" s="116"/>
    </row>
    <row r="228" customFormat="false" ht="14.25" hidden="false" customHeight="true" outlineLevel="0" collapsed="false">
      <c r="A228" s="0" t="s">
        <v>598</v>
      </c>
      <c r="B228" s="0" t="s">
        <v>506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115" t="n">
        <f aca="false">IFERROR(((E228/D228)/10.96)*0.5218*D228,0)</f>
        <v>0</v>
      </c>
      <c r="N228" s="115" t="n">
        <f aca="false">IFERROR((((I228/H228)/5.3)*0.401)*H228,0)</f>
        <v>0</v>
      </c>
      <c r="O228" s="116" t="n">
        <f aca="false">MAX(QB!D230*Scoring!$B$30+QB!E230/Scoring!$C$30+QB!F230*Scoring!$D$30+QB!G230*Scoring!$E$30+QB!H230*Scoring!$F$30+QB!I230/Scoring!$G$30+QB!J230*Scoring!$H$30+QB!K230*Scoring!$I$30+M230*Scoring!$J$30+QB!N230*Scoring!$K$30,0)+C230*Scoring!$B$10*0.07+(C230-D230)*Scoring!$B$5</f>
        <v>0</v>
      </c>
      <c r="P228" s="116" t="n">
        <f aca="false">MAX(QB!D228*Scoring!$B$30+QB!E228/Scoring!$C$30+QB!F228*Scoring!$D$30+QB!G228*Scoring!$E$30+QB!H228*Scoring!$F$30+QB!I228/Scoring!$G$30+QB!J228*Scoring!$H$30+QB!K228*Scoring!$I$30+M228*Scoring!$J$30+QB!N228*Scoring!$K$30,0)+C228*Scoring!$B$10*0.07+(C228-D228)*Scoring!$B$5</f>
        <v>0</v>
      </c>
      <c r="Q228" s="116" t="n">
        <f aca="false">MAX(QB!D229*Scoring!$B$30+QB!E229/Scoring!$C$30+QB!F229*Scoring!$D$30+QB!G229*Scoring!$E$30+QB!H229*Scoring!$F$30+QB!I229/Scoring!$G$30+QB!J229*Scoring!$H$30+QB!K229*Scoring!$I$30+M229*Scoring!$J$30+QB!N229*Scoring!$K$30,0)+C229*Scoring!$B$10*0.07+(C229-D229)*Scoring!$B$5</f>
        <v>0</v>
      </c>
    </row>
    <row r="229" customFormat="false" ht="14.25" hidden="false" customHeight="true" outlineLevel="0" collapsed="false">
      <c r="B229" s="0" t="s">
        <v>491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115" t="n">
        <f aca="false">IFERROR(((E229/D229)/10.96)*0.5218*D229,0)</f>
        <v>0</v>
      </c>
      <c r="N229" s="115" t="n">
        <f aca="false">IFERROR((((I229/H229)/5.3)*0.401)*H229,0)</f>
        <v>0</v>
      </c>
      <c r="O229" s="116"/>
      <c r="P229" s="116"/>
      <c r="Q229" s="116"/>
    </row>
    <row r="230" customFormat="false" ht="14.25" hidden="false" customHeight="true" outlineLevel="0" collapsed="false">
      <c r="B230" s="0" t="s">
        <v>492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115" t="n">
        <f aca="false">IFERROR(((E230/D230)/10.96)*0.5218*D230,0)</f>
        <v>0</v>
      </c>
      <c r="N230" s="115" t="n">
        <f aca="false">IFERROR((((I230/H230)/5.3)*0.401)*H230,0)</f>
        <v>0</v>
      </c>
      <c r="O230" s="116"/>
      <c r="P230" s="116"/>
      <c r="Q230" s="116"/>
    </row>
    <row r="231" customFormat="false" ht="14.25" hidden="false" customHeight="true" outlineLevel="0" collapsed="false">
      <c r="A231" s="0" t="s">
        <v>599</v>
      </c>
      <c r="B231" s="0" t="s">
        <v>550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115" t="n">
        <f aca="false">IFERROR(((E231/D231)/10.96)*0.5218*D231,0)</f>
        <v>0</v>
      </c>
      <c r="N231" s="115" t="n">
        <f aca="false">IFERROR((((I231/H231)/5.3)*0.401)*H231,0)</f>
        <v>0</v>
      </c>
      <c r="O231" s="116" t="n">
        <f aca="false">MAX(QB!D233*Scoring!$B$30+QB!E233/Scoring!$C$30+QB!F233*Scoring!$D$30+QB!G233*Scoring!$E$30+QB!H233*Scoring!$F$30+QB!I233/Scoring!$G$30+QB!J233*Scoring!$H$30+QB!K233*Scoring!$I$30+M233*Scoring!$J$30+QB!N233*Scoring!$K$30,0)+C233*Scoring!$B$10*0.07+(C233-D233)*Scoring!$B$5</f>
        <v>0</v>
      </c>
      <c r="P231" s="116" t="n">
        <f aca="false">MAX(QB!D231*Scoring!$B$30+QB!E231/Scoring!$C$30+QB!F231*Scoring!$D$30+QB!G231*Scoring!$E$30+QB!H231*Scoring!$F$30+QB!I231/Scoring!$G$30+QB!J231*Scoring!$H$30+QB!K231*Scoring!$I$30+M231*Scoring!$J$30+QB!N231*Scoring!$K$30,0)+C231*Scoring!$B$10*0.07+(C231-D231)*Scoring!$B$5</f>
        <v>0</v>
      </c>
      <c r="Q231" s="116" t="n">
        <f aca="false">MAX(QB!D232*Scoring!$B$30+QB!E232/Scoring!$C$30+QB!F232*Scoring!$D$30+QB!G232*Scoring!$E$30+QB!H232*Scoring!$F$30+QB!I232/Scoring!$G$30+QB!J232*Scoring!$H$30+QB!K232*Scoring!$I$30+M232*Scoring!$J$30+QB!N232*Scoring!$K$30,0)+C232*Scoring!$B$10*0.07+(C232-D232)*Scoring!$B$5</f>
        <v>0</v>
      </c>
    </row>
    <row r="232" customFormat="false" ht="14.25" hidden="false" customHeight="true" outlineLevel="0" collapsed="false">
      <c r="B232" s="0" t="s">
        <v>491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115" t="n">
        <f aca="false">IFERROR(((E232/D232)/10.96)*0.5218*D232,0)</f>
        <v>0</v>
      </c>
      <c r="N232" s="115" t="n">
        <f aca="false">IFERROR((((I232/H232)/5.3)*0.401)*H232,0)</f>
        <v>0</v>
      </c>
      <c r="O232" s="116"/>
      <c r="P232" s="116"/>
      <c r="Q232" s="116"/>
    </row>
    <row r="233" customFormat="false" ht="14.25" hidden="false" customHeight="true" outlineLevel="0" collapsed="false">
      <c r="B233" s="0" t="s">
        <v>492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115" t="n">
        <f aca="false">IFERROR(((E233/D233)/10.96)*0.5218*D233,0)</f>
        <v>0</v>
      </c>
      <c r="N233" s="115" t="n">
        <f aca="false">IFERROR((((I233/H233)/5.3)*0.401)*H233,0)</f>
        <v>0</v>
      </c>
      <c r="O233" s="116"/>
      <c r="P233" s="116"/>
      <c r="Q233" s="116"/>
    </row>
    <row r="234" customFormat="false" ht="14.25" hidden="false" customHeight="true" outlineLevel="0" collapsed="false">
      <c r="M234" s="115" t="n">
        <f aca="false">IFERROR(((E234/D234)/10.96)*0.5218*D234,0)</f>
        <v>0</v>
      </c>
      <c r="N234" s="115" t="n">
        <f aca="false">IFERROR((((I234/H234)/5.3)*0.401)*H234,0)</f>
        <v>0</v>
      </c>
      <c r="O234" s="116" t="n">
        <f aca="false">MAX(QB!D236*Scoring!$B$30+QB!E236/Scoring!$C$30+QB!F236*Scoring!$D$30+QB!G236*Scoring!$E$30+QB!H236*Scoring!$F$30+QB!I236/Scoring!$G$30+QB!J236*Scoring!$H$30+QB!K236*Scoring!$I$30+M236*Scoring!$J$30+QB!N236*Scoring!$K$30,0)+C236*Scoring!$B$10*0.07+(C236-D236)*Scoring!$B$5</f>
        <v>0</v>
      </c>
      <c r="P234" s="116" t="n">
        <f aca="false">MAX(QB!D234*Scoring!$B$30+QB!E234/Scoring!$C$30+QB!F234*Scoring!$D$30+QB!G234*Scoring!$E$30+QB!H234*Scoring!$F$30+QB!I234/Scoring!$G$30+QB!J234*Scoring!$H$30+QB!K234*Scoring!$I$30+M234*Scoring!$J$30+QB!N234*Scoring!$K$30,0)+C234*Scoring!$B$10*0.07+(C234-D234)*Scoring!$B$5</f>
        <v>0</v>
      </c>
      <c r="Q234" s="116" t="n">
        <f aca="false">MAX(QB!D235*Scoring!$B$30+QB!E235/Scoring!$C$30+QB!F235*Scoring!$D$30+QB!G235*Scoring!$E$30+QB!H235*Scoring!$F$30+QB!I235/Scoring!$G$30+QB!J235*Scoring!$H$30+QB!K235*Scoring!$I$30+M235*Scoring!$J$30+QB!N235*Scoring!$K$30,0)+C235*Scoring!$B$10*0.07+(C235-D235)*Scoring!$B$5</f>
        <v>0</v>
      </c>
    </row>
    <row r="235" customFormat="false" ht="14.25" hidden="false" customHeight="true" outlineLevel="0" collapsed="false">
      <c r="M235" s="115" t="n">
        <f aca="false">IFERROR(((E235/D235)/10.96)*0.5218*D235,0)</f>
        <v>0</v>
      </c>
      <c r="N235" s="115" t="n">
        <f aca="false">IFERROR((((I235/H235)/5.3)*0.401)*H235,0)</f>
        <v>0</v>
      </c>
      <c r="O235" s="116"/>
      <c r="P235" s="116"/>
      <c r="Q235" s="116"/>
    </row>
    <row r="236" customFormat="false" ht="14.25" hidden="false" customHeight="true" outlineLevel="0" collapsed="false">
      <c r="M236" s="115" t="n">
        <f aca="false">IFERROR(((E236/D236)/10.96)*0.5218*D236,0)</f>
        <v>0</v>
      </c>
      <c r="N236" s="115" t="n">
        <f aca="false">IFERROR((((I236/H236)/5.3)*0.401)*H236,0)</f>
        <v>0</v>
      </c>
      <c r="O236" s="116"/>
      <c r="P236" s="116"/>
      <c r="Q236" s="116"/>
    </row>
    <row r="237" customFormat="false" ht="14.25" hidden="false" customHeight="true" outlineLevel="0" collapsed="false">
      <c r="M237" s="115" t="n">
        <f aca="false">IFERROR(((E237/D237)/10.96)*0.5218*D237,0)</f>
        <v>0</v>
      </c>
      <c r="N237" s="115" t="n">
        <f aca="false">IFERROR((((I237/H237)/5.3)*0.401)*H237,0)</f>
        <v>0</v>
      </c>
      <c r="O237" s="116" t="n">
        <f aca="false">MAX(QB!D239*Scoring!$B$30+QB!E239/Scoring!$C$30+QB!F239*Scoring!$D$30+QB!G239*Scoring!$E$30+QB!H239*Scoring!$F$30+QB!I239/Scoring!$G$30+QB!J239*Scoring!$H$30+QB!K239*Scoring!$I$30+M239*Scoring!$J$30+QB!N239*Scoring!$K$30,0)+C239*Scoring!$B$10*0.07+(C239-D239)*Scoring!$B$5</f>
        <v>0</v>
      </c>
      <c r="P237" s="116" t="n">
        <f aca="false">MAX(QB!D237*Scoring!$B$30+QB!E237/Scoring!$C$30+QB!F237*Scoring!$D$30+QB!G237*Scoring!$E$30+QB!H237*Scoring!$F$30+QB!I237/Scoring!$G$30+QB!J237*Scoring!$H$30+QB!K237*Scoring!$I$30+M237*Scoring!$J$30+QB!N237*Scoring!$K$30,0)+C237*Scoring!$B$10*0.07+(C237-D237)*Scoring!$B$5</f>
        <v>0</v>
      </c>
      <c r="Q237" s="116" t="n">
        <f aca="false">MAX(QB!D238*Scoring!$B$30+QB!E238/Scoring!$C$30+QB!F238*Scoring!$D$30+QB!G238*Scoring!$E$30+QB!H238*Scoring!$F$30+QB!I238/Scoring!$G$30+QB!J238*Scoring!$H$30+QB!K238*Scoring!$I$30+M238*Scoring!$J$30+QB!N238*Scoring!$K$30,0)+C238*Scoring!$B$10*0.07+(C238-D238)*Scoring!$B$5</f>
        <v>0</v>
      </c>
    </row>
    <row r="238" customFormat="false" ht="14.25" hidden="false" customHeight="true" outlineLevel="0" collapsed="false">
      <c r="M238" s="115" t="n">
        <f aca="false">IFERROR(((E238/D238)/10.96)*0.5218*D238,0)</f>
        <v>0</v>
      </c>
      <c r="N238" s="115" t="n">
        <f aca="false">IFERROR((((I238/H238)/5.3)*0.401)*H238,0)</f>
        <v>0</v>
      </c>
      <c r="O238" s="116"/>
      <c r="P238" s="116"/>
      <c r="Q238" s="116"/>
    </row>
    <row r="239" customFormat="false" ht="14.25" hidden="false" customHeight="true" outlineLevel="0" collapsed="false">
      <c r="M239" s="115" t="n">
        <f aca="false">IFERROR(((E239/D239)/10.96)*0.5218*D239,0)</f>
        <v>0</v>
      </c>
      <c r="N239" s="115" t="n">
        <f aca="false">IFERROR((((I239/H239)/5.3)*0.401)*H239,0)</f>
        <v>0</v>
      </c>
      <c r="O239" s="116"/>
      <c r="P239" s="116"/>
      <c r="Q239" s="116"/>
    </row>
    <row r="240" customFormat="false" ht="14.25" hidden="false" customHeight="true" outlineLevel="0" collapsed="false">
      <c r="M240" s="115" t="n">
        <f aca="false">IFERROR(((E240/D240)/10.96)*0.5218*D240,0)</f>
        <v>0</v>
      </c>
      <c r="N240" s="115" t="n">
        <f aca="false">IFERROR((((I240/H240)/5.3)*0.401)*H240,0)</f>
        <v>0</v>
      </c>
      <c r="O240" s="116" t="n">
        <f aca="false">MAX(QB!D242*Scoring!$B$30+QB!E242/Scoring!$C$30+QB!F242*Scoring!$D$30+QB!G242*Scoring!$E$30+QB!H242*Scoring!$F$30+QB!I242/Scoring!$G$30+QB!J242*Scoring!$H$30+QB!K242*Scoring!$I$30+M242*Scoring!$J$30+QB!N242*Scoring!$K$30,0)+C242*Scoring!$B$10*0.07+(C242-D242)*Scoring!$B$5</f>
        <v>0</v>
      </c>
      <c r="P240" s="116" t="n">
        <f aca="false">MAX(QB!D240*Scoring!$B$30+QB!E240/Scoring!$C$30+QB!F240*Scoring!$D$30+QB!G240*Scoring!$E$30+QB!H240*Scoring!$F$30+QB!I240/Scoring!$G$30+QB!J240*Scoring!$H$30+QB!K240*Scoring!$I$30+M240*Scoring!$J$30+QB!N240*Scoring!$K$30,0)+C240*Scoring!$B$10*0.07+(C240-D240)*Scoring!$B$5</f>
        <v>0</v>
      </c>
      <c r="Q240" s="116" t="n">
        <f aca="false">MAX(QB!D241*Scoring!$B$30+QB!E241/Scoring!$C$30+QB!F241*Scoring!$D$30+QB!G241*Scoring!$E$30+QB!H241*Scoring!$F$30+QB!I241/Scoring!$G$30+QB!J241*Scoring!$H$30+QB!K241*Scoring!$I$30+M241*Scoring!$J$30+QB!N241*Scoring!$K$30,0)+C241*Scoring!$B$10*0.07+(C241-D241)*Scoring!$B$5</f>
        <v>0</v>
      </c>
    </row>
    <row r="241" customFormat="false" ht="14.25" hidden="false" customHeight="true" outlineLevel="0" collapsed="false">
      <c r="M241" s="115" t="n">
        <f aca="false">IFERROR(((E241/D241)/10.96)*0.5218*D241,0)</f>
        <v>0</v>
      </c>
      <c r="N241" s="115" t="n">
        <f aca="false">IFERROR((((I241/H241)/5.3)*0.401)*H241,0)</f>
        <v>0</v>
      </c>
      <c r="O241" s="116"/>
      <c r="P241" s="116"/>
      <c r="Q241" s="116"/>
    </row>
    <row r="242" customFormat="false" ht="14.25" hidden="false" customHeight="true" outlineLevel="0" collapsed="false">
      <c r="M242" s="115" t="n">
        <f aca="false">IFERROR(((E242/D242)/10.96)*0.5218*D242,0)</f>
        <v>0</v>
      </c>
      <c r="N242" s="115" t="n">
        <f aca="false">IFERROR((((I242/H242)/5.3)*0.401)*H242,0)</f>
        <v>0</v>
      </c>
      <c r="O242" s="116"/>
      <c r="P242" s="116"/>
      <c r="Q242" s="116"/>
    </row>
    <row r="243" customFormat="false" ht="14.25" hidden="false" customHeight="true" outlineLevel="0" collapsed="false">
      <c r="M243" s="115" t="n">
        <f aca="false">IFERROR(((E243/D243)/10.96)*0.5218*D243,0)</f>
        <v>0</v>
      </c>
      <c r="N243" s="115" t="n">
        <f aca="false">IFERROR((((I243/H243)/5.3)*0.401)*H243,0)</f>
        <v>0</v>
      </c>
      <c r="O243" s="116" t="n">
        <f aca="false">MAX(QB!D245*Scoring!$B$30+QB!E245/Scoring!$C$30+QB!F245*Scoring!$D$30+QB!G245*Scoring!$E$30+QB!H245*Scoring!$F$30+QB!I245/Scoring!$G$30+QB!J245*Scoring!$H$30+QB!K245*Scoring!$I$30+M245*Scoring!$J$30+QB!N245*Scoring!$K$30,0)+C245*Scoring!$B$10*0.07+(C245-D245)*Scoring!$B$5</f>
        <v>0</v>
      </c>
      <c r="P243" s="116" t="n">
        <f aca="false">MAX(QB!D243*Scoring!$B$30+QB!E243/Scoring!$C$30+QB!F243*Scoring!$D$30+QB!G243*Scoring!$E$30+QB!H243*Scoring!$F$30+QB!I243/Scoring!$G$30+QB!J243*Scoring!$H$30+QB!K243*Scoring!$I$30+M243*Scoring!$J$30+QB!N243*Scoring!$K$30,0)+C243*Scoring!$B$10*0.07+(C243-D243)*Scoring!$B$5</f>
        <v>0</v>
      </c>
      <c r="Q243" s="116" t="n">
        <f aca="false">MAX(QB!D244*Scoring!$B$30+QB!E244/Scoring!$C$30+QB!F244*Scoring!$D$30+QB!G244*Scoring!$E$30+QB!H244*Scoring!$F$30+QB!I244/Scoring!$G$30+QB!J244*Scoring!$H$30+QB!K244*Scoring!$I$30+M244*Scoring!$J$30+QB!N244*Scoring!$K$30,0)+C244*Scoring!$B$10*0.07+(C244-D244)*Scoring!$B$5</f>
        <v>0</v>
      </c>
    </row>
    <row r="244" customFormat="false" ht="14.25" hidden="false" customHeight="true" outlineLevel="0" collapsed="false">
      <c r="M244" s="115" t="n">
        <f aca="false">IFERROR(((E244/D244)/10.96)*0.5218*D244,0)</f>
        <v>0</v>
      </c>
      <c r="N244" s="115" t="n">
        <f aca="false">IFERROR((((I244/H244)/5.3)*0.401)*H244,0)</f>
        <v>0</v>
      </c>
      <c r="O244" s="116"/>
      <c r="P244" s="116"/>
      <c r="Q244" s="116"/>
    </row>
    <row r="245" customFormat="false" ht="14.25" hidden="false" customHeight="true" outlineLevel="0" collapsed="false">
      <c r="M245" s="115" t="n">
        <f aca="false">IFERROR(((E245/D245)/10.96)*0.5218*D245,0)</f>
        <v>0</v>
      </c>
      <c r="N245" s="115" t="n">
        <f aca="false">IFERROR((((I245/H245)/5.3)*0.401)*H245,0)</f>
        <v>0</v>
      </c>
      <c r="O245" s="116"/>
      <c r="P245" s="116"/>
      <c r="Q245" s="116"/>
    </row>
    <row r="246" customFormat="false" ht="14.25" hidden="false" customHeight="true" outlineLevel="0" collapsed="false">
      <c r="M246" s="115" t="n">
        <f aca="false">IFERROR(((E246/D246)/10.96)*0.5218*D246,0)</f>
        <v>0</v>
      </c>
      <c r="N246" s="115" t="n">
        <f aca="false">IFERROR((((I246/H246)/5.3)*0.401)*H246,0)</f>
        <v>0</v>
      </c>
      <c r="O246" s="116" t="n">
        <f aca="false">MAX(QB!D248*Scoring!$B$30+QB!E248/Scoring!$C$30+QB!F248*Scoring!$D$30+QB!G248*Scoring!$E$30+QB!H248*Scoring!$F$30+QB!I248/Scoring!$G$30+QB!J248*Scoring!$H$30+QB!K248*Scoring!$I$30+M248*Scoring!$J$30+QB!N248*Scoring!$K$30,0)+C248*Scoring!$B$10*0.07+(C248-D248)*Scoring!$B$5</f>
        <v>0</v>
      </c>
      <c r="P246" s="116" t="n">
        <f aca="false">MAX(QB!D246*Scoring!$B$30+QB!E246/Scoring!$C$30+QB!F246*Scoring!$D$30+QB!G246*Scoring!$E$30+QB!H246*Scoring!$F$30+QB!I246/Scoring!$G$30+QB!J246*Scoring!$H$30+QB!K246*Scoring!$I$30+M246*Scoring!$J$30+QB!N246*Scoring!$K$30,0)+C246*Scoring!$B$10*0.07+(C246-D246)*Scoring!$B$5</f>
        <v>0</v>
      </c>
      <c r="Q246" s="116" t="n">
        <f aca="false">MAX(QB!D247*Scoring!$B$30+QB!E247/Scoring!$C$30+QB!F247*Scoring!$D$30+QB!G247*Scoring!$E$30+QB!H247*Scoring!$F$30+QB!I247/Scoring!$G$30+QB!J247*Scoring!$H$30+QB!K247*Scoring!$I$30+M247*Scoring!$J$30+QB!N247*Scoring!$K$30,0)+C247*Scoring!$B$10*0.07+(C247-D247)*Scoring!$B$5</f>
        <v>0</v>
      </c>
    </row>
    <row r="247" customFormat="false" ht="14.25" hidden="false" customHeight="true" outlineLevel="0" collapsed="false">
      <c r="M247" s="115" t="n">
        <f aca="false">IFERROR(((E247/D247)/10.96)*0.5218*D247,0)</f>
        <v>0</v>
      </c>
      <c r="N247" s="115" t="n">
        <f aca="false">IFERROR((((I247/H247)/5.3)*0.401)*H247,0)</f>
        <v>0</v>
      </c>
      <c r="O247" s="116"/>
      <c r="P247" s="116"/>
      <c r="Q247" s="116"/>
    </row>
    <row r="248" customFormat="false" ht="14.25" hidden="false" customHeight="true" outlineLevel="0" collapsed="false">
      <c r="M248" s="115" t="n">
        <f aca="false">IFERROR(((E248/D248)/10.96)*0.5218*D248,0)</f>
        <v>0</v>
      </c>
      <c r="N248" s="115" t="n">
        <f aca="false">IFERROR((((I248/H248)/5.3)*0.401)*H248,0)</f>
        <v>0</v>
      </c>
      <c r="O248" s="116"/>
      <c r="P248" s="116"/>
      <c r="Q248" s="116"/>
    </row>
    <row r="249" customFormat="false" ht="14.25" hidden="false" customHeight="true" outlineLevel="0" collapsed="false">
      <c r="M249" s="115" t="n">
        <f aca="false">IFERROR(((E249/D249)/10.96)*0.5218*D249,0)</f>
        <v>0</v>
      </c>
      <c r="N249" s="115" t="n">
        <f aca="false">IFERROR((((I249/H249)/5.3)*0.401)*H249,0)</f>
        <v>0</v>
      </c>
      <c r="O249" s="116" t="n">
        <f aca="false">MAX(QB!D251*Scoring!$B$30+QB!E251/Scoring!$C$30+QB!F251*Scoring!$D$30+QB!G251*Scoring!$E$30+QB!H251*Scoring!$F$30+QB!I251/Scoring!$G$30+QB!J251*Scoring!$H$30+QB!K251*Scoring!$I$30+M251*Scoring!$J$30+QB!N251*Scoring!$K$30,0)+C251*Scoring!$B$10*0.07+(C251-D251)*Scoring!$B$5</f>
        <v>0</v>
      </c>
      <c r="P249" s="116" t="n">
        <f aca="false">MAX(QB!D249*Scoring!$B$30+QB!E249/Scoring!$C$30+QB!F249*Scoring!$D$30+QB!G249*Scoring!$E$30+QB!H249*Scoring!$F$30+QB!I249/Scoring!$G$30+QB!J249*Scoring!$H$30+QB!K249*Scoring!$I$30+M249*Scoring!$J$30+QB!N249*Scoring!$K$30,0)+C249*Scoring!$B$10*0.07+(C249-D249)*Scoring!$B$5</f>
        <v>0</v>
      </c>
      <c r="Q249" s="116" t="n">
        <f aca="false">MAX(QB!D250*Scoring!$B$30+QB!E250/Scoring!$C$30+QB!F250*Scoring!$D$30+QB!G250*Scoring!$E$30+QB!H250*Scoring!$F$30+QB!I250/Scoring!$G$30+QB!J250*Scoring!$H$30+QB!K250*Scoring!$I$30+M250*Scoring!$J$30+QB!N250*Scoring!$K$30,0)+C250*Scoring!$B$10*0.07+(C250-D250)*Scoring!$B$5</f>
        <v>0</v>
      </c>
    </row>
    <row r="250" customFormat="false" ht="14.25" hidden="false" customHeight="true" outlineLevel="0" collapsed="false">
      <c r="M250" s="115" t="n">
        <f aca="false">IFERROR(((E250/D250)/10.96)*0.5218*D250,0)</f>
        <v>0</v>
      </c>
      <c r="N250" s="115" t="n">
        <f aca="false">IFERROR((((I250/H250)/5.3)*0.401)*H250,0)</f>
        <v>0</v>
      </c>
      <c r="O250" s="116"/>
      <c r="P250" s="116"/>
      <c r="Q250" s="116"/>
    </row>
    <row r="251" customFormat="false" ht="14.25" hidden="false" customHeight="true" outlineLevel="0" collapsed="false">
      <c r="M251" s="115" t="n">
        <f aca="false">IFERROR(((E251/D251)/10.96)*0.5218*D251,0)</f>
        <v>0</v>
      </c>
      <c r="N251" s="115" t="n">
        <f aca="false">IFERROR((((I251/H251)/5.3)*0.401)*H251,0)</f>
        <v>0</v>
      </c>
      <c r="O251" s="116"/>
      <c r="P251" s="116"/>
      <c r="Q251" s="116"/>
    </row>
    <row r="252" customFormat="false" ht="14.25" hidden="false" customHeight="true" outlineLevel="0" collapsed="false">
      <c r="M252" s="115" t="n">
        <f aca="false">IFERROR(((E252/D252)/10.96)*0.5218*D252,0)</f>
        <v>0</v>
      </c>
      <c r="N252" s="115" t="n">
        <f aca="false">IFERROR((((I252/H252)/5.3)*0.401)*H252,0)</f>
        <v>0</v>
      </c>
      <c r="O252" s="116" t="n">
        <f aca="false">MAX(QB!D254*Scoring!$B$30+QB!E254/Scoring!$C$30+QB!F254*Scoring!$D$30+QB!G254*Scoring!$E$30+QB!H254*Scoring!$F$30+QB!I254/Scoring!$G$30+QB!J254*Scoring!$H$30+QB!K254*Scoring!$I$30+M254*Scoring!$J$30+QB!N254*Scoring!$K$30,0)+C254*Scoring!$B$10*0.07+(C254-D254)*Scoring!$B$5</f>
        <v>0</v>
      </c>
      <c r="P252" s="116" t="n">
        <f aca="false">MAX(QB!D252*Scoring!$B$30+QB!E252/Scoring!$C$30+QB!F252*Scoring!$D$30+QB!G252*Scoring!$E$30+QB!H252*Scoring!$F$30+QB!I252/Scoring!$G$30+QB!J252*Scoring!$H$30+QB!K252*Scoring!$I$30+M252*Scoring!$J$30+QB!N252*Scoring!$K$30,0)+C252*Scoring!$B$10*0.07+(C252-D252)*Scoring!$B$5</f>
        <v>0</v>
      </c>
      <c r="Q252" s="116" t="n">
        <f aca="false">MAX(QB!D253*Scoring!$B$30+QB!E253/Scoring!$C$30+QB!F253*Scoring!$D$30+QB!G253*Scoring!$E$30+QB!H253*Scoring!$F$30+QB!I253/Scoring!$G$30+QB!J253*Scoring!$H$30+QB!K253*Scoring!$I$30+M253*Scoring!$J$30+QB!N253*Scoring!$K$30,0)+C253*Scoring!$B$10*0.07+(C253-D253)*Scoring!$B$5</f>
        <v>0</v>
      </c>
    </row>
    <row r="253" customFormat="false" ht="14.25" hidden="false" customHeight="true" outlineLevel="0" collapsed="false">
      <c r="M253" s="115" t="n">
        <f aca="false">IFERROR(((E253/D253)/10.96)*0.5218*D253,0)</f>
        <v>0</v>
      </c>
      <c r="N253" s="115" t="n">
        <f aca="false">IFERROR((((I253/H253)/5.3)*0.401)*H253,0)</f>
        <v>0</v>
      </c>
      <c r="O253" s="116"/>
      <c r="P253" s="116"/>
      <c r="Q253" s="116"/>
    </row>
    <row r="254" customFormat="false" ht="14.25" hidden="false" customHeight="true" outlineLevel="0" collapsed="false">
      <c r="M254" s="115" t="n">
        <f aca="false">IFERROR(((E254/D254)/10.96)*0.5218*D254,0)</f>
        <v>0</v>
      </c>
      <c r="N254" s="115" t="n">
        <f aca="false">IFERROR((((I254/H254)/5.3)*0.401)*H254,0)</f>
        <v>0</v>
      </c>
      <c r="O254" s="116"/>
      <c r="P254" s="116"/>
      <c r="Q254" s="116"/>
    </row>
    <row r="255" customFormat="false" ht="14.25" hidden="false" customHeight="true" outlineLevel="0" collapsed="false">
      <c r="M255" s="115" t="n">
        <f aca="false">IFERROR(((E255/D255)/10.96)*0.5218*D255,0)</f>
        <v>0</v>
      </c>
      <c r="N255" s="115" t="n">
        <f aca="false">IFERROR((((I255/H255)/5.3)*0.401)*H255,0)</f>
        <v>0</v>
      </c>
      <c r="O255" s="116" t="n">
        <f aca="false">MAX(QB!D257*Scoring!$B$30+QB!E257/Scoring!$C$30+QB!F257*Scoring!$D$30+QB!G257*Scoring!$E$30+QB!H257*Scoring!$F$30+QB!I257/Scoring!$G$30+QB!J257*Scoring!$H$30+QB!K257*Scoring!$I$30+M257*Scoring!$J$30+QB!N257*Scoring!$K$30,0)+C257*Scoring!$B$10*0.07+(C257-D257)*Scoring!$B$5</f>
        <v>0</v>
      </c>
      <c r="P255" s="116" t="n">
        <f aca="false">MAX(QB!D255*Scoring!$B$30+QB!E255/Scoring!$C$30+QB!F255*Scoring!$D$30+QB!G255*Scoring!$E$30+QB!H255*Scoring!$F$30+QB!I255/Scoring!$G$30+QB!J255*Scoring!$H$30+QB!K255*Scoring!$I$30+M255*Scoring!$J$30+QB!N255*Scoring!$K$30,0)+C255*Scoring!$B$10*0.07+(C255-D255)*Scoring!$B$5</f>
        <v>0</v>
      </c>
      <c r="Q255" s="116" t="n">
        <f aca="false">MAX(QB!D256*Scoring!$B$30+QB!E256/Scoring!$C$30+QB!F256*Scoring!$D$30+QB!G256*Scoring!$E$30+QB!H256*Scoring!$F$30+QB!I256/Scoring!$G$30+QB!J256*Scoring!$H$30+QB!K256*Scoring!$I$30+M256*Scoring!$J$30+QB!N256*Scoring!$K$30,0)+C256*Scoring!$B$10*0.07+(C256-D256)*Scoring!$B$5</f>
        <v>0</v>
      </c>
    </row>
    <row r="256" customFormat="false" ht="14.25" hidden="false" customHeight="true" outlineLevel="0" collapsed="false">
      <c r="M256" s="115" t="n">
        <f aca="false">IFERROR(((E256/D256)/10.96)*0.5218*D256,0)</f>
        <v>0</v>
      </c>
      <c r="N256" s="115" t="n">
        <f aca="false">IFERROR((((I256/H256)/5.3)*0.401)*H256,0)</f>
        <v>0</v>
      </c>
      <c r="O256" s="116"/>
      <c r="P256" s="116"/>
      <c r="Q256" s="116"/>
    </row>
    <row r="257" customFormat="false" ht="14.25" hidden="false" customHeight="true" outlineLevel="0" collapsed="false">
      <c r="M257" s="115" t="n">
        <f aca="false">IFERROR(((E257/D257)/10.96)*0.5218*D257,0)</f>
        <v>0</v>
      </c>
      <c r="N257" s="115" t="n">
        <f aca="false">IFERROR((((I257/H257)/5.3)*0.401)*H257,0)</f>
        <v>0</v>
      </c>
      <c r="O257" s="116"/>
      <c r="P257" s="116"/>
      <c r="Q257" s="116"/>
    </row>
    <row r="258" customFormat="false" ht="14.25" hidden="false" customHeight="true" outlineLevel="0" collapsed="false">
      <c r="M258" s="115" t="n">
        <f aca="false">IFERROR(((E258/D258)/10.96)*0.5218*D258,0)</f>
        <v>0</v>
      </c>
      <c r="N258" s="115" t="n">
        <f aca="false">IFERROR((((I258/H258)/5.3)*0.401)*H258,0)</f>
        <v>0</v>
      </c>
      <c r="O258" s="116" t="n">
        <f aca="false">MAX(QB!D260*Scoring!$B$30+QB!E260/Scoring!$C$30+QB!F260*Scoring!$D$30+QB!G260*Scoring!$E$30+QB!H260*Scoring!$F$30+QB!I260/Scoring!$G$30+QB!J260*Scoring!$H$30+QB!K260*Scoring!$I$30+M260*Scoring!$J$30+QB!N260*Scoring!$K$30,0)+C260*Scoring!$B$10*0.07+(C260-D260)*Scoring!$B$5</f>
        <v>0</v>
      </c>
      <c r="P258" s="116" t="n">
        <f aca="false">MAX(QB!D258*Scoring!$B$30+QB!E258/Scoring!$C$30+QB!F258*Scoring!$D$30+QB!G258*Scoring!$E$30+QB!H258*Scoring!$F$30+QB!I258/Scoring!$G$30+QB!J258*Scoring!$H$30+QB!K258*Scoring!$I$30+M258*Scoring!$J$30+QB!N258*Scoring!$K$30,0)+C258*Scoring!$B$10*0.07+(C258-D258)*Scoring!$B$5</f>
        <v>0</v>
      </c>
      <c r="Q258" s="116" t="n">
        <f aca="false">MAX(QB!D259*Scoring!$B$30+QB!E259/Scoring!$C$30+QB!F259*Scoring!$D$30+QB!G259*Scoring!$E$30+QB!H259*Scoring!$F$30+QB!I259/Scoring!$G$30+QB!J259*Scoring!$H$30+QB!K259*Scoring!$I$30+M259*Scoring!$J$30+QB!N259*Scoring!$K$30,0)+C259*Scoring!$B$10*0.07+(C259-D259)*Scoring!$B$5</f>
        <v>0</v>
      </c>
    </row>
    <row r="259" customFormat="false" ht="14.25" hidden="false" customHeight="true" outlineLevel="0" collapsed="false">
      <c r="M259" s="115" t="n">
        <f aca="false">IFERROR(((E259/D259)/10.96)*0.5218*D259,0)</f>
        <v>0</v>
      </c>
      <c r="N259" s="115" t="n">
        <f aca="false">IFERROR((((I259/H259)/5.3)*0.401)*H259,0)</f>
        <v>0</v>
      </c>
      <c r="O259" s="116"/>
      <c r="P259" s="116"/>
      <c r="Q259" s="116"/>
    </row>
    <row r="260" customFormat="false" ht="14.25" hidden="false" customHeight="true" outlineLevel="0" collapsed="false">
      <c r="M260" s="115" t="n">
        <f aca="false">IFERROR(((E260/D260)/10.96)*0.5218*D260,0)</f>
        <v>0</v>
      </c>
      <c r="N260" s="115" t="n">
        <f aca="false">IFERROR((((I260/H260)/5.3)*0.401)*H260,0)</f>
        <v>0</v>
      </c>
      <c r="O260" s="116"/>
      <c r="P260" s="116"/>
      <c r="Q260" s="116"/>
    </row>
    <row r="261" customFormat="false" ht="14.25" hidden="false" customHeight="true" outlineLevel="0" collapsed="false">
      <c r="M261" s="115" t="n">
        <f aca="false">IFERROR(((E261/D261)/10.96)*0.5218*D261,0)</f>
        <v>0</v>
      </c>
      <c r="N261" s="115" t="n">
        <f aca="false">IFERROR((((I261/H261)/5.3)*0.401)*H261,0)</f>
        <v>0</v>
      </c>
      <c r="O261" s="116" t="n">
        <f aca="false">MAX(QB!D263*Scoring!$B$30+QB!E263/Scoring!$C$30+QB!F263*Scoring!$D$30+QB!G263*Scoring!$E$30+QB!H263*Scoring!$F$30+QB!I263/Scoring!$G$30+QB!J263*Scoring!$H$30+QB!K263*Scoring!$I$30+M263*Scoring!$J$30+QB!N263*Scoring!$K$30,0)+C263*Scoring!$B$10*0.07+(C263-D263)*Scoring!$B$5</f>
        <v>0</v>
      </c>
      <c r="P261" s="116" t="n">
        <f aca="false">MAX(QB!D261*Scoring!$B$30+QB!E261/Scoring!$C$30+QB!F261*Scoring!$D$30+QB!G261*Scoring!$E$30+QB!H261*Scoring!$F$30+QB!I261/Scoring!$G$30+QB!J261*Scoring!$H$30+QB!K261*Scoring!$I$30+M261*Scoring!$J$30+QB!N261*Scoring!$K$30,0)+C261*Scoring!$B$10*0.07+(C261-D261)*Scoring!$B$5</f>
        <v>0</v>
      </c>
      <c r="Q261" s="116" t="n">
        <f aca="false">MAX(QB!D262*Scoring!$B$30+QB!E262/Scoring!$C$30+QB!F262*Scoring!$D$30+QB!G262*Scoring!$E$30+QB!H262*Scoring!$F$30+QB!I262/Scoring!$G$30+QB!J262*Scoring!$H$30+QB!K262*Scoring!$I$30+M262*Scoring!$J$30+QB!N262*Scoring!$K$30,0)+C262*Scoring!$B$10*0.07+(C262-D262)*Scoring!$B$5</f>
        <v>0</v>
      </c>
    </row>
    <row r="262" customFormat="false" ht="14.25" hidden="false" customHeight="true" outlineLevel="0" collapsed="false">
      <c r="M262" s="115" t="n">
        <f aca="false">IFERROR(((E262/D262)/10.96)*0.5218*D262,0)</f>
        <v>0</v>
      </c>
      <c r="N262" s="115" t="n">
        <f aca="false">IFERROR((((I262/H262)/5.3)*0.401)*H262,0)</f>
        <v>0</v>
      </c>
      <c r="O262" s="116"/>
      <c r="P262" s="116"/>
      <c r="Q262" s="116"/>
    </row>
    <row r="263" customFormat="false" ht="14.25" hidden="false" customHeight="true" outlineLevel="0" collapsed="false">
      <c r="M263" s="115" t="n">
        <f aca="false">IFERROR(((E263/D263)/10.96)*0.5218*D263,0)</f>
        <v>0</v>
      </c>
      <c r="N263" s="115" t="n">
        <f aca="false">IFERROR((((I263/H263)/5.3)*0.401)*H263,0)</f>
        <v>0</v>
      </c>
      <c r="O263" s="116"/>
      <c r="P263" s="116"/>
      <c r="Q263" s="116"/>
    </row>
    <row r="264" customFormat="false" ht="14.25" hidden="false" customHeight="true" outlineLevel="0" collapsed="false">
      <c r="M264" s="115" t="n">
        <f aca="false">IFERROR(((E264/D264)/10.96)*0.5218*D264,0)</f>
        <v>0</v>
      </c>
      <c r="N264" s="115" t="n">
        <f aca="false">IFERROR((((I264/H264)/5.3)*0.401)*H264,0)</f>
        <v>0</v>
      </c>
      <c r="O264" s="116" t="n">
        <f aca="false">MAX(QB!D266*Scoring!$B$30+QB!E266/Scoring!$C$30+QB!F266*Scoring!$D$30+QB!G266*Scoring!$E$30+QB!H266*Scoring!$F$30+QB!I266/Scoring!$G$30+QB!J266*Scoring!$H$30+QB!K266*Scoring!$I$30+M266*Scoring!$J$30+QB!N266*Scoring!$K$30,0)+C266*Scoring!$B$10*0.07+(C266-D266)*Scoring!$B$5</f>
        <v>0</v>
      </c>
      <c r="P264" s="116" t="n">
        <f aca="false">MAX(QB!D264*Scoring!$B$30+QB!E264/Scoring!$C$30+QB!F264*Scoring!$D$30+QB!G264*Scoring!$E$30+QB!H264*Scoring!$F$30+QB!I264/Scoring!$G$30+QB!J264*Scoring!$H$30+QB!K264*Scoring!$I$30+M264*Scoring!$J$30+QB!N264*Scoring!$K$30,0)+C264*Scoring!$B$10*0.07+(C264-D264)*Scoring!$B$5</f>
        <v>0</v>
      </c>
      <c r="Q264" s="116" t="n">
        <f aca="false">MAX(QB!D265*Scoring!$B$30+QB!E265/Scoring!$C$30+QB!F265*Scoring!$D$30+QB!G265*Scoring!$E$30+QB!H265*Scoring!$F$30+QB!I265/Scoring!$G$30+QB!J265*Scoring!$H$30+QB!K265*Scoring!$I$30+M265*Scoring!$J$30+QB!N265*Scoring!$K$30,0)+C265*Scoring!$B$10*0.07+(C265-D265)*Scoring!$B$5</f>
        <v>0</v>
      </c>
    </row>
    <row r="265" customFormat="false" ht="14.25" hidden="false" customHeight="true" outlineLevel="0" collapsed="false">
      <c r="M265" s="115" t="n">
        <f aca="false">IFERROR(((E265/D265)/10.96)*0.5218*D265,0)</f>
        <v>0</v>
      </c>
      <c r="N265" s="115" t="n">
        <f aca="false">IFERROR((((I265/H265)/5.3)*0.401)*H265,0)</f>
        <v>0</v>
      </c>
      <c r="O265" s="116"/>
      <c r="P265" s="116"/>
      <c r="Q265" s="116"/>
    </row>
    <row r="266" customFormat="false" ht="14.25" hidden="false" customHeight="true" outlineLevel="0" collapsed="false">
      <c r="M266" s="115" t="n">
        <f aca="false">IFERROR(((E266/D266)/10.96)*0.5218*D266,0)</f>
        <v>0</v>
      </c>
      <c r="N266" s="115" t="n">
        <f aca="false">IFERROR((((I266/H266)/5.3)*0.401)*H266,0)</f>
        <v>0</v>
      </c>
      <c r="O266" s="116"/>
      <c r="P266" s="116"/>
      <c r="Q266" s="116"/>
    </row>
    <row r="267" customFormat="false" ht="14.25" hidden="false" customHeight="true" outlineLevel="0" collapsed="false">
      <c r="M267" s="115" t="n">
        <f aca="false">IFERROR(((E267/D267)/10.96)*0.5218*D267,0)</f>
        <v>0</v>
      </c>
      <c r="N267" s="115" t="n">
        <f aca="false">IFERROR((((I267/H267)/5.3)*0.401)*H267,0)</f>
        <v>0</v>
      </c>
      <c r="O267" s="116" t="n">
        <f aca="false">MAX(QB!D269*Scoring!$B$30+QB!E269/Scoring!$C$30+QB!F269*Scoring!$D$30+QB!G269*Scoring!$E$30+QB!H269*Scoring!$F$30+QB!I269/Scoring!$G$30+QB!J269*Scoring!$H$30+QB!K269*Scoring!$I$30+M269*Scoring!$J$30+QB!N269*Scoring!$K$30,0)+C269*Scoring!$B$10*0.07+(C269-D269)*Scoring!$B$5</f>
        <v>0</v>
      </c>
      <c r="P267" s="116" t="n">
        <f aca="false">MAX(QB!D267*Scoring!$B$30+QB!E267/Scoring!$C$30+QB!F267*Scoring!$D$30+QB!G267*Scoring!$E$30+QB!H267*Scoring!$F$30+QB!I267/Scoring!$G$30+QB!J267*Scoring!$H$30+QB!K267*Scoring!$I$30+M267*Scoring!$J$30+QB!N267*Scoring!$K$30,0)+C267*Scoring!$B$10*0.07+(C267-D267)*Scoring!$B$5</f>
        <v>0</v>
      </c>
      <c r="Q267" s="116" t="n">
        <f aca="false">MAX(QB!D268*Scoring!$B$30+QB!E268/Scoring!$C$30+QB!F268*Scoring!$D$30+QB!G268*Scoring!$E$30+QB!H268*Scoring!$F$30+QB!I268/Scoring!$G$30+QB!J268*Scoring!$H$30+QB!K268*Scoring!$I$30+M268*Scoring!$J$30+QB!N268*Scoring!$K$30,0)+C268*Scoring!$B$10*0.07+(C268-D268)*Scoring!$B$5</f>
        <v>0</v>
      </c>
    </row>
    <row r="268" customFormat="false" ht="14.25" hidden="false" customHeight="true" outlineLevel="0" collapsed="false">
      <c r="M268" s="115" t="n">
        <f aca="false">IFERROR(((E268/D268)/10.96)*0.5218*D268,0)</f>
        <v>0</v>
      </c>
      <c r="N268" s="115" t="n">
        <f aca="false">IFERROR((((I268/H268)/5.3)*0.401)*H268,0)</f>
        <v>0</v>
      </c>
      <c r="O268" s="116"/>
      <c r="P268" s="116"/>
      <c r="Q268" s="116"/>
    </row>
    <row r="269" customFormat="false" ht="14.25" hidden="false" customHeight="true" outlineLevel="0" collapsed="false">
      <c r="M269" s="115" t="n">
        <f aca="false">IFERROR(((E269/D269)/10.96)*0.5218*D269,0)</f>
        <v>0</v>
      </c>
      <c r="N269" s="115" t="n">
        <f aca="false">IFERROR((((I269/H269)/5.3)*0.401)*H269,0)</f>
        <v>0</v>
      </c>
      <c r="O269" s="116"/>
      <c r="P269" s="116"/>
      <c r="Q269" s="116"/>
    </row>
    <row r="270" customFormat="false" ht="14.25" hidden="false" customHeight="true" outlineLevel="0" collapsed="false">
      <c r="M270" s="115" t="n">
        <f aca="false">IFERROR(((E270/D270)/10.96)*0.5218*D270,0)</f>
        <v>0</v>
      </c>
      <c r="N270" s="115" t="n">
        <f aca="false">IFERROR((((I270/H270)/5.3)*0.401)*H270,0)</f>
        <v>0</v>
      </c>
      <c r="O270" s="116" t="n">
        <f aca="false">MAX(QB!D272*Scoring!$B$30+QB!E272/Scoring!$C$30+QB!F272*Scoring!$D$30+QB!G272*Scoring!$E$30+QB!H272*Scoring!$F$30+QB!I272/Scoring!$G$30+QB!J272*Scoring!$H$30+QB!K272*Scoring!$I$30+M272*Scoring!$J$30+QB!N272*Scoring!$K$30,0)+C272*Scoring!$B$10*0.07+(C272-D272)*Scoring!$B$5</f>
        <v>0</v>
      </c>
      <c r="P270" s="116" t="n">
        <f aca="false">MAX(QB!D270*Scoring!$B$30+QB!E270/Scoring!$C$30+QB!F270*Scoring!$D$30+QB!G270*Scoring!$E$30+QB!H270*Scoring!$F$30+QB!I270/Scoring!$G$30+QB!J270*Scoring!$H$30+QB!K270*Scoring!$I$30+M270*Scoring!$J$30+QB!N270*Scoring!$K$30,0)+C270*Scoring!$B$10*0.07+(C270-D270)*Scoring!$B$5</f>
        <v>0</v>
      </c>
      <c r="Q270" s="116" t="n">
        <f aca="false">MAX(QB!D271*Scoring!$B$30+QB!E271/Scoring!$C$30+QB!F271*Scoring!$D$30+QB!G271*Scoring!$E$30+QB!H271*Scoring!$F$30+QB!I271/Scoring!$G$30+QB!J271*Scoring!$H$30+QB!K271*Scoring!$I$30+M271*Scoring!$J$30+QB!N271*Scoring!$K$30,0)+C271*Scoring!$B$10*0.07+(C271-D271)*Scoring!$B$5</f>
        <v>0</v>
      </c>
    </row>
    <row r="271" customFormat="false" ht="14.25" hidden="false" customHeight="true" outlineLevel="0" collapsed="false">
      <c r="M271" s="115" t="n">
        <f aca="false">IFERROR(((E271/D271)/10.96)*0.5218*D271,0)</f>
        <v>0</v>
      </c>
      <c r="N271" s="115" t="n">
        <f aca="false">IFERROR((((I271/H271)/5.3)*0.401)*H271,0)</f>
        <v>0</v>
      </c>
      <c r="O271" s="116"/>
      <c r="P271" s="116"/>
      <c r="Q271" s="116"/>
    </row>
    <row r="272" customFormat="false" ht="14.25" hidden="false" customHeight="true" outlineLevel="0" collapsed="false">
      <c r="M272" s="115" t="n">
        <f aca="false">IFERROR(((E272/D272)/10.96)*0.5218*D272,0)</f>
        <v>0</v>
      </c>
      <c r="N272" s="115" t="n">
        <f aca="false">IFERROR((((I272/H272)/5.3)*0.401)*H272,0)</f>
        <v>0</v>
      </c>
      <c r="O272" s="116"/>
      <c r="P272" s="116"/>
      <c r="Q272" s="116"/>
    </row>
    <row r="273" customFormat="false" ht="14.25" hidden="false" customHeight="true" outlineLevel="0" collapsed="false">
      <c r="M273" s="115" t="n">
        <f aca="false">IFERROR(((E273/D273)/10.96)*0.5218*D273,0)</f>
        <v>0</v>
      </c>
      <c r="N273" s="115" t="n">
        <f aca="false">IFERROR((((I273/H273)/5.3)*0.401)*H273,0)</f>
        <v>0</v>
      </c>
      <c r="O273" s="116" t="n">
        <f aca="false">MAX(QB!D275*Scoring!$B$30+QB!E275/Scoring!$C$30+QB!F275*Scoring!$D$30+QB!G275*Scoring!$E$30+QB!H275*Scoring!$F$30+QB!I275/Scoring!$G$30+QB!J275*Scoring!$H$30+QB!K275*Scoring!$I$30+M275*Scoring!$J$30+QB!N275*Scoring!$K$30,0)+C275*Scoring!$B$10*0.07+(C275-D275)*Scoring!$B$5</f>
        <v>0</v>
      </c>
      <c r="P273" s="116" t="n">
        <f aca="false">MAX(QB!D273*Scoring!$B$30+QB!E273/Scoring!$C$30+QB!F273*Scoring!$D$30+QB!G273*Scoring!$E$30+QB!H273*Scoring!$F$30+QB!I273/Scoring!$G$30+QB!J273*Scoring!$H$30+QB!K273*Scoring!$I$30+M273*Scoring!$J$30+QB!N273*Scoring!$K$30,0)+C273*Scoring!$B$10*0.07+(C273-D273)*Scoring!$B$5</f>
        <v>0</v>
      </c>
      <c r="Q273" s="116" t="n">
        <f aca="false">MAX(QB!D274*Scoring!$B$30+QB!E274/Scoring!$C$30+QB!F274*Scoring!$D$30+QB!G274*Scoring!$E$30+QB!H274*Scoring!$F$30+QB!I274/Scoring!$G$30+QB!J274*Scoring!$H$30+QB!K274*Scoring!$I$30+M274*Scoring!$J$30+QB!N274*Scoring!$K$30,0)+C274*Scoring!$B$10*0.07+(C274-D274)*Scoring!$B$5</f>
        <v>0</v>
      </c>
    </row>
    <row r="274" customFormat="false" ht="14.25" hidden="false" customHeight="true" outlineLevel="0" collapsed="false">
      <c r="M274" s="115" t="n">
        <f aca="false">IFERROR(((E274/D274)/10.96)*0.5218*D274,0)</f>
        <v>0</v>
      </c>
      <c r="N274" s="115" t="n">
        <f aca="false">IFERROR((((I274/H274)/5.3)*0.401)*H274,0)</f>
        <v>0</v>
      </c>
      <c r="O274" s="116"/>
      <c r="P274" s="116"/>
      <c r="Q274" s="116"/>
    </row>
    <row r="275" customFormat="false" ht="14.25" hidden="false" customHeight="true" outlineLevel="0" collapsed="false">
      <c r="M275" s="115" t="n">
        <f aca="false">IFERROR(((E275/D275)/10.96)*0.5218*D275,0)</f>
        <v>0</v>
      </c>
      <c r="N275" s="115" t="n">
        <f aca="false">IFERROR((((I275/H275)/5.3)*0.401)*H275,0)</f>
        <v>0</v>
      </c>
      <c r="O275" s="116"/>
      <c r="P275" s="116"/>
      <c r="Q275" s="116"/>
    </row>
    <row r="276" customFormat="false" ht="14.25" hidden="false" customHeight="true" outlineLevel="0" collapsed="false">
      <c r="M276" s="115" t="n">
        <f aca="false">IFERROR(((E276/D276)/10.96)*0.5218*D276,0)</f>
        <v>0</v>
      </c>
      <c r="N276" s="115" t="n">
        <f aca="false">IFERROR((((I276/H276)/5.3)*0.401)*H276,0)</f>
        <v>0</v>
      </c>
      <c r="O276" s="116" t="n">
        <f aca="false">MAX(QB!D278*Scoring!$B$30+QB!E278/Scoring!$C$30+QB!F278*Scoring!$D$30+QB!G278*Scoring!$E$30+QB!H278*Scoring!$F$30+QB!I278/Scoring!$G$30+QB!J278*Scoring!$H$30+QB!K278*Scoring!$I$30+M278*Scoring!$J$30+QB!N278*Scoring!$K$30,0)+C278*Scoring!$B$10*0.07+(C278-D278)*Scoring!$B$5</f>
        <v>0</v>
      </c>
      <c r="P276" s="116" t="n">
        <f aca="false">MAX(QB!D276*Scoring!$B$30+QB!E276/Scoring!$C$30+QB!F276*Scoring!$D$30+QB!G276*Scoring!$E$30+QB!H276*Scoring!$F$30+QB!I276/Scoring!$G$30+QB!J276*Scoring!$H$30+QB!K276*Scoring!$I$30+M276*Scoring!$J$30+QB!N276*Scoring!$K$30,0)+C276*Scoring!$B$10*0.07+(C276-D276)*Scoring!$B$5</f>
        <v>0</v>
      </c>
      <c r="Q276" s="116" t="n">
        <f aca="false">MAX(QB!D277*Scoring!$B$30+QB!E277/Scoring!$C$30+QB!F277*Scoring!$D$30+QB!G277*Scoring!$E$30+QB!H277*Scoring!$F$30+QB!I277/Scoring!$G$30+QB!J277*Scoring!$H$30+QB!K277*Scoring!$I$30+M277*Scoring!$J$30+QB!N277*Scoring!$K$30,0)+C277*Scoring!$B$10*0.07+(C277-D277)*Scoring!$B$5</f>
        <v>0</v>
      </c>
    </row>
    <row r="277" customFormat="false" ht="14.25" hidden="false" customHeight="true" outlineLevel="0" collapsed="false">
      <c r="M277" s="115" t="n">
        <f aca="false">IFERROR(((E277/D277)/10.96)*0.5218*D277,0)</f>
        <v>0</v>
      </c>
      <c r="N277" s="115" t="n">
        <f aca="false">IFERROR((((I277/H277)/5.3)*0.401)*H277,0)</f>
        <v>0</v>
      </c>
      <c r="O277" s="116"/>
      <c r="P277" s="116"/>
      <c r="Q277" s="116"/>
    </row>
    <row r="278" customFormat="false" ht="14.25" hidden="false" customHeight="true" outlineLevel="0" collapsed="false">
      <c r="M278" s="115" t="n">
        <f aca="false">IFERROR(((E278/D278)/10.96)*0.5218*D278,0)</f>
        <v>0</v>
      </c>
      <c r="N278" s="115" t="n">
        <f aca="false">IFERROR((((I278/H278)/5.3)*0.401)*H278,0)</f>
        <v>0</v>
      </c>
      <c r="O278" s="116"/>
      <c r="P278" s="116"/>
      <c r="Q278" s="116"/>
    </row>
    <row r="279" customFormat="false" ht="14.25" hidden="false" customHeight="true" outlineLevel="0" collapsed="false">
      <c r="M279" s="115" t="n">
        <f aca="false">IFERROR(((E279/D279)/10.96)*0.5218*D279,0)</f>
        <v>0</v>
      </c>
      <c r="N279" s="115" t="n">
        <f aca="false">IFERROR((((I279/H279)/5.3)*0.401)*H279,0)</f>
        <v>0</v>
      </c>
      <c r="O279" s="116" t="n">
        <f aca="false">MAX(QB!D281*Scoring!$B$30+QB!E281/Scoring!$C$30+QB!F281*Scoring!$D$30+QB!G281*Scoring!$E$30+QB!H281*Scoring!$F$30+QB!I281/Scoring!$G$30+QB!J281*Scoring!$H$30+QB!K281*Scoring!$I$30+M281*Scoring!$J$30+QB!N281*Scoring!$K$30,0)+C281*Scoring!$B$10*0.07+(C281-D281)*Scoring!$B$5</f>
        <v>0</v>
      </c>
      <c r="P279" s="116" t="n">
        <f aca="false">MAX(QB!D279*Scoring!$B$30+QB!E279/Scoring!$C$30+QB!F279*Scoring!$D$30+QB!G279*Scoring!$E$30+QB!H279*Scoring!$F$30+QB!I279/Scoring!$G$30+QB!J279*Scoring!$H$30+QB!K279*Scoring!$I$30+M279*Scoring!$J$30+QB!N279*Scoring!$K$30,0)+C279*Scoring!$B$10*0.07+(C279-D279)*Scoring!$B$5</f>
        <v>0</v>
      </c>
      <c r="Q279" s="116" t="n">
        <f aca="false">MAX(QB!D280*Scoring!$B$30+QB!E280/Scoring!$C$30+QB!F280*Scoring!$D$30+QB!G280*Scoring!$E$30+QB!H280*Scoring!$F$30+QB!I280/Scoring!$G$30+QB!J280*Scoring!$H$30+QB!K280*Scoring!$I$30+M280*Scoring!$J$30+QB!N280*Scoring!$K$30,0)+C280*Scoring!$B$10*0.07+(C280-D280)*Scoring!$B$5</f>
        <v>0</v>
      </c>
    </row>
    <row r="280" customFormat="false" ht="14.25" hidden="false" customHeight="true" outlineLevel="0" collapsed="false">
      <c r="M280" s="115" t="n">
        <f aca="false">IFERROR(((E280/D280)/10.96)*0.5218*D280,0)</f>
        <v>0</v>
      </c>
      <c r="N280" s="115" t="n">
        <f aca="false">IFERROR((((I280/H280)/5.3)*0.401)*H280,0)</f>
        <v>0</v>
      </c>
      <c r="O280" s="116"/>
      <c r="P280" s="116"/>
      <c r="Q280" s="116"/>
    </row>
    <row r="281" customFormat="false" ht="14.25" hidden="false" customHeight="true" outlineLevel="0" collapsed="false">
      <c r="M281" s="115" t="n">
        <f aca="false">IFERROR(((E281/D281)/10.96)*0.5218*D281,0)</f>
        <v>0</v>
      </c>
      <c r="N281" s="115" t="n">
        <f aca="false">IFERROR((((I281/H281)/5.3)*0.401)*H281,0)</f>
        <v>0</v>
      </c>
      <c r="O281" s="116"/>
      <c r="P281" s="116"/>
      <c r="Q281" s="116"/>
    </row>
    <row r="282" customFormat="false" ht="14.25" hidden="false" customHeight="true" outlineLevel="0" collapsed="false">
      <c r="M282" s="115" t="n">
        <f aca="false">IFERROR(((E282/D282)/10.96)*0.5218*D282,0)</f>
        <v>0</v>
      </c>
      <c r="N282" s="115" t="n">
        <f aca="false">IFERROR((((I282/H282)/5.3)*0.401)*H282,0)</f>
        <v>0</v>
      </c>
      <c r="O282" s="116" t="n">
        <f aca="false">MAX(QB!D284*Scoring!$B$30+QB!E284/Scoring!$C$30+QB!F284*Scoring!$D$30+QB!G284*Scoring!$E$30+QB!H284*Scoring!$F$30+QB!I284/Scoring!$G$30+QB!J284*Scoring!$H$30+QB!K284*Scoring!$I$30+M284*Scoring!$J$30+QB!N284*Scoring!$K$30,0)+C284*Scoring!$B$10*0.07+(C284-D284)*Scoring!$B$5</f>
        <v>0</v>
      </c>
      <c r="P282" s="116" t="n">
        <f aca="false">MAX(QB!D282*Scoring!$B$30+QB!E282/Scoring!$C$30+QB!F282*Scoring!$D$30+QB!G282*Scoring!$E$30+QB!H282*Scoring!$F$30+QB!I282/Scoring!$G$30+QB!J282*Scoring!$H$30+QB!K282*Scoring!$I$30+M282*Scoring!$J$30+QB!N282*Scoring!$K$30,0)+C282*Scoring!$B$10*0.07+(C282-D282)*Scoring!$B$5</f>
        <v>0</v>
      </c>
      <c r="Q282" s="116" t="n">
        <f aca="false">MAX(QB!D283*Scoring!$B$30+QB!E283/Scoring!$C$30+QB!F283*Scoring!$D$30+QB!G283*Scoring!$E$30+QB!H283*Scoring!$F$30+QB!I283/Scoring!$G$30+QB!J283*Scoring!$H$30+QB!K283*Scoring!$I$30+M283*Scoring!$J$30+QB!N283*Scoring!$K$30,0)+C283*Scoring!$B$10*0.07+(C283-D283)*Scoring!$B$5</f>
        <v>0</v>
      </c>
    </row>
    <row r="283" customFormat="false" ht="14.25" hidden="false" customHeight="true" outlineLevel="0" collapsed="false">
      <c r="M283" s="115" t="n">
        <f aca="false">IFERROR(((E283/D283)/10.96)*0.5218*D283,0)</f>
        <v>0</v>
      </c>
      <c r="N283" s="115" t="n">
        <f aca="false">IFERROR((((I283/H283)/5.3)*0.401)*H283,0)</f>
        <v>0</v>
      </c>
      <c r="O283" s="116"/>
      <c r="P283" s="116"/>
      <c r="Q283" s="116"/>
    </row>
    <row r="284" customFormat="false" ht="14.25" hidden="false" customHeight="true" outlineLevel="0" collapsed="false">
      <c r="M284" s="115" t="n">
        <f aca="false">IFERROR(((E284/D284)/10.96)*0.5218*D284,0)</f>
        <v>0</v>
      </c>
      <c r="N284" s="115" t="n">
        <f aca="false">IFERROR((((I284/H284)/5.3)*0.401)*H284,0)</f>
        <v>0</v>
      </c>
      <c r="O284" s="116"/>
      <c r="P284" s="116"/>
      <c r="Q284" s="116"/>
    </row>
    <row r="285" customFormat="false" ht="14.25" hidden="false" customHeight="true" outlineLevel="0" collapsed="false">
      <c r="M285" s="115" t="n">
        <f aca="false">IFERROR(((E285/D285)/10.96)*0.5218*D285,0)</f>
        <v>0</v>
      </c>
      <c r="N285" s="115" t="n">
        <f aca="false">IFERROR((((I285/H285)/5.3)*0.401)*H285,0)</f>
        <v>0</v>
      </c>
      <c r="O285" s="116" t="n">
        <f aca="false">MAX(QB!D287*Scoring!$B$30+QB!E287/Scoring!$C$30+QB!F287*Scoring!$D$30+QB!G287*Scoring!$E$30+QB!H287*Scoring!$F$30+QB!I287/Scoring!$G$30+QB!J287*Scoring!$H$30+QB!K287*Scoring!$I$30+M287*Scoring!$J$30+QB!N287*Scoring!$K$30,0)+C287*Scoring!$B$10*0.07+(C287-D287)*Scoring!$B$5</f>
        <v>0</v>
      </c>
      <c r="P285" s="116" t="n">
        <f aca="false">MAX(QB!D285*Scoring!$B$30+QB!E285/Scoring!$C$30+QB!F285*Scoring!$D$30+QB!G285*Scoring!$E$30+QB!H285*Scoring!$F$30+QB!I285/Scoring!$G$30+QB!J285*Scoring!$H$30+QB!K285*Scoring!$I$30+M285*Scoring!$J$30+QB!N285*Scoring!$K$30,0)+C285*Scoring!$B$10*0.07+(C285-D285)*Scoring!$B$5</f>
        <v>0</v>
      </c>
      <c r="Q285" s="116" t="n">
        <f aca="false">MAX(QB!D286*Scoring!$B$30+QB!E286/Scoring!$C$30+QB!F286*Scoring!$D$30+QB!G286*Scoring!$E$30+QB!H286*Scoring!$F$30+QB!I286/Scoring!$G$30+QB!J286*Scoring!$H$30+QB!K286*Scoring!$I$30+M286*Scoring!$J$30+QB!N286*Scoring!$K$30,0)+C286*Scoring!$B$10*0.07+(C286-D286)*Scoring!$B$5</f>
        <v>0</v>
      </c>
    </row>
    <row r="286" customFormat="false" ht="14.25" hidden="false" customHeight="true" outlineLevel="0" collapsed="false">
      <c r="M286" s="115" t="n">
        <f aca="false">IFERROR(((E286/D286)/10.96)*0.5218*D286,0)</f>
        <v>0</v>
      </c>
      <c r="N286" s="115" t="n">
        <f aca="false">IFERROR((((I286/H286)/5.3)*0.401)*H286,0)</f>
        <v>0</v>
      </c>
      <c r="O286" s="116"/>
      <c r="P286" s="116"/>
      <c r="Q286" s="116"/>
    </row>
    <row r="287" customFormat="false" ht="14.25" hidden="false" customHeight="true" outlineLevel="0" collapsed="false">
      <c r="M287" s="115" t="n">
        <f aca="false">IFERROR(((E287/D287)/10.96)*0.5218*D287,0)</f>
        <v>0</v>
      </c>
      <c r="N287" s="115" t="n">
        <f aca="false">IFERROR((((I287/H287)/5.3)*0.401)*H287,0)</f>
        <v>0</v>
      </c>
      <c r="O287" s="116"/>
      <c r="P287" s="116"/>
      <c r="Q287" s="116"/>
    </row>
    <row r="288" customFormat="false" ht="14.25" hidden="false" customHeight="true" outlineLevel="0" collapsed="false">
      <c r="M288" s="115" t="n">
        <f aca="false">IFERROR(((E288/D288)/10.96)*0.5218*D288,0)</f>
        <v>0</v>
      </c>
      <c r="N288" s="115" t="n">
        <f aca="false">IFERROR((((I288/H288)/5.3)*0.401)*H288,0)</f>
        <v>0</v>
      </c>
      <c r="O288" s="116" t="n">
        <f aca="false">MAX(QB!D290*Scoring!$B$30+QB!E290/Scoring!$C$30+QB!F290*Scoring!$D$30+QB!G290*Scoring!$E$30+QB!H290*Scoring!$F$30+QB!I290/Scoring!$G$30+QB!J290*Scoring!$H$30+QB!K290*Scoring!$I$30+M290*Scoring!$J$30+QB!N290*Scoring!$K$30,0)+C290*Scoring!$B$10*0.07+(C290-D290)*Scoring!$B$5</f>
        <v>0</v>
      </c>
      <c r="P288" s="116" t="n">
        <f aca="false">MAX(QB!D288*Scoring!$B$30+QB!E288/Scoring!$C$30+QB!F288*Scoring!$D$30+QB!G288*Scoring!$E$30+QB!H288*Scoring!$F$30+QB!I288/Scoring!$G$30+QB!J288*Scoring!$H$30+QB!K288*Scoring!$I$30+M288*Scoring!$J$30+QB!N288*Scoring!$K$30,0)+C288*Scoring!$B$10*0.07+(C288-D288)*Scoring!$B$5</f>
        <v>0</v>
      </c>
      <c r="Q288" s="116" t="n">
        <f aca="false">MAX(QB!D289*Scoring!$B$30+QB!E289/Scoring!$C$30+QB!F289*Scoring!$D$30+QB!G289*Scoring!$E$30+QB!H289*Scoring!$F$30+QB!I289/Scoring!$G$30+QB!J289*Scoring!$H$30+QB!K289*Scoring!$I$30+M289*Scoring!$J$30+QB!N289*Scoring!$K$30,0)+C289*Scoring!$B$10*0.07+(C289-D289)*Scoring!$B$5</f>
        <v>0</v>
      </c>
    </row>
    <row r="289" customFormat="false" ht="14.25" hidden="false" customHeight="true" outlineLevel="0" collapsed="false">
      <c r="M289" s="115" t="n">
        <f aca="false">IFERROR(((E289/D289)/10.96)*0.5218*D289,0)</f>
        <v>0</v>
      </c>
      <c r="N289" s="115" t="n">
        <f aca="false">IFERROR((((I289/H289)/5.3)*0.401)*H289,0)</f>
        <v>0</v>
      </c>
      <c r="O289" s="116"/>
      <c r="P289" s="116"/>
      <c r="Q289" s="116"/>
    </row>
    <row r="290" customFormat="false" ht="14.25" hidden="false" customHeight="true" outlineLevel="0" collapsed="false">
      <c r="M290" s="115" t="n">
        <f aca="false">IFERROR(((E290/D290)/10.96)*0.5218*D290,0)</f>
        <v>0</v>
      </c>
      <c r="N290" s="115" t="n">
        <f aca="false">IFERROR((((I290/H290)/5.3)*0.401)*H290,0)</f>
        <v>0</v>
      </c>
      <c r="O290" s="116"/>
      <c r="P290" s="116"/>
      <c r="Q290" s="116"/>
    </row>
    <row r="291" customFormat="false" ht="14.25" hidden="false" customHeight="true" outlineLevel="0" collapsed="false">
      <c r="M291" s="115" t="n">
        <f aca="false">IFERROR(((E291/D291)/10.96)*0.5218*D291,0)</f>
        <v>0</v>
      </c>
      <c r="N291" s="115" t="n">
        <f aca="false">IFERROR((((I291/H291)/5.3)*0.401)*H291,0)</f>
        <v>0</v>
      </c>
      <c r="O291" s="116" t="n">
        <f aca="false">MAX(QB!D293*Scoring!$B$30+QB!E293/Scoring!$C$30+QB!F293*Scoring!$D$30+QB!G293*Scoring!$E$30+QB!H293*Scoring!$F$30+QB!I293/Scoring!$G$30+QB!J293*Scoring!$H$30+QB!K293*Scoring!$I$30+M293*Scoring!$J$30+QB!N293*Scoring!$K$30,0)+C293*Scoring!$B$10*0.07+(C293-D293)*Scoring!$B$5</f>
        <v>0</v>
      </c>
      <c r="P291" s="116" t="n">
        <f aca="false">MAX(QB!D291*Scoring!$B$30+QB!E291/Scoring!$C$30+QB!F291*Scoring!$D$30+QB!G291*Scoring!$E$30+QB!H291*Scoring!$F$30+QB!I291/Scoring!$G$30+QB!J291*Scoring!$H$30+QB!K291*Scoring!$I$30+M291*Scoring!$J$30+QB!N291*Scoring!$K$30,0)+C291*Scoring!$B$10*0.07+(C291-D291)*Scoring!$B$5</f>
        <v>0</v>
      </c>
      <c r="Q291" s="116" t="n">
        <f aca="false">MAX(QB!D292*Scoring!$B$30+QB!E292/Scoring!$C$30+QB!F292*Scoring!$D$30+QB!G292*Scoring!$E$30+QB!H292*Scoring!$F$30+QB!I292/Scoring!$G$30+QB!J292*Scoring!$H$30+QB!K292*Scoring!$I$30+M292*Scoring!$J$30+QB!N292*Scoring!$K$30,0)+C292*Scoring!$B$10*0.07+(C292-D292)*Scoring!$B$5</f>
        <v>0</v>
      </c>
    </row>
    <row r="292" customFormat="false" ht="14.25" hidden="false" customHeight="true" outlineLevel="0" collapsed="false">
      <c r="M292" s="115" t="n">
        <f aca="false">IFERROR(((E292/D292)/10.96)*0.5218*D292,0)</f>
        <v>0</v>
      </c>
      <c r="N292" s="115" t="n">
        <f aca="false">IFERROR((((I292/H292)/5.3)*0.401)*H292,0)</f>
        <v>0</v>
      </c>
      <c r="O292" s="116"/>
      <c r="P292" s="116"/>
      <c r="Q292" s="116"/>
    </row>
    <row r="293" customFormat="false" ht="14.25" hidden="false" customHeight="true" outlineLevel="0" collapsed="false">
      <c r="M293" s="115" t="n">
        <f aca="false">IFERROR(((E293/D293)/10.96)*0.5218*D293,0)</f>
        <v>0</v>
      </c>
      <c r="N293" s="115" t="n">
        <f aca="false">IFERROR((((I293/H293)/5.3)*0.401)*H293,0)</f>
        <v>0</v>
      </c>
      <c r="O293" s="116"/>
      <c r="P293" s="116"/>
      <c r="Q293" s="116"/>
    </row>
    <row r="294" customFormat="false" ht="14.25" hidden="false" customHeight="true" outlineLevel="0" collapsed="false">
      <c r="M294" s="115" t="n">
        <f aca="false">IFERROR(((E294/D294)/10.96)*0.5218*D294,0)</f>
        <v>0</v>
      </c>
      <c r="N294" s="115" t="n">
        <f aca="false">IFERROR((((I294/H294)/5.3)*0.401)*H294,0)</f>
        <v>0</v>
      </c>
      <c r="O294" s="116" t="n">
        <f aca="false">MAX(QB!D296*Scoring!$B$30+QB!E296/Scoring!$C$30+QB!F296*Scoring!$D$30+QB!G296*Scoring!$E$30+QB!H296*Scoring!$F$30+QB!I296/Scoring!$G$30+QB!J296*Scoring!$H$30+QB!K296*Scoring!$I$30+M296*Scoring!$J$30+QB!N296*Scoring!$K$30,0)+C296*Scoring!$B$10*0.07+(C296-D296)*Scoring!$B$5</f>
        <v>0</v>
      </c>
      <c r="P294" s="116" t="n">
        <f aca="false">MAX(QB!D294*Scoring!$B$30+QB!E294/Scoring!$C$30+QB!F294*Scoring!$D$30+QB!G294*Scoring!$E$30+QB!H294*Scoring!$F$30+QB!I294/Scoring!$G$30+QB!J294*Scoring!$H$30+QB!K294*Scoring!$I$30+M294*Scoring!$J$30+QB!N294*Scoring!$K$30,0)+C294*Scoring!$B$10*0.07+(C294-D294)*Scoring!$B$5</f>
        <v>0</v>
      </c>
      <c r="Q294" s="116" t="n">
        <f aca="false">MAX(QB!D295*Scoring!$B$30+QB!E295/Scoring!$C$30+QB!F295*Scoring!$D$30+QB!G295*Scoring!$E$30+QB!H295*Scoring!$F$30+QB!I295/Scoring!$G$30+QB!J295*Scoring!$H$30+QB!K295*Scoring!$I$30+M295*Scoring!$J$30+QB!N295*Scoring!$K$30,0)+C295*Scoring!$B$10*0.07+(C295-D295)*Scoring!$B$5</f>
        <v>0</v>
      </c>
    </row>
    <row r="295" customFormat="false" ht="14.25" hidden="false" customHeight="true" outlineLevel="0" collapsed="false">
      <c r="M295" s="115" t="n">
        <f aca="false">IFERROR(((E295/D295)/10.96)*0.5218*D295,0)</f>
        <v>0</v>
      </c>
      <c r="N295" s="115" t="n">
        <f aca="false">IFERROR((((I295/H295)/5.3)*0.401)*H295,0)</f>
        <v>0</v>
      </c>
      <c r="O295" s="116"/>
      <c r="P295" s="116"/>
      <c r="Q295" s="116"/>
    </row>
    <row r="296" customFormat="false" ht="14.25" hidden="false" customHeight="true" outlineLevel="0" collapsed="false">
      <c r="M296" s="115" t="n">
        <f aca="false">IFERROR(((E296/D296)/10.96)*0.5218*D296,0)</f>
        <v>0</v>
      </c>
      <c r="N296" s="115" t="n">
        <f aca="false">IFERROR((((I296/H296)/5.3)*0.401)*H296,0)</f>
        <v>0</v>
      </c>
      <c r="O296" s="116"/>
      <c r="P296" s="116"/>
      <c r="Q296" s="116"/>
    </row>
    <row r="297" customFormat="false" ht="14.25" hidden="false" customHeight="true" outlineLevel="0" collapsed="false">
      <c r="M297" s="115" t="n">
        <f aca="false">IFERROR(((E297/D297)/10.96)*0.5218*D297,0)</f>
        <v>0</v>
      </c>
      <c r="N297" s="115" t="n">
        <f aca="false">IFERROR((((I297/H297)/5.3)*0.401)*H297,0)</f>
        <v>0</v>
      </c>
      <c r="O297" s="116" t="n">
        <f aca="false">MAX(QB!D299*Scoring!$B$30+QB!E299/Scoring!$C$30+QB!F299*Scoring!$D$30+QB!G299*Scoring!$E$30+QB!H299*Scoring!$F$30+QB!I299/Scoring!$G$30+QB!J299*Scoring!$H$30+QB!K299*Scoring!$I$30+M299*Scoring!$J$30+QB!N299*Scoring!$K$30,0)+C299*Scoring!$B$10*0.07+(C299-D299)*Scoring!$B$5</f>
        <v>0</v>
      </c>
      <c r="P297" s="116" t="n">
        <f aca="false">MAX(QB!D297*Scoring!$B$30+QB!E297/Scoring!$C$30+QB!F297*Scoring!$D$30+QB!G297*Scoring!$E$30+QB!H297*Scoring!$F$30+QB!I297/Scoring!$G$30+QB!J297*Scoring!$H$30+QB!K297*Scoring!$I$30+M297*Scoring!$J$30+QB!N297*Scoring!$K$30,0)+C297*Scoring!$B$10*0.07+(C297-D297)*Scoring!$B$5</f>
        <v>0</v>
      </c>
      <c r="Q297" s="116" t="n">
        <f aca="false">MAX(QB!D298*Scoring!$B$30+QB!E298/Scoring!$C$30+QB!F298*Scoring!$D$30+QB!G298*Scoring!$E$30+QB!H298*Scoring!$F$30+QB!I298/Scoring!$G$30+QB!J298*Scoring!$H$30+QB!K298*Scoring!$I$30+M298*Scoring!$J$30+QB!N298*Scoring!$K$30,0)+C298*Scoring!$B$10*0.07+(C298-D298)*Scoring!$B$5</f>
        <v>0</v>
      </c>
    </row>
    <row r="298" customFormat="false" ht="14.25" hidden="false" customHeight="true" outlineLevel="0" collapsed="false">
      <c r="M298" s="115" t="n">
        <f aca="false">IFERROR(((E298/D298)/10.96)*0.5218*D298,0)</f>
        <v>0</v>
      </c>
      <c r="N298" s="115" t="n">
        <f aca="false">IFERROR((((I298/H298)/5.3)*0.401)*H298,0)</f>
        <v>0</v>
      </c>
      <c r="O298" s="116"/>
      <c r="P298" s="116"/>
      <c r="Q298" s="116"/>
    </row>
    <row r="299" customFormat="false" ht="14.25" hidden="false" customHeight="true" outlineLevel="0" collapsed="false">
      <c r="M299" s="115" t="n">
        <f aca="false">IFERROR(((E299/D299)/10.96)*0.5218*D299,0)</f>
        <v>0</v>
      </c>
      <c r="N299" s="115" t="n">
        <f aca="false">IFERROR((((I299/H299)/5.3)*0.401)*H299,0)</f>
        <v>0</v>
      </c>
      <c r="O299" s="116"/>
      <c r="P299" s="116"/>
      <c r="Q299" s="116"/>
    </row>
    <row r="300" customFormat="false" ht="14.25" hidden="false" customHeight="true" outlineLevel="0" collapsed="false">
      <c r="M300" s="115" t="n">
        <f aca="false">IFERROR(((E300/D300)/10.96)*0.5218*D300,0)</f>
        <v>0</v>
      </c>
      <c r="N300" s="115" t="n">
        <f aca="false">IFERROR((((I300/H300)/5.3)*0.401)*H300,0)</f>
        <v>0</v>
      </c>
      <c r="O300" s="116" t="n">
        <f aca="false">MAX(QB!D302*Scoring!$B$30+QB!E302/Scoring!$C$30+QB!F302*Scoring!$D$30+QB!G302*Scoring!$E$30+QB!H302*Scoring!$F$30+QB!I302/Scoring!$G$30+QB!J302*Scoring!$H$30+QB!K302*Scoring!$I$30+M302*Scoring!$J$30+QB!N302*Scoring!$K$30,0)+C302*Scoring!$B$10*0.07+(C302-D302)*Scoring!$B$5</f>
        <v>0</v>
      </c>
      <c r="P300" s="116" t="n">
        <f aca="false">MAX(QB!D300*Scoring!$B$30+QB!E300/Scoring!$C$30+QB!F300*Scoring!$D$30+QB!G300*Scoring!$E$30+QB!H300*Scoring!$F$30+QB!I300/Scoring!$G$30+QB!J300*Scoring!$H$30+QB!K300*Scoring!$I$30+M300*Scoring!$J$30+QB!N300*Scoring!$K$30,0)+C300*Scoring!$B$10*0.07+(C300-D300)*Scoring!$B$5</f>
        <v>0</v>
      </c>
      <c r="Q300" s="116" t="n">
        <f aca="false">MAX(QB!D301*Scoring!$B$30+QB!E301/Scoring!$C$30+QB!F301*Scoring!$D$30+QB!G301*Scoring!$E$30+QB!H301*Scoring!$F$30+QB!I301/Scoring!$G$30+QB!J301*Scoring!$H$30+QB!K301*Scoring!$I$30+M301*Scoring!$J$30+QB!N301*Scoring!$K$30,0)+C301*Scoring!$B$10*0.07+(C301-D301)*Scoring!$B$5</f>
        <v>0</v>
      </c>
    </row>
    <row r="301" customFormat="false" ht="14.25" hidden="false" customHeight="true" outlineLevel="0" collapsed="false">
      <c r="M301" s="115" t="n">
        <f aca="false">IFERROR(((E301/D301)/10.96)*0.5218*D301,0)</f>
        <v>0</v>
      </c>
      <c r="N301" s="115" t="n">
        <f aca="false">IFERROR((((I301/H301)/5.3)*0.401)*H301,0)</f>
        <v>0</v>
      </c>
      <c r="O301" s="116"/>
      <c r="P301" s="116"/>
      <c r="Q301" s="116"/>
    </row>
    <row r="302" customFormat="false" ht="14.25" hidden="false" customHeight="true" outlineLevel="0" collapsed="false">
      <c r="M302" s="115" t="n">
        <f aca="false">IFERROR(((E302/D302)/10.96)*0.5218*D302,0)</f>
        <v>0</v>
      </c>
      <c r="N302" s="115" t="n">
        <f aca="false">IFERROR((((I302/H302)/5.3)*0.401)*H302,0)</f>
        <v>0</v>
      </c>
      <c r="O302" s="116"/>
      <c r="P302" s="116"/>
      <c r="Q302" s="116"/>
    </row>
    <row r="303" customFormat="false" ht="14.25" hidden="false" customHeight="true" outlineLevel="0" collapsed="false">
      <c r="O303" s="116" t="n">
        <f aca="false">MAX(QB!D305*Scoring!$B$30+QB!E305/Scoring!$C$30+QB!F305*Scoring!$D$30+QB!G305*Scoring!$E$30+QB!H305*Scoring!$F$30+QB!I305/Scoring!$G$30+QB!J305*Scoring!$H$30+QB!K305*Scoring!$I$30+M305*Scoring!$J$30+QB!N305*Scoring!$K$30,0)+C305*Scoring!$B$10*0.07+(C305-D305)*Scoring!$B$5</f>
        <v>0</v>
      </c>
      <c r="P303" s="116" t="n">
        <f aca="false">MAX(QB!D303*Scoring!$B$30+QB!E303/Scoring!$C$30+QB!F303*Scoring!$D$30+QB!G303*Scoring!$E$30+QB!H303*Scoring!$F$30+QB!I303/Scoring!$G$30+QB!J303*Scoring!$H$30+QB!K303*Scoring!$I$30+M303*Scoring!$J$30+QB!N303*Scoring!$K$30,0)+C303*Scoring!$B$10*0.07+(C303-D303)*Scoring!$B$5</f>
        <v>0</v>
      </c>
      <c r="Q303" s="116" t="n">
        <f aca="false">MAX(QB!D304*Scoring!$B$30+QB!E304/Scoring!$C$30+QB!F304*Scoring!$D$30+QB!G304*Scoring!$E$30+QB!H304*Scoring!$F$30+QB!I304/Scoring!$G$30+QB!J304*Scoring!$H$30+QB!K304*Scoring!$I$30+M304*Scoring!$J$30+QB!N304*Scoring!$K$30,0)+C304*Scoring!$B$10*0.07+(C304-D304)*Scoring!$B$5</f>
        <v>0</v>
      </c>
    </row>
    <row r="304" customFormat="false" ht="14.25" hidden="false" customHeight="true" outlineLevel="0" collapsed="false">
      <c r="O304" s="116"/>
      <c r="P304" s="116"/>
      <c r="Q304" s="116"/>
    </row>
    <row r="305" customFormat="false" ht="14.25" hidden="false" customHeight="true" outlineLevel="0" collapsed="false">
      <c r="O305" s="116"/>
      <c r="P305" s="116"/>
      <c r="Q305" s="116"/>
    </row>
    <row r="306" customFormat="false" ht="14.25" hidden="false" customHeight="true" outlineLevel="0" collapsed="false">
      <c r="O306" s="116" t="n">
        <f aca="false">MAX(QB!D308*Scoring!$B$30+QB!E308/Scoring!$C$30+QB!F308*Scoring!$D$30+QB!G308*Scoring!$E$30+QB!H308*Scoring!$F$30+QB!I308/Scoring!$G$30+QB!J308*Scoring!$H$30+QB!K308*Scoring!$I$30+M308*Scoring!$J$30+QB!N308*Scoring!$K$30,0)+C308*Scoring!$B$10*0.07+(C308-D308)*Scoring!$B$5</f>
        <v>0</v>
      </c>
      <c r="P306" s="116" t="n">
        <f aca="false">MAX(QB!D306*Scoring!$B$30+QB!E306/Scoring!$C$30+QB!F306*Scoring!$D$30+QB!G306*Scoring!$E$30+QB!H306*Scoring!$F$30+QB!I306/Scoring!$G$30+QB!J306*Scoring!$H$30+QB!K306*Scoring!$I$30+M306*Scoring!$J$30+QB!N306*Scoring!$K$30,0)+C306*Scoring!$B$10*0.07+(C306-D306)*Scoring!$B$5</f>
        <v>0</v>
      </c>
      <c r="Q306" s="116" t="n">
        <f aca="false">MAX(QB!D307*Scoring!$B$30+QB!E307/Scoring!$C$30+QB!F307*Scoring!$D$30+QB!G307*Scoring!$E$30+QB!H307*Scoring!$F$30+QB!I307/Scoring!$G$30+QB!J307*Scoring!$H$30+QB!K307*Scoring!$I$30+M307*Scoring!$J$30+QB!N307*Scoring!$K$30,0)+C307*Scoring!$B$10*0.07+(C307-D307)*Scoring!$B$5</f>
        <v>0</v>
      </c>
    </row>
    <row r="307" customFormat="false" ht="14.25" hidden="false" customHeight="true" outlineLevel="0" collapsed="false">
      <c r="O307" s="116"/>
      <c r="P307" s="116"/>
      <c r="Q307" s="116"/>
    </row>
    <row r="308" customFormat="false" ht="14.25" hidden="false" customHeight="true" outlineLevel="0" collapsed="false">
      <c r="O308" s="116"/>
      <c r="P308" s="116"/>
      <c r="Q308" s="1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8.88671875" defaultRowHeight="14.25" zeroHeight="false" outlineLevelRow="0" outlineLevelCol="0"/>
  <cols>
    <col collapsed="false" customWidth="true" hidden="false" outlineLevel="0" max="11" min="11" style="113" width="5.33"/>
    <col collapsed="false" customWidth="true" hidden="false" outlineLevel="0" max="12" min="12" style="113" width="6.33"/>
    <col collapsed="false" customWidth="true" hidden="false" outlineLevel="0" max="14" min="13" style="80" width="5.56"/>
    <col collapsed="false" customWidth="true" hidden="false" outlineLevel="0" max="15" min="15" style="80" width="6.56"/>
    <col collapsed="false" customWidth="false" hidden="false" outlineLevel="0" max="16384" min="16" style="53" width="8.88"/>
  </cols>
  <sheetData>
    <row r="1" customFormat="false" ht="14.25" hidden="false" customHeight="true" outlineLevel="0" collapsed="false">
      <c r="A1" s="0" t="s">
        <v>480</v>
      </c>
      <c r="B1" s="0" t="s">
        <v>103</v>
      </c>
      <c r="C1" s="0" t="s">
        <v>481</v>
      </c>
      <c r="D1" s="0" t="s">
        <v>483</v>
      </c>
      <c r="E1" s="0" t="s">
        <v>484</v>
      </c>
      <c r="F1" s="0" t="s">
        <v>600</v>
      </c>
      <c r="G1" s="0" t="s">
        <v>483</v>
      </c>
      <c r="H1" s="0" t="s">
        <v>484</v>
      </c>
      <c r="I1" s="0" t="s">
        <v>54</v>
      </c>
      <c r="J1" s="0" t="s">
        <v>485</v>
      </c>
      <c r="K1" s="113" t="s">
        <v>487</v>
      </c>
      <c r="L1" s="113" t="s">
        <v>60</v>
      </c>
      <c r="M1" s="87" t="s">
        <v>106</v>
      </c>
      <c r="N1" s="87" t="s">
        <v>107</v>
      </c>
      <c r="O1" s="87" t="s">
        <v>108</v>
      </c>
    </row>
    <row r="2" customFormat="false" ht="14.25" hidden="false" customHeight="true" outlineLevel="0" collapsed="false">
      <c r="A2" s="0" t="s">
        <v>488</v>
      </c>
      <c r="M2" s="87"/>
      <c r="N2" s="87"/>
      <c r="O2" s="87"/>
    </row>
    <row r="3" customFormat="false" ht="14.25" hidden="false" customHeight="true" outlineLevel="0" collapsed="false">
      <c r="A3" s="0" t="s">
        <v>601</v>
      </c>
      <c r="B3" s="0" t="s">
        <v>524</v>
      </c>
      <c r="C3" s="0" t="n">
        <v>281.4</v>
      </c>
      <c r="D3" s="0" t="n">
        <v>1415.5</v>
      </c>
      <c r="E3" s="0" t="n">
        <v>14.1</v>
      </c>
      <c r="F3" s="0" t="n">
        <v>71.7</v>
      </c>
      <c r="G3" s="0" t="n">
        <v>583.8</v>
      </c>
      <c r="H3" s="0" t="n">
        <v>4.1</v>
      </c>
      <c r="I3" s="0" t="n">
        <v>1.1</v>
      </c>
      <c r="J3" s="0" t="n">
        <v>342.8</v>
      </c>
      <c r="K3" s="115" t="n">
        <f aca="false">IFERROR((D3/C3)/4.5*0.25*C3,0)</f>
        <v>78.6388888888889</v>
      </c>
      <c r="L3" s="115" t="n">
        <f aca="false">IFERROR((G3/F3)/7.95*0.376*F3,0)</f>
        <v>27.6111698113208</v>
      </c>
      <c r="M3" s="117" t="n">
        <f aca="false">C5*Scoring!$B$32+D5/Scoring!$C$32+E5*Scoring!$D$32+F5*Scoring!$E$32+G5/Scoring!$F$32+H5*Scoring!$G$32+I5*Scoring!$H$32+K5*Scoring!$I$32+RB!L5*Scoring!$J$32+U3</f>
        <v>317.39</v>
      </c>
      <c r="N3" s="117" t="n">
        <f aca="false">C3*Scoring!$B$32+D3/Scoring!$C$32+E3*Scoring!$D$32+F3*Scoring!$E$32+G3/Scoring!$F$32+H3*Scoring!$G$32+I3*Scoring!$H$32+K3*Scoring!$I$32+RB!L3*Scoring!$J$32+U3</f>
        <v>342.78</v>
      </c>
      <c r="O3" s="117" t="n">
        <f aca="false">C4*Scoring!$B$32+D4/Scoring!$C$32+E4*Scoring!$D$32+F4*Scoring!$E$32+G4/Scoring!$F$32+H4*Scoring!$G$32+I4*Scoring!$H$32+K4*Scoring!$I$32+L4*Scoring!$J$32+U3</f>
        <v>368.3</v>
      </c>
      <c r="P3" s="53" t="n">
        <f aca="false">IF(COUNTIF(Rookies!$A:$A,A3)&gt;0,1,0)</f>
        <v>0</v>
      </c>
      <c r="S3" s="53" t="n">
        <f aca="false">V3/17</f>
        <v>20.1635294117647</v>
      </c>
      <c r="T3" s="53" t="n">
        <f aca="false">IF(P3=1,MAX(0,0.258*(14.9-S3)),0)</f>
        <v>0</v>
      </c>
      <c r="U3" s="53" t="n">
        <f aca="false">T3*17</f>
        <v>0</v>
      </c>
      <c r="V3" s="53" t="n">
        <f aca="false">C3*Scoring!$B$32+D3/Scoring!$C$32+E3*Scoring!$D$32+F3*Scoring!$E$32+G3/Scoring!$F$32+H3*Scoring!$G$32+I3*Scoring!$H$32+K3*Scoring!$I$32+RB!L3*Scoring!$J$32</f>
        <v>342.78</v>
      </c>
      <c r="X3" s="53" t="n">
        <f aca="false">D3+G3</f>
        <v>1999.3</v>
      </c>
      <c r="Y3" s="53" t="n">
        <f aca="false">H3+E3</f>
        <v>18.2</v>
      </c>
      <c r="Z3" s="53" t="n">
        <f aca="false">X3/Y3</f>
        <v>109.851648351648</v>
      </c>
    </row>
    <row r="4" customFormat="false" ht="14.25" hidden="false" customHeight="true" outlineLevel="0" collapsed="false">
      <c r="B4" s="0" t="s">
        <v>491</v>
      </c>
      <c r="C4" s="0" t="n">
        <v>286.2</v>
      </c>
      <c r="D4" s="0" t="n">
        <v>1435</v>
      </c>
      <c r="E4" s="0" t="n">
        <v>16</v>
      </c>
      <c r="F4" s="0" t="n">
        <v>75</v>
      </c>
      <c r="G4" s="0" t="n">
        <v>633</v>
      </c>
      <c r="H4" s="0" t="n">
        <v>5</v>
      </c>
      <c r="I4" s="0" t="n">
        <v>1</v>
      </c>
      <c r="J4" s="0" t="n">
        <v>367.2</v>
      </c>
      <c r="K4" s="115" t="n">
        <f aca="false">IFERROR((D4/C4)/4.5*0.25*C4,0)</f>
        <v>79.7222222222222</v>
      </c>
      <c r="L4" s="115" t="n">
        <f aca="false">IFERROR((G4/F4)/7.95*0.376*F4,0)</f>
        <v>29.9381132075472</v>
      </c>
      <c r="M4" s="117"/>
      <c r="N4" s="117"/>
      <c r="O4" s="117"/>
      <c r="X4" s="53" t="n">
        <f aca="false">D4+G4</f>
        <v>2068</v>
      </c>
      <c r="Y4" s="53" t="n">
        <f aca="false">H4+E4</f>
        <v>21</v>
      </c>
      <c r="Z4" s="53" t="n">
        <f aca="false">X4/Y4</f>
        <v>98.4761904761905</v>
      </c>
    </row>
    <row r="5" customFormat="false" ht="14.25" hidden="false" customHeight="true" outlineLevel="0" collapsed="false">
      <c r="B5" s="0" t="s">
        <v>492</v>
      </c>
      <c r="C5" s="0" t="n">
        <v>279</v>
      </c>
      <c r="D5" s="0" t="n">
        <v>1389.5</v>
      </c>
      <c r="E5" s="0" t="n">
        <v>12</v>
      </c>
      <c r="F5" s="0" t="n">
        <v>68</v>
      </c>
      <c r="G5" s="0" t="n">
        <v>546.4</v>
      </c>
      <c r="H5" s="0" t="n">
        <v>3.4</v>
      </c>
      <c r="I5" s="0" t="n">
        <v>1.3</v>
      </c>
      <c r="J5" s="0" t="n">
        <v>333.5</v>
      </c>
      <c r="K5" s="115" t="n">
        <f aca="false">IFERROR((D5/C5)/4.5*0.25*C5,0)</f>
        <v>77.1944444444444</v>
      </c>
      <c r="L5" s="115" t="n">
        <f aca="false">IFERROR((G5/F5)/7.95*0.376*F5,0)</f>
        <v>25.8423144654088</v>
      </c>
      <c r="M5" s="117"/>
      <c r="N5" s="117"/>
      <c r="O5" s="117"/>
      <c r="X5" s="53" t="n">
        <f aca="false">D5+G5</f>
        <v>1935.9</v>
      </c>
      <c r="Y5" s="53" t="n">
        <f aca="false">H5+E5</f>
        <v>15.4</v>
      </c>
      <c r="Z5" s="53" t="n">
        <f aca="false">X5/Y5</f>
        <v>125.707792207792</v>
      </c>
    </row>
    <row r="6" customFormat="false" ht="14.25" hidden="false" customHeight="true" outlineLevel="0" collapsed="false">
      <c r="A6" s="0" t="s">
        <v>602</v>
      </c>
      <c r="B6" s="0" t="s">
        <v>552</v>
      </c>
      <c r="C6" s="0" t="n">
        <v>285.8</v>
      </c>
      <c r="D6" s="0" t="n">
        <v>1391.5</v>
      </c>
      <c r="E6" s="0" t="n">
        <v>8.8</v>
      </c>
      <c r="F6" s="0" t="n">
        <v>76.9</v>
      </c>
      <c r="G6" s="0" t="n">
        <v>705.2</v>
      </c>
      <c r="H6" s="0" t="n">
        <v>3.5</v>
      </c>
      <c r="I6" s="0" t="n">
        <v>1.8</v>
      </c>
      <c r="J6" s="0" t="n">
        <v>318.2</v>
      </c>
      <c r="K6" s="115" t="n">
        <f aca="false">IFERROR((D6/C6)/4.5*0.25*C6,0)</f>
        <v>77.3055555555556</v>
      </c>
      <c r="L6" s="115" t="n">
        <f aca="false">IFERROR((G6/F6)/7.95*0.376*F6,0)</f>
        <v>33.352855345912</v>
      </c>
      <c r="M6" s="117" t="n">
        <f aca="false">C8*Scoring!$B$32+D8/Scoring!$C$32+E8*Scoring!$D$32+F8*Scoring!$E$32+G8/Scoring!$F$32+H8*Scoring!$G$32+I8*Scoring!$H$32+K8*Scoring!$I$32+RB!L8*Scoring!$J$32+U6</f>
        <v>307.24</v>
      </c>
      <c r="N6" s="117" t="n">
        <f aca="false">C6*Scoring!$B$32+D6/Scoring!$C$32+E6*Scoring!$D$32+F6*Scoring!$E$32+G6/Scoring!$F$32+H6*Scoring!$G$32+I6*Scoring!$H$32+K6*Scoring!$I$32+RB!L6*Scoring!$J$32+U6</f>
        <v>318.32</v>
      </c>
      <c r="O6" s="117" t="n">
        <f aca="false">C7*Scoring!$B$32+D7/Scoring!$C$32+E7*Scoring!$D$32+F7*Scoring!$E$32+G7/Scoring!$F$32+H7*Scoring!$G$32+I7*Scoring!$H$32+K7*Scoring!$I$32+L7*Scoring!$J$32+U6</f>
        <v>327.77</v>
      </c>
      <c r="P6" s="53" t="n">
        <f aca="false">IF(COUNTIF(Rookies!$A:$A,A6)&gt;0,1,0)</f>
        <v>0</v>
      </c>
      <c r="S6" s="53" t="n">
        <f aca="false">V6/17</f>
        <v>18.7247058823529</v>
      </c>
      <c r="T6" s="53" t="n">
        <f aca="false">IF(P6=1,MAX(0,0.258*(14.9-S6)),0)</f>
        <v>0</v>
      </c>
      <c r="U6" s="53" t="n">
        <f aca="false">T6*17</f>
        <v>0</v>
      </c>
      <c r="V6" s="53" t="n">
        <f aca="false">C6*Scoring!$B$32+D6/Scoring!$C$32+E6*Scoring!$D$32+F6*Scoring!$E$32+G6/Scoring!$F$32+H6*Scoring!$G$32+I6*Scoring!$H$32+K6*Scoring!$I$32+RB!L6*Scoring!$J$32</f>
        <v>318.32</v>
      </c>
      <c r="X6" s="53" t="n">
        <f aca="false">D6+G6</f>
        <v>2096.7</v>
      </c>
      <c r="Y6" s="53" t="n">
        <f aca="false">H6+E6</f>
        <v>12.3</v>
      </c>
      <c r="Z6" s="53" t="n">
        <f aca="false">X6/Y6</f>
        <v>170.463414634146</v>
      </c>
    </row>
    <row r="7" customFormat="false" ht="14.25" hidden="false" customHeight="true" outlineLevel="0" collapsed="false">
      <c r="B7" s="0" t="s">
        <v>491</v>
      </c>
      <c r="C7" s="0" t="n">
        <v>291</v>
      </c>
      <c r="D7" s="0" t="n">
        <v>1402</v>
      </c>
      <c r="E7" s="0" t="n">
        <v>9</v>
      </c>
      <c r="F7" s="0" t="n">
        <v>84</v>
      </c>
      <c r="G7" s="0" t="n">
        <v>707.7</v>
      </c>
      <c r="H7" s="0" t="n">
        <v>4</v>
      </c>
      <c r="I7" s="0" t="n">
        <v>1.6</v>
      </c>
      <c r="J7" s="0" t="n">
        <v>363.4</v>
      </c>
      <c r="K7" s="115" t="n">
        <f aca="false">IFERROR((D7/C7)/4.5*0.25*C7,0)</f>
        <v>77.8888888888889</v>
      </c>
      <c r="L7" s="115" t="n">
        <f aca="false">IFERROR((G7/F7)/7.95*0.376*F7,0)</f>
        <v>33.4710943396226</v>
      </c>
      <c r="M7" s="117"/>
      <c r="N7" s="117"/>
      <c r="O7" s="117"/>
      <c r="X7" s="53" t="n">
        <f aca="false">D7+G7</f>
        <v>2109.7</v>
      </c>
      <c r="Y7" s="53" t="n">
        <f aca="false">H7+E7</f>
        <v>13</v>
      </c>
      <c r="Z7" s="53" t="n">
        <f aca="false">X7/Y7</f>
        <v>162.284615384615</v>
      </c>
    </row>
    <row r="8" customFormat="false" ht="14.25" hidden="false" customHeight="true" outlineLevel="0" collapsed="false">
      <c r="B8" s="0" t="s">
        <v>492</v>
      </c>
      <c r="C8" s="0" t="n">
        <v>280</v>
      </c>
      <c r="D8" s="0" t="n">
        <v>1372.4</v>
      </c>
      <c r="E8" s="0" t="n">
        <v>8.4</v>
      </c>
      <c r="F8" s="0" t="n">
        <v>71</v>
      </c>
      <c r="G8" s="0" t="n">
        <v>701</v>
      </c>
      <c r="H8" s="0" t="n">
        <v>3</v>
      </c>
      <c r="I8" s="0" t="n">
        <v>2</v>
      </c>
      <c r="J8" s="0" t="n">
        <v>307.5</v>
      </c>
      <c r="K8" s="115" t="n">
        <f aca="false">IFERROR((D8/C8)/4.5*0.25*C8,0)</f>
        <v>76.2444444444445</v>
      </c>
      <c r="L8" s="115" t="n">
        <f aca="false">IFERROR((G8/F8)/7.95*0.376*F8,0)</f>
        <v>33.154213836478</v>
      </c>
      <c r="M8" s="117"/>
      <c r="N8" s="117"/>
      <c r="O8" s="117"/>
      <c r="X8" s="53" t="n">
        <f aca="false">D8+G8</f>
        <v>2073.4</v>
      </c>
      <c r="Y8" s="53" t="n">
        <f aca="false">H8+E8</f>
        <v>11.4</v>
      </c>
      <c r="Z8" s="53" t="n">
        <f aca="false">X8/Y8</f>
        <v>181.877192982456</v>
      </c>
    </row>
    <row r="9" customFormat="false" ht="14.25" hidden="false" customHeight="true" outlineLevel="0" collapsed="false">
      <c r="A9" s="0" t="s">
        <v>603</v>
      </c>
      <c r="B9" s="0" t="s">
        <v>508</v>
      </c>
      <c r="C9" s="0" t="n">
        <v>269.7</v>
      </c>
      <c r="D9" s="0" t="n">
        <v>1093.6</v>
      </c>
      <c r="E9" s="0" t="n">
        <v>8.7</v>
      </c>
      <c r="F9" s="0" t="n">
        <v>78.6</v>
      </c>
      <c r="G9" s="0" t="n">
        <v>693</v>
      </c>
      <c r="H9" s="0" t="n">
        <v>4.6</v>
      </c>
      <c r="I9" s="0" t="n">
        <v>1.1</v>
      </c>
      <c r="J9" s="0" t="n">
        <v>295.5</v>
      </c>
      <c r="K9" s="115" t="n">
        <f aca="false">IFERROR((D9/C9)/4.5*0.25*C9,0)</f>
        <v>60.7555555555556</v>
      </c>
      <c r="L9" s="115" t="n">
        <f aca="false">IFERROR((G9/F9)/7.95*0.376*F9,0)</f>
        <v>32.7758490566038</v>
      </c>
      <c r="M9" s="117" t="n">
        <f aca="false">C11*Scoring!$B$32+D11/Scoring!$C$32+E11*Scoring!$D$32+F11*Scoring!$E$32+G11/Scoring!$F$32+H11*Scoring!$G$32+I11*Scoring!$H$32+K11*Scoring!$I$32+RB!L11*Scoring!$J$32+U9</f>
        <v>275.6</v>
      </c>
      <c r="N9" s="117" t="n">
        <f aca="false">C9*Scoring!$B$32+D9/Scoring!$C$32+E9*Scoring!$D$32+F9*Scoring!$E$32+G9/Scoring!$F$32+H9*Scoring!$G$32+I9*Scoring!$H$32+K9*Scoring!$I$32+RB!L9*Scoring!$J$32+U9</f>
        <v>295.56</v>
      </c>
      <c r="O9" s="117" t="n">
        <f aca="false">C10*Scoring!$B$32+D10/Scoring!$C$32+E10*Scoring!$D$32+F10*Scoring!$E$32+G10/Scoring!$F$32+H10*Scoring!$G$32+I10*Scoring!$H$32+K10*Scoring!$I$32+L10*Scoring!$J$32+U9</f>
        <v>309.5</v>
      </c>
      <c r="P9" s="53" t="n">
        <f aca="false">IF(COUNTIF(Rookies!$A:$A,A9)&gt;0,1,0)</f>
        <v>0</v>
      </c>
      <c r="S9" s="53" t="n">
        <f aca="false">V9/17</f>
        <v>17.3858823529412</v>
      </c>
      <c r="T9" s="53" t="n">
        <f aca="false">IF(P9=1,MAX(0,0.258*(14.9-S9)),0)</f>
        <v>0</v>
      </c>
      <c r="U9" s="53" t="n">
        <f aca="false">T9*17</f>
        <v>0</v>
      </c>
      <c r="V9" s="53" t="n">
        <f aca="false">C9*Scoring!$B$32+D9/Scoring!$C$32+E9*Scoring!$D$32+F9*Scoring!$E$32+G9/Scoring!$F$32+H9*Scoring!$G$32+I9*Scoring!$H$32+K9*Scoring!$I$32+RB!L9*Scoring!$J$32</f>
        <v>295.56</v>
      </c>
      <c r="X9" s="53" t="n">
        <f aca="false">D9+G9</f>
        <v>1786.6</v>
      </c>
      <c r="Y9" s="53" t="n">
        <f aca="false">H9+E9</f>
        <v>13.3</v>
      </c>
      <c r="Z9" s="53" t="n">
        <f aca="false">X9/Y9</f>
        <v>134.330827067669</v>
      </c>
    </row>
    <row r="10" customFormat="false" ht="14.25" hidden="false" customHeight="true" outlineLevel="0" collapsed="false">
      <c r="B10" s="0" t="s">
        <v>491</v>
      </c>
      <c r="C10" s="0" t="n">
        <v>279</v>
      </c>
      <c r="D10" s="0" t="n">
        <v>1144</v>
      </c>
      <c r="E10" s="0" t="n">
        <v>9.1</v>
      </c>
      <c r="F10" s="0" t="n">
        <v>82</v>
      </c>
      <c r="G10" s="0" t="n">
        <v>715</v>
      </c>
      <c r="H10" s="0" t="n">
        <v>5</v>
      </c>
      <c r="I10" s="0" t="n">
        <v>1</v>
      </c>
      <c r="J10" s="0" t="n">
        <v>344.2</v>
      </c>
      <c r="K10" s="115" t="n">
        <f aca="false">IFERROR((D10/C10)/4.5*0.25*C10,0)</f>
        <v>63.5555555555556</v>
      </c>
      <c r="L10" s="115" t="n">
        <f aca="false">IFERROR((G10/F10)/7.95*0.376*F10,0)</f>
        <v>33.8163522012579</v>
      </c>
      <c r="M10" s="117"/>
      <c r="N10" s="117"/>
      <c r="O10" s="117"/>
      <c r="X10" s="53" t="n">
        <f aca="false">D10+G10</f>
        <v>1859</v>
      </c>
      <c r="Y10" s="53" t="n">
        <f aca="false">H10+E10</f>
        <v>14.1</v>
      </c>
      <c r="Z10" s="53" t="n">
        <f aca="false">X10/Y10</f>
        <v>131.843971631206</v>
      </c>
    </row>
    <row r="11" customFormat="false" ht="14.25" hidden="false" customHeight="true" outlineLevel="0" collapsed="false">
      <c r="B11" s="0" t="s">
        <v>492</v>
      </c>
      <c r="C11" s="0" t="n">
        <v>256</v>
      </c>
      <c r="D11" s="0" t="n">
        <v>1007</v>
      </c>
      <c r="E11" s="0" t="n">
        <v>8</v>
      </c>
      <c r="F11" s="0" t="n">
        <v>75</v>
      </c>
      <c r="G11" s="0" t="n">
        <v>678</v>
      </c>
      <c r="H11" s="0" t="n">
        <v>4</v>
      </c>
      <c r="I11" s="0" t="n">
        <v>1.2</v>
      </c>
      <c r="J11" s="0" t="n">
        <v>268.3</v>
      </c>
      <c r="K11" s="115" t="n">
        <f aca="false">IFERROR((D11/C11)/4.5*0.25*C11,0)</f>
        <v>55.9444444444444</v>
      </c>
      <c r="L11" s="115" t="n">
        <f aca="false">IFERROR((G11/F11)/7.95*0.376*F11,0)</f>
        <v>32.0664150943396</v>
      </c>
      <c r="M11" s="117"/>
      <c r="N11" s="117"/>
      <c r="O11" s="117"/>
      <c r="X11" s="53" t="n">
        <f aca="false">D11+G11</f>
        <v>1685</v>
      </c>
      <c r="Y11" s="53" t="n">
        <f aca="false">H11+E11</f>
        <v>12</v>
      </c>
      <c r="Z11" s="53" t="n">
        <f aca="false">X11/Y11</f>
        <v>140.416666666667</v>
      </c>
    </row>
    <row r="12" customFormat="false" ht="14.25" hidden="false" customHeight="true" outlineLevel="0" collapsed="false">
      <c r="A12" s="0" t="s">
        <v>604</v>
      </c>
      <c r="B12" s="0" t="s">
        <v>532</v>
      </c>
      <c r="C12" s="0" t="n">
        <v>327.9</v>
      </c>
      <c r="D12" s="0" t="n">
        <v>1506.8</v>
      </c>
      <c r="E12" s="0" t="n">
        <v>12.9</v>
      </c>
      <c r="F12" s="0" t="n">
        <v>43.8</v>
      </c>
      <c r="G12" s="0" t="n">
        <v>348</v>
      </c>
      <c r="H12" s="0" t="n">
        <v>1.5</v>
      </c>
      <c r="I12" s="0" t="n">
        <v>1.7</v>
      </c>
      <c r="J12" s="0" t="n">
        <v>290</v>
      </c>
      <c r="K12" s="115" t="n">
        <f aca="false">IFERROR((D12/C12)/4.5*0.25*C12,0)</f>
        <v>83.7111111111111</v>
      </c>
      <c r="L12" s="115" t="n">
        <f aca="false">IFERROR((G12/F12)/7.95*0.376*F12,0)</f>
        <v>16.4588679245283</v>
      </c>
      <c r="M12" s="117" t="n">
        <f aca="false">C14*Scoring!$B$32+D14/Scoring!$C$32+E14*Scoring!$D$32+F14*Scoring!$E$32+G14/Scoring!$F$32+H14*Scoring!$G$32+I14*Scoring!$H$32+K14*Scoring!$I$32+RB!L14*Scoring!$J$32+U12</f>
        <v>265.7</v>
      </c>
      <c r="N12" s="117" t="n">
        <f aca="false">C12*Scoring!$B$32+D12/Scoring!$C$32+E12*Scoring!$D$32+F12*Scoring!$E$32+G12/Scoring!$F$32+H12*Scoring!$G$32+I12*Scoring!$H$32+K12*Scoring!$I$32+RB!L12*Scoring!$J$32+U12</f>
        <v>290.38</v>
      </c>
      <c r="O12" s="117" t="n">
        <f aca="false">C13*Scoring!$B$32+D13/Scoring!$C$32+E13*Scoring!$D$32+F13*Scoring!$E$32+G13/Scoring!$F$32+H13*Scoring!$G$32+I13*Scoring!$H$32+K13*Scoring!$I$32+L13*Scoring!$J$32+U12</f>
        <v>321.44</v>
      </c>
      <c r="P12" s="53" t="n">
        <f aca="false">IF(COUNTIF(Rookies!$A:$A,A12)&gt;0,1,0)</f>
        <v>0</v>
      </c>
      <c r="S12" s="53" t="n">
        <f aca="false">V12/17</f>
        <v>17.0811764705882</v>
      </c>
      <c r="T12" s="53" t="n">
        <f aca="false">IF(P12=1,MAX(0,0.258*(14.9-S12)),0)</f>
        <v>0</v>
      </c>
      <c r="U12" s="53" t="n">
        <f aca="false">T12*17</f>
        <v>0</v>
      </c>
      <c r="V12" s="53" t="n">
        <f aca="false">C12*Scoring!$B$32+D12/Scoring!$C$32+E12*Scoring!$D$32+F12*Scoring!$E$32+G12/Scoring!$F$32+H12*Scoring!$G$32+I12*Scoring!$H$32+K12*Scoring!$I$32+RB!L12*Scoring!$J$32</f>
        <v>290.38</v>
      </c>
      <c r="X12" s="53" t="n">
        <f aca="false">D12+G12</f>
        <v>1854.8</v>
      </c>
      <c r="Y12" s="53" t="n">
        <f aca="false">H12+E12</f>
        <v>14.4</v>
      </c>
      <c r="Z12" s="53" t="n">
        <f aca="false">X12/Y12</f>
        <v>128.805555555556</v>
      </c>
    </row>
    <row r="13" customFormat="false" ht="14.25" hidden="false" customHeight="true" outlineLevel="0" collapsed="false">
      <c r="B13" s="0" t="s">
        <v>491</v>
      </c>
      <c r="C13" s="0" t="n">
        <v>359</v>
      </c>
      <c r="D13" s="0" t="n">
        <v>1582</v>
      </c>
      <c r="E13" s="0" t="n">
        <v>15</v>
      </c>
      <c r="F13" s="0" t="n">
        <v>50.5</v>
      </c>
      <c r="G13" s="0" t="n">
        <v>389.9</v>
      </c>
      <c r="H13" s="0" t="n">
        <v>2</v>
      </c>
      <c r="I13" s="0" t="n">
        <v>1.5</v>
      </c>
      <c r="J13" s="0" t="n">
        <v>297.9</v>
      </c>
      <c r="K13" s="115" t="n">
        <f aca="false">IFERROR((D13/C13)/4.5*0.25*C13,0)</f>
        <v>87.8888888888889</v>
      </c>
      <c r="L13" s="115" t="n">
        <f aca="false">IFERROR((G13/F13)/7.95*0.376*F13,0)</f>
        <v>18.4405534591195</v>
      </c>
      <c r="M13" s="117"/>
      <c r="N13" s="117"/>
      <c r="O13" s="117"/>
      <c r="X13" s="53" t="n">
        <f aca="false">D13+G13</f>
        <v>1971.9</v>
      </c>
      <c r="Y13" s="53" t="n">
        <f aca="false">H13+E13</f>
        <v>17</v>
      </c>
      <c r="Z13" s="53" t="n">
        <f aca="false">X13/Y13</f>
        <v>115.994117647059</v>
      </c>
    </row>
    <row r="14" customFormat="false" ht="14.25" hidden="false" customHeight="true" outlineLevel="0" collapsed="false">
      <c r="B14" s="0" t="s">
        <v>492</v>
      </c>
      <c r="C14" s="0" t="n">
        <v>299</v>
      </c>
      <c r="D14" s="0" t="n">
        <v>1436</v>
      </c>
      <c r="E14" s="0" t="n">
        <v>11.6</v>
      </c>
      <c r="F14" s="0" t="n">
        <v>39</v>
      </c>
      <c r="G14" s="0" t="n">
        <v>310</v>
      </c>
      <c r="H14" s="0" t="n">
        <v>1</v>
      </c>
      <c r="I14" s="0" t="n">
        <v>2</v>
      </c>
      <c r="J14" s="0" t="n">
        <v>287.8</v>
      </c>
      <c r="K14" s="115" t="n">
        <f aca="false">IFERROR((D14/C14)/4.5*0.25*C14,0)</f>
        <v>79.7777777777778</v>
      </c>
      <c r="L14" s="115" t="n">
        <f aca="false">IFERROR((G14/F14)/7.95*0.376*F14,0)</f>
        <v>14.6616352201258</v>
      </c>
      <c r="M14" s="117"/>
      <c r="N14" s="117"/>
      <c r="O14" s="117"/>
      <c r="X14" s="53" t="n">
        <f aca="false">D14+G14</f>
        <v>1746</v>
      </c>
      <c r="Y14" s="53" t="n">
        <f aca="false">H14+E14</f>
        <v>12.6</v>
      </c>
      <c r="Z14" s="53" t="n">
        <f aca="false">X14/Y14</f>
        <v>138.571428571429</v>
      </c>
    </row>
    <row r="15" customFormat="false" ht="14.25" hidden="false" customHeight="true" outlineLevel="0" collapsed="false">
      <c r="A15" s="0" t="s">
        <v>605</v>
      </c>
      <c r="B15" s="0" t="s">
        <v>494</v>
      </c>
      <c r="C15" s="0" t="n">
        <v>316</v>
      </c>
      <c r="D15" s="0" t="n">
        <v>1577.6</v>
      </c>
      <c r="E15" s="0" t="n">
        <v>13.4</v>
      </c>
      <c r="F15" s="0" t="n">
        <v>18.1</v>
      </c>
      <c r="G15" s="0" t="n">
        <v>175</v>
      </c>
      <c r="H15" s="0" t="n">
        <v>0.7</v>
      </c>
      <c r="I15" s="0" t="n">
        <v>1.7</v>
      </c>
      <c r="J15" s="0" t="n">
        <v>265.9</v>
      </c>
      <c r="K15" s="115" t="n">
        <f aca="false">IFERROR((D15/C15)/4.5*0.25*C15,0)</f>
        <v>87.6444444444444</v>
      </c>
      <c r="L15" s="115" t="n">
        <f aca="false">IFERROR((G15/F15)/7.95*0.376*F15,0)</f>
        <v>8.27672955974843</v>
      </c>
      <c r="M15" s="117" t="n">
        <f aca="false">C17*Scoring!$B$32+D17/Scoring!$C$32+E17*Scoring!$D$32+F17*Scoring!$E$32+G17/Scoring!$F$32+H17*Scoring!$G$32+I17*Scoring!$H$32+K17*Scoring!$I$32+RB!L17*Scoring!$J$32+U15</f>
        <v>240.87</v>
      </c>
      <c r="N15" s="117" t="n">
        <f aca="false">C15*Scoring!$B$32+D15/Scoring!$C$32+E15*Scoring!$D$32+F15*Scoring!$E$32+G15/Scoring!$F$32+H15*Scoring!$G$32+I15*Scoring!$H$32+K15*Scoring!$I$32+RB!L15*Scoring!$J$32+U15</f>
        <v>265.51</v>
      </c>
      <c r="O15" s="117" t="n">
        <f aca="false">C16*Scoring!$B$32+D16/Scoring!$C$32+E16*Scoring!$D$32+F16*Scoring!$E$32+G16/Scoring!$F$32+H16*Scoring!$G$32+I16*Scoring!$H$32+K16*Scoring!$I$32+L16*Scoring!$J$32+U15</f>
        <v>291.5</v>
      </c>
      <c r="P15" s="53" t="n">
        <f aca="false">IF(COUNTIF(Rookies!$A:$A,A15)&gt;0,1,0)</f>
        <v>0</v>
      </c>
      <c r="S15" s="53" t="n">
        <f aca="false">V15/17</f>
        <v>15.6182352941177</v>
      </c>
      <c r="T15" s="53" t="n">
        <f aca="false">IF(P15=1,MAX(0,0.258*(14.9-S15)),0)</f>
        <v>0</v>
      </c>
      <c r="U15" s="53" t="n">
        <f aca="false">T15*17</f>
        <v>0</v>
      </c>
      <c r="V15" s="53" t="n">
        <f aca="false">C15*Scoring!$B$32+D15/Scoring!$C$32+E15*Scoring!$D$32+F15*Scoring!$E$32+G15/Scoring!$F$32+H15*Scoring!$G$32+I15*Scoring!$H$32+K15*Scoring!$I$32+RB!L15*Scoring!$J$32</f>
        <v>265.51</v>
      </c>
      <c r="X15" s="53" t="n">
        <f aca="false">D15+G15</f>
        <v>1752.6</v>
      </c>
      <c r="Y15" s="53" t="n">
        <f aca="false">H15+E15</f>
        <v>14.1</v>
      </c>
      <c r="Z15" s="53" t="n">
        <f aca="false">X15/Y15</f>
        <v>124.297872340426</v>
      </c>
    </row>
    <row r="16" customFormat="false" ht="14.25" hidden="false" customHeight="true" outlineLevel="0" collapsed="false">
      <c r="B16" s="0" t="s">
        <v>491</v>
      </c>
      <c r="C16" s="0" t="n">
        <v>321.9</v>
      </c>
      <c r="D16" s="0" t="n">
        <v>1656</v>
      </c>
      <c r="E16" s="0" t="n">
        <v>15</v>
      </c>
      <c r="F16" s="0" t="n">
        <v>21.4</v>
      </c>
      <c r="G16" s="0" t="n">
        <v>210</v>
      </c>
      <c r="H16" s="0" t="n">
        <v>1.2</v>
      </c>
      <c r="I16" s="0" t="n">
        <v>1.5</v>
      </c>
      <c r="J16" s="0" t="n">
        <v>268.1</v>
      </c>
      <c r="K16" s="115" t="n">
        <f aca="false">IFERROR((D16/C16)/4.5*0.25*C16,0)</f>
        <v>92</v>
      </c>
      <c r="L16" s="115" t="n">
        <f aca="false">IFERROR((G16/F16)/7.95*0.376*F16,0)</f>
        <v>9.93207547169812</v>
      </c>
      <c r="M16" s="117"/>
      <c r="N16" s="117"/>
      <c r="O16" s="117"/>
      <c r="X16" s="53" t="n">
        <f aca="false">D16+G16</f>
        <v>1866</v>
      </c>
      <c r="Y16" s="53" t="n">
        <f aca="false">H16+E16</f>
        <v>16.2</v>
      </c>
      <c r="Z16" s="53" t="n">
        <f aca="false">X16/Y16</f>
        <v>115.185185185185</v>
      </c>
    </row>
    <row r="17" customFormat="false" ht="14.25" hidden="false" customHeight="true" outlineLevel="0" collapsed="false">
      <c r="B17" s="0" t="s">
        <v>492</v>
      </c>
      <c r="C17" s="0" t="n">
        <v>305</v>
      </c>
      <c r="D17" s="0" t="n">
        <v>1504.7</v>
      </c>
      <c r="E17" s="0" t="n">
        <v>12</v>
      </c>
      <c r="F17" s="0" t="n">
        <v>16</v>
      </c>
      <c r="G17" s="0" t="n">
        <v>144</v>
      </c>
      <c r="H17" s="0" t="n">
        <v>0</v>
      </c>
      <c r="I17" s="0" t="n">
        <v>2</v>
      </c>
      <c r="J17" s="0" t="n">
        <v>260.7</v>
      </c>
      <c r="K17" s="115" t="n">
        <f aca="false">IFERROR((D17/C17)/4.5*0.25*C17,0)</f>
        <v>83.5944444444445</v>
      </c>
      <c r="L17" s="115" t="n">
        <f aca="false">IFERROR((G17/F17)/7.95*0.376*F17,0)</f>
        <v>6.81056603773585</v>
      </c>
      <c r="M17" s="117"/>
      <c r="N17" s="117"/>
      <c r="O17" s="117"/>
      <c r="X17" s="53" t="n">
        <f aca="false">D17+G17</f>
        <v>1648.7</v>
      </c>
      <c r="Y17" s="53" t="n">
        <f aca="false">H17+E17</f>
        <v>12</v>
      </c>
      <c r="Z17" s="53" t="n">
        <f aca="false">X17/Y17</f>
        <v>137.391666666667</v>
      </c>
    </row>
    <row r="18" customFormat="false" ht="14.25" hidden="false" customHeight="true" outlineLevel="0" collapsed="false">
      <c r="A18" s="0" t="s">
        <v>606</v>
      </c>
      <c r="B18" s="0" t="s">
        <v>534</v>
      </c>
      <c r="C18" s="0" t="n">
        <v>238.4</v>
      </c>
      <c r="D18" s="0" t="n">
        <v>1200.5</v>
      </c>
      <c r="E18" s="0" t="n">
        <v>6</v>
      </c>
      <c r="F18" s="0" t="n">
        <v>65.5</v>
      </c>
      <c r="G18" s="0" t="n">
        <v>491.8</v>
      </c>
      <c r="H18" s="0" t="n">
        <v>4</v>
      </c>
      <c r="I18" s="0" t="n">
        <v>1</v>
      </c>
      <c r="J18" s="0" t="n">
        <v>260</v>
      </c>
      <c r="K18" s="115" t="n">
        <f aca="false">IFERROR((D18/C18)/4.5*0.25*C18,0)</f>
        <v>66.6944444444444</v>
      </c>
      <c r="L18" s="115" t="n">
        <f aca="false">IFERROR((G18/F18)/7.95*0.376*F18,0)</f>
        <v>23.2599748427673</v>
      </c>
      <c r="M18" s="117" t="n">
        <f aca="false">C20*Scoring!$B$32+D20/Scoring!$C$32+E20*Scoring!$D$32+F20*Scoring!$E$32+G20/Scoring!$F$32+H20*Scoring!$G$32+I20*Scoring!$H$32+K20*Scoring!$I$32+RB!L20*Scoring!$J$32+U18</f>
        <v>228</v>
      </c>
      <c r="N18" s="117" t="n">
        <f aca="false">C18*Scoring!$B$32+D18/Scoring!$C$32+E18*Scoring!$D$32+F18*Scoring!$E$32+G18/Scoring!$F$32+H18*Scoring!$G$32+I18*Scoring!$H$32+K18*Scoring!$I$32+RB!L18*Scoring!$J$32+U18</f>
        <v>259.98</v>
      </c>
      <c r="O18" s="117" t="n">
        <f aca="false">C19*Scoring!$B$32+D19/Scoring!$C$32+E19*Scoring!$D$32+F19*Scoring!$E$32+G19/Scoring!$F$32+H19*Scoring!$G$32+I19*Scoring!$H$32+K19*Scoring!$I$32+L19*Scoring!$J$32+U18</f>
        <v>300.35</v>
      </c>
      <c r="P18" s="53" t="n">
        <f aca="false">IF(COUNTIF(Rookies!$A:$A,A18)&gt;0,1,0)</f>
        <v>0</v>
      </c>
      <c r="S18" s="53" t="n">
        <f aca="false">V18/17</f>
        <v>15.2929411764706</v>
      </c>
      <c r="T18" s="53" t="n">
        <f aca="false">IF(P18=1,MAX(0,0.258*(14.9-S18)),0)</f>
        <v>0</v>
      </c>
      <c r="U18" s="53" t="n">
        <f aca="false">T18*17</f>
        <v>0</v>
      </c>
      <c r="V18" s="53" t="n">
        <f aca="false">C18*Scoring!$B$32+D18/Scoring!$C$32+E18*Scoring!$D$32+F18*Scoring!$E$32+G18/Scoring!$F$32+H18*Scoring!$G$32+I18*Scoring!$H$32+K18*Scoring!$I$32+RB!L18*Scoring!$J$32</f>
        <v>259.98</v>
      </c>
      <c r="X18" s="53" t="n">
        <f aca="false">D18+G18</f>
        <v>1692.3</v>
      </c>
      <c r="Y18" s="53" t="n">
        <f aca="false">H18+E18</f>
        <v>10</v>
      </c>
      <c r="Z18" s="53" t="n">
        <f aca="false">X18/Y18</f>
        <v>169.23</v>
      </c>
    </row>
    <row r="19" customFormat="false" ht="14.25" hidden="false" customHeight="true" outlineLevel="0" collapsed="false">
      <c r="B19" s="0" t="s">
        <v>491</v>
      </c>
      <c r="C19" s="0" t="n">
        <v>258.2</v>
      </c>
      <c r="D19" s="0" t="n">
        <v>1311.5</v>
      </c>
      <c r="E19" s="0" t="n">
        <v>7</v>
      </c>
      <c r="F19" s="0" t="n">
        <v>76</v>
      </c>
      <c r="G19" s="0" t="n">
        <v>552</v>
      </c>
      <c r="H19" s="0" t="n">
        <v>6</v>
      </c>
      <c r="I19" s="0" t="n">
        <v>1</v>
      </c>
      <c r="J19" s="0" t="n">
        <v>272</v>
      </c>
      <c r="K19" s="115" t="n">
        <f aca="false">IFERROR((D19/C19)/4.5*0.25*C19,0)</f>
        <v>72.8611111111111</v>
      </c>
      <c r="L19" s="115" t="n">
        <f aca="false">IFERROR((G19/F19)/7.95*0.376*F19,0)</f>
        <v>26.1071698113208</v>
      </c>
      <c r="M19" s="117"/>
      <c r="N19" s="117"/>
      <c r="O19" s="117"/>
      <c r="X19" s="53" t="n">
        <f aca="false">D19+G19</f>
        <v>1863.5</v>
      </c>
      <c r="Y19" s="53" t="n">
        <f aca="false">H19+E19</f>
        <v>13</v>
      </c>
      <c r="Z19" s="53" t="n">
        <f aca="false">X19/Y19</f>
        <v>143.346153846154</v>
      </c>
    </row>
    <row r="20" customFormat="false" ht="14.25" hidden="false" customHeight="true" outlineLevel="0" collapsed="false">
      <c r="B20" s="0" t="s">
        <v>492</v>
      </c>
      <c r="C20" s="0" t="n">
        <v>228</v>
      </c>
      <c r="D20" s="0" t="n">
        <v>1129</v>
      </c>
      <c r="E20" s="0" t="n">
        <v>5.1</v>
      </c>
      <c r="F20" s="0" t="n">
        <v>56</v>
      </c>
      <c r="G20" s="0" t="n">
        <v>411</v>
      </c>
      <c r="H20" s="0" t="n">
        <v>2.9</v>
      </c>
      <c r="I20" s="0" t="n">
        <v>1</v>
      </c>
      <c r="J20" s="0" t="n">
        <v>259.8</v>
      </c>
      <c r="K20" s="115" t="n">
        <f aca="false">IFERROR((D20/C20)/4.5*0.25*C20,0)</f>
        <v>62.7222222222222</v>
      </c>
      <c r="L20" s="115" t="n">
        <f aca="false">IFERROR((G20/F20)/7.95*0.376*F20,0)</f>
        <v>19.4384905660377</v>
      </c>
      <c r="M20" s="117"/>
      <c r="N20" s="117"/>
      <c r="O20" s="117"/>
      <c r="X20" s="53" t="n">
        <f aca="false">D20+G20</f>
        <v>1540</v>
      </c>
      <c r="Y20" s="53" t="n">
        <f aca="false">H20+E20</f>
        <v>8</v>
      </c>
      <c r="Z20" s="53" t="n">
        <f aca="false">X20/Y20</f>
        <v>192.5</v>
      </c>
    </row>
    <row r="21" customFormat="false" ht="14.25" hidden="false" customHeight="true" outlineLevel="0" collapsed="false">
      <c r="A21" s="0" t="s">
        <v>607</v>
      </c>
      <c r="B21" s="0" t="s">
        <v>490</v>
      </c>
      <c r="C21" s="0" t="n">
        <v>287.8</v>
      </c>
      <c r="D21" s="0" t="n">
        <v>1405.6</v>
      </c>
      <c r="E21" s="0" t="n">
        <v>10.3</v>
      </c>
      <c r="F21" s="0" t="n">
        <v>33.3</v>
      </c>
      <c r="G21" s="0" t="n">
        <v>283.5</v>
      </c>
      <c r="H21" s="0" t="n">
        <v>1.9</v>
      </c>
      <c r="I21" s="0" t="n">
        <v>2.4</v>
      </c>
      <c r="J21" s="0" t="n">
        <v>254.1</v>
      </c>
      <c r="K21" s="115" t="n">
        <f aca="false">IFERROR((D21/C21)/4.5*0.25*C21,0)</f>
        <v>78.0888888888889</v>
      </c>
      <c r="L21" s="115" t="n">
        <f aca="false">IFERROR((G21/F21)/7.95*0.376*F21,0)</f>
        <v>13.4083018867925</v>
      </c>
      <c r="M21" s="117" t="n">
        <f aca="false">C23*Scoring!$B$32+D23/Scoring!$C$32+E23*Scoring!$D$32+F23*Scoring!$E$32+G23/Scoring!$F$32+H23*Scoring!$G$32+I23*Scoring!$H$32+K23*Scoring!$I$32+RB!L23*Scoring!$J$32+U21</f>
        <v>238.6</v>
      </c>
      <c r="N21" s="117" t="n">
        <f aca="false">C21*Scoring!$B$32+D21/Scoring!$C$32+E21*Scoring!$D$32+F21*Scoring!$E$32+G21/Scoring!$F$32+H21*Scoring!$G$32+I21*Scoring!$H$32+K21*Scoring!$I$32+RB!L21*Scoring!$J$32+U21</f>
        <v>253.96</v>
      </c>
      <c r="O21" s="117" t="n">
        <f aca="false">C22*Scoring!$B$32+D22/Scoring!$C$32+E22*Scoring!$D$32+F22*Scoring!$E$32+G22/Scoring!$F$32+H22*Scoring!$G$32+I22*Scoring!$H$32+K22*Scoring!$I$32+L22*Scoring!$J$32+U21</f>
        <v>266.09</v>
      </c>
      <c r="P21" s="53" t="n">
        <f aca="false">IF(COUNTIF(Rookies!$A:$A,A21)&gt;0,1,0)</f>
        <v>0</v>
      </c>
      <c r="S21" s="53" t="n">
        <f aca="false">V21/17</f>
        <v>14.9388235294118</v>
      </c>
      <c r="T21" s="53" t="n">
        <f aca="false">IF(P21=1,MAX(0,0.258*(14.9-S21)),0)</f>
        <v>0</v>
      </c>
      <c r="U21" s="53" t="n">
        <f aca="false">T21*17</f>
        <v>0</v>
      </c>
      <c r="V21" s="53" t="n">
        <f aca="false">C21*Scoring!$B$32+D21/Scoring!$C$32+E21*Scoring!$D$32+F21*Scoring!$E$32+G21/Scoring!$F$32+H21*Scoring!$G$32+I21*Scoring!$H$32+K21*Scoring!$I$32+RB!L21*Scoring!$J$32</f>
        <v>253.96</v>
      </c>
      <c r="X21" s="53" t="n">
        <f aca="false">D21+G21</f>
        <v>1689.1</v>
      </c>
      <c r="Y21" s="53" t="n">
        <f aca="false">H21+E21</f>
        <v>12.2</v>
      </c>
      <c r="Z21" s="53" t="n">
        <f aca="false">X21/Y21</f>
        <v>138.450819672131</v>
      </c>
    </row>
    <row r="22" customFormat="false" ht="14.25" hidden="false" customHeight="true" outlineLevel="0" collapsed="false">
      <c r="B22" s="0" t="s">
        <v>491</v>
      </c>
      <c r="C22" s="0" t="n">
        <v>300.4</v>
      </c>
      <c r="D22" s="0" t="n">
        <v>1435</v>
      </c>
      <c r="E22" s="0" t="n">
        <v>11</v>
      </c>
      <c r="F22" s="0" t="n">
        <v>35.9</v>
      </c>
      <c r="G22" s="0" t="n">
        <v>302.4</v>
      </c>
      <c r="H22" s="0" t="n">
        <v>2</v>
      </c>
      <c r="I22" s="0" t="n">
        <v>1.8</v>
      </c>
      <c r="J22" s="0" t="n">
        <v>275.9</v>
      </c>
      <c r="K22" s="115" t="n">
        <f aca="false">IFERROR((D22/C22)/4.5*0.25*C22,0)</f>
        <v>79.7222222222222</v>
      </c>
      <c r="L22" s="115" t="n">
        <f aca="false">IFERROR((G22/F22)/7.95*0.376*F22,0)</f>
        <v>14.3021886792453</v>
      </c>
      <c r="M22" s="117"/>
      <c r="N22" s="117"/>
      <c r="O22" s="117"/>
      <c r="X22" s="53" t="n">
        <f aca="false">D22+G22</f>
        <v>1737.4</v>
      </c>
      <c r="Y22" s="53" t="n">
        <f aca="false">H22+E22</f>
        <v>13</v>
      </c>
      <c r="Z22" s="53" t="n">
        <f aca="false">X22/Y22</f>
        <v>133.646153846154</v>
      </c>
    </row>
    <row r="23" customFormat="false" ht="14.25" hidden="false" customHeight="true" outlineLevel="0" collapsed="false">
      <c r="B23" s="0" t="s">
        <v>492</v>
      </c>
      <c r="C23" s="0" t="n">
        <v>275</v>
      </c>
      <c r="D23" s="0" t="n">
        <v>1377</v>
      </c>
      <c r="E23" s="0" t="n">
        <v>9</v>
      </c>
      <c r="F23" s="0" t="n">
        <v>32</v>
      </c>
      <c r="G23" s="0" t="n">
        <v>273</v>
      </c>
      <c r="H23" s="0" t="n">
        <v>1.6</v>
      </c>
      <c r="I23" s="0" t="n">
        <v>3</v>
      </c>
      <c r="J23" s="0" t="n">
        <v>230.7</v>
      </c>
      <c r="K23" s="115" t="n">
        <f aca="false">IFERROR((D23/C23)/4.5*0.25*C23,0)</f>
        <v>76.5</v>
      </c>
      <c r="L23" s="115" t="n">
        <f aca="false">IFERROR((G23/F23)/7.95*0.376*F23,0)</f>
        <v>12.9116981132075</v>
      </c>
      <c r="M23" s="117"/>
      <c r="N23" s="117"/>
      <c r="O23" s="117"/>
      <c r="X23" s="53" t="n">
        <f aca="false">D23+G23</f>
        <v>1650</v>
      </c>
      <c r="Y23" s="53" t="n">
        <f aca="false">H23+E23</f>
        <v>10.6</v>
      </c>
      <c r="Z23" s="53" t="n">
        <f aca="false">X23/Y23</f>
        <v>155.660377358491</v>
      </c>
    </row>
    <row r="24" customFormat="false" ht="14.25" hidden="false" customHeight="true" outlineLevel="0" collapsed="false">
      <c r="A24" s="0" t="s">
        <v>608</v>
      </c>
      <c r="B24" s="0" t="s">
        <v>502</v>
      </c>
      <c r="C24" s="0" t="n">
        <v>238.7</v>
      </c>
      <c r="D24" s="0" t="n">
        <v>1036.6</v>
      </c>
      <c r="E24" s="0" t="n">
        <v>7.8</v>
      </c>
      <c r="F24" s="0" t="n">
        <v>64.1</v>
      </c>
      <c r="G24" s="0" t="n">
        <v>427.7</v>
      </c>
      <c r="H24" s="0" t="n">
        <v>3.9</v>
      </c>
      <c r="I24" s="0" t="n">
        <v>1.1</v>
      </c>
      <c r="J24" s="0" t="n">
        <v>246.8</v>
      </c>
      <c r="K24" s="115" t="n">
        <f aca="false">IFERROR((D24/C24)/4.5*0.25*C24,0)</f>
        <v>57.5888888888889</v>
      </c>
      <c r="L24" s="115" t="n">
        <f aca="false">IFERROR((G24/F24)/7.95*0.376*F24,0)</f>
        <v>20.2283270440252</v>
      </c>
      <c r="M24" s="117" t="n">
        <f aca="false">C26*Scoring!$B$32+D26/Scoring!$C$32+E26*Scoring!$D$32+F26*Scoring!$E$32+G26/Scoring!$F$32+H26*Scoring!$G$32+I26*Scoring!$H$32+K26*Scoring!$I$32+RB!L26*Scoring!$J$32+U24</f>
        <v>222.4</v>
      </c>
      <c r="N24" s="117" t="n">
        <f aca="false">C24*Scoring!$B$32+D24/Scoring!$C$32+E24*Scoring!$D$32+F24*Scoring!$E$32+G24/Scoring!$F$32+H24*Scoring!$G$32+I24*Scoring!$H$32+K24*Scoring!$I$32+RB!L24*Scoring!$J$32+U24</f>
        <v>246.48</v>
      </c>
      <c r="O24" s="117" t="n">
        <f aca="false">C25*Scoring!$B$32+D25/Scoring!$C$32+E25*Scoring!$D$32+F25*Scoring!$E$32+G25/Scoring!$F$32+H25*Scoring!$G$32+I25*Scoring!$H$32+K25*Scoring!$I$32+L25*Scoring!$J$32+U24</f>
        <v>272.3</v>
      </c>
      <c r="P24" s="53" t="n">
        <f aca="false">IF(COUNTIF(Rookies!$A:$A,A24)&gt;0,1,0)</f>
        <v>0</v>
      </c>
      <c r="S24" s="53" t="n">
        <f aca="false">V24/17</f>
        <v>14.4988235294118</v>
      </c>
      <c r="T24" s="53" t="n">
        <f aca="false">IF(P24=1,MAX(0,0.258*(14.9-S24)),0)</f>
        <v>0</v>
      </c>
      <c r="U24" s="53" t="n">
        <f aca="false">T24*17</f>
        <v>0</v>
      </c>
      <c r="V24" s="53" t="n">
        <f aca="false">C24*Scoring!$B$32+D24/Scoring!$C$32+E24*Scoring!$D$32+F24*Scoring!$E$32+G24/Scoring!$F$32+H24*Scoring!$G$32+I24*Scoring!$H$32+K24*Scoring!$I$32+RB!L24*Scoring!$J$32</f>
        <v>246.48</v>
      </c>
      <c r="X24" s="53" t="n">
        <f aca="false">D24+G24</f>
        <v>1464.3</v>
      </c>
      <c r="Y24" s="53" t="n">
        <f aca="false">H24+E24</f>
        <v>11.7</v>
      </c>
      <c r="Z24" s="53" t="n">
        <f aca="false">X24/Y24</f>
        <v>125.153846153846</v>
      </c>
    </row>
    <row r="25" customFormat="false" ht="14.25" hidden="false" customHeight="true" outlineLevel="0" collapsed="false">
      <c r="B25" s="0" t="s">
        <v>491</v>
      </c>
      <c r="C25" s="0" t="n">
        <v>242</v>
      </c>
      <c r="D25" s="0" t="n">
        <v>1066</v>
      </c>
      <c r="E25" s="0" t="n">
        <v>9</v>
      </c>
      <c r="F25" s="0" t="n">
        <v>73</v>
      </c>
      <c r="G25" s="0" t="n">
        <v>472</v>
      </c>
      <c r="H25" s="0" t="n">
        <v>5</v>
      </c>
      <c r="I25" s="0" t="n">
        <v>1</v>
      </c>
      <c r="J25" s="0" t="n">
        <v>269.9</v>
      </c>
      <c r="K25" s="115" t="n">
        <f aca="false">IFERROR((D25/C25)/4.5*0.25*C25,0)</f>
        <v>59.2222222222222</v>
      </c>
      <c r="L25" s="115" t="n">
        <f aca="false">IFERROR((G25/F25)/7.95*0.376*F25,0)</f>
        <v>22.3235220125786</v>
      </c>
      <c r="M25" s="117"/>
      <c r="N25" s="117"/>
      <c r="O25" s="117"/>
      <c r="X25" s="53" t="n">
        <f aca="false">D25+G25</f>
        <v>1538</v>
      </c>
      <c r="Y25" s="53" t="n">
        <f aca="false">H25+E25</f>
        <v>14</v>
      </c>
      <c r="Z25" s="53" t="n">
        <f aca="false">X25/Y25</f>
        <v>109.857142857143</v>
      </c>
    </row>
    <row r="26" customFormat="false" ht="14.25" hidden="false" customHeight="true" outlineLevel="0" collapsed="false">
      <c r="B26" s="0" t="s">
        <v>492</v>
      </c>
      <c r="C26" s="0" t="n">
        <v>236</v>
      </c>
      <c r="D26" s="0" t="n">
        <v>1008</v>
      </c>
      <c r="E26" s="0" t="n">
        <v>7</v>
      </c>
      <c r="F26" s="0" t="n">
        <v>55</v>
      </c>
      <c r="G26" s="0" t="n">
        <v>377</v>
      </c>
      <c r="H26" s="0" t="n">
        <v>2.8</v>
      </c>
      <c r="I26" s="0" t="n">
        <v>1.2</v>
      </c>
      <c r="J26" s="0" t="n">
        <v>239.3</v>
      </c>
      <c r="K26" s="115" t="n">
        <f aca="false">IFERROR((D26/C26)/4.5*0.25*C26,0)</f>
        <v>56</v>
      </c>
      <c r="L26" s="115" t="n">
        <f aca="false">IFERROR((G26/F26)/7.95*0.376*F26,0)</f>
        <v>17.8304402515723</v>
      </c>
      <c r="M26" s="117"/>
      <c r="N26" s="117"/>
      <c r="O26" s="117"/>
      <c r="X26" s="53" t="n">
        <f aca="false">D26+G26</f>
        <v>1385</v>
      </c>
      <c r="Y26" s="53" t="n">
        <f aca="false">H26+E26</f>
        <v>9.8</v>
      </c>
      <c r="Z26" s="53" t="n">
        <f aca="false">X26/Y26</f>
        <v>141.326530612245</v>
      </c>
    </row>
    <row r="27" customFormat="false" ht="14.25" hidden="false" customHeight="true" outlineLevel="0" collapsed="false">
      <c r="A27" s="0" t="s">
        <v>609</v>
      </c>
      <c r="B27" s="0" t="s">
        <v>500</v>
      </c>
      <c r="C27" s="0" t="n">
        <v>295.8</v>
      </c>
      <c r="D27" s="0" t="n">
        <v>1298</v>
      </c>
      <c r="E27" s="0" t="n">
        <v>8.2</v>
      </c>
      <c r="F27" s="0" t="n">
        <v>42.1</v>
      </c>
      <c r="G27" s="0" t="n">
        <v>330.6</v>
      </c>
      <c r="H27" s="0" t="n">
        <v>2.1</v>
      </c>
      <c r="I27" s="0" t="n">
        <v>1</v>
      </c>
      <c r="J27" s="0" t="n">
        <v>243.8</v>
      </c>
      <c r="K27" s="115" t="n">
        <f aca="false">IFERROR((D27/C27)/4.5*0.25*C27,0)</f>
        <v>72.1111111111111</v>
      </c>
      <c r="L27" s="115" t="n">
        <f aca="false">IFERROR((G27/F27)/7.95*0.376*F27,0)</f>
        <v>15.6359245283019</v>
      </c>
      <c r="M27" s="117" t="n">
        <f aca="false">C29*Scoring!$B$32+D29/Scoring!$C$32+E29*Scoring!$D$32+F29*Scoring!$E$32+G29/Scoring!$F$32+H29*Scoring!$G$32+I29*Scoring!$H$32+K29*Scoring!$I$32+RB!L29*Scoring!$J$32+U27</f>
        <v>226.8</v>
      </c>
      <c r="N27" s="117" t="n">
        <f aca="false">C27*Scoring!$B$32+D27/Scoring!$C$32+E27*Scoring!$D$32+F27*Scoring!$E$32+G27/Scoring!$F$32+H27*Scoring!$G$32+I27*Scoring!$H$32+K27*Scoring!$I$32+RB!L27*Scoring!$J$32+U27</f>
        <v>243.71</v>
      </c>
      <c r="O27" s="117" t="n">
        <f aca="false">C28*Scoring!$B$32+D28/Scoring!$C$32+E28*Scoring!$D$32+F28*Scoring!$E$32+G28/Scoring!$F$32+H28*Scoring!$G$32+I28*Scoring!$H$32+K28*Scoring!$I$32+L28*Scoring!$J$32+U27</f>
        <v>261.89</v>
      </c>
      <c r="P27" s="53" t="n">
        <f aca="false">IF(COUNTIF(Rookies!$A:$A,A27)&gt;0,1,0)</f>
        <v>0</v>
      </c>
      <c r="S27" s="53" t="n">
        <f aca="false">V27/17</f>
        <v>14.3358823529412</v>
      </c>
      <c r="T27" s="53" t="n">
        <f aca="false">IF(P27=1,MAX(0,0.258*(14.9-S27)),0)</f>
        <v>0</v>
      </c>
      <c r="U27" s="53" t="n">
        <f aca="false">T27*17</f>
        <v>0</v>
      </c>
      <c r="V27" s="53" t="n">
        <f aca="false">C27*Scoring!$B$32+D27/Scoring!$C$32+E27*Scoring!$D$32+F27*Scoring!$E$32+G27/Scoring!$F$32+H27*Scoring!$G$32+I27*Scoring!$H$32+K27*Scoring!$I$32+RB!L27*Scoring!$J$32</f>
        <v>243.71</v>
      </c>
      <c r="X27" s="53" t="n">
        <f aca="false">D27+G27</f>
        <v>1628.6</v>
      </c>
      <c r="Y27" s="53" t="n">
        <f aca="false">H27+E27</f>
        <v>10.3</v>
      </c>
      <c r="Z27" s="53" t="n">
        <f aca="false">X27/Y27</f>
        <v>158.116504854369</v>
      </c>
    </row>
    <row r="28" customFormat="false" ht="14.25" hidden="false" customHeight="true" outlineLevel="0" collapsed="false">
      <c r="B28" s="0" t="s">
        <v>491</v>
      </c>
      <c r="C28" s="0" t="n">
        <v>306</v>
      </c>
      <c r="D28" s="0" t="n">
        <v>1374</v>
      </c>
      <c r="E28" s="0" t="n">
        <v>9</v>
      </c>
      <c r="F28" s="0" t="n">
        <v>43.2</v>
      </c>
      <c r="G28" s="0" t="n">
        <v>370.9</v>
      </c>
      <c r="H28" s="0" t="n">
        <v>2.3</v>
      </c>
      <c r="I28" s="0" t="n">
        <v>1</v>
      </c>
      <c r="J28" s="0" t="n">
        <v>262.3</v>
      </c>
      <c r="K28" s="115" t="n">
        <f aca="false">IFERROR((D28/C28)/4.5*0.25*C28,0)</f>
        <v>76.3333333333333</v>
      </c>
      <c r="L28" s="115" t="n">
        <f aca="false">IFERROR((G28/F28)/7.95*0.376*F28,0)</f>
        <v>17.5419371069182</v>
      </c>
      <c r="M28" s="117"/>
      <c r="N28" s="117"/>
      <c r="O28" s="117"/>
      <c r="X28" s="53" t="n">
        <f aca="false">D28+G28</f>
        <v>1744.9</v>
      </c>
      <c r="Y28" s="53" t="n">
        <f aca="false">H28+E28</f>
        <v>11.3</v>
      </c>
      <c r="Z28" s="53" t="n">
        <f aca="false">X28/Y28</f>
        <v>154.41592920354</v>
      </c>
    </row>
    <row r="29" customFormat="false" ht="14.25" hidden="false" customHeight="true" outlineLevel="0" collapsed="false">
      <c r="B29" s="0" t="s">
        <v>492</v>
      </c>
      <c r="C29" s="0" t="n">
        <v>281</v>
      </c>
      <c r="D29" s="0" t="n">
        <v>1236</v>
      </c>
      <c r="E29" s="0" t="n">
        <v>7</v>
      </c>
      <c r="F29" s="0" t="n">
        <v>41</v>
      </c>
      <c r="G29" s="0" t="n">
        <v>307</v>
      </c>
      <c r="H29" s="0" t="n">
        <v>2</v>
      </c>
      <c r="I29" s="0" t="n">
        <v>1</v>
      </c>
      <c r="J29" s="0" t="n">
        <v>224</v>
      </c>
      <c r="K29" s="115" t="n">
        <f aca="false">IFERROR((D29/C29)/4.5*0.25*C29,0)</f>
        <v>68.6666666666667</v>
      </c>
      <c r="L29" s="115" t="n">
        <f aca="false">IFERROR((G29/F29)/7.95*0.376*F29,0)</f>
        <v>14.519748427673</v>
      </c>
      <c r="M29" s="117"/>
      <c r="N29" s="117"/>
      <c r="O29" s="117"/>
      <c r="X29" s="53" t="n">
        <f aca="false">D29+G29</f>
        <v>1543</v>
      </c>
      <c r="Y29" s="53" t="n">
        <f aca="false">H29+E29</f>
        <v>9</v>
      </c>
      <c r="Z29" s="53" t="n">
        <f aca="false">X29/Y29</f>
        <v>171.444444444444</v>
      </c>
    </row>
    <row r="30" customFormat="false" ht="14.25" hidden="false" customHeight="true" outlineLevel="0" collapsed="false">
      <c r="A30" s="0" t="s">
        <v>610</v>
      </c>
      <c r="B30" s="0" t="s">
        <v>512</v>
      </c>
      <c r="C30" s="0" t="n">
        <v>267.2</v>
      </c>
      <c r="D30" s="0" t="n">
        <v>1207.1</v>
      </c>
      <c r="E30" s="0" t="n">
        <v>8.7</v>
      </c>
      <c r="F30" s="0" t="n">
        <v>45.8</v>
      </c>
      <c r="G30" s="0" t="n">
        <v>352.3</v>
      </c>
      <c r="H30" s="0" t="n">
        <v>1.2</v>
      </c>
      <c r="I30" s="0" t="n">
        <v>0.9</v>
      </c>
      <c r="J30" s="0" t="n">
        <v>236.3</v>
      </c>
      <c r="K30" s="115" t="n">
        <f aca="false">IFERROR((D30/C30)/4.5*0.25*C30,0)</f>
        <v>67.0611111111111</v>
      </c>
      <c r="L30" s="115" t="n">
        <f aca="false">IFERROR((G30/F30)/7.95*0.376*F30,0)</f>
        <v>16.6622389937107</v>
      </c>
      <c r="M30" s="117" t="n">
        <f aca="false">C32*Scoring!$B$32+D32/Scoring!$C$32+E32*Scoring!$D$32+F32*Scoring!$E$32+G32/Scoring!$F$32+H32*Scoring!$G$32+I32*Scoring!$H$32+K32*Scoring!$I$32+RB!L32*Scoring!$J$32+U30</f>
        <v>216.9</v>
      </c>
      <c r="N30" s="117" t="n">
        <f aca="false">C30*Scoring!$B$32+D30/Scoring!$C$32+E30*Scoring!$D$32+F30*Scoring!$E$32+G30/Scoring!$F$32+H30*Scoring!$G$32+I30*Scoring!$H$32+K30*Scoring!$I$32+RB!L30*Scoring!$J$32+U30</f>
        <v>236.44</v>
      </c>
      <c r="O30" s="117" t="n">
        <f aca="false">C31*Scoring!$B$32+D31/Scoring!$C$32+E31*Scoring!$D$32+F31*Scoring!$E$32+G31/Scoring!$F$32+H31*Scoring!$G$32+I31*Scoring!$H$32+K31*Scoring!$I$32+L31*Scoring!$J$32+U30</f>
        <v>249.88</v>
      </c>
      <c r="P30" s="53" t="n">
        <f aca="false">IF(COUNTIF(Rookies!$A:$A,A30)&gt;0,1,0)</f>
        <v>0</v>
      </c>
      <c r="S30" s="53" t="n">
        <f aca="false">V30/17</f>
        <v>13.9082352941176</v>
      </c>
      <c r="T30" s="53" t="n">
        <f aca="false">IF(P30=1,MAX(0,0.258*(14.9-S30)),0)</f>
        <v>0</v>
      </c>
      <c r="U30" s="53" t="n">
        <f aca="false">T30*17</f>
        <v>0</v>
      </c>
      <c r="V30" s="53" t="n">
        <f aca="false">C30*Scoring!$B$32+D30/Scoring!$C$32+E30*Scoring!$D$32+F30*Scoring!$E$32+G30/Scoring!$F$32+H30*Scoring!$G$32+I30*Scoring!$H$32+K30*Scoring!$I$32+RB!L30*Scoring!$J$32</f>
        <v>236.44</v>
      </c>
      <c r="X30" s="53" t="n">
        <f aca="false">D30+G30</f>
        <v>1559.4</v>
      </c>
      <c r="Y30" s="53" t="n">
        <f aca="false">H30+E30</f>
        <v>9.9</v>
      </c>
      <c r="Z30" s="53" t="n">
        <f aca="false">X30/Y30</f>
        <v>157.515151515152</v>
      </c>
    </row>
    <row r="31" customFormat="false" ht="14.25" hidden="false" customHeight="true" outlineLevel="0" collapsed="false">
      <c r="B31" s="0" t="s">
        <v>491</v>
      </c>
      <c r="C31" s="0" t="n">
        <v>276.7</v>
      </c>
      <c r="D31" s="0" t="n">
        <v>1239.3</v>
      </c>
      <c r="E31" s="0" t="n">
        <v>9</v>
      </c>
      <c r="F31" s="0" t="n">
        <v>48.3</v>
      </c>
      <c r="G31" s="0" t="n">
        <v>376</v>
      </c>
      <c r="H31" s="0" t="n">
        <v>2</v>
      </c>
      <c r="I31" s="0" t="n">
        <v>0.9</v>
      </c>
      <c r="J31" s="0" t="n">
        <v>259.8</v>
      </c>
      <c r="K31" s="115" t="n">
        <f aca="false">IFERROR((D31/C31)/4.5*0.25*C31,0)</f>
        <v>68.85</v>
      </c>
      <c r="L31" s="115" t="n">
        <f aca="false">IFERROR((G31/F31)/7.95*0.376*F31,0)</f>
        <v>17.783144654088</v>
      </c>
      <c r="M31" s="117"/>
      <c r="N31" s="117"/>
      <c r="O31" s="117"/>
      <c r="X31" s="53" t="n">
        <f aca="false">D31+G31</f>
        <v>1615.3</v>
      </c>
      <c r="Y31" s="53" t="n">
        <f aca="false">H31+E31</f>
        <v>11</v>
      </c>
      <c r="Z31" s="53" t="n">
        <f aca="false">X31/Y31</f>
        <v>146.845454545455</v>
      </c>
    </row>
    <row r="32" customFormat="false" ht="14.25" hidden="false" customHeight="true" outlineLevel="0" collapsed="false">
      <c r="B32" s="0" t="s">
        <v>492</v>
      </c>
      <c r="C32" s="0" t="n">
        <v>262</v>
      </c>
      <c r="D32" s="0" t="n">
        <v>1177</v>
      </c>
      <c r="E32" s="0" t="n">
        <v>8</v>
      </c>
      <c r="F32" s="0" t="n">
        <v>42</v>
      </c>
      <c r="G32" s="0" t="n">
        <v>322</v>
      </c>
      <c r="H32" s="0" t="n">
        <v>0</v>
      </c>
      <c r="I32" s="0" t="n">
        <v>1</v>
      </c>
      <c r="J32" s="0" t="n">
        <v>209.9</v>
      </c>
      <c r="K32" s="115" t="n">
        <f aca="false">IFERROR((D32/C32)/4.5*0.25*C32,0)</f>
        <v>65.3888888888889</v>
      </c>
      <c r="L32" s="115" t="n">
        <f aca="false">IFERROR((G32/F32)/7.95*0.376*F32,0)</f>
        <v>15.2291823899371</v>
      </c>
      <c r="M32" s="117"/>
      <c r="N32" s="117"/>
      <c r="O32" s="117"/>
      <c r="X32" s="53" t="n">
        <f aca="false">D32+G32</f>
        <v>1499</v>
      </c>
      <c r="Y32" s="53" t="n">
        <f aca="false">H32+E32</f>
        <v>8</v>
      </c>
      <c r="Z32" s="53" t="n">
        <f aca="false">X32/Y32</f>
        <v>187.375</v>
      </c>
    </row>
    <row r="33" customFormat="false" ht="14.25" hidden="false" customHeight="true" outlineLevel="0" collapsed="false">
      <c r="A33" s="0" t="s">
        <v>611</v>
      </c>
      <c r="B33" s="0" t="s">
        <v>550</v>
      </c>
      <c r="C33" s="0" t="n">
        <v>257.6</v>
      </c>
      <c r="D33" s="0" t="n">
        <v>1038</v>
      </c>
      <c r="E33" s="0" t="n">
        <v>7.3</v>
      </c>
      <c r="F33" s="0" t="n">
        <v>56.5</v>
      </c>
      <c r="G33" s="0" t="n">
        <v>399.3</v>
      </c>
      <c r="H33" s="0" t="n">
        <v>3</v>
      </c>
      <c r="I33" s="0" t="n">
        <v>1.1</v>
      </c>
      <c r="J33" s="0" t="n">
        <v>231.9</v>
      </c>
      <c r="K33" s="115" t="n">
        <f aca="false">IFERROR((D33/C33)/4.5*0.25*C33,0)</f>
        <v>57.6666666666667</v>
      </c>
      <c r="L33" s="115" t="n">
        <f aca="false">IFERROR((G33/F33)/7.95*0.376*F33,0)</f>
        <v>18.8851320754717</v>
      </c>
      <c r="M33" s="117" t="n">
        <f aca="false">C35*Scoring!$B$32+D35/Scoring!$C$32+E35*Scoring!$D$32+F35*Scoring!$E$32+G35/Scoring!$F$32+H35*Scoring!$G$32+I35*Scoring!$H$32+K35*Scoring!$I$32+RB!L35*Scoring!$J$32+U33</f>
        <v>193.6</v>
      </c>
      <c r="N33" s="117" t="n">
        <f aca="false">C33*Scoring!$B$32+D33/Scoring!$C$32+E33*Scoring!$D$32+F33*Scoring!$E$32+G33/Scoring!$F$32+H33*Scoring!$G$32+I33*Scoring!$H$32+K33*Scoring!$I$32+RB!L33*Scoring!$J$32+U33</f>
        <v>231.58</v>
      </c>
      <c r="O33" s="117" t="n">
        <f aca="false">C34*Scoring!$B$32+D34/Scoring!$C$32+E34*Scoring!$D$32+F34*Scoring!$E$32+G34/Scoring!$F$32+H34*Scoring!$G$32+I34*Scoring!$H$32+K34*Scoring!$I$32+L34*Scoring!$J$32+U33</f>
        <v>269.68</v>
      </c>
      <c r="P33" s="53" t="n">
        <f aca="false">IF(COUNTIF(Rookies!$A:$A,A33)&gt;0,1,0)</f>
        <v>0</v>
      </c>
      <c r="S33" s="53" t="n">
        <f aca="false">V33/17</f>
        <v>13.6223529411765</v>
      </c>
      <c r="T33" s="53" t="n">
        <f aca="false">IF(P33=1,MAX(0,0.258*(14.9-S33)),0)</f>
        <v>0</v>
      </c>
      <c r="U33" s="53" t="n">
        <f aca="false">T33*17</f>
        <v>0</v>
      </c>
      <c r="V33" s="53" t="n">
        <f aca="false">C33*Scoring!$B$32+D33/Scoring!$C$32+E33*Scoring!$D$32+F33*Scoring!$E$32+G33/Scoring!$F$32+H33*Scoring!$G$32+I33*Scoring!$H$32+K33*Scoring!$I$32+RB!L33*Scoring!$J$32</f>
        <v>231.58</v>
      </c>
      <c r="X33" s="53" t="n">
        <f aca="false">D33+G33</f>
        <v>1437.3</v>
      </c>
      <c r="Y33" s="53" t="n">
        <f aca="false">H33+E33</f>
        <v>10.3</v>
      </c>
      <c r="Z33" s="53" t="n">
        <f aca="false">X33/Y33</f>
        <v>139.543689320388</v>
      </c>
    </row>
    <row r="34" customFormat="false" ht="14.25" hidden="false" customHeight="true" outlineLevel="0" collapsed="false">
      <c r="B34" s="0" t="s">
        <v>491</v>
      </c>
      <c r="C34" s="0" t="n">
        <v>277.8</v>
      </c>
      <c r="D34" s="0" t="n">
        <v>1122</v>
      </c>
      <c r="E34" s="0" t="n">
        <v>8</v>
      </c>
      <c r="F34" s="0" t="n">
        <v>64.6</v>
      </c>
      <c r="G34" s="0" t="n">
        <v>491.8</v>
      </c>
      <c r="H34" s="0" t="n">
        <v>5</v>
      </c>
      <c r="I34" s="0" t="n">
        <v>1</v>
      </c>
      <c r="J34" s="0" t="n">
        <v>262.6</v>
      </c>
      <c r="K34" s="115" t="n">
        <f aca="false">IFERROR((D34/C34)/4.5*0.25*C34,0)</f>
        <v>62.3333333333333</v>
      </c>
      <c r="L34" s="115" t="n">
        <f aca="false">IFERROR((G34/F34)/7.95*0.376*F34,0)</f>
        <v>23.2599748427673</v>
      </c>
      <c r="M34" s="117"/>
      <c r="N34" s="117"/>
      <c r="O34" s="117"/>
      <c r="X34" s="53" t="n">
        <f aca="false">D34+G34</f>
        <v>1613.8</v>
      </c>
      <c r="Y34" s="53" t="n">
        <f aca="false">H34+E34</f>
        <v>13</v>
      </c>
      <c r="Z34" s="53" t="n">
        <f aca="false">X34/Y34</f>
        <v>124.138461538462</v>
      </c>
    </row>
    <row r="35" customFormat="false" ht="14.25" hidden="false" customHeight="true" outlineLevel="0" collapsed="false">
      <c r="B35" s="0" t="s">
        <v>492</v>
      </c>
      <c r="C35" s="0" t="n">
        <v>229</v>
      </c>
      <c r="D35" s="0" t="n">
        <v>875</v>
      </c>
      <c r="E35" s="0" t="n">
        <v>7</v>
      </c>
      <c r="F35" s="0" t="n">
        <v>49</v>
      </c>
      <c r="G35" s="0" t="n">
        <v>300</v>
      </c>
      <c r="H35" s="0" t="n">
        <v>2</v>
      </c>
      <c r="I35" s="0" t="n">
        <v>1.2</v>
      </c>
      <c r="J35" s="0" t="n">
        <v>205.3</v>
      </c>
      <c r="K35" s="115" t="n">
        <f aca="false">IFERROR((D35/C35)/4.5*0.25*C35,0)</f>
        <v>48.6111111111111</v>
      </c>
      <c r="L35" s="115" t="n">
        <f aca="false">IFERROR((G35/F35)/7.95*0.376*F35,0)</f>
        <v>14.188679245283</v>
      </c>
      <c r="M35" s="117"/>
      <c r="N35" s="117"/>
      <c r="O35" s="117"/>
      <c r="X35" s="53" t="n">
        <f aca="false">D35+G35</f>
        <v>1175</v>
      </c>
      <c r="Y35" s="53" t="n">
        <f aca="false">H35+E35</f>
        <v>9</v>
      </c>
      <c r="Z35" s="53" t="n">
        <f aca="false">X35/Y35</f>
        <v>130.555555555556</v>
      </c>
    </row>
    <row r="36" customFormat="false" ht="14.25" hidden="false" customHeight="true" outlineLevel="0" collapsed="false">
      <c r="A36" s="0" t="s">
        <v>612</v>
      </c>
      <c r="B36" s="0" t="s">
        <v>516</v>
      </c>
      <c r="C36" s="0" t="n">
        <v>243.7</v>
      </c>
      <c r="D36" s="0" t="n">
        <v>1036.6</v>
      </c>
      <c r="E36" s="0" t="n">
        <v>9.5</v>
      </c>
      <c r="F36" s="0" t="n">
        <v>49.9</v>
      </c>
      <c r="G36" s="0" t="n">
        <v>342.4</v>
      </c>
      <c r="H36" s="0" t="n">
        <v>1.9</v>
      </c>
      <c r="I36" s="0" t="n">
        <v>1</v>
      </c>
      <c r="J36" s="0" t="n">
        <v>229</v>
      </c>
      <c r="K36" s="115" t="n">
        <f aca="false">IFERROR((D36/C36)/4.5*0.25*C36,0)</f>
        <v>57.5888888888889</v>
      </c>
      <c r="L36" s="115" t="n">
        <f aca="false">IFERROR((G36/F36)/7.95*0.376*F36,0)</f>
        <v>16.1940125786164</v>
      </c>
      <c r="M36" s="117" t="n">
        <f aca="false">C38*Scoring!$B$32+D38/Scoring!$C$32+E38*Scoring!$D$32+F38*Scoring!$E$32+G38/Scoring!$F$32+H38*Scoring!$G$32+I38*Scoring!$H$32+K38*Scoring!$I$32+RB!L38*Scoring!$J$32+U36</f>
        <v>205</v>
      </c>
      <c r="N36" s="117" t="n">
        <f aca="false">C36*Scoring!$B$32+D36/Scoring!$C$32+E36*Scoring!$D$32+F36*Scoring!$E$32+G36/Scoring!$F$32+H36*Scoring!$G$32+I36*Scoring!$H$32+K36*Scoring!$I$32+RB!L36*Scoring!$J$32+U36</f>
        <v>229.25</v>
      </c>
      <c r="O36" s="117" t="n">
        <f aca="false">C37*Scoring!$B$32+D37/Scoring!$C$32+E37*Scoring!$D$32+F37*Scoring!$E$32+G37/Scoring!$F$32+H37*Scoring!$G$32+I37*Scoring!$H$32+K37*Scoring!$I$32+L37*Scoring!$J$32+U36</f>
        <v>245.5</v>
      </c>
      <c r="P36" s="53" t="n">
        <f aca="false">IF(COUNTIF(Rookies!$A:$A,A36)&gt;0,1,0)</f>
        <v>0</v>
      </c>
      <c r="S36" s="53" t="n">
        <f aca="false">V36/17</f>
        <v>13.4852941176471</v>
      </c>
      <c r="T36" s="53" t="n">
        <f aca="false">IF(P36=1,MAX(0,0.258*(14.9-S36)),0)</f>
        <v>0</v>
      </c>
      <c r="U36" s="53" t="n">
        <f aca="false">T36*17</f>
        <v>0</v>
      </c>
      <c r="V36" s="53" t="n">
        <f aca="false">C36*Scoring!$B$32+D36/Scoring!$C$32+E36*Scoring!$D$32+F36*Scoring!$E$32+G36/Scoring!$F$32+H36*Scoring!$G$32+I36*Scoring!$H$32+K36*Scoring!$I$32+RB!L36*Scoring!$J$32</f>
        <v>229.25</v>
      </c>
      <c r="X36" s="53" t="n">
        <f aca="false">D36+G36</f>
        <v>1379</v>
      </c>
      <c r="Y36" s="53" t="n">
        <f aca="false">H36+E36</f>
        <v>11.4</v>
      </c>
      <c r="Z36" s="53" t="n">
        <f aca="false">X36/Y36</f>
        <v>120.964912280702</v>
      </c>
    </row>
    <row r="37" customFormat="false" ht="14.25" hidden="false" customHeight="true" outlineLevel="0" collapsed="false">
      <c r="B37" s="0" t="s">
        <v>491</v>
      </c>
      <c r="C37" s="0" t="n">
        <v>257</v>
      </c>
      <c r="D37" s="0" t="n">
        <v>1129</v>
      </c>
      <c r="E37" s="0" t="n">
        <v>10</v>
      </c>
      <c r="F37" s="0" t="n">
        <v>52</v>
      </c>
      <c r="G37" s="0" t="n">
        <v>366</v>
      </c>
      <c r="H37" s="0" t="n">
        <v>2</v>
      </c>
      <c r="I37" s="0" t="n">
        <v>1</v>
      </c>
      <c r="J37" s="0" t="n">
        <v>266.4</v>
      </c>
      <c r="K37" s="115" t="n">
        <f aca="false">IFERROR((D37/C37)/4.5*0.25*C37,0)</f>
        <v>62.7222222222222</v>
      </c>
      <c r="L37" s="115" t="n">
        <f aca="false">IFERROR((G37/F37)/7.95*0.376*F37,0)</f>
        <v>17.3101886792453</v>
      </c>
      <c r="M37" s="117"/>
      <c r="N37" s="117"/>
      <c r="O37" s="117"/>
      <c r="X37" s="53" t="n">
        <f aca="false">D37+G37</f>
        <v>1495</v>
      </c>
      <c r="Y37" s="53" t="n">
        <f aca="false">H37+E37</f>
        <v>12</v>
      </c>
      <c r="Z37" s="53" t="n">
        <f aca="false">X37/Y37</f>
        <v>124.583333333333</v>
      </c>
    </row>
    <row r="38" customFormat="false" ht="14.25" hidden="false" customHeight="true" outlineLevel="0" collapsed="false">
      <c r="B38" s="0" t="s">
        <v>492</v>
      </c>
      <c r="C38" s="0" t="n">
        <v>220</v>
      </c>
      <c r="D38" s="0" t="n">
        <v>896</v>
      </c>
      <c r="E38" s="0" t="n">
        <v>9</v>
      </c>
      <c r="F38" s="0" t="n">
        <v>46</v>
      </c>
      <c r="G38" s="0" t="n">
        <v>298</v>
      </c>
      <c r="H38" s="0" t="n">
        <v>1.8</v>
      </c>
      <c r="I38" s="0" t="n">
        <v>1.1</v>
      </c>
      <c r="J38" s="0" t="n">
        <v>196.9</v>
      </c>
      <c r="K38" s="115" t="n">
        <f aca="false">IFERROR((D38/C38)/4.5*0.25*C38,0)</f>
        <v>49.7777777777778</v>
      </c>
      <c r="L38" s="115" t="n">
        <f aca="false">IFERROR((G38/F38)/7.95*0.376*F38,0)</f>
        <v>14.0940880503145</v>
      </c>
      <c r="M38" s="117"/>
      <c r="N38" s="117"/>
      <c r="O38" s="117"/>
      <c r="X38" s="53" t="n">
        <f aca="false">D38+G38</f>
        <v>1194</v>
      </c>
      <c r="Y38" s="53" t="n">
        <f aca="false">H38+E38</f>
        <v>10.8</v>
      </c>
      <c r="Z38" s="53" t="n">
        <f aca="false">X38/Y38</f>
        <v>110.555555555556</v>
      </c>
    </row>
    <row r="39" customFormat="false" ht="14.25" hidden="false" customHeight="true" outlineLevel="0" collapsed="false">
      <c r="A39" s="0" t="s">
        <v>613</v>
      </c>
      <c r="B39" s="0" t="s">
        <v>546</v>
      </c>
      <c r="C39" s="0" t="n">
        <v>236.6</v>
      </c>
      <c r="D39" s="0" t="n">
        <v>1049</v>
      </c>
      <c r="E39" s="0" t="n">
        <v>6.9</v>
      </c>
      <c r="F39" s="0" t="n">
        <v>54.6</v>
      </c>
      <c r="G39" s="0" t="n">
        <v>428.3</v>
      </c>
      <c r="H39" s="0" t="n">
        <v>2.1</v>
      </c>
      <c r="I39" s="0" t="n">
        <v>2.2</v>
      </c>
      <c r="J39" s="0" t="n">
        <v>224.3</v>
      </c>
      <c r="K39" s="115" t="n">
        <f aca="false">IFERROR((D39/C39)/4.5*0.25*C39,0)</f>
        <v>58.2777777777778</v>
      </c>
      <c r="L39" s="115" t="n">
        <f aca="false">IFERROR((G39/F39)/7.95*0.376*F39,0)</f>
        <v>20.2567044025157</v>
      </c>
      <c r="M39" s="117" t="n">
        <f aca="false">C41*Scoring!$B$32+D41/Scoring!$C$32+E41*Scoring!$D$32+F41*Scoring!$E$32+G41/Scoring!$F$32+H41*Scoring!$G$32+I41*Scoring!$H$32+K41*Scoring!$I$32+RB!L41*Scoring!$J$32+U39</f>
        <v>207.29686</v>
      </c>
      <c r="N39" s="117" t="n">
        <f aca="false">C39*Scoring!$B$32+D39/Scoring!$C$32+E39*Scoring!$D$32+F39*Scoring!$E$32+G39/Scoring!$F$32+H39*Scoring!$G$32+I39*Scoring!$H$32+K39*Scoring!$I$32+RB!L39*Scoring!$J$32+U39</f>
        <v>232.02686</v>
      </c>
      <c r="O39" s="117" t="n">
        <f aca="false">C40*Scoring!$B$32+D40/Scoring!$C$32+E40*Scoring!$D$32+F40*Scoring!$E$32+G40/Scoring!$F$32+H40*Scoring!$G$32+I40*Scoring!$H$32+K40*Scoring!$I$32+L40*Scoring!$J$32+U39</f>
        <v>252.93686</v>
      </c>
      <c r="P39" s="53" t="n">
        <f aca="false">IF(COUNTIF(Rookies!$A:$A,A39)&gt;0,1,0)</f>
        <v>1</v>
      </c>
      <c r="S39" s="53" t="n">
        <f aca="false">V39/17</f>
        <v>13.2135294117647</v>
      </c>
      <c r="T39" s="53" t="n">
        <f aca="false">IF(P39=1,MAX(0,0.258*(14.9-S39)),0)</f>
        <v>0.435109411764706</v>
      </c>
      <c r="U39" s="53" t="n">
        <f aca="false">T39*17</f>
        <v>7.39686000000001</v>
      </c>
      <c r="V39" s="53" t="n">
        <f aca="false">C39*Scoring!$B$32+D39/Scoring!$C$32+E39*Scoring!$D$32+F39*Scoring!$E$32+G39/Scoring!$F$32+H39*Scoring!$G$32+I39*Scoring!$H$32+K39*Scoring!$I$32+RB!L39*Scoring!$J$32</f>
        <v>224.63</v>
      </c>
      <c r="X39" s="53" t="n">
        <f aca="false">D39+G39</f>
        <v>1477.3</v>
      </c>
      <c r="Y39" s="53" t="n">
        <f aca="false">H39+E39</f>
        <v>9</v>
      </c>
      <c r="Z39" s="53" t="n">
        <f aca="false">X39/Y39</f>
        <v>164.144444444444</v>
      </c>
    </row>
    <row r="40" customFormat="false" ht="14.25" hidden="false" customHeight="true" outlineLevel="0" collapsed="false">
      <c r="B40" s="0" t="s">
        <v>491</v>
      </c>
      <c r="C40" s="0" t="n">
        <v>252.8</v>
      </c>
      <c r="D40" s="0" t="n">
        <v>1118.9</v>
      </c>
      <c r="E40" s="0" t="n">
        <v>7</v>
      </c>
      <c r="F40" s="0" t="n">
        <v>64.9</v>
      </c>
      <c r="G40" s="0" t="n">
        <v>486</v>
      </c>
      <c r="H40" s="0" t="n">
        <v>2.2</v>
      </c>
      <c r="I40" s="0" t="n">
        <v>1.3</v>
      </c>
      <c r="J40" s="0" t="n">
        <v>259.2</v>
      </c>
      <c r="K40" s="115" t="n">
        <f aca="false">IFERROR((D40/C40)/4.5*0.25*C40,0)</f>
        <v>62.1611111111111</v>
      </c>
      <c r="L40" s="115" t="n">
        <f aca="false">IFERROR((G40/F40)/7.95*0.376*F40,0)</f>
        <v>22.9856603773585</v>
      </c>
      <c r="M40" s="117"/>
      <c r="N40" s="117"/>
      <c r="O40" s="117"/>
      <c r="X40" s="53" t="n">
        <f aca="false">D40+G40</f>
        <v>1604.9</v>
      </c>
      <c r="Y40" s="53" t="n">
        <f aca="false">H40+E40</f>
        <v>9.2</v>
      </c>
      <c r="Z40" s="53" t="n">
        <f aca="false">X40/Y40</f>
        <v>174.445652173913</v>
      </c>
    </row>
    <row r="41" customFormat="false" ht="14.25" hidden="false" customHeight="true" outlineLevel="0" collapsed="false">
      <c r="B41" s="0" t="s">
        <v>492</v>
      </c>
      <c r="C41" s="0" t="n">
        <v>211</v>
      </c>
      <c r="D41" s="0" t="n">
        <v>946</v>
      </c>
      <c r="E41" s="0" t="n">
        <v>6.6</v>
      </c>
      <c r="F41" s="0" t="n">
        <v>43</v>
      </c>
      <c r="G41" s="0" t="n">
        <v>382</v>
      </c>
      <c r="H41" s="0" t="n">
        <v>2</v>
      </c>
      <c r="I41" s="0" t="n">
        <v>3</v>
      </c>
      <c r="J41" s="0" t="n">
        <v>191.3</v>
      </c>
      <c r="K41" s="115" t="n">
        <f aca="false">IFERROR((D41/C41)/4.5*0.25*C41,0)</f>
        <v>52.5555555555556</v>
      </c>
      <c r="L41" s="115" t="n">
        <f aca="false">IFERROR((G41/F41)/7.95*0.376*F41,0)</f>
        <v>18.0669182389937</v>
      </c>
      <c r="M41" s="117"/>
      <c r="N41" s="117"/>
      <c r="O41" s="117"/>
      <c r="X41" s="53" t="n">
        <f aca="false">D41+G41</f>
        <v>1328</v>
      </c>
      <c r="Y41" s="53" t="n">
        <f aca="false">H41+E41</f>
        <v>8.6</v>
      </c>
      <c r="Z41" s="53" t="n">
        <f aca="false">X41/Y41</f>
        <v>154.418604651163</v>
      </c>
    </row>
    <row r="42" customFormat="false" ht="14.25" hidden="false" customHeight="true" outlineLevel="0" collapsed="false">
      <c r="A42" s="0" t="s">
        <v>614</v>
      </c>
      <c r="B42" s="0" t="s">
        <v>510</v>
      </c>
      <c r="C42" s="0" t="n">
        <v>263.8</v>
      </c>
      <c r="D42" s="0" t="n">
        <v>1195.7</v>
      </c>
      <c r="E42" s="0" t="n">
        <v>10.7</v>
      </c>
      <c r="F42" s="0" t="n">
        <v>33.6</v>
      </c>
      <c r="G42" s="0" t="n">
        <v>193.9</v>
      </c>
      <c r="H42" s="0" t="n">
        <v>1.2</v>
      </c>
      <c r="I42" s="0" t="n">
        <v>1.6</v>
      </c>
      <c r="J42" s="0" t="n">
        <v>223.9</v>
      </c>
      <c r="K42" s="115" t="n">
        <f aca="false">IFERROR((D42/C42)/4.5*0.25*C42,0)</f>
        <v>66.4277777777778</v>
      </c>
      <c r="L42" s="115" t="n">
        <f aca="false">IFERROR((G42/F42)/7.95*0.376*F42,0)</f>
        <v>9.17061635220126</v>
      </c>
      <c r="M42" s="117" t="n">
        <f aca="false">C44*Scoring!$B$32+D44/Scoring!$C$32+E44*Scoring!$D$32+F44*Scoring!$E$32+G44/Scoring!$F$32+H44*Scoring!$G$32+I44*Scoring!$H$32+K44*Scoring!$I$32+RB!L44*Scoring!$J$32+U42</f>
        <v>204.8</v>
      </c>
      <c r="N42" s="117" t="n">
        <f aca="false">C42*Scoring!$B$32+D42/Scoring!$C$32+E42*Scoring!$D$32+F42*Scoring!$E$32+G42/Scoring!$F$32+H42*Scoring!$G$32+I42*Scoring!$H$32+K42*Scoring!$I$32+RB!L42*Scoring!$J$32+U42</f>
        <v>223.96</v>
      </c>
      <c r="O42" s="117" t="n">
        <f aca="false">C43*Scoring!$B$32+D43/Scoring!$C$32+E43*Scoring!$D$32+F43*Scoring!$E$32+G43/Scoring!$F$32+H43*Scoring!$G$32+I43*Scoring!$H$32+K43*Scoring!$I$32+L43*Scoring!$J$32+U42</f>
        <v>239.75</v>
      </c>
      <c r="P42" s="53" t="n">
        <f aca="false">IF(COUNTIF(Rookies!$A:$A,A42)&gt;0,1,0)</f>
        <v>0</v>
      </c>
      <c r="S42" s="53" t="n">
        <f aca="false">V42/17</f>
        <v>13.1741176470588</v>
      </c>
      <c r="T42" s="53" t="n">
        <f aca="false">IF(P42=1,MAX(0,0.258*(14.9-S42)),0)</f>
        <v>0</v>
      </c>
      <c r="U42" s="53" t="n">
        <f aca="false">T42*17</f>
        <v>0</v>
      </c>
      <c r="V42" s="53" t="n">
        <f aca="false">C42*Scoring!$B$32+D42/Scoring!$C$32+E42*Scoring!$D$32+F42*Scoring!$E$32+G42/Scoring!$F$32+H42*Scoring!$G$32+I42*Scoring!$H$32+K42*Scoring!$I$32+RB!L42*Scoring!$J$32</f>
        <v>223.96</v>
      </c>
      <c r="X42" s="53" t="n">
        <f aca="false">D42+G42</f>
        <v>1389.6</v>
      </c>
      <c r="Y42" s="53" t="n">
        <f aca="false">H42+E42</f>
        <v>11.9</v>
      </c>
      <c r="Z42" s="53" t="n">
        <f aca="false">X42/Y42</f>
        <v>116.773109243698</v>
      </c>
    </row>
    <row r="43" customFormat="false" ht="14.25" hidden="false" customHeight="true" outlineLevel="0" collapsed="false">
      <c r="B43" s="0" t="s">
        <v>491</v>
      </c>
      <c r="C43" s="0" t="n">
        <v>289.3</v>
      </c>
      <c r="D43" s="0" t="n">
        <v>1263.2</v>
      </c>
      <c r="E43" s="0" t="n">
        <v>11.1</v>
      </c>
      <c r="F43" s="0" t="n">
        <v>36.9</v>
      </c>
      <c r="G43" s="0" t="n">
        <v>217.8</v>
      </c>
      <c r="H43" s="0" t="n">
        <v>1.5</v>
      </c>
      <c r="I43" s="0" t="n">
        <v>1.2</v>
      </c>
      <c r="J43" s="0" t="n">
        <v>239.4</v>
      </c>
      <c r="K43" s="115" t="n">
        <f aca="false">IFERROR((D43/C43)/4.5*0.25*C43,0)</f>
        <v>70.1777777777778</v>
      </c>
      <c r="L43" s="115" t="n">
        <f aca="false">IFERROR((G43/F43)/7.95*0.376*F43,0)</f>
        <v>10.3009811320755</v>
      </c>
      <c r="M43" s="117"/>
      <c r="N43" s="117"/>
      <c r="O43" s="117"/>
      <c r="X43" s="53" t="n">
        <f aca="false">D43+G43</f>
        <v>1481</v>
      </c>
      <c r="Y43" s="53" t="n">
        <f aca="false">H43+E43</f>
        <v>12.6</v>
      </c>
      <c r="Z43" s="53" t="n">
        <f aca="false">X43/Y43</f>
        <v>117.539682539683</v>
      </c>
    </row>
    <row r="44" customFormat="false" ht="14.25" hidden="false" customHeight="true" outlineLevel="0" collapsed="false">
      <c r="B44" s="0" t="s">
        <v>492</v>
      </c>
      <c r="C44" s="0" t="n">
        <v>245</v>
      </c>
      <c r="D44" s="0" t="n">
        <v>1126</v>
      </c>
      <c r="E44" s="0" t="n">
        <v>10</v>
      </c>
      <c r="F44" s="0" t="n">
        <v>31</v>
      </c>
      <c r="G44" s="0" t="n">
        <v>147</v>
      </c>
      <c r="H44" s="0" t="n">
        <v>1</v>
      </c>
      <c r="I44" s="0" t="n">
        <v>2</v>
      </c>
      <c r="J44" s="0" t="n">
        <v>202.8</v>
      </c>
      <c r="K44" s="115" t="n">
        <f aca="false">IFERROR((D44/C44)/4.5*0.25*C44,0)</f>
        <v>62.5555555555556</v>
      </c>
      <c r="L44" s="115" t="n">
        <f aca="false">IFERROR((G44/F44)/7.95*0.376*F44,0)</f>
        <v>6.95245283018868</v>
      </c>
      <c r="M44" s="117"/>
      <c r="N44" s="117"/>
      <c r="O44" s="117"/>
      <c r="X44" s="53" t="n">
        <f aca="false">D44+G44</f>
        <v>1273</v>
      </c>
      <c r="Y44" s="53" t="n">
        <f aca="false">H44+E44</f>
        <v>11</v>
      </c>
      <c r="Z44" s="53" t="n">
        <f aca="false">X44/Y44</f>
        <v>115.727272727273</v>
      </c>
    </row>
    <row r="45" customFormat="false" ht="14.25" hidden="false" customHeight="true" outlineLevel="0" collapsed="false">
      <c r="A45" s="0" t="s">
        <v>615</v>
      </c>
      <c r="B45" s="0" t="s">
        <v>542</v>
      </c>
      <c r="C45" s="0" t="n">
        <v>248.8</v>
      </c>
      <c r="D45" s="0" t="n">
        <v>1113.1</v>
      </c>
      <c r="E45" s="0" t="n">
        <v>6.2</v>
      </c>
      <c r="F45" s="0" t="n">
        <v>46.4</v>
      </c>
      <c r="G45" s="0" t="n">
        <v>404.5</v>
      </c>
      <c r="H45" s="0" t="n">
        <v>2.2</v>
      </c>
      <c r="I45" s="0" t="n">
        <v>1.7</v>
      </c>
      <c r="J45" s="0" t="n">
        <v>222.3</v>
      </c>
      <c r="K45" s="115" t="n">
        <f aca="false">IFERROR((D45/C45)/4.5*0.25*C45,0)</f>
        <v>61.8388888888889</v>
      </c>
      <c r="L45" s="115" t="n">
        <f aca="false">IFERROR((G45/F45)/7.95*0.376*F45,0)</f>
        <v>19.1310691823899</v>
      </c>
      <c r="M45" s="117" t="n">
        <f aca="false">C47*Scoring!$B$32+D47/Scoring!$C$32+E47*Scoring!$D$32+F47*Scoring!$E$32+G47/Scoring!$F$32+H47*Scoring!$G$32+I47*Scoring!$H$32+K47*Scoring!$I$32+RB!L47*Scoring!$J$32+U45</f>
        <v>196.4</v>
      </c>
      <c r="N45" s="117" t="n">
        <f aca="false">C45*Scoring!$B$32+D45/Scoring!$C$32+E45*Scoring!$D$32+F45*Scoring!$E$32+G45/Scoring!$F$32+H45*Scoring!$G$32+I45*Scoring!$H$32+K45*Scoring!$I$32+RB!L45*Scoring!$J$32+U45</f>
        <v>221.96</v>
      </c>
      <c r="O45" s="117" t="n">
        <f aca="false">C46*Scoring!$B$32+D46/Scoring!$C$32+E46*Scoring!$D$32+F46*Scoring!$E$32+G46/Scoring!$F$32+H46*Scoring!$G$32+I46*Scoring!$H$32+K46*Scoring!$I$32+L46*Scoring!$J$32+U45</f>
        <v>245.53</v>
      </c>
      <c r="P45" s="53" t="n">
        <f aca="false">IF(COUNTIF(Rookies!$A:$A,A45)&gt;0,1,0)</f>
        <v>0</v>
      </c>
      <c r="S45" s="53" t="n">
        <f aca="false">V45/17</f>
        <v>13.0564705882353</v>
      </c>
      <c r="T45" s="53" t="n">
        <f aca="false">IF(P45=1,MAX(0,0.258*(14.9-S45)),0)</f>
        <v>0</v>
      </c>
      <c r="U45" s="53" t="n">
        <f aca="false">T45*17</f>
        <v>0</v>
      </c>
      <c r="V45" s="53" t="n">
        <f aca="false">C45*Scoring!$B$32+D45/Scoring!$C$32+E45*Scoring!$D$32+F45*Scoring!$E$32+G45/Scoring!$F$32+H45*Scoring!$G$32+I45*Scoring!$H$32+K45*Scoring!$I$32+RB!L45*Scoring!$J$32</f>
        <v>221.96</v>
      </c>
      <c r="X45" s="53" t="n">
        <f aca="false">D45+G45</f>
        <v>1517.6</v>
      </c>
      <c r="Y45" s="53" t="n">
        <f aca="false">H45+E45</f>
        <v>8.4</v>
      </c>
      <c r="Z45" s="53" t="n">
        <f aca="false">X45/Y45</f>
        <v>180.666666666667</v>
      </c>
    </row>
    <row r="46" customFormat="false" ht="14.25" hidden="false" customHeight="true" outlineLevel="0" collapsed="false">
      <c r="B46" s="0" t="s">
        <v>491</v>
      </c>
      <c r="C46" s="0" t="n">
        <v>264.5</v>
      </c>
      <c r="D46" s="0" t="n">
        <v>1163.3</v>
      </c>
      <c r="E46" s="0" t="n">
        <v>7.6</v>
      </c>
      <c r="F46" s="0" t="n">
        <v>52.3</v>
      </c>
      <c r="G46" s="0" t="n">
        <v>440.5</v>
      </c>
      <c r="H46" s="0" t="n">
        <v>2.7</v>
      </c>
      <c r="I46" s="0" t="n">
        <v>1.4</v>
      </c>
      <c r="J46" s="0" t="n">
        <v>245.4</v>
      </c>
      <c r="K46" s="115" t="n">
        <f aca="false">IFERROR((D46/C46)/4.5*0.25*C46,0)</f>
        <v>64.6277777777778</v>
      </c>
      <c r="L46" s="115" t="n">
        <f aca="false">IFERROR((G46/F46)/7.95*0.376*F46,0)</f>
        <v>20.8337106918239</v>
      </c>
      <c r="M46" s="117"/>
      <c r="N46" s="117"/>
      <c r="O46" s="117"/>
      <c r="X46" s="53" t="n">
        <f aca="false">D46+G46</f>
        <v>1603.8</v>
      </c>
      <c r="Y46" s="53" t="n">
        <f aca="false">H46+E46</f>
        <v>10.3</v>
      </c>
      <c r="Z46" s="53" t="n">
        <f aca="false">X46/Y46</f>
        <v>155.708737864078</v>
      </c>
    </row>
    <row r="47" customFormat="false" ht="14.25" hidden="false" customHeight="true" outlineLevel="0" collapsed="false">
      <c r="B47" s="0" t="s">
        <v>492</v>
      </c>
      <c r="C47" s="0" t="n">
        <v>224</v>
      </c>
      <c r="D47" s="0" t="n">
        <v>1014</v>
      </c>
      <c r="E47" s="0" t="n">
        <v>5</v>
      </c>
      <c r="F47" s="0" t="n">
        <v>40</v>
      </c>
      <c r="G47" s="0" t="n">
        <v>370</v>
      </c>
      <c r="H47" s="0" t="n">
        <v>2</v>
      </c>
      <c r="I47" s="0" t="n">
        <v>2</v>
      </c>
      <c r="J47" s="0" t="n">
        <v>188.2</v>
      </c>
      <c r="K47" s="115" t="n">
        <f aca="false">IFERROR((D47/C47)/4.5*0.25*C47,0)</f>
        <v>56.3333333333333</v>
      </c>
      <c r="L47" s="115" t="n">
        <f aca="false">IFERROR((G47/F47)/7.95*0.376*F47,0)</f>
        <v>17.4993710691824</v>
      </c>
      <c r="M47" s="117"/>
      <c r="N47" s="117"/>
      <c r="O47" s="117"/>
      <c r="X47" s="53" t="n">
        <f aca="false">D47+G47</f>
        <v>1384</v>
      </c>
      <c r="Y47" s="53" t="n">
        <f aca="false">H47+E47</f>
        <v>7</v>
      </c>
      <c r="Z47" s="53" t="n">
        <f aca="false">X47/Y47</f>
        <v>197.714285714286</v>
      </c>
    </row>
    <row r="48" customFormat="false" ht="14.25" hidden="false" customHeight="true" outlineLevel="0" collapsed="false">
      <c r="A48" s="0" t="s">
        <v>616</v>
      </c>
      <c r="B48" s="0" t="s">
        <v>520</v>
      </c>
      <c r="C48" s="0" t="n">
        <v>235.5</v>
      </c>
      <c r="D48" s="0" t="n">
        <v>1095.7</v>
      </c>
      <c r="E48" s="0" t="n">
        <v>9.7</v>
      </c>
      <c r="F48" s="0" t="n">
        <v>33.5</v>
      </c>
      <c r="G48" s="0" t="n">
        <v>237</v>
      </c>
      <c r="H48" s="0" t="n">
        <v>2.2</v>
      </c>
      <c r="I48" s="0" t="n">
        <v>1.5</v>
      </c>
      <c r="J48" s="0" t="n">
        <v>218.6</v>
      </c>
      <c r="K48" s="115" t="n">
        <f aca="false">IFERROR((D48/C48)/4.5*0.25*C48,0)</f>
        <v>60.8722222222222</v>
      </c>
      <c r="L48" s="115" t="n">
        <f aca="false">IFERROR((G48/F48)/7.95*0.376*F48,0)</f>
        <v>11.2090566037736</v>
      </c>
      <c r="M48" s="117" t="n">
        <f aca="false">C50*Scoring!$B$32+D50/Scoring!$C$32+E50*Scoring!$D$32+F50*Scoring!$E$32+G50/Scoring!$F$32+H50*Scoring!$G$32+I50*Scoring!$H$32+K50*Scoring!$I$32+RB!L50*Scoring!$J$32+U48</f>
        <v>203.01</v>
      </c>
      <c r="N48" s="117" t="n">
        <f aca="false">C48*Scoring!$B$32+D48/Scoring!$C$32+E48*Scoring!$D$32+F48*Scoring!$E$32+G48/Scoring!$F$32+H48*Scoring!$G$32+I48*Scoring!$H$32+K48*Scoring!$I$32+RB!L48*Scoring!$J$32+U48</f>
        <v>218.42</v>
      </c>
      <c r="O48" s="117" t="n">
        <f aca="false">C49*Scoring!$B$32+D49/Scoring!$C$32+E49*Scoring!$D$32+F49*Scoring!$E$32+G49/Scoring!$F$32+H49*Scoring!$G$32+I49*Scoring!$H$32+K49*Scoring!$I$32+L49*Scoring!$J$32+U48</f>
        <v>235.6</v>
      </c>
      <c r="P48" s="53" t="n">
        <f aca="false">IF(COUNTIF(Rookies!$A:$A,A48)&gt;0,1,0)</f>
        <v>0</v>
      </c>
      <c r="S48" s="53" t="n">
        <f aca="false">V48/17</f>
        <v>12.8482352941176</v>
      </c>
      <c r="T48" s="53" t="n">
        <f aca="false">IF(P48=1,MAX(0,0.258*(14.9-S48)),0)</f>
        <v>0</v>
      </c>
      <c r="U48" s="53" t="n">
        <f aca="false">T48*17</f>
        <v>0</v>
      </c>
      <c r="V48" s="53" t="n">
        <f aca="false">C48*Scoring!$B$32+D48/Scoring!$C$32+E48*Scoring!$D$32+F48*Scoring!$E$32+G48/Scoring!$F$32+H48*Scoring!$G$32+I48*Scoring!$H$32+K48*Scoring!$I$32+RB!L48*Scoring!$J$32</f>
        <v>218.42</v>
      </c>
      <c r="X48" s="53" t="n">
        <f aca="false">D48+G48</f>
        <v>1332.7</v>
      </c>
      <c r="Y48" s="53" t="n">
        <f aca="false">H48+E48</f>
        <v>11.9</v>
      </c>
      <c r="Z48" s="53" t="n">
        <f aca="false">X48/Y48</f>
        <v>111.991596638655</v>
      </c>
    </row>
    <row r="49" customFormat="false" ht="14.25" hidden="false" customHeight="true" outlineLevel="0" collapsed="false">
      <c r="B49" s="0" t="s">
        <v>491</v>
      </c>
      <c r="C49" s="0" t="n">
        <v>249</v>
      </c>
      <c r="D49" s="0" t="n">
        <v>1171</v>
      </c>
      <c r="E49" s="0" t="n">
        <v>10.2</v>
      </c>
      <c r="F49" s="0" t="n">
        <v>34</v>
      </c>
      <c r="G49" s="0" t="n">
        <v>245</v>
      </c>
      <c r="H49" s="0" t="n">
        <v>3</v>
      </c>
      <c r="I49" s="0" t="n">
        <v>1.1</v>
      </c>
      <c r="J49" s="0" t="n">
        <v>247.3</v>
      </c>
      <c r="K49" s="115" t="n">
        <f aca="false">IFERROR((D49/C49)/4.5*0.25*C49,0)</f>
        <v>65.0555555555556</v>
      </c>
      <c r="L49" s="115" t="n">
        <f aca="false">IFERROR((G49/F49)/7.95*0.376*F49,0)</f>
        <v>11.5874213836478</v>
      </c>
      <c r="M49" s="117"/>
      <c r="N49" s="117"/>
      <c r="O49" s="117"/>
      <c r="X49" s="53" t="n">
        <f aca="false">D49+G49</f>
        <v>1416</v>
      </c>
      <c r="Y49" s="53" t="n">
        <f aca="false">H49+E49</f>
        <v>13.2</v>
      </c>
      <c r="Z49" s="53" t="n">
        <f aca="false">X49/Y49</f>
        <v>107.272727272727</v>
      </c>
    </row>
    <row r="50" customFormat="false" ht="14.25" hidden="false" customHeight="true" outlineLevel="0" collapsed="false">
      <c r="B50" s="0" t="s">
        <v>492</v>
      </c>
      <c r="C50" s="0" t="n">
        <v>221</v>
      </c>
      <c r="D50" s="0" t="n">
        <v>1046</v>
      </c>
      <c r="E50" s="0" t="n">
        <v>9</v>
      </c>
      <c r="F50" s="0" t="n">
        <v>33</v>
      </c>
      <c r="G50" s="0" t="n">
        <v>223.1</v>
      </c>
      <c r="H50" s="0" t="n">
        <v>1.6</v>
      </c>
      <c r="I50" s="0" t="n">
        <v>2</v>
      </c>
      <c r="J50" s="0" t="n">
        <v>197.7</v>
      </c>
      <c r="K50" s="115" t="n">
        <f aca="false">IFERROR((D50/C50)/4.5*0.25*C50,0)</f>
        <v>58.1111111111111</v>
      </c>
      <c r="L50" s="115" t="n">
        <f aca="false">IFERROR((G50/F50)/7.95*0.376*F50,0)</f>
        <v>10.5516477987421</v>
      </c>
      <c r="M50" s="117"/>
      <c r="N50" s="117"/>
      <c r="O50" s="117"/>
      <c r="X50" s="53" t="n">
        <f aca="false">D50+G50</f>
        <v>1269.1</v>
      </c>
      <c r="Y50" s="53" t="n">
        <f aca="false">H50+E50</f>
        <v>10.6</v>
      </c>
      <c r="Z50" s="53" t="n">
        <f aca="false">X50/Y50</f>
        <v>119.72641509434</v>
      </c>
    </row>
    <row r="51" customFormat="false" ht="14.25" hidden="false" customHeight="true" outlineLevel="0" collapsed="false">
      <c r="A51" s="0" t="s">
        <v>617</v>
      </c>
      <c r="B51" s="0" t="s">
        <v>526</v>
      </c>
      <c r="C51" s="0" t="n">
        <v>253.5</v>
      </c>
      <c r="D51" s="0" t="n">
        <v>1069.9</v>
      </c>
      <c r="E51" s="0" t="n">
        <v>5.4</v>
      </c>
      <c r="F51" s="0" t="n">
        <v>45.4</v>
      </c>
      <c r="G51" s="0" t="n">
        <v>358.3</v>
      </c>
      <c r="H51" s="0" t="n">
        <v>3</v>
      </c>
      <c r="I51" s="0" t="n">
        <v>1</v>
      </c>
      <c r="J51" s="0" t="n">
        <v>214.1</v>
      </c>
      <c r="K51" s="115" t="n">
        <f aca="false">IFERROR((D51/C51)/4.5*0.25*C51,0)</f>
        <v>59.4388888888889</v>
      </c>
      <c r="L51" s="115" t="n">
        <f aca="false">IFERROR((G51/F51)/7.95*0.376*F51,0)</f>
        <v>16.9460125786164</v>
      </c>
      <c r="M51" s="117" t="n">
        <f aca="false">C53*Scoring!$B$32+D53/Scoring!$C$32+E53*Scoring!$D$32+F53*Scoring!$E$32+G53/Scoring!$F$32+H53*Scoring!$G$32+I53*Scoring!$H$32+K53*Scoring!$I$32+RB!L53*Scoring!$J$32+U51</f>
        <v>193.4</v>
      </c>
      <c r="N51" s="117" t="n">
        <f aca="false">C51*Scoring!$B$32+D51/Scoring!$C$32+E51*Scoring!$D$32+F51*Scoring!$E$32+G51/Scoring!$F$32+H51*Scoring!$G$32+I51*Scoring!$H$32+K51*Scoring!$I$32+RB!L51*Scoring!$J$32+U51</f>
        <v>213.92</v>
      </c>
      <c r="O51" s="117" t="n">
        <f aca="false">C52*Scoring!$B$32+D52/Scoring!$C$32+E52*Scoring!$D$32+F52*Scoring!$E$32+G52/Scoring!$F$32+H52*Scoring!$G$32+I52*Scoring!$H$32+K52*Scoring!$I$32+L52*Scoring!$J$32+U51</f>
        <v>241.66</v>
      </c>
      <c r="P51" s="53" t="n">
        <f aca="false">IF(COUNTIF(Rookies!$A:$A,A51)&gt;0,1,0)</f>
        <v>0</v>
      </c>
      <c r="S51" s="53" t="n">
        <f aca="false">V51/17</f>
        <v>12.5835294117647</v>
      </c>
      <c r="T51" s="53" t="n">
        <f aca="false">IF(P51=1,MAX(0,0.258*(14.9-S51)),0)</f>
        <v>0</v>
      </c>
      <c r="U51" s="53" t="n">
        <f aca="false">T51*17</f>
        <v>0</v>
      </c>
      <c r="V51" s="53" t="n">
        <f aca="false">C51*Scoring!$B$32+D51/Scoring!$C$32+E51*Scoring!$D$32+F51*Scoring!$E$32+G51/Scoring!$F$32+H51*Scoring!$G$32+I51*Scoring!$H$32+K51*Scoring!$I$32+RB!L51*Scoring!$J$32</f>
        <v>213.92</v>
      </c>
      <c r="X51" s="53" t="n">
        <f aca="false">D51+G51</f>
        <v>1428.2</v>
      </c>
      <c r="Y51" s="53" t="n">
        <f aca="false">H51+E51</f>
        <v>8.4</v>
      </c>
      <c r="Z51" s="53" t="n">
        <f aca="false">X51/Y51</f>
        <v>170.02380952381</v>
      </c>
    </row>
    <row r="52" customFormat="false" ht="14.25" hidden="false" customHeight="true" outlineLevel="0" collapsed="false">
      <c r="B52" s="0" t="s">
        <v>491</v>
      </c>
      <c r="C52" s="0" t="n">
        <v>262.6</v>
      </c>
      <c r="D52" s="0" t="n">
        <v>1140.8</v>
      </c>
      <c r="E52" s="0" t="n">
        <v>6.2</v>
      </c>
      <c r="F52" s="0" t="n">
        <v>47</v>
      </c>
      <c r="G52" s="0" t="n">
        <v>388.8</v>
      </c>
      <c r="H52" s="0" t="n">
        <v>5</v>
      </c>
      <c r="I52" s="0" t="n">
        <v>1</v>
      </c>
      <c r="J52" s="0" t="n">
        <v>227.6</v>
      </c>
      <c r="K52" s="115" t="n">
        <f aca="false">IFERROR((D52/C52)/4.5*0.25*C52,0)</f>
        <v>63.3777777777778</v>
      </c>
      <c r="L52" s="115" t="n">
        <f aca="false">IFERROR((G52/F52)/7.95*0.376*F52,0)</f>
        <v>18.3885283018868</v>
      </c>
      <c r="M52" s="117"/>
      <c r="N52" s="117"/>
      <c r="O52" s="117"/>
      <c r="X52" s="53" t="n">
        <f aca="false">D52+G52</f>
        <v>1529.6</v>
      </c>
      <c r="Y52" s="53" t="n">
        <f aca="false">H52+E52</f>
        <v>11.2</v>
      </c>
      <c r="Z52" s="53" t="n">
        <f aca="false">X52/Y52</f>
        <v>136.571428571429</v>
      </c>
    </row>
    <row r="53" customFormat="false" ht="14.25" hidden="false" customHeight="true" outlineLevel="0" collapsed="false">
      <c r="B53" s="0" t="s">
        <v>492</v>
      </c>
      <c r="C53" s="0" t="n">
        <v>246</v>
      </c>
      <c r="D53" s="0" t="n">
        <v>987</v>
      </c>
      <c r="E53" s="0" t="n">
        <v>5</v>
      </c>
      <c r="F53" s="0" t="n">
        <v>44</v>
      </c>
      <c r="G53" s="0" t="n">
        <v>327</v>
      </c>
      <c r="H53" s="0" t="n">
        <v>2</v>
      </c>
      <c r="I53" s="0" t="n">
        <v>1</v>
      </c>
      <c r="J53" s="0" t="n">
        <v>199.7</v>
      </c>
      <c r="K53" s="115" t="n">
        <f aca="false">IFERROR((D53/C53)/4.5*0.25*C53,0)</f>
        <v>54.8333333333333</v>
      </c>
      <c r="L53" s="115" t="n">
        <f aca="false">IFERROR((G53/F53)/7.95*0.376*F53,0)</f>
        <v>15.4656603773585</v>
      </c>
      <c r="M53" s="117"/>
      <c r="N53" s="117"/>
      <c r="O53" s="117"/>
      <c r="X53" s="53" t="n">
        <f aca="false">D53+G53</f>
        <v>1314</v>
      </c>
      <c r="Y53" s="53" t="n">
        <f aca="false">H53+E53</f>
        <v>7</v>
      </c>
      <c r="Z53" s="53" t="n">
        <f aca="false">X53/Y53</f>
        <v>187.714285714286</v>
      </c>
    </row>
    <row r="54" customFormat="false" ht="14.25" hidden="false" customHeight="true" outlineLevel="0" collapsed="false">
      <c r="A54" s="0" t="s">
        <v>618</v>
      </c>
      <c r="B54" s="0" t="s">
        <v>504</v>
      </c>
      <c r="C54" s="0" t="n">
        <v>237.4</v>
      </c>
      <c r="D54" s="0" t="n">
        <v>989</v>
      </c>
      <c r="E54" s="0" t="n">
        <v>7.9</v>
      </c>
      <c r="F54" s="0" t="n">
        <v>43.9</v>
      </c>
      <c r="G54" s="0" t="n">
        <v>342.9</v>
      </c>
      <c r="H54" s="0" t="n">
        <v>2.2</v>
      </c>
      <c r="I54" s="0" t="n">
        <v>1.6</v>
      </c>
      <c r="J54" s="0" t="n">
        <v>212.6</v>
      </c>
      <c r="K54" s="115" t="n">
        <f aca="false">IFERROR((D54/C54)/4.5*0.25*C54,0)</f>
        <v>54.9444444444444</v>
      </c>
      <c r="L54" s="115" t="n">
        <f aca="false">IFERROR((G54/F54)/7.95*0.376*F54,0)</f>
        <v>16.2176603773585</v>
      </c>
      <c r="M54" s="117" t="n">
        <f aca="false">C56*Scoring!$B$32+D56/Scoring!$C$32+E56*Scoring!$D$32+F56*Scoring!$E$32+G56/Scoring!$F$32+H56*Scoring!$G$32+I56*Scoring!$H$32+K56*Scoring!$I$32+RB!L56*Scoring!$J$32+U54</f>
        <v>188.16</v>
      </c>
      <c r="N54" s="117" t="n">
        <f aca="false">C54*Scoring!$B$32+D54/Scoring!$C$32+E54*Scoring!$D$32+F54*Scoring!$E$32+G54/Scoring!$F$32+H54*Scoring!$G$32+I54*Scoring!$H$32+K54*Scoring!$I$32+RB!L54*Scoring!$J$32+U54</f>
        <v>212.54</v>
      </c>
      <c r="O54" s="117" t="n">
        <f aca="false">C55*Scoring!$B$32+D55/Scoring!$C$32+E55*Scoring!$D$32+F55*Scoring!$E$32+G55/Scoring!$F$32+H55*Scoring!$G$32+I55*Scoring!$H$32+K55*Scoring!$I$32+L55*Scoring!$J$32+U54</f>
        <v>238</v>
      </c>
      <c r="P54" s="53" t="n">
        <f aca="false">IF(COUNTIF(Rookies!$A:$A,A54)&gt;0,1,0)</f>
        <v>0</v>
      </c>
      <c r="S54" s="53" t="n">
        <f aca="false">V54/17</f>
        <v>12.5023529411765</v>
      </c>
      <c r="T54" s="53" t="n">
        <f aca="false">IF(P54=1,MAX(0,0.258*(14.9-S54)),0)</f>
        <v>0</v>
      </c>
      <c r="U54" s="53" t="n">
        <f aca="false">T54*17</f>
        <v>0</v>
      </c>
      <c r="V54" s="53" t="n">
        <f aca="false">C54*Scoring!$B$32+D54/Scoring!$C$32+E54*Scoring!$D$32+F54*Scoring!$E$32+G54/Scoring!$F$32+H54*Scoring!$G$32+I54*Scoring!$H$32+K54*Scoring!$I$32+RB!L54*Scoring!$J$32</f>
        <v>212.54</v>
      </c>
      <c r="X54" s="53" t="n">
        <f aca="false">D54+G54</f>
        <v>1331.9</v>
      </c>
      <c r="Y54" s="53" t="n">
        <f aca="false">H54+E54</f>
        <v>10.1</v>
      </c>
      <c r="Z54" s="53" t="n">
        <f aca="false">X54/Y54</f>
        <v>131.871287128713</v>
      </c>
    </row>
    <row r="55" customFormat="false" ht="14.25" hidden="false" customHeight="true" outlineLevel="0" collapsed="false">
      <c r="B55" s="0" t="s">
        <v>491</v>
      </c>
      <c r="C55" s="0" t="n">
        <v>262</v>
      </c>
      <c r="D55" s="0" t="n">
        <v>1048</v>
      </c>
      <c r="E55" s="0" t="n">
        <v>9</v>
      </c>
      <c r="F55" s="0" t="n">
        <v>44.6</v>
      </c>
      <c r="G55" s="0" t="n">
        <v>351</v>
      </c>
      <c r="H55" s="0" t="n">
        <v>4</v>
      </c>
      <c r="I55" s="0" t="n">
        <v>1.1</v>
      </c>
      <c r="J55" s="0" t="n">
        <v>237.3</v>
      </c>
      <c r="K55" s="115" t="n">
        <f aca="false">IFERROR((D55/C55)/4.5*0.25*C55,0)</f>
        <v>58.2222222222222</v>
      </c>
      <c r="L55" s="115" t="n">
        <f aca="false">IFERROR((G55/F55)/7.95*0.376*F55,0)</f>
        <v>16.6007547169811</v>
      </c>
      <c r="M55" s="117"/>
      <c r="N55" s="117"/>
      <c r="O55" s="117"/>
      <c r="X55" s="53" t="n">
        <f aca="false">D55+G55</f>
        <v>1399</v>
      </c>
      <c r="Y55" s="53" t="n">
        <f aca="false">H55+E55</f>
        <v>13</v>
      </c>
      <c r="Z55" s="53" t="n">
        <f aca="false">X55/Y55</f>
        <v>107.615384615385</v>
      </c>
    </row>
    <row r="56" customFormat="false" ht="14.25" hidden="false" customHeight="true" outlineLevel="0" collapsed="false">
      <c r="B56" s="0" t="s">
        <v>492</v>
      </c>
      <c r="C56" s="0" t="n">
        <v>209</v>
      </c>
      <c r="D56" s="0" t="n">
        <v>907</v>
      </c>
      <c r="E56" s="0" t="n">
        <v>6.8</v>
      </c>
      <c r="F56" s="0" t="n">
        <v>43</v>
      </c>
      <c r="G56" s="0" t="n">
        <v>331.6</v>
      </c>
      <c r="H56" s="0" t="n">
        <v>1</v>
      </c>
      <c r="I56" s="0" t="n">
        <v>2</v>
      </c>
      <c r="J56" s="0" t="n">
        <v>204.7</v>
      </c>
      <c r="K56" s="115" t="n">
        <f aca="false">IFERROR((D56/C56)/4.5*0.25*C56,0)</f>
        <v>50.3888888888889</v>
      </c>
      <c r="L56" s="115" t="n">
        <f aca="false">IFERROR((G56/F56)/7.95*0.376*F56,0)</f>
        <v>15.6832201257862</v>
      </c>
      <c r="M56" s="117"/>
      <c r="N56" s="117"/>
      <c r="O56" s="117"/>
      <c r="X56" s="53" t="n">
        <f aca="false">D56+G56</f>
        <v>1238.6</v>
      </c>
      <c r="Y56" s="53" t="n">
        <f aca="false">H56+E56</f>
        <v>7.8</v>
      </c>
      <c r="Z56" s="53" t="n">
        <f aca="false">X56/Y56</f>
        <v>158.794871794872</v>
      </c>
    </row>
    <row r="57" customFormat="false" ht="14.25" hidden="false" customHeight="true" outlineLevel="0" collapsed="false">
      <c r="A57" s="0" t="s">
        <v>619</v>
      </c>
      <c r="B57" s="0" t="s">
        <v>514</v>
      </c>
      <c r="C57" s="0" t="n">
        <v>232.5</v>
      </c>
      <c r="D57" s="0" t="n">
        <v>1050.1</v>
      </c>
      <c r="E57" s="0" t="n">
        <v>8</v>
      </c>
      <c r="F57" s="0" t="n">
        <v>35.2</v>
      </c>
      <c r="G57" s="0" t="n">
        <v>303.8</v>
      </c>
      <c r="H57" s="0" t="n">
        <v>1</v>
      </c>
      <c r="I57" s="0" t="n">
        <v>1</v>
      </c>
      <c r="J57" s="0" t="n">
        <v>205.5</v>
      </c>
      <c r="K57" s="115" t="n">
        <f aca="false">IFERROR((D57/C57)/4.5*0.25*C57,0)</f>
        <v>58.3388888888889</v>
      </c>
      <c r="L57" s="115" t="n">
        <f aca="false">IFERROR((G57/F57)/7.95*0.376*F57,0)</f>
        <v>14.3684025157233</v>
      </c>
      <c r="M57" s="117" t="n">
        <f aca="false">C59*Scoring!$B$32+D59/Scoring!$C$32+E59*Scoring!$D$32+F59*Scoring!$E$32+G59/Scoring!$F$32+H59*Scoring!$G$32+I59*Scoring!$H$32+K59*Scoring!$I$32+RB!L59*Scoring!$J$32+U57</f>
        <v>186.42</v>
      </c>
      <c r="N57" s="117" t="n">
        <f aca="false">C57*Scoring!$B$32+D57/Scoring!$C$32+E57*Scoring!$D$32+F57*Scoring!$E$32+G57/Scoring!$F$32+H57*Scoring!$G$32+I57*Scoring!$H$32+K57*Scoring!$I$32+RB!L57*Scoring!$J$32+U57</f>
        <v>204.99</v>
      </c>
      <c r="O57" s="117" t="n">
        <f aca="false">C58*Scoring!$B$32+D58/Scoring!$C$32+E58*Scoring!$D$32+F58*Scoring!$E$32+G58/Scoring!$F$32+H58*Scoring!$G$32+I58*Scoring!$H$32+K58*Scoring!$I$32+L58*Scoring!$J$32+U57</f>
        <v>222.7</v>
      </c>
      <c r="P57" s="53" t="n">
        <f aca="false">IF(COUNTIF(Rookies!$A:$A,A57)&gt;0,1,0)</f>
        <v>0</v>
      </c>
      <c r="S57" s="53" t="n">
        <f aca="false">V57/17</f>
        <v>12.0582352941176</v>
      </c>
      <c r="T57" s="53" t="n">
        <f aca="false">IF(P57=1,MAX(0,0.258*(14.9-S57)),0)</f>
        <v>0</v>
      </c>
      <c r="U57" s="53" t="n">
        <f aca="false">T57*17</f>
        <v>0</v>
      </c>
      <c r="V57" s="53" t="n">
        <f aca="false">C57*Scoring!$B$32+D57/Scoring!$C$32+E57*Scoring!$D$32+F57*Scoring!$E$32+G57/Scoring!$F$32+H57*Scoring!$G$32+I57*Scoring!$H$32+K57*Scoring!$I$32+RB!L57*Scoring!$J$32</f>
        <v>204.99</v>
      </c>
      <c r="X57" s="53" t="n">
        <f aca="false">D57+G57</f>
        <v>1353.9</v>
      </c>
      <c r="Y57" s="53" t="n">
        <f aca="false">H57+E57</f>
        <v>9</v>
      </c>
      <c r="Z57" s="53" t="n">
        <f aca="false">X57/Y57</f>
        <v>150.433333333333</v>
      </c>
    </row>
    <row r="58" customFormat="false" ht="14.25" hidden="false" customHeight="true" outlineLevel="0" collapsed="false">
      <c r="B58" s="0" t="s">
        <v>491</v>
      </c>
      <c r="C58" s="0" t="n">
        <v>248</v>
      </c>
      <c r="D58" s="0" t="n">
        <v>1121</v>
      </c>
      <c r="E58" s="0" t="n">
        <v>9</v>
      </c>
      <c r="F58" s="0" t="n">
        <v>39</v>
      </c>
      <c r="G58" s="0" t="n">
        <v>325</v>
      </c>
      <c r="H58" s="0" t="n">
        <v>1.1</v>
      </c>
      <c r="I58" s="0" t="n">
        <v>1</v>
      </c>
      <c r="J58" s="0" t="n">
        <v>221.6</v>
      </c>
      <c r="K58" s="115" t="n">
        <f aca="false">IFERROR((D58/C58)/4.5*0.25*C58,0)</f>
        <v>62.2777777777778</v>
      </c>
      <c r="L58" s="115" t="n">
        <f aca="false">IFERROR((G58/F58)/7.95*0.376*F58,0)</f>
        <v>15.3710691823899</v>
      </c>
      <c r="M58" s="117"/>
      <c r="N58" s="117"/>
      <c r="O58" s="117"/>
      <c r="X58" s="53" t="n">
        <f aca="false">D58+G58</f>
        <v>1446</v>
      </c>
      <c r="Y58" s="53" t="n">
        <f aca="false">H58+E58</f>
        <v>10.1</v>
      </c>
      <c r="Z58" s="53" t="n">
        <f aca="false">X58/Y58</f>
        <v>143.168316831683</v>
      </c>
    </row>
    <row r="59" customFormat="false" ht="14.25" hidden="false" customHeight="true" outlineLevel="0" collapsed="false">
      <c r="B59" s="0" t="s">
        <v>492</v>
      </c>
      <c r="C59" s="0" t="n">
        <v>216.4</v>
      </c>
      <c r="D59" s="0" t="n">
        <v>980.4</v>
      </c>
      <c r="E59" s="0" t="n">
        <v>7</v>
      </c>
      <c r="F59" s="0" t="n">
        <v>30.7</v>
      </c>
      <c r="G59" s="0" t="n">
        <v>270.3</v>
      </c>
      <c r="H59" s="0" t="n">
        <v>1</v>
      </c>
      <c r="I59" s="0" t="n">
        <v>1</v>
      </c>
      <c r="J59" s="0" t="n">
        <v>197.4</v>
      </c>
      <c r="K59" s="115" t="n">
        <f aca="false">IFERROR((D59/C59)/4.5*0.25*C59,0)</f>
        <v>54.4666666666667</v>
      </c>
      <c r="L59" s="115" t="n">
        <f aca="false">IFERROR((G59/F59)/7.95*0.376*F59,0)</f>
        <v>12.784</v>
      </c>
      <c r="M59" s="117"/>
      <c r="N59" s="117"/>
      <c r="O59" s="117"/>
      <c r="X59" s="53" t="n">
        <f aca="false">D59+G59</f>
        <v>1250.7</v>
      </c>
      <c r="Y59" s="53" t="n">
        <f aca="false">H59+E59</f>
        <v>8</v>
      </c>
      <c r="Z59" s="53" t="n">
        <f aca="false">X59/Y59</f>
        <v>156.3375</v>
      </c>
    </row>
    <row r="60" customFormat="false" ht="14.25" hidden="false" customHeight="true" outlineLevel="0" collapsed="false">
      <c r="A60" s="0" t="s">
        <v>620</v>
      </c>
      <c r="B60" s="0" t="s">
        <v>554</v>
      </c>
      <c r="C60" s="0" t="n">
        <v>289.8</v>
      </c>
      <c r="D60" s="0" t="n">
        <v>1105.7</v>
      </c>
      <c r="E60" s="0" t="n">
        <v>8.1</v>
      </c>
      <c r="F60" s="0" t="n">
        <v>33</v>
      </c>
      <c r="G60" s="0" t="n">
        <v>223.5</v>
      </c>
      <c r="H60" s="0" t="n">
        <v>0.6</v>
      </c>
      <c r="I60" s="0" t="n">
        <v>0.9</v>
      </c>
      <c r="J60" s="0" t="n">
        <v>199.8</v>
      </c>
      <c r="K60" s="115" t="n">
        <f aca="false">IFERROR((D60/C60)/4.5*0.25*C60,0)</f>
        <v>61.4277777777778</v>
      </c>
      <c r="L60" s="115" t="n">
        <f aca="false">IFERROR((G60/F60)/7.95*0.376*F60,0)</f>
        <v>10.5705660377359</v>
      </c>
      <c r="M60" s="117" t="n">
        <f aca="false">C62*Scoring!$B$32+D62/Scoring!$C$32+E62*Scoring!$D$32+F62*Scoring!$E$32+G62/Scoring!$F$32+H62*Scoring!$G$32+I62*Scoring!$H$32+K62*Scoring!$I$32+RB!L62*Scoring!$J$32+U60</f>
        <v>172.8</v>
      </c>
      <c r="N60" s="117" t="n">
        <f aca="false">C60*Scoring!$B$32+D60/Scoring!$C$32+E60*Scoring!$D$32+F60*Scoring!$E$32+G60/Scoring!$F$32+H60*Scoring!$G$32+I60*Scoring!$H$32+K60*Scoring!$I$32+RB!L60*Scoring!$J$32+U60</f>
        <v>199.82</v>
      </c>
      <c r="O60" s="117" t="n">
        <f aca="false">C61*Scoring!$B$32+D61/Scoring!$C$32+E61*Scoring!$D$32+F61*Scoring!$E$32+G61/Scoring!$F$32+H61*Scoring!$G$32+I61*Scoring!$H$32+K61*Scoring!$I$32+L61*Scoring!$J$32+U60</f>
        <v>232.02</v>
      </c>
      <c r="P60" s="53" t="n">
        <f aca="false">IF(COUNTIF(Rookies!$A:$A,A60)&gt;0,1,0)</f>
        <v>0</v>
      </c>
      <c r="S60" s="53" t="n">
        <f aca="false">V60/17</f>
        <v>11.7541176470588</v>
      </c>
      <c r="T60" s="53" t="n">
        <f aca="false">IF(P60=1,MAX(0,0.258*(14.9-S60)),0)</f>
        <v>0</v>
      </c>
      <c r="U60" s="53" t="n">
        <f aca="false">T60*17</f>
        <v>0</v>
      </c>
      <c r="V60" s="53" t="n">
        <f aca="false">C60*Scoring!$B$32+D60/Scoring!$C$32+E60*Scoring!$D$32+F60*Scoring!$E$32+G60/Scoring!$F$32+H60*Scoring!$G$32+I60*Scoring!$H$32+K60*Scoring!$I$32+RB!L60*Scoring!$J$32</f>
        <v>199.82</v>
      </c>
      <c r="X60" s="53" t="n">
        <f aca="false">D60+G60</f>
        <v>1329.2</v>
      </c>
      <c r="Y60" s="53" t="n">
        <f aca="false">H60+E60</f>
        <v>8.7</v>
      </c>
      <c r="Z60" s="53" t="n">
        <f aca="false">X60/Y60</f>
        <v>152.781609195402</v>
      </c>
    </row>
    <row r="61" customFormat="false" ht="14.25" hidden="false" customHeight="true" outlineLevel="0" collapsed="false">
      <c r="B61" s="0" t="s">
        <v>491</v>
      </c>
      <c r="C61" s="0" t="n">
        <v>317.5</v>
      </c>
      <c r="D61" s="0" t="n">
        <v>1246.2</v>
      </c>
      <c r="E61" s="0" t="n">
        <v>10</v>
      </c>
      <c r="F61" s="0" t="n">
        <v>37</v>
      </c>
      <c r="G61" s="0" t="n">
        <v>243</v>
      </c>
      <c r="H61" s="0" t="n">
        <v>1</v>
      </c>
      <c r="I61" s="0" t="n">
        <v>0.7</v>
      </c>
      <c r="J61" s="0" t="n">
        <v>211.1</v>
      </c>
      <c r="K61" s="115" t="n">
        <f aca="false">IFERROR((D61/C61)/4.5*0.25*C61,0)</f>
        <v>69.2333333333334</v>
      </c>
      <c r="L61" s="115" t="n">
        <f aca="false">IFERROR((G61/F61)/7.95*0.376*F61,0)</f>
        <v>11.4928301886792</v>
      </c>
      <c r="M61" s="117"/>
      <c r="N61" s="117"/>
      <c r="O61" s="117"/>
      <c r="X61" s="53" t="n">
        <f aca="false">D61+G61</f>
        <v>1489.2</v>
      </c>
      <c r="Y61" s="53" t="n">
        <f aca="false">H61+E61</f>
        <v>11</v>
      </c>
      <c r="Z61" s="53" t="n">
        <f aca="false">X61/Y61</f>
        <v>135.381818181818</v>
      </c>
    </row>
    <row r="62" customFormat="false" ht="14.25" hidden="false" customHeight="true" outlineLevel="0" collapsed="false">
      <c r="B62" s="0" t="s">
        <v>492</v>
      </c>
      <c r="C62" s="0" t="n">
        <v>275</v>
      </c>
      <c r="D62" s="0" t="n">
        <v>973</v>
      </c>
      <c r="E62" s="0" t="n">
        <v>7</v>
      </c>
      <c r="F62" s="0" t="n">
        <v>30</v>
      </c>
      <c r="G62" s="0" t="n">
        <v>205</v>
      </c>
      <c r="H62" s="0" t="n">
        <v>0</v>
      </c>
      <c r="I62" s="0" t="n">
        <v>1</v>
      </c>
      <c r="J62" s="0" t="n">
        <v>179.5</v>
      </c>
      <c r="K62" s="115" t="n">
        <f aca="false">IFERROR((D62/C62)/4.5*0.25*C62,0)</f>
        <v>54.0555555555556</v>
      </c>
      <c r="L62" s="115" t="n">
        <f aca="false">IFERROR((G62/F62)/7.95*0.376*F62,0)</f>
        <v>9.69559748427673</v>
      </c>
      <c r="M62" s="117"/>
      <c r="N62" s="117"/>
      <c r="O62" s="117"/>
      <c r="X62" s="53" t="n">
        <f aca="false">D62+G62</f>
        <v>1178</v>
      </c>
      <c r="Y62" s="53" t="n">
        <f aca="false">H62+E62</f>
        <v>7</v>
      </c>
      <c r="Z62" s="53" t="n">
        <f aca="false">X62/Y62</f>
        <v>168.285714285714</v>
      </c>
    </row>
    <row r="63" customFormat="false" ht="14.25" hidden="false" customHeight="true" outlineLevel="0" collapsed="false">
      <c r="A63" s="0" t="s">
        <v>621</v>
      </c>
      <c r="B63" s="0" t="s">
        <v>528</v>
      </c>
      <c r="C63" s="0" t="n">
        <v>252.7</v>
      </c>
      <c r="D63" s="0" t="n">
        <v>1004.7</v>
      </c>
      <c r="E63" s="0" t="n">
        <v>5.8</v>
      </c>
      <c r="F63" s="0" t="n">
        <v>39.6</v>
      </c>
      <c r="G63" s="0" t="n">
        <v>333</v>
      </c>
      <c r="H63" s="0" t="n">
        <v>2.2</v>
      </c>
      <c r="I63" s="0" t="n">
        <v>1</v>
      </c>
      <c r="J63" s="0" t="n">
        <v>199.7</v>
      </c>
      <c r="K63" s="115" t="n">
        <f aca="false">IFERROR((D63/C63)/4.5*0.25*C63,0)</f>
        <v>55.8166666666667</v>
      </c>
      <c r="L63" s="115" t="n">
        <f aca="false">IFERROR((G63/F63)/7.95*0.376*F63,0)</f>
        <v>15.7494339622641</v>
      </c>
      <c r="M63" s="117" t="n">
        <f aca="false">C65*Scoring!$B$32+D65/Scoring!$C$32+E65*Scoring!$D$32+F65*Scoring!$E$32+G65/Scoring!$F$32+H65*Scoring!$G$32+I65*Scoring!$H$32+K65*Scoring!$I$32+RB!L65*Scoring!$J$32+U63</f>
        <v>186.93</v>
      </c>
      <c r="N63" s="117" t="n">
        <f aca="false">C63*Scoring!$B$32+D63/Scoring!$C$32+E63*Scoring!$D$32+F63*Scoring!$E$32+G63/Scoring!$F$32+H63*Scoring!$G$32+I63*Scoring!$H$32+K63*Scoring!$I$32+RB!L63*Scoring!$J$32+U63</f>
        <v>199.57</v>
      </c>
      <c r="O63" s="117" t="n">
        <f aca="false">C64*Scoring!$B$32+D64/Scoring!$C$32+E64*Scoring!$D$32+F64*Scoring!$E$32+G64/Scoring!$F$32+H64*Scoring!$G$32+I64*Scoring!$H$32+K64*Scoring!$I$32+L64*Scoring!$J$32+U63</f>
        <v>216.8</v>
      </c>
      <c r="P63" s="53" t="n">
        <f aca="false">IF(COUNTIF(Rookies!$A:$A,A63)&gt;0,1,0)</f>
        <v>0</v>
      </c>
      <c r="S63" s="53" t="n">
        <f aca="false">V63/17</f>
        <v>11.7394117647059</v>
      </c>
      <c r="T63" s="53" t="n">
        <f aca="false">IF(P63=1,MAX(0,0.258*(14.9-S63)),0)</f>
        <v>0</v>
      </c>
      <c r="U63" s="53" t="n">
        <f aca="false">T63*17</f>
        <v>0</v>
      </c>
      <c r="V63" s="53" t="n">
        <f aca="false">C63*Scoring!$B$32+D63/Scoring!$C$32+E63*Scoring!$D$32+F63*Scoring!$E$32+G63/Scoring!$F$32+H63*Scoring!$G$32+I63*Scoring!$H$32+K63*Scoring!$I$32+RB!L63*Scoring!$J$32</f>
        <v>199.57</v>
      </c>
      <c r="X63" s="53" t="n">
        <f aca="false">D63+G63</f>
        <v>1337.7</v>
      </c>
      <c r="Y63" s="53" t="n">
        <f aca="false">H63+E63</f>
        <v>8</v>
      </c>
      <c r="Z63" s="53" t="n">
        <f aca="false">X63/Y63</f>
        <v>167.2125</v>
      </c>
    </row>
    <row r="64" customFormat="false" ht="14.25" hidden="false" customHeight="true" outlineLevel="0" collapsed="false">
      <c r="B64" s="0" t="s">
        <v>491</v>
      </c>
      <c r="C64" s="0" t="n">
        <v>265</v>
      </c>
      <c r="D64" s="0" t="n">
        <v>1028</v>
      </c>
      <c r="E64" s="0" t="n">
        <v>6</v>
      </c>
      <c r="F64" s="0" t="n">
        <v>44</v>
      </c>
      <c r="G64" s="0" t="n">
        <v>400</v>
      </c>
      <c r="H64" s="0" t="n">
        <v>3</v>
      </c>
      <c r="I64" s="0" t="n">
        <v>1</v>
      </c>
      <c r="J64" s="0" t="n">
        <v>216.8</v>
      </c>
      <c r="K64" s="115" t="n">
        <f aca="false">IFERROR((D64/C64)/4.5*0.25*C64,0)</f>
        <v>57.1111111111111</v>
      </c>
      <c r="L64" s="115" t="n">
        <f aca="false">IFERROR((G64/F64)/7.95*0.376*F64,0)</f>
        <v>18.9182389937107</v>
      </c>
      <c r="M64" s="117"/>
      <c r="N64" s="117"/>
      <c r="O64" s="117"/>
      <c r="X64" s="53" t="n">
        <f aca="false">D64+G64</f>
        <v>1428</v>
      </c>
      <c r="Y64" s="53" t="n">
        <f aca="false">H64+E64</f>
        <v>9</v>
      </c>
      <c r="Z64" s="53" t="n">
        <f aca="false">X64/Y64</f>
        <v>158.666666666667</v>
      </c>
    </row>
    <row r="65" customFormat="false" ht="14.25" hidden="false" customHeight="true" outlineLevel="0" collapsed="false">
      <c r="B65" s="0" t="s">
        <v>492</v>
      </c>
      <c r="C65" s="0" t="n">
        <v>244.2</v>
      </c>
      <c r="D65" s="0" t="n">
        <v>991.2</v>
      </c>
      <c r="E65" s="0" t="n">
        <v>5.3</v>
      </c>
      <c r="F65" s="0" t="n">
        <v>36.8</v>
      </c>
      <c r="G65" s="0" t="n">
        <v>294.1</v>
      </c>
      <c r="H65" s="0" t="n">
        <v>1.7</v>
      </c>
      <c r="I65" s="0" t="n">
        <v>1</v>
      </c>
      <c r="J65" s="0" t="n">
        <v>190.1</v>
      </c>
      <c r="K65" s="115" t="n">
        <f aca="false">IFERROR((D65/C65)/4.5*0.25*C65,0)</f>
        <v>55.0666666666667</v>
      </c>
      <c r="L65" s="115" t="n">
        <f aca="false">IFERROR((G65/F65)/7.95*0.376*F65,0)</f>
        <v>13.9096352201258</v>
      </c>
      <c r="M65" s="117"/>
      <c r="N65" s="117"/>
      <c r="O65" s="117"/>
      <c r="X65" s="53" t="n">
        <f aca="false">D65+G65</f>
        <v>1285.3</v>
      </c>
      <c r="Y65" s="53" t="n">
        <f aca="false">H65+E65</f>
        <v>7</v>
      </c>
      <c r="Z65" s="53" t="n">
        <f aca="false">X65/Y65</f>
        <v>183.614285714286</v>
      </c>
    </row>
    <row r="66" customFormat="false" ht="14.25" hidden="false" customHeight="true" outlineLevel="0" collapsed="false">
      <c r="A66" s="0" t="s">
        <v>622</v>
      </c>
      <c r="B66" s="0" t="s">
        <v>506</v>
      </c>
      <c r="C66" s="0" t="n">
        <v>239.4</v>
      </c>
      <c r="D66" s="0" t="n">
        <v>980.2</v>
      </c>
      <c r="E66" s="0" t="n">
        <v>8.6</v>
      </c>
      <c r="F66" s="0" t="n">
        <v>29.3</v>
      </c>
      <c r="G66" s="0" t="n">
        <v>222.8</v>
      </c>
      <c r="H66" s="0" t="n">
        <v>2.1</v>
      </c>
      <c r="I66" s="0" t="n">
        <v>2.2</v>
      </c>
      <c r="J66" s="0" t="n">
        <v>194.9</v>
      </c>
      <c r="K66" s="115" t="n">
        <f aca="false">IFERROR((D66/C66)/4.5*0.25*C66,0)</f>
        <v>54.4555555555556</v>
      </c>
      <c r="L66" s="115" t="n">
        <f aca="false">IFERROR((G66/F66)/7.95*0.376*F66,0)</f>
        <v>10.5374591194969</v>
      </c>
      <c r="M66" s="117" t="n">
        <f aca="false">C68*Scoring!$B$32+D68/Scoring!$C$32+E68*Scoring!$D$32+F68*Scoring!$E$32+G68/Scoring!$F$32+H68*Scoring!$G$32+I68*Scoring!$H$32+K68*Scoring!$I$32+RB!L68*Scoring!$J$32+U66</f>
        <v>152.5</v>
      </c>
      <c r="N66" s="117" t="n">
        <f aca="false">C66*Scoring!$B$32+D66/Scoring!$C$32+E66*Scoring!$D$32+F66*Scoring!$E$32+G66/Scoring!$F$32+H66*Scoring!$G$32+I66*Scoring!$H$32+K66*Scoring!$I$32+RB!L66*Scoring!$J$32+U66</f>
        <v>194.75</v>
      </c>
      <c r="O66" s="117" t="n">
        <f aca="false">C67*Scoring!$B$32+D67/Scoring!$C$32+E67*Scoring!$D$32+F67*Scoring!$E$32+G67/Scoring!$F$32+H67*Scoring!$G$32+I67*Scoring!$H$32+K67*Scoring!$I$32+L67*Scoring!$J$32+U66</f>
        <v>240.5</v>
      </c>
      <c r="P66" s="53" t="n">
        <f aca="false">IF(COUNTIF(Rookies!$A:$A,A66)&gt;0,1,0)</f>
        <v>0</v>
      </c>
      <c r="S66" s="53" t="n">
        <f aca="false">V66/17</f>
        <v>11.4558823529412</v>
      </c>
      <c r="T66" s="53" t="n">
        <f aca="false">IF(P66=1,MAX(0,0.258*(14.9-S66)),0)</f>
        <v>0</v>
      </c>
      <c r="U66" s="53" t="n">
        <f aca="false">T66*17</f>
        <v>0</v>
      </c>
      <c r="V66" s="53" t="n">
        <f aca="false">C66*Scoring!$B$32+D66/Scoring!$C$32+E66*Scoring!$D$32+F66*Scoring!$E$32+G66/Scoring!$F$32+H66*Scoring!$G$32+I66*Scoring!$H$32+K66*Scoring!$I$32+RB!L66*Scoring!$J$32</f>
        <v>194.75</v>
      </c>
      <c r="X66" s="53" t="n">
        <f aca="false">D66+G66</f>
        <v>1203</v>
      </c>
      <c r="Y66" s="53" t="n">
        <f aca="false">H66+E66</f>
        <v>10.7</v>
      </c>
      <c r="Z66" s="53" t="n">
        <f aca="false">X66/Y66</f>
        <v>112.429906542056</v>
      </c>
    </row>
    <row r="67" customFormat="false" ht="14.25" hidden="false" customHeight="true" outlineLevel="0" collapsed="false">
      <c r="B67" s="0" t="s">
        <v>491</v>
      </c>
      <c r="C67" s="0" t="n">
        <v>257</v>
      </c>
      <c r="D67" s="0" t="n">
        <v>1055</v>
      </c>
      <c r="E67" s="0" t="n">
        <v>12</v>
      </c>
      <c r="F67" s="0" t="n">
        <v>38</v>
      </c>
      <c r="G67" s="0" t="n">
        <v>288</v>
      </c>
      <c r="H67" s="0" t="n">
        <v>3</v>
      </c>
      <c r="I67" s="0" t="n">
        <v>1.4</v>
      </c>
      <c r="J67" s="0" t="n">
        <v>222</v>
      </c>
      <c r="K67" s="115" t="n">
        <f aca="false">IFERROR((D67/C67)/4.5*0.25*C67,0)</f>
        <v>58.6111111111111</v>
      </c>
      <c r="L67" s="115" t="n">
        <f aca="false">IFERROR((G67/F67)/7.95*0.376*F67,0)</f>
        <v>13.6211320754717</v>
      </c>
      <c r="M67" s="117"/>
      <c r="N67" s="117"/>
      <c r="O67" s="117"/>
      <c r="X67" s="53" t="n">
        <f aca="false">D67+G67</f>
        <v>1343</v>
      </c>
      <c r="Y67" s="53" t="n">
        <f aca="false">H67+E67</f>
        <v>15</v>
      </c>
      <c r="Z67" s="53" t="n">
        <f aca="false">X67/Y67</f>
        <v>89.5333333333333</v>
      </c>
    </row>
    <row r="68" customFormat="false" ht="14.25" hidden="false" customHeight="true" outlineLevel="0" collapsed="false">
      <c r="B68" s="0" t="s">
        <v>492</v>
      </c>
      <c r="C68" s="0" t="n">
        <v>224</v>
      </c>
      <c r="D68" s="0" t="n">
        <v>891</v>
      </c>
      <c r="E68" s="0" t="n">
        <v>6.7</v>
      </c>
      <c r="F68" s="0" t="n">
        <v>16</v>
      </c>
      <c r="G68" s="0" t="n">
        <v>128</v>
      </c>
      <c r="H68" s="0" t="n">
        <v>1.4</v>
      </c>
      <c r="I68" s="0" t="n">
        <v>3</v>
      </c>
      <c r="J68" s="0" t="n">
        <v>184.7</v>
      </c>
      <c r="K68" s="115" t="n">
        <f aca="false">IFERROR((D68/C68)/4.5*0.25*C68,0)</f>
        <v>49.5</v>
      </c>
      <c r="L68" s="115" t="n">
        <f aca="false">IFERROR((G68/F68)/7.95*0.376*F68,0)</f>
        <v>6.05383647798742</v>
      </c>
      <c r="M68" s="117"/>
      <c r="N68" s="117"/>
      <c r="O68" s="117"/>
      <c r="X68" s="53" t="n">
        <f aca="false">D68+G68</f>
        <v>1019</v>
      </c>
      <c r="Y68" s="53" t="n">
        <f aca="false">H68+E68</f>
        <v>8.1</v>
      </c>
      <c r="Z68" s="53" t="n">
        <f aca="false">X68/Y68</f>
        <v>125.802469135802</v>
      </c>
    </row>
    <row r="69" customFormat="false" ht="14.25" hidden="false" customHeight="true" outlineLevel="0" collapsed="false">
      <c r="A69" s="0" t="s">
        <v>623</v>
      </c>
      <c r="B69" s="0" t="s">
        <v>538</v>
      </c>
      <c r="C69" s="0" t="n">
        <v>235.7</v>
      </c>
      <c r="D69" s="0" t="n">
        <v>978.2</v>
      </c>
      <c r="E69" s="0" t="n">
        <v>7.8</v>
      </c>
      <c r="F69" s="0" t="n">
        <v>30.9</v>
      </c>
      <c r="G69" s="0" t="n">
        <v>228.7</v>
      </c>
      <c r="H69" s="0" t="n">
        <v>0.5</v>
      </c>
      <c r="I69" s="0" t="n">
        <v>1.5</v>
      </c>
      <c r="J69" s="0" t="n">
        <v>182.9</v>
      </c>
      <c r="K69" s="115" t="n">
        <f aca="false">IFERROR((D69/C69)/4.5*0.25*C69,0)</f>
        <v>54.3444444444445</v>
      </c>
      <c r="L69" s="115" t="n">
        <f aca="false">IFERROR((G69/F69)/7.95*0.376*F69,0)</f>
        <v>10.8165031446541</v>
      </c>
      <c r="M69" s="117" t="n">
        <f aca="false">C71*Scoring!$B$32+D71/Scoring!$C$32+E71*Scoring!$D$32+F71*Scoring!$E$32+G71/Scoring!$F$32+H71*Scoring!$G$32+I71*Scoring!$H$32+K71*Scoring!$I$32+RB!L71*Scoring!$J$32+U69</f>
        <v>166.4</v>
      </c>
      <c r="N69" s="117" t="n">
        <f aca="false">C69*Scoring!$B$32+D69/Scoring!$C$32+E69*Scoring!$D$32+F69*Scoring!$E$32+G69/Scoring!$F$32+H69*Scoring!$G$32+I69*Scoring!$H$32+K69*Scoring!$I$32+RB!L69*Scoring!$J$32+U69</f>
        <v>182.94</v>
      </c>
      <c r="O69" s="117" t="n">
        <f aca="false">C70*Scoring!$B$32+D70/Scoring!$C$32+E70*Scoring!$D$32+F70*Scoring!$E$32+G70/Scoring!$F$32+H70*Scoring!$G$32+I70*Scoring!$H$32+K70*Scoring!$I$32+L70*Scoring!$J$32+U69</f>
        <v>200.6</v>
      </c>
      <c r="P69" s="53" t="n">
        <f aca="false">IF(COUNTIF(Rookies!$A:$A,A69)&gt;0,1,0)</f>
        <v>0</v>
      </c>
      <c r="S69" s="53" t="n">
        <f aca="false">V69/17</f>
        <v>10.7611764705882</v>
      </c>
      <c r="T69" s="53" t="n">
        <f aca="false">IF(P69=1,MAX(0,0.258*(14.9-S69)),0)</f>
        <v>0</v>
      </c>
      <c r="U69" s="53" t="n">
        <f aca="false">T69*17</f>
        <v>0</v>
      </c>
      <c r="V69" s="53" t="n">
        <f aca="false">C69*Scoring!$B$32+D69/Scoring!$C$32+E69*Scoring!$D$32+F69*Scoring!$E$32+G69/Scoring!$F$32+H69*Scoring!$G$32+I69*Scoring!$H$32+K69*Scoring!$I$32+RB!L69*Scoring!$J$32</f>
        <v>182.94</v>
      </c>
      <c r="X69" s="53" t="n">
        <f aca="false">D69+G69</f>
        <v>1206.9</v>
      </c>
      <c r="Y69" s="53" t="n">
        <f aca="false">H69+E69</f>
        <v>8.3</v>
      </c>
      <c r="Z69" s="53" t="n">
        <f aca="false">X69/Y69</f>
        <v>145.409638554217</v>
      </c>
    </row>
    <row r="70" customFormat="false" ht="14.25" hidden="false" customHeight="true" outlineLevel="0" collapsed="false">
      <c r="B70" s="0" t="s">
        <v>491</v>
      </c>
      <c r="C70" s="0" t="n">
        <v>263</v>
      </c>
      <c r="D70" s="0" t="n">
        <v>1014</v>
      </c>
      <c r="E70" s="0" t="n">
        <v>9</v>
      </c>
      <c r="F70" s="0" t="n">
        <v>34</v>
      </c>
      <c r="G70" s="0" t="n">
        <v>244</v>
      </c>
      <c r="H70" s="0" t="n">
        <v>1</v>
      </c>
      <c r="I70" s="0" t="n">
        <v>1.1</v>
      </c>
      <c r="J70" s="0" t="n">
        <v>198.3</v>
      </c>
      <c r="K70" s="115" t="n">
        <f aca="false">IFERROR((D70/C70)/4.5*0.25*C70,0)</f>
        <v>56.3333333333333</v>
      </c>
      <c r="L70" s="115" t="n">
        <f aca="false">IFERROR((G70/F70)/7.95*0.376*F70,0)</f>
        <v>11.5401257861635</v>
      </c>
      <c r="M70" s="117"/>
      <c r="N70" s="117"/>
      <c r="O70" s="117"/>
      <c r="X70" s="53" t="n">
        <f aca="false">D70+G70</f>
        <v>1258</v>
      </c>
      <c r="Y70" s="53" t="n">
        <f aca="false">H70+E70</f>
        <v>10</v>
      </c>
      <c r="Z70" s="53" t="n">
        <f aca="false">X70/Y70</f>
        <v>125.8</v>
      </c>
    </row>
    <row r="71" customFormat="false" ht="14.25" hidden="false" customHeight="true" outlineLevel="0" collapsed="false">
      <c r="B71" s="0" t="s">
        <v>492</v>
      </c>
      <c r="C71" s="0" t="n">
        <v>217</v>
      </c>
      <c r="D71" s="0" t="n">
        <v>935</v>
      </c>
      <c r="E71" s="0" t="n">
        <v>7</v>
      </c>
      <c r="F71" s="0" t="n">
        <v>27</v>
      </c>
      <c r="G71" s="0" t="n">
        <v>214</v>
      </c>
      <c r="H71" s="0" t="n">
        <v>0</v>
      </c>
      <c r="I71" s="0" t="n">
        <v>2</v>
      </c>
      <c r="J71" s="0" t="n">
        <v>170.4</v>
      </c>
      <c r="K71" s="115" t="n">
        <f aca="false">IFERROR((D71/C71)/4.5*0.25*C71,0)</f>
        <v>51.9444444444444</v>
      </c>
      <c r="L71" s="115" t="n">
        <f aca="false">IFERROR((G71/F71)/7.95*0.376*F71,0)</f>
        <v>10.1212578616352</v>
      </c>
      <c r="M71" s="117"/>
      <c r="N71" s="117"/>
      <c r="O71" s="117"/>
      <c r="X71" s="53" t="n">
        <f aca="false">D71+G71</f>
        <v>1149</v>
      </c>
      <c r="Y71" s="53" t="n">
        <f aca="false">H71+E71</f>
        <v>7</v>
      </c>
      <c r="Z71" s="53" t="n">
        <f aca="false">X71/Y71</f>
        <v>164.142857142857</v>
      </c>
    </row>
    <row r="72" customFormat="false" ht="14.25" hidden="false" customHeight="true" outlineLevel="0" collapsed="false">
      <c r="A72" s="0" t="s">
        <v>624</v>
      </c>
      <c r="B72" s="0" t="s">
        <v>548</v>
      </c>
      <c r="C72" s="0" t="n">
        <v>189.4</v>
      </c>
      <c r="D72" s="0" t="n">
        <v>833.1</v>
      </c>
      <c r="E72" s="0" t="n">
        <v>4.9</v>
      </c>
      <c r="F72" s="0" t="n">
        <v>42.4</v>
      </c>
      <c r="G72" s="0" t="n">
        <v>321.7</v>
      </c>
      <c r="H72" s="0" t="n">
        <v>1.8</v>
      </c>
      <c r="I72" s="0" t="n">
        <v>1</v>
      </c>
      <c r="J72" s="0" t="n">
        <v>174.8</v>
      </c>
      <c r="K72" s="115" t="n">
        <f aca="false">IFERROR((D72/C72)/4.5*0.25*C72,0)</f>
        <v>46.2833333333333</v>
      </c>
      <c r="L72" s="115" t="n">
        <f aca="false">IFERROR((G72/F72)/7.95*0.376*F72,0)</f>
        <v>15.2149937106918</v>
      </c>
      <c r="M72" s="117" t="n">
        <f aca="false">C74*Scoring!$B$32+D74/Scoring!$C$32+E74*Scoring!$D$32+F74*Scoring!$E$32+G74/Scoring!$F$32+H74*Scoring!$G$32+I74*Scoring!$H$32+K74*Scoring!$I$32+RB!L74*Scoring!$J$32+U72</f>
        <v>167.12</v>
      </c>
      <c r="N72" s="117" t="n">
        <f aca="false">C72*Scoring!$B$32+D72/Scoring!$C$32+E72*Scoring!$D$32+F72*Scoring!$E$32+G72/Scoring!$F$32+H72*Scoring!$G$32+I72*Scoring!$H$32+K72*Scoring!$I$32+RB!L72*Scoring!$J$32+U72</f>
        <v>174.88</v>
      </c>
      <c r="O72" s="117" t="n">
        <f aca="false">C73*Scoring!$B$32+D73/Scoring!$C$32+E73*Scoring!$D$32+F73*Scoring!$E$32+G73/Scoring!$F$32+H73*Scoring!$G$32+I73*Scoring!$H$32+K73*Scoring!$I$32+L73*Scoring!$J$32+U72</f>
        <v>181.55</v>
      </c>
      <c r="P72" s="53" t="n">
        <f aca="false">IF(COUNTIF(Rookies!$A:$A,A72)&gt;0,1,0)</f>
        <v>0</v>
      </c>
      <c r="S72" s="53" t="n">
        <f aca="false">V72/17</f>
        <v>10.2870588235294</v>
      </c>
      <c r="T72" s="53" t="n">
        <f aca="false">IF(P72=1,MAX(0,0.258*(14.9-S72)),0)</f>
        <v>0</v>
      </c>
      <c r="U72" s="53" t="n">
        <f aca="false">T72*17</f>
        <v>0</v>
      </c>
      <c r="V72" s="53" t="n">
        <f aca="false">C72*Scoring!$B$32+D72/Scoring!$C$32+E72*Scoring!$D$32+F72*Scoring!$E$32+G72/Scoring!$F$32+H72*Scoring!$G$32+I72*Scoring!$H$32+K72*Scoring!$I$32+RB!L72*Scoring!$J$32</f>
        <v>174.88</v>
      </c>
      <c r="X72" s="53" t="n">
        <f aca="false">D72+G72</f>
        <v>1154.8</v>
      </c>
      <c r="Y72" s="53" t="n">
        <f aca="false">H72+E72</f>
        <v>6.7</v>
      </c>
      <c r="Z72" s="53" t="n">
        <f aca="false">X72/Y72</f>
        <v>172.358208955224</v>
      </c>
    </row>
    <row r="73" customFormat="false" ht="14.25" hidden="false" customHeight="true" outlineLevel="0" collapsed="false">
      <c r="B73" s="0" t="s">
        <v>491</v>
      </c>
      <c r="C73" s="0" t="n">
        <v>194</v>
      </c>
      <c r="D73" s="0" t="n">
        <v>854</v>
      </c>
      <c r="E73" s="0" t="n">
        <v>5</v>
      </c>
      <c r="F73" s="0" t="n">
        <v>46.1</v>
      </c>
      <c r="G73" s="0" t="n">
        <v>329</v>
      </c>
      <c r="H73" s="0" t="n">
        <v>2</v>
      </c>
      <c r="I73" s="0" t="n">
        <v>0.9</v>
      </c>
      <c r="J73" s="0" t="n">
        <v>202</v>
      </c>
      <c r="K73" s="115" t="n">
        <f aca="false">IFERROR((D73/C73)/4.5*0.25*C73,0)</f>
        <v>47.4444444444445</v>
      </c>
      <c r="L73" s="115" t="n">
        <f aca="false">IFERROR((G73/F73)/7.95*0.376*F73,0)</f>
        <v>15.560251572327</v>
      </c>
      <c r="M73" s="117"/>
      <c r="N73" s="117"/>
      <c r="O73" s="117"/>
      <c r="X73" s="53" t="n">
        <f aca="false">D73+G73</f>
        <v>1183</v>
      </c>
      <c r="Y73" s="53" t="n">
        <f aca="false">H73+E73</f>
        <v>7</v>
      </c>
      <c r="Z73" s="53" t="n">
        <f aca="false">X73/Y73</f>
        <v>169</v>
      </c>
    </row>
    <row r="74" customFormat="false" ht="14.25" hidden="false" customHeight="true" outlineLevel="0" collapsed="false">
      <c r="B74" s="0" t="s">
        <v>492</v>
      </c>
      <c r="C74" s="0" t="n">
        <v>184.3</v>
      </c>
      <c r="D74" s="0" t="n">
        <v>809.2</v>
      </c>
      <c r="E74" s="0" t="n">
        <v>4.6</v>
      </c>
      <c r="F74" s="0" t="n">
        <v>40</v>
      </c>
      <c r="G74" s="0" t="n">
        <v>316</v>
      </c>
      <c r="H74" s="0" t="n">
        <v>1.5</v>
      </c>
      <c r="I74" s="0" t="n">
        <v>1</v>
      </c>
      <c r="J74" s="0" t="n">
        <v>158.2</v>
      </c>
      <c r="K74" s="115" t="n">
        <f aca="false">IFERROR((D74/C74)/4.5*0.25*C74,0)</f>
        <v>44.9555555555556</v>
      </c>
      <c r="L74" s="115" t="n">
        <f aca="false">IFERROR((G74/F74)/7.95*0.376*F74,0)</f>
        <v>14.9454088050314</v>
      </c>
      <c r="M74" s="117"/>
      <c r="N74" s="117"/>
      <c r="O74" s="117"/>
      <c r="X74" s="53" t="n">
        <f aca="false">D74+G74</f>
        <v>1125.2</v>
      </c>
      <c r="Y74" s="53" t="n">
        <f aca="false">H74+E74</f>
        <v>6.1</v>
      </c>
      <c r="Z74" s="53" t="n">
        <f aca="false">X74/Y74</f>
        <v>184.459016393443</v>
      </c>
    </row>
    <row r="75" customFormat="false" ht="14.25" hidden="false" customHeight="true" outlineLevel="0" collapsed="false">
      <c r="A75" s="0" t="s">
        <v>625</v>
      </c>
      <c r="B75" s="0" t="s">
        <v>536</v>
      </c>
      <c r="C75" s="0" t="n">
        <v>215.2</v>
      </c>
      <c r="D75" s="0" t="n">
        <v>911.2</v>
      </c>
      <c r="E75" s="0" t="n">
        <v>7.6</v>
      </c>
      <c r="F75" s="0" t="n">
        <v>26</v>
      </c>
      <c r="G75" s="0" t="n">
        <v>219.8</v>
      </c>
      <c r="H75" s="0" t="n">
        <v>1.1</v>
      </c>
      <c r="I75" s="0" t="n">
        <v>2</v>
      </c>
      <c r="J75" s="0" t="n">
        <v>174.4</v>
      </c>
      <c r="K75" s="115" t="n">
        <f aca="false">IFERROR((D75/C75)/4.5*0.25*C75,0)</f>
        <v>50.6222222222222</v>
      </c>
      <c r="L75" s="115" t="n">
        <f aca="false">IFERROR((G75/F75)/7.95*0.376*F75,0)</f>
        <v>10.395572327044</v>
      </c>
      <c r="M75" s="117" t="n">
        <f aca="false">C77*Scoring!$B$32+D77/Scoring!$C$32+E77*Scoring!$D$32+F77*Scoring!$E$32+G77/Scoring!$F$32+H77*Scoring!$G$32+I77*Scoring!$H$32+K77*Scoring!$I$32+RB!L77*Scoring!$J$32+U75</f>
        <v>177.312</v>
      </c>
      <c r="N75" s="117" t="n">
        <f aca="false">C75*Scoring!$B$32+D75/Scoring!$C$32+E75*Scoring!$D$32+F75*Scoring!$E$32+G75/Scoring!$F$32+H75*Scoring!$G$32+I75*Scoring!$H$32+K75*Scoring!$I$32+RB!L75*Scoring!$J$32+U75</f>
        <v>194.682</v>
      </c>
      <c r="O75" s="117" t="n">
        <f aca="false">C76*Scoring!$B$32+D76/Scoring!$C$32+E76*Scoring!$D$32+F76*Scoring!$E$32+G76/Scoring!$F$32+H76*Scoring!$G$32+I76*Scoring!$H$32+K76*Scoring!$I$32+L76*Scoring!$J$32+U75</f>
        <v>209.682</v>
      </c>
      <c r="P75" s="53" t="n">
        <f aca="false">IF(COUNTIF(Rookies!$A:$A,A75)&gt;0,1,0)</f>
        <v>1</v>
      </c>
      <c r="S75" s="53" t="n">
        <f aca="false">V75/17</f>
        <v>10.2529411764706</v>
      </c>
      <c r="T75" s="53" t="n">
        <f aca="false">IF(P75=1,MAX(0,0.258*(14.9-S75)),0)</f>
        <v>1.19894117647059</v>
      </c>
      <c r="U75" s="53" t="n">
        <f aca="false">T75*17</f>
        <v>20.382</v>
      </c>
      <c r="V75" s="53" t="n">
        <f aca="false">C75*Scoring!$B$32+D75/Scoring!$C$32+E75*Scoring!$D$32+F75*Scoring!$E$32+G75/Scoring!$F$32+H75*Scoring!$G$32+I75*Scoring!$H$32+K75*Scoring!$I$32+RB!L75*Scoring!$J$32</f>
        <v>174.3</v>
      </c>
      <c r="X75" s="53" t="n">
        <f aca="false">D75+G75</f>
        <v>1131</v>
      </c>
      <c r="Y75" s="53" t="n">
        <f aca="false">H75+E75</f>
        <v>8.7</v>
      </c>
      <c r="Z75" s="53" t="n">
        <f aca="false">X75/Y75</f>
        <v>130</v>
      </c>
    </row>
    <row r="76" customFormat="false" ht="14.25" hidden="false" customHeight="true" outlineLevel="0" collapsed="false">
      <c r="B76" s="0" t="s">
        <v>491</v>
      </c>
      <c r="C76" s="0" t="n">
        <v>228</v>
      </c>
      <c r="D76" s="0" t="n">
        <v>974</v>
      </c>
      <c r="E76" s="0" t="n">
        <v>8</v>
      </c>
      <c r="F76" s="0" t="n">
        <v>31</v>
      </c>
      <c r="G76" s="0" t="n">
        <v>226</v>
      </c>
      <c r="H76" s="0" t="n">
        <v>1.3</v>
      </c>
      <c r="I76" s="0" t="n">
        <v>1</v>
      </c>
      <c r="J76" s="0" t="n">
        <v>182.8</v>
      </c>
      <c r="K76" s="115" t="n">
        <f aca="false">IFERROR((D76/C76)/4.5*0.25*C76,0)</f>
        <v>54.1111111111111</v>
      </c>
      <c r="L76" s="115" t="n">
        <f aca="false">IFERROR((G76/F76)/7.95*0.376*F76,0)</f>
        <v>10.6888050314465</v>
      </c>
      <c r="M76" s="117"/>
      <c r="N76" s="117"/>
      <c r="O76" s="117"/>
      <c r="X76" s="53" t="n">
        <f aca="false">D76+G76</f>
        <v>1200</v>
      </c>
      <c r="Y76" s="53" t="n">
        <f aca="false">H76+E76</f>
        <v>9.3</v>
      </c>
      <c r="Z76" s="53" t="n">
        <f aca="false">X76/Y76</f>
        <v>129.032258064516</v>
      </c>
    </row>
    <row r="77" customFormat="false" ht="14.25" hidden="false" customHeight="true" outlineLevel="0" collapsed="false">
      <c r="B77" s="0" t="s">
        <v>492</v>
      </c>
      <c r="C77" s="0" t="n">
        <v>195</v>
      </c>
      <c r="D77" s="0" t="n">
        <v>837</v>
      </c>
      <c r="E77" s="0" t="n">
        <v>7</v>
      </c>
      <c r="F77" s="0" t="n">
        <v>20</v>
      </c>
      <c r="G77" s="0" t="n">
        <v>212.3</v>
      </c>
      <c r="H77" s="0" t="n">
        <v>1</v>
      </c>
      <c r="I77" s="0" t="n">
        <v>3</v>
      </c>
      <c r="J77" s="0" t="n">
        <v>165</v>
      </c>
      <c r="K77" s="115" t="n">
        <f aca="false">IFERROR((D77/C77)/4.5*0.25*C77,0)</f>
        <v>46.5</v>
      </c>
      <c r="L77" s="115" t="n">
        <f aca="false">IFERROR((G77/F77)/7.95*0.376*F77,0)</f>
        <v>10.040855345912</v>
      </c>
      <c r="M77" s="117"/>
      <c r="N77" s="117"/>
      <c r="O77" s="117"/>
      <c r="X77" s="53" t="n">
        <f aca="false">D77+G77</f>
        <v>1049.3</v>
      </c>
      <c r="Y77" s="53" t="n">
        <f aca="false">H77+E77</f>
        <v>8</v>
      </c>
      <c r="Z77" s="53" t="n">
        <f aca="false">X77/Y77</f>
        <v>131.1625</v>
      </c>
    </row>
    <row r="78" customFormat="false" ht="14.25" hidden="false" customHeight="true" outlineLevel="0" collapsed="false">
      <c r="A78" s="0" t="s">
        <v>626</v>
      </c>
      <c r="B78" s="0" t="s">
        <v>498</v>
      </c>
      <c r="C78" s="0" t="n">
        <v>185.8</v>
      </c>
      <c r="D78" s="0" t="n">
        <v>855</v>
      </c>
      <c r="E78" s="0" t="n">
        <v>6.9</v>
      </c>
      <c r="F78" s="0" t="n">
        <v>35.2</v>
      </c>
      <c r="G78" s="0" t="n">
        <v>244.6</v>
      </c>
      <c r="H78" s="0" t="n">
        <v>1.2</v>
      </c>
      <c r="I78" s="0" t="n">
        <v>0.8</v>
      </c>
      <c r="J78" s="0" t="n">
        <v>174.2</v>
      </c>
      <c r="K78" s="115" t="n">
        <f aca="false">IFERROR((D78/C78)/4.5*0.25*C78,0)</f>
        <v>47.5</v>
      </c>
      <c r="L78" s="115" t="n">
        <f aca="false">IFERROR((G78/F78)/7.95*0.376*F78,0)</f>
        <v>11.5685031446541</v>
      </c>
      <c r="M78" s="117" t="n">
        <f aca="false">C80*Scoring!$B$32+D80/Scoring!$C$32+E80*Scoring!$D$32+F80*Scoring!$E$32+G80/Scoring!$F$32+H80*Scoring!$G$32+I80*Scoring!$H$32+K80*Scoring!$I$32+RB!L80*Scoring!$J$32+U78</f>
        <v>165.1</v>
      </c>
      <c r="N78" s="117" t="n">
        <f aca="false">C78*Scoring!$B$32+D78/Scoring!$C$32+E78*Scoring!$D$32+F78*Scoring!$E$32+G78/Scoring!$F$32+H78*Scoring!$G$32+I78*Scoring!$H$32+K78*Scoring!$I$32+RB!L78*Scoring!$J$32+U78</f>
        <v>174.56</v>
      </c>
      <c r="O78" s="117" t="n">
        <f aca="false">C79*Scoring!$B$32+D79/Scoring!$C$32+E79*Scoring!$D$32+F79*Scoring!$E$32+G79/Scoring!$F$32+H79*Scoring!$G$32+I79*Scoring!$H$32+K79*Scoring!$I$32+L79*Scoring!$J$32+U78</f>
        <v>184.84</v>
      </c>
      <c r="P78" s="53" t="n">
        <f aca="false">IF(COUNTIF(Rookies!$A:$A,A78)&gt;0,1,0)</f>
        <v>0</v>
      </c>
      <c r="S78" s="53" t="n">
        <f aca="false">V78/17</f>
        <v>10.2682352941176</v>
      </c>
      <c r="T78" s="53" t="n">
        <f aca="false">IF(P78=1,MAX(0,0.258*(14.9-S78)),0)</f>
        <v>0</v>
      </c>
      <c r="U78" s="53" t="n">
        <f aca="false">T78*17</f>
        <v>0</v>
      </c>
      <c r="V78" s="53" t="n">
        <f aca="false">C78*Scoring!$B$32+D78/Scoring!$C$32+E78*Scoring!$D$32+F78*Scoring!$E$32+G78/Scoring!$F$32+H78*Scoring!$G$32+I78*Scoring!$H$32+K78*Scoring!$I$32+RB!L78*Scoring!$J$32</f>
        <v>174.56</v>
      </c>
      <c r="X78" s="53" t="n">
        <f aca="false">D78+G78</f>
        <v>1099.6</v>
      </c>
      <c r="Y78" s="53" t="n">
        <f aca="false">H78+E78</f>
        <v>8.1</v>
      </c>
      <c r="Z78" s="53" t="n">
        <f aca="false">X78/Y78</f>
        <v>135.753086419753</v>
      </c>
    </row>
    <row r="79" customFormat="false" ht="14.25" hidden="false" customHeight="true" outlineLevel="0" collapsed="false">
      <c r="B79" s="0" t="s">
        <v>491</v>
      </c>
      <c r="C79" s="0" t="n">
        <v>190.5</v>
      </c>
      <c r="D79" s="0" t="n">
        <v>890</v>
      </c>
      <c r="E79" s="0" t="n">
        <v>7</v>
      </c>
      <c r="F79" s="0" t="n">
        <v>38.7</v>
      </c>
      <c r="G79" s="0" t="n">
        <v>268.9</v>
      </c>
      <c r="H79" s="0" t="n">
        <v>1.5</v>
      </c>
      <c r="I79" s="0" t="n">
        <v>0.7</v>
      </c>
      <c r="J79" s="0" t="n">
        <v>191.9</v>
      </c>
      <c r="K79" s="115" t="n">
        <f aca="false">IFERROR((D79/C79)/4.5*0.25*C79,0)</f>
        <v>49.4444444444445</v>
      </c>
      <c r="L79" s="115" t="n">
        <f aca="false">IFERROR((G79/F79)/7.95*0.376*F79,0)</f>
        <v>12.717786163522</v>
      </c>
      <c r="M79" s="117"/>
      <c r="N79" s="117"/>
      <c r="O79" s="117"/>
      <c r="X79" s="53" t="n">
        <f aca="false">D79+G79</f>
        <v>1158.9</v>
      </c>
      <c r="Y79" s="53" t="n">
        <f aca="false">H79+E79</f>
        <v>8.5</v>
      </c>
      <c r="Z79" s="53" t="n">
        <f aca="false">X79/Y79</f>
        <v>136.341176470588</v>
      </c>
    </row>
    <row r="80" customFormat="false" ht="14.25" hidden="false" customHeight="true" outlineLevel="0" collapsed="false">
      <c r="B80" s="0" t="s">
        <v>492</v>
      </c>
      <c r="C80" s="0" t="n">
        <v>178</v>
      </c>
      <c r="D80" s="0" t="n">
        <v>836</v>
      </c>
      <c r="E80" s="0" t="n">
        <v>6.7</v>
      </c>
      <c r="F80" s="0" t="n">
        <v>33</v>
      </c>
      <c r="G80" s="0" t="n">
        <v>208</v>
      </c>
      <c r="H80" s="0" t="n">
        <v>1</v>
      </c>
      <c r="I80" s="0" t="n">
        <v>1</v>
      </c>
      <c r="J80" s="0" t="n">
        <v>157.6</v>
      </c>
      <c r="K80" s="115" t="n">
        <f aca="false">IFERROR((D80/C80)/4.5*0.25*C80,0)</f>
        <v>46.4444444444445</v>
      </c>
      <c r="L80" s="115" t="n">
        <f aca="false">IFERROR((G80/F80)/7.95*0.376*F80,0)</f>
        <v>9.83748427672956</v>
      </c>
      <c r="M80" s="117"/>
      <c r="N80" s="117"/>
      <c r="O80" s="117"/>
      <c r="X80" s="53" t="n">
        <f aca="false">D80+G80</f>
        <v>1044</v>
      </c>
      <c r="Y80" s="53" t="n">
        <f aca="false">H80+E80</f>
        <v>7.7</v>
      </c>
      <c r="Z80" s="53" t="n">
        <f aca="false">X80/Y80</f>
        <v>135.584415584416</v>
      </c>
    </row>
    <row r="81" customFormat="false" ht="14.25" hidden="false" customHeight="true" outlineLevel="0" collapsed="false">
      <c r="A81" s="0" t="s">
        <v>627</v>
      </c>
      <c r="B81" s="0" t="s">
        <v>544</v>
      </c>
      <c r="C81" s="0" t="n">
        <v>235.8</v>
      </c>
      <c r="D81" s="0" t="n">
        <v>1032.7</v>
      </c>
      <c r="E81" s="0" t="n">
        <v>5.5</v>
      </c>
      <c r="F81" s="0" t="n">
        <v>31.9</v>
      </c>
      <c r="G81" s="0" t="n">
        <v>207.8</v>
      </c>
      <c r="H81" s="0" t="n">
        <v>0.5</v>
      </c>
      <c r="I81" s="0" t="n">
        <v>2.1</v>
      </c>
      <c r="J81" s="0" t="n">
        <v>171.6</v>
      </c>
      <c r="K81" s="115" t="n">
        <f aca="false">IFERROR((D81/C81)/4.5*0.25*C81,0)</f>
        <v>57.3722222222222</v>
      </c>
      <c r="L81" s="115" t="n">
        <f aca="false">IFERROR((G81/F81)/7.95*0.376*F81,0)</f>
        <v>9.82802515723271</v>
      </c>
      <c r="M81" s="117" t="n">
        <f aca="false">C83*Scoring!$B$32+D83/Scoring!$C$32+E83*Scoring!$D$32+F83*Scoring!$E$32+G83/Scoring!$F$32+H83*Scoring!$G$32+I83*Scoring!$H$32+K83*Scoring!$I$32+RB!L83*Scoring!$J$32+U81</f>
        <v>156.09</v>
      </c>
      <c r="N81" s="117" t="n">
        <f aca="false">C81*Scoring!$B$32+D81/Scoring!$C$32+E81*Scoring!$D$32+F81*Scoring!$E$32+G81/Scoring!$F$32+H81*Scoring!$G$32+I81*Scoring!$H$32+K81*Scoring!$I$32+RB!L81*Scoring!$J$32+U81</f>
        <v>171.8</v>
      </c>
      <c r="O81" s="117" t="n">
        <f aca="false">C82*Scoring!$B$32+D82/Scoring!$C$32+E82*Scoring!$D$32+F82*Scoring!$E$32+G82/Scoring!$F$32+H82*Scoring!$G$32+I82*Scoring!$H$32+K82*Scoring!$I$32+L82*Scoring!$J$32+U81</f>
        <v>185.8</v>
      </c>
      <c r="P81" s="53" t="n">
        <f aca="false">IF(COUNTIF(Rookies!$A:$A,A81)&gt;0,1,0)</f>
        <v>0</v>
      </c>
      <c r="S81" s="53" t="n">
        <f aca="false">V81/17</f>
        <v>10.1058823529412</v>
      </c>
      <c r="T81" s="53" t="n">
        <f aca="false">IF(P81=1,MAX(0,0.258*(14.9-S81)),0)</f>
        <v>0</v>
      </c>
      <c r="U81" s="53" t="n">
        <f aca="false">T81*17</f>
        <v>0</v>
      </c>
      <c r="V81" s="53" t="n">
        <f aca="false">C81*Scoring!$B$32+D81/Scoring!$C$32+E81*Scoring!$D$32+F81*Scoring!$E$32+G81/Scoring!$F$32+H81*Scoring!$G$32+I81*Scoring!$H$32+K81*Scoring!$I$32+RB!L81*Scoring!$J$32</f>
        <v>171.8</v>
      </c>
      <c r="X81" s="53" t="n">
        <f aca="false">D81+G81</f>
        <v>1240.5</v>
      </c>
      <c r="Y81" s="53" t="n">
        <f aca="false">H81+E81</f>
        <v>6</v>
      </c>
      <c r="Z81" s="53" t="n">
        <f aca="false">X81/Y81</f>
        <v>206.75</v>
      </c>
    </row>
    <row r="82" customFormat="false" ht="14.25" hidden="false" customHeight="true" outlineLevel="0" collapsed="false">
      <c r="B82" s="0" t="s">
        <v>491</v>
      </c>
      <c r="C82" s="0" t="n">
        <v>242</v>
      </c>
      <c r="D82" s="0" t="n">
        <v>1065</v>
      </c>
      <c r="E82" s="0" t="n">
        <v>6</v>
      </c>
      <c r="F82" s="0" t="n">
        <v>34</v>
      </c>
      <c r="G82" s="0" t="n">
        <v>227</v>
      </c>
      <c r="H82" s="0" t="n">
        <v>1</v>
      </c>
      <c r="I82" s="0" t="n">
        <v>1.2</v>
      </c>
      <c r="J82" s="0" t="n">
        <v>197.1</v>
      </c>
      <c r="K82" s="115" t="n">
        <f aca="false">IFERROR((D82/C82)/4.5*0.25*C82,0)</f>
        <v>59.1666666666667</v>
      </c>
      <c r="L82" s="115" t="n">
        <f aca="false">IFERROR((G82/F82)/7.95*0.376*F82,0)</f>
        <v>10.7361006289308</v>
      </c>
      <c r="M82" s="117"/>
      <c r="N82" s="117"/>
      <c r="O82" s="117"/>
      <c r="X82" s="53" t="n">
        <f aca="false">D82+G82</f>
        <v>1292</v>
      </c>
      <c r="Y82" s="53" t="n">
        <f aca="false">H82+E82</f>
        <v>7</v>
      </c>
      <c r="Z82" s="53" t="n">
        <f aca="false">X82/Y82</f>
        <v>184.571428571429</v>
      </c>
    </row>
    <row r="83" customFormat="false" ht="14.25" hidden="false" customHeight="true" outlineLevel="0" collapsed="false">
      <c r="B83" s="0" t="s">
        <v>492</v>
      </c>
      <c r="C83" s="0" t="n">
        <v>226</v>
      </c>
      <c r="D83" s="0" t="n">
        <v>990</v>
      </c>
      <c r="E83" s="0" t="n">
        <v>5</v>
      </c>
      <c r="F83" s="0" t="n">
        <v>29.7</v>
      </c>
      <c r="G83" s="0" t="n">
        <v>182.4</v>
      </c>
      <c r="H83" s="0" t="n">
        <v>0</v>
      </c>
      <c r="I83" s="0" t="n">
        <v>3</v>
      </c>
      <c r="J83" s="0" t="n">
        <v>148.9</v>
      </c>
      <c r="K83" s="115" t="n">
        <f aca="false">IFERROR((D83/C83)/4.5*0.25*C83,0)</f>
        <v>55</v>
      </c>
      <c r="L83" s="115" t="n">
        <f aca="false">IFERROR((G83/F83)/7.95*0.376*F83,0)</f>
        <v>8.62671698113208</v>
      </c>
      <c r="M83" s="117"/>
      <c r="N83" s="117"/>
      <c r="O83" s="117"/>
      <c r="X83" s="53" t="n">
        <f aca="false">D83+G83</f>
        <v>1172.4</v>
      </c>
      <c r="Y83" s="53" t="n">
        <f aca="false">H83+E83</f>
        <v>5</v>
      </c>
      <c r="Z83" s="53" t="n">
        <f aca="false">X83/Y83</f>
        <v>234.48</v>
      </c>
    </row>
    <row r="84" customFormat="false" ht="14.25" hidden="false" customHeight="true" outlineLevel="0" collapsed="false">
      <c r="A84" s="0" t="s">
        <v>628</v>
      </c>
      <c r="B84" s="0" t="s">
        <v>498</v>
      </c>
      <c r="C84" s="0" t="n">
        <v>168.7</v>
      </c>
      <c r="D84" s="0" t="n">
        <v>725.1</v>
      </c>
      <c r="E84" s="0" t="n">
        <v>6.6</v>
      </c>
      <c r="F84" s="0" t="n">
        <v>39.5</v>
      </c>
      <c r="G84" s="0" t="n">
        <v>335.1</v>
      </c>
      <c r="H84" s="0" t="n">
        <v>1.7</v>
      </c>
      <c r="I84" s="0" t="n">
        <v>2.1</v>
      </c>
      <c r="J84" s="0" t="n">
        <v>171.3</v>
      </c>
      <c r="K84" s="115" t="n">
        <f aca="false">IFERROR((D84/C84)/4.5*0.25*C84,0)</f>
        <v>40.2833333333333</v>
      </c>
      <c r="L84" s="115" t="n">
        <f aca="false">IFERROR((G84/F84)/7.95*0.376*F84,0)</f>
        <v>15.8487547169811</v>
      </c>
      <c r="M84" s="117" t="n">
        <f aca="false">C86*Scoring!$B$32+D86/Scoring!$C$32+E86*Scoring!$D$32+F86*Scoring!$E$32+G86/Scoring!$F$32+H86*Scoring!$G$32+I86*Scoring!$H$32+K86*Scoring!$I$32+RB!L86*Scoring!$J$32+U84</f>
        <v>154.5</v>
      </c>
      <c r="N84" s="117" t="n">
        <f aca="false">C84*Scoring!$B$32+D84/Scoring!$C$32+E84*Scoring!$D$32+F84*Scoring!$E$32+G84/Scoring!$F$32+H84*Scoring!$G$32+I84*Scoring!$H$32+K84*Scoring!$I$32+RB!L84*Scoring!$J$32+U84</f>
        <v>171.37</v>
      </c>
      <c r="O84" s="117" t="n">
        <f aca="false">C85*Scoring!$B$32+D85/Scoring!$C$32+E85*Scoring!$D$32+F85*Scoring!$E$32+G85/Scoring!$F$32+H85*Scoring!$G$32+I85*Scoring!$H$32+K85*Scoring!$I$32+L85*Scoring!$J$32+U84</f>
        <v>182.98</v>
      </c>
      <c r="P84" s="53" t="n">
        <f aca="false">IF(COUNTIF(Rookies!$A:$A,A84)&gt;0,1,0)</f>
        <v>0</v>
      </c>
      <c r="S84" s="53" t="n">
        <f aca="false">V84/17</f>
        <v>10.0805882352941</v>
      </c>
      <c r="T84" s="53" t="n">
        <f aca="false">IF(P84=1,MAX(0,0.258*(14.9-S84)),0)</f>
        <v>0</v>
      </c>
      <c r="U84" s="53" t="n">
        <f aca="false">T84*17</f>
        <v>0</v>
      </c>
      <c r="V84" s="53" t="n">
        <f aca="false">C84*Scoring!$B$32+D84/Scoring!$C$32+E84*Scoring!$D$32+F84*Scoring!$E$32+G84/Scoring!$F$32+H84*Scoring!$G$32+I84*Scoring!$H$32+K84*Scoring!$I$32+RB!L84*Scoring!$J$32</f>
        <v>171.37</v>
      </c>
      <c r="X84" s="53" t="n">
        <f aca="false">D84+G84</f>
        <v>1060.2</v>
      </c>
      <c r="Y84" s="53" t="n">
        <f aca="false">H84+E84</f>
        <v>8.3</v>
      </c>
      <c r="Z84" s="53" t="n">
        <f aca="false">X84/Y84</f>
        <v>127.734939759036</v>
      </c>
    </row>
    <row r="85" customFormat="false" ht="14.25" hidden="false" customHeight="true" outlineLevel="0" collapsed="false">
      <c r="B85" s="0" t="s">
        <v>491</v>
      </c>
      <c r="C85" s="0" t="n">
        <v>174</v>
      </c>
      <c r="D85" s="0" t="n">
        <v>742.4</v>
      </c>
      <c r="E85" s="0" t="n">
        <v>7</v>
      </c>
      <c r="F85" s="0" t="n">
        <v>43</v>
      </c>
      <c r="G85" s="0" t="n">
        <v>350.4</v>
      </c>
      <c r="H85" s="0" t="n">
        <v>2.1</v>
      </c>
      <c r="I85" s="0" t="n">
        <v>1.2</v>
      </c>
      <c r="J85" s="0" t="n">
        <v>194.9</v>
      </c>
      <c r="K85" s="115" t="n">
        <f aca="false">IFERROR((D85/C85)/4.5*0.25*C85,0)</f>
        <v>41.2444444444445</v>
      </c>
      <c r="L85" s="115" t="n">
        <f aca="false">IFERROR((G85/F85)/7.95*0.376*F85,0)</f>
        <v>16.5723773584906</v>
      </c>
      <c r="M85" s="117"/>
      <c r="N85" s="117"/>
      <c r="O85" s="117"/>
      <c r="X85" s="53" t="n">
        <f aca="false">D85+G85</f>
        <v>1092.8</v>
      </c>
      <c r="Y85" s="53" t="n">
        <f aca="false">H85+E85</f>
        <v>9.1</v>
      </c>
      <c r="Z85" s="53" t="n">
        <f aca="false">X85/Y85</f>
        <v>120.087912087912</v>
      </c>
    </row>
    <row r="86" customFormat="false" ht="14.25" hidden="false" customHeight="true" outlineLevel="0" collapsed="false">
      <c r="B86" s="0" t="s">
        <v>492</v>
      </c>
      <c r="C86" s="0" t="n">
        <v>163</v>
      </c>
      <c r="D86" s="0" t="n">
        <v>698</v>
      </c>
      <c r="E86" s="0" t="n">
        <v>6</v>
      </c>
      <c r="F86" s="0" t="n">
        <v>33</v>
      </c>
      <c r="G86" s="0" t="n">
        <v>322</v>
      </c>
      <c r="H86" s="0" t="n">
        <v>1</v>
      </c>
      <c r="I86" s="0" t="n">
        <v>3</v>
      </c>
      <c r="J86" s="0" t="n">
        <v>148.7</v>
      </c>
      <c r="K86" s="115" t="n">
        <f aca="false">IFERROR((D86/C86)/4.5*0.25*C86,0)</f>
        <v>38.7777777777778</v>
      </c>
      <c r="L86" s="115" t="n">
        <f aca="false">IFERROR((G86/F86)/7.95*0.376*F86,0)</f>
        <v>15.2291823899371</v>
      </c>
      <c r="M86" s="117"/>
      <c r="N86" s="117"/>
      <c r="O86" s="117"/>
      <c r="X86" s="53" t="n">
        <f aca="false">D86+G86</f>
        <v>1020</v>
      </c>
      <c r="Y86" s="53" t="n">
        <f aca="false">H86+E86</f>
        <v>7</v>
      </c>
      <c r="Z86" s="53" t="n">
        <f aca="false">X86/Y86</f>
        <v>145.714285714286</v>
      </c>
    </row>
    <row r="87" customFormat="false" ht="14.25" hidden="false" customHeight="true" outlineLevel="0" collapsed="false">
      <c r="A87" s="0" t="s">
        <v>629</v>
      </c>
      <c r="B87" s="0" t="s">
        <v>518</v>
      </c>
      <c r="C87" s="0" t="n">
        <v>219.6</v>
      </c>
      <c r="D87" s="0" t="n">
        <v>1027.5</v>
      </c>
      <c r="E87" s="0" t="n">
        <v>6.9</v>
      </c>
      <c r="F87" s="0" t="n">
        <v>19.5</v>
      </c>
      <c r="G87" s="0" t="n">
        <v>104.4</v>
      </c>
      <c r="H87" s="0" t="n">
        <v>0.6</v>
      </c>
      <c r="I87" s="0" t="n">
        <v>0.7</v>
      </c>
      <c r="J87" s="0" t="n">
        <v>166.3</v>
      </c>
      <c r="K87" s="115" t="n">
        <f aca="false">IFERROR((D87/C87)/4.5*0.25*C87,0)</f>
        <v>57.0833333333333</v>
      </c>
      <c r="L87" s="115" t="n">
        <f aca="false">IFERROR((G87/F87)/7.95*0.376*F87,0)</f>
        <v>4.93766037735849</v>
      </c>
      <c r="M87" s="117" t="n">
        <f aca="false">C89*Scoring!$B$32+D89/Scoring!$C$32+E89*Scoring!$D$32+F89*Scoring!$E$32+G89/Scoring!$F$32+H89*Scoring!$G$32+I89*Scoring!$H$32+K89*Scoring!$I$32+RB!L89*Scoring!$J$32+U87</f>
        <v>149.05</v>
      </c>
      <c r="N87" s="117" t="n">
        <f aca="false">C87*Scoring!$B$32+D87/Scoring!$C$32+E87*Scoring!$D$32+F87*Scoring!$E$32+G87/Scoring!$F$32+H87*Scoring!$G$32+I87*Scoring!$H$32+K87*Scoring!$I$32+RB!L87*Scoring!$J$32+U87</f>
        <v>166.54</v>
      </c>
      <c r="O87" s="117" t="n">
        <f aca="false">C88*Scoring!$B$32+D88/Scoring!$C$32+E88*Scoring!$D$32+F88*Scoring!$E$32+G88/Scoring!$F$32+H88*Scoring!$G$32+I88*Scoring!$H$32+K88*Scoring!$I$32+L88*Scoring!$J$32+U87</f>
        <v>184.62</v>
      </c>
      <c r="P87" s="53" t="n">
        <f aca="false">IF(COUNTIF(Rookies!$A:$A,A87)&gt;0,1,0)</f>
        <v>0</v>
      </c>
      <c r="S87" s="53" t="n">
        <f aca="false">V87/17</f>
        <v>9.79647058823529</v>
      </c>
      <c r="T87" s="53" t="n">
        <f aca="false">IF(P87=1,MAX(0,0.258*(14.9-S87)),0)</f>
        <v>0</v>
      </c>
      <c r="U87" s="53" t="n">
        <f aca="false">T87*17</f>
        <v>0</v>
      </c>
      <c r="V87" s="53" t="n">
        <f aca="false">C87*Scoring!$B$32+D87/Scoring!$C$32+E87*Scoring!$D$32+F87*Scoring!$E$32+G87/Scoring!$F$32+H87*Scoring!$G$32+I87*Scoring!$H$32+K87*Scoring!$I$32+RB!L87*Scoring!$J$32</f>
        <v>166.54</v>
      </c>
      <c r="X87" s="53" t="n">
        <f aca="false">D87+G87</f>
        <v>1131.9</v>
      </c>
      <c r="Y87" s="53" t="n">
        <f aca="false">H87+E87</f>
        <v>7.5</v>
      </c>
      <c r="Z87" s="53" t="n">
        <f aca="false">X87/Y87</f>
        <v>150.92</v>
      </c>
    </row>
    <row r="88" customFormat="false" ht="14.25" hidden="false" customHeight="true" outlineLevel="0" collapsed="false">
      <c r="B88" s="0" t="s">
        <v>491</v>
      </c>
      <c r="C88" s="0" t="n">
        <v>248</v>
      </c>
      <c r="D88" s="0" t="n">
        <v>1137</v>
      </c>
      <c r="E88" s="0" t="n">
        <v>7</v>
      </c>
      <c r="F88" s="0" t="n">
        <v>21.4</v>
      </c>
      <c r="G88" s="0" t="n">
        <v>132.2</v>
      </c>
      <c r="H88" s="0" t="n">
        <v>1</v>
      </c>
      <c r="I88" s="0" t="n">
        <v>0.5</v>
      </c>
      <c r="J88" s="0" t="n">
        <v>174.9</v>
      </c>
      <c r="K88" s="115" t="n">
        <f aca="false">IFERROR((D88/C88)/4.5*0.25*C88,0)</f>
        <v>63.1666666666667</v>
      </c>
      <c r="L88" s="115" t="n">
        <f aca="false">IFERROR((G88/F88)/7.95*0.376*F88,0)</f>
        <v>6.25247798742138</v>
      </c>
      <c r="M88" s="117"/>
      <c r="N88" s="117"/>
      <c r="O88" s="117"/>
      <c r="X88" s="53" t="n">
        <f aca="false">D88+G88</f>
        <v>1269.2</v>
      </c>
      <c r="Y88" s="53" t="n">
        <f aca="false">H88+E88</f>
        <v>8</v>
      </c>
      <c r="Z88" s="53" t="n">
        <f aca="false">X88/Y88</f>
        <v>158.65</v>
      </c>
    </row>
    <row r="89" customFormat="false" ht="14.25" hidden="false" customHeight="true" outlineLevel="0" collapsed="false">
      <c r="B89" s="0" t="s">
        <v>492</v>
      </c>
      <c r="C89" s="0" t="n">
        <v>204.7</v>
      </c>
      <c r="D89" s="0" t="n">
        <v>957.5</v>
      </c>
      <c r="E89" s="0" t="n">
        <v>6.6</v>
      </c>
      <c r="F89" s="0" t="n">
        <v>16</v>
      </c>
      <c r="G89" s="0" t="n">
        <v>77</v>
      </c>
      <c r="H89" s="0" t="n">
        <v>0</v>
      </c>
      <c r="I89" s="0" t="n">
        <v>1</v>
      </c>
      <c r="J89" s="0" t="n">
        <v>156.7</v>
      </c>
      <c r="K89" s="115" t="n">
        <f aca="false">IFERROR((D89/C89)/4.5*0.25*C89,0)</f>
        <v>53.1944444444445</v>
      </c>
      <c r="L89" s="115" t="n">
        <f aca="false">IFERROR((G89/F89)/7.95*0.376*F89,0)</f>
        <v>3.64176100628931</v>
      </c>
      <c r="M89" s="117"/>
      <c r="N89" s="117"/>
      <c r="O89" s="117"/>
      <c r="X89" s="53" t="n">
        <f aca="false">D89+G89</f>
        <v>1034.5</v>
      </c>
      <c r="Y89" s="53" t="n">
        <f aca="false">H89+E89</f>
        <v>6.6</v>
      </c>
      <c r="Z89" s="53" t="n">
        <f aca="false">X89/Y89</f>
        <v>156.742424242424</v>
      </c>
    </row>
    <row r="90" customFormat="false" ht="14.25" hidden="false" customHeight="true" outlineLevel="0" collapsed="false">
      <c r="A90" s="0" t="s">
        <v>630</v>
      </c>
      <c r="B90" s="0" t="s">
        <v>548</v>
      </c>
      <c r="C90" s="0" t="n">
        <v>201.4</v>
      </c>
      <c r="D90" s="0" t="n">
        <v>876</v>
      </c>
      <c r="E90" s="0" t="n">
        <v>5.9</v>
      </c>
      <c r="F90" s="0" t="n">
        <v>31.7</v>
      </c>
      <c r="G90" s="0" t="n">
        <v>221.9</v>
      </c>
      <c r="H90" s="0" t="n">
        <v>1</v>
      </c>
      <c r="I90" s="0" t="n">
        <v>1</v>
      </c>
      <c r="J90" s="0" t="n">
        <v>165.1</v>
      </c>
      <c r="K90" s="115" t="n">
        <f aca="false">IFERROR((D90/C90)/4.5*0.25*C90,0)</f>
        <v>48.6666666666667</v>
      </c>
      <c r="L90" s="115" t="n">
        <f aca="false">IFERROR((G90/F90)/7.95*0.376*F90,0)</f>
        <v>10.494893081761</v>
      </c>
      <c r="M90" s="117" t="n">
        <f aca="false">C92*Scoring!$B$32+D92/Scoring!$C$32+E92*Scoring!$D$32+F92*Scoring!$E$32+G92/Scoring!$F$32+H92*Scoring!$G$32+I92*Scoring!$H$32+K92*Scoring!$I$32+RB!L92*Scoring!$J$32+U90</f>
        <v>149</v>
      </c>
      <c r="N90" s="117" t="n">
        <f aca="false">C90*Scoring!$B$32+D90/Scoring!$C$32+E90*Scoring!$D$32+F90*Scoring!$E$32+G90/Scoring!$F$32+H90*Scoring!$G$32+I90*Scoring!$H$32+K90*Scoring!$I$32+RB!L90*Scoring!$J$32+U90</f>
        <v>165.04</v>
      </c>
      <c r="O90" s="117" t="n">
        <f aca="false">C91*Scoring!$B$32+D91/Scoring!$C$32+E91*Scoring!$D$32+F91*Scoring!$E$32+G91/Scoring!$F$32+H91*Scoring!$G$32+I91*Scoring!$H$32+K91*Scoring!$I$32+L91*Scoring!$J$32+U90</f>
        <v>189.09</v>
      </c>
      <c r="P90" s="53" t="n">
        <f aca="false">IF(COUNTIF(Rookies!$A:$A,A90)&gt;0,1,0)</f>
        <v>0</v>
      </c>
      <c r="S90" s="53" t="n">
        <f aca="false">V90/17</f>
        <v>9.70823529411765</v>
      </c>
      <c r="T90" s="53" t="n">
        <f aca="false">IF(P90=1,MAX(0,0.258*(14.9-S90)),0)</f>
        <v>0</v>
      </c>
      <c r="U90" s="53" t="n">
        <f aca="false">T90*17</f>
        <v>0</v>
      </c>
      <c r="V90" s="53" t="n">
        <f aca="false">C90*Scoring!$B$32+D90/Scoring!$C$32+E90*Scoring!$D$32+F90*Scoring!$E$32+G90/Scoring!$F$32+H90*Scoring!$G$32+I90*Scoring!$H$32+K90*Scoring!$I$32+RB!L90*Scoring!$J$32</f>
        <v>165.04</v>
      </c>
      <c r="X90" s="53" t="n">
        <f aca="false">D90+G90</f>
        <v>1097.9</v>
      </c>
      <c r="Y90" s="53" t="n">
        <f aca="false">H90+E90</f>
        <v>6.9</v>
      </c>
      <c r="Z90" s="53" t="n">
        <f aca="false">X90/Y90</f>
        <v>159.115942028986</v>
      </c>
    </row>
    <row r="91" customFormat="false" ht="14.25" hidden="false" customHeight="true" outlineLevel="0" collapsed="false">
      <c r="B91" s="0" t="s">
        <v>491</v>
      </c>
      <c r="C91" s="0" t="n">
        <v>227.2</v>
      </c>
      <c r="D91" s="0" t="n">
        <v>992.9</v>
      </c>
      <c r="E91" s="0" t="n">
        <v>7</v>
      </c>
      <c r="F91" s="0" t="n">
        <v>36</v>
      </c>
      <c r="G91" s="0" t="n">
        <v>252</v>
      </c>
      <c r="H91" s="0" t="n">
        <v>1.1</v>
      </c>
      <c r="I91" s="0" t="n">
        <v>1</v>
      </c>
      <c r="J91" s="0" t="n">
        <v>175</v>
      </c>
      <c r="K91" s="115" t="n">
        <f aca="false">IFERROR((D91/C91)/4.5*0.25*C91,0)</f>
        <v>55.1611111111111</v>
      </c>
      <c r="L91" s="115" t="n">
        <f aca="false">IFERROR((G91/F91)/7.95*0.376*F91,0)</f>
        <v>11.9184905660377</v>
      </c>
      <c r="M91" s="117"/>
      <c r="N91" s="117"/>
      <c r="O91" s="117"/>
      <c r="X91" s="53" t="n">
        <f aca="false">D91+G91</f>
        <v>1244.9</v>
      </c>
      <c r="Y91" s="53" t="n">
        <f aca="false">H91+E91</f>
        <v>8.1</v>
      </c>
      <c r="Z91" s="53" t="n">
        <f aca="false">X91/Y91</f>
        <v>153.691358024691</v>
      </c>
    </row>
    <row r="92" customFormat="false" ht="14.25" hidden="false" customHeight="true" outlineLevel="0" collapsed="false">
      <c r="B92" s="0" t="s">
        <v>492</v>
      </c>
      <c r="C92" s="0" t="n">
        <v>186</v>
      </c>
      <c r="D92" s="0" t="n">
        <v>801</v>
      </c>
      <c r="E92" s="0" t="n">
        <v>5</v>
      </c>
      <c r="F92" s="0" t="n">
        <v>29.2</v>
      </c>
      <c r="G92" s="0" t="n">
        <v>203</v>
      </c>
      <c r="H92" s="0" t="n">
        <v>1</v>
      </c>
      <c r="I92" s="0" t="n">
        <v>1</v>
      </c>
      <c r="J92" s="0" t="n">
        <v>152.9</v>
      </c>
      <c r="K92" s="115" t="n">
        <f aca="false">IFERROR((D92/C92)/4.5*0.25*C92,0)</f>
        <v>44.5</v>
      </c>
      <c r="L92" s="115" t="n">
        <f aca="false">IFERROR((G92/F92)/7.95*0.376*F92,0)</f>
        <v>9.60100628930818</v>
      </c>
      <c r="M92" s="117"/>
      <c r="N92" s="117"/>
      <c r="O92" s="117"/>
      <c r="X92" s="53" t="n">
        <f aca="false">D92+G92</f>
        <v>1004</v>
      </c>
      <c r="Y92" s="53" t="n">
        <f aca="false">H92+E92</f>
        <v>6</v>
      </c>
      <c r="Z92" s="53" t="n">
        <f aca="false">X92/Y92</f>
        <v>167.333333333333</v>
      </c>
    </row>
    <row r="93" customFormat="false" ht="14.25" hidden="false" customHeight="true" outlineLevel="0" collapsed="false">
      <c r="A93" s="0" t="s">
        <v>631</v>
      </c>
      <c r="B93" s="0" t="s">
        <v>540</v>
      </c>
      <c r="C93" s="0" t="n">
        <v>183.1</v>
      </c>
      <c r="D93" s="0" t="n">
        <v>748</v>
      </c>
      <c r="E93" s="0" t="n">
        <v>5.1</v>
      </c>
      <c r="F93" s="0" t="n">
        <v>36</v>
      </c>
      <c r="G93" s="0" t="n">
        <v>255.9</v>
      </c>
      <c r="H93" s="0" t="n">
        <v>1.8</v>
      </c>
      <c r="I93" s="0" t="n">
        <v>0.9</v>
      </c>
      <c r="J93" s="0" t="n">
        <v>157.7</v>
      </c>
      <c r="K93" s="115" t="n">
        <f aca="false">IFERROR((D93/C93)/4.5*0.25*C93,0)</f>
        <v>41.5555555555556</v>
      </c>
      <c r="L93" s="115" t="n">
        <f aca="false">IFERROR((G93/F93)/7.95*0.376*F93,0)</f>
        <v>12.1029433962264</v>
      </c>
      <c r="M93" s="117" t="n">
        <f aca="false">C95*Scoring!$B$32+D95/Scoring!$C$32+E95*Scoring!$D$32+F95*Scoring!$E$32+G95/Scoring!$F$32+H95*Scoring!$G$32+I95*Scoring!$H$32+K95*Scoring!$I$32+RB!L95*Scoring!$J$32+U93</f>
        <v>137.9</v>
      </c>
      <c r="N93" s="117" t="n">
        <f aca="false">C93*Scoring!$B$32+D93/Scoring!$C$32+E93*Scoring!$D$32+F93*Scoring!$E$32+G93/Scoring!$F$32+H93*Scoring!$G$32+I93*Scoring!$H$32+K93*Scoring!$I$32+RB!L93*Scoring!$J$32+U93</f>
        <v>157.99</v>
      </c>
      <c r="O93" s="117" t="n">
        <f aca="false">C94*Scoring!$B$32+D94/Scoring!$C$32+E94*Scoring!$D$32+F94*Scoring!$E$32+G94/Scoring!$F$32+H94*Scoring!$G$32+I94*Scoring!$H$32+K94*Scoring!$I$32+L94*Scoring!$J$32+U93</f>
        <v>179.43</v>
      </c>
      <c r="P93" s="53" t="n">
        <f aca="false">IF(COUNTIF(Rookies!$A:$A,A93)&gt;0,1,0)</f>
        <v>0</v>
      </c>
      <c r="S93" s="53" t="n">
        <f aca="false">V93/17</f>
        <v>9.29352941176471</v>
      </c>
      <c r="T93" s="53" t="n">
        <f aca="false">IF(P93=1,MAX(0,0.258*(14.9-S93)),0)</f>
        <v>0</v>
      </c>
      <c r="U93" s="53" t="n">
        <f aca="false">T93*17</f>
        <v>0</v>
      </c>
      <c r="V93" s="53" t="n">
        <f aca="false">C93*Scoring!$B$32+D93/Scoring!$C$32+E93*Scoring!$D$32+F93*Scoring!$E$32+G93/Scoring!$F$32+H93*Scoring!$G$32+I93*Scoring!$H$32+K93*Scoring!$I$32+RB!L93*Scoring!$J$32</f>
        <v>157.99</v>
      </c>
      <c r="X93" s="53" t="n">
        <f aca="false">D93+G93</f>
        <v>1003.9</v>
      </c>
      <c r="Y93" s="53" t="n">
        <f aca="false">H93+E93</f>
        <v>6.9</v>
      </c>
      <c r="Z93" s="53" t="n">
        <f aca="false">X93/Y93</f>
        <v>145.492753623188</v>
      </c>
    </row>
    <row r="94" customFormat="false" ht="14.25" hidden="false" customHeight="true" outlineLevel="0" collapsed="false">
      <c r="B94" s="0" t="s">
        <v>491</v>
      </c>
      <c r="C94" s="0" t="n">
        <v>192</v>
      </c>
      <c r="D94" s="0" t="n">
        <v>767</v>
      </c>
      <c r="E94" s="0" t="n">
        <v>6</v>
      </c>
      <c r="F94" s="0" t="n">
        <v>41.1</v>
      </c>
      <c r="G94" s="0" t="n">
        <v>299.8</v>
      </c>
      <c r="H94" s="0" t="n">
        <v>3</v>
      </c>
      <c r="I94" s="0" t="n">
        <v>0.9</v>
      </c>
      <c r="J94" s="0" t="n">
        <v>179.5</v>
      </c>
      <c r="K94" s="115" t="n">
        <f aca="false">IFERROR((D94/C94)/4.5*0.25*C94,0)</f>
        <v>42.6111111111111</v>
      </c>
      <c r="L94" s="115" t="n">
        <f aca="false">IFERROR((G94/F94)/7.95*0.376*F94,0)</f>
        <v>14.1792201257862</v>
      </c>
      <c r="M94" s="117"/>
      <c r="N94" s="117"/>
      <c r="O94" s="117"/>
      <c r="X94" s="53" t="n">
        <f aca="false">D94+G94</f>
        <v>1066.8</v>
      </c>
      <c r="Y94" s="53" t="n">
        <f aca="false">H94+E94</f>
        <v>9</v>
      </c>
      <c r="Z94" s="53" t="n">
        <f aca="false">X94/Y94</f>
        <v>118.533333333333</v>
      </c>
    </row>
    <row r="95" customFormat="false" ht="14.25" hidden="false" customHeight="true" outlineLevel="0" collapsed="false">
      <c r="B95" s="0" t="s">
        <v>492</v>
      </c>
      <c r="C95" s="0" t="n">
        <v>167</v>
      </c>
      <c r="D95" s="0" t="n">
        <v>712</v>
      </c>
      <c r="E95" s="0" t="n">
        <v>4.2</v>
      </c>
      <c r="F95" s="0" t="n">
        <v>33</v>
      </c>
      <c r="G95" s="0" t="n">
        <v>210</v>
      </c>
      <c r="H95" s="0" t="n">
        <v>1</v>
      </c>
      <c r="I95" s="0" t="n">
        <v>1</v>
      </c>
      <c r="J95" s="0" t="n">
        <v>140</v>
      </c>
      <c r="K95" s="115" t="n">
        <f aca="false">IFERROR((D95/C95)/4.5*0.25*C95,0)</f>
        <v>39.5555555555556</v>
      </c>
      <c r="L95" s="115" t="n">
        <f aca="false">IFERROR((G95/F95)/7.95*0.376*F95,0)</f>
        <v>9.93207547169811</v>
      </c>
      <c r="M95" s="117"/>
      <c r="N95" s="117"/>
      <c r="O95" s="117"/>
      <c r="X95" s="53" t="n">
        <f aca="false">D95+G95</f>
        <v>922</v>
      </c>
      <c r="Y95" s="53" t="n">
        <f aca="false">H95+E95</f>
        <v>5.2</v>
      </c>
      <c r="Z95" s="53" t="n">
        <f aca="false">X95/Y95</f>
        <v>177.307692307692</v>
      </c>
    </row>
    <row r="96" customFormat="false" ht="14.25" hidden="false" customHeight="true" outlineLevel="0" collapsed="false">
      <c r="A96" s="0" t="s">
        <v>632</v>
      </c>
      <c r="B96" s="0" t="s">
        <v>530</v>
      </c>
      <c r="C96" s="0" t="n">
        <v>193.1</v>
      </c>
      <c r="D96" s="0" t="n">
        <v>821.7</v>
      </c>
      <c r="E96" s="0" t="n">
        <v>6.8</v>
      </c>
      <c r="F96" s="0" t="n">
        <v>20.2</v>
      </c>
      <c r="G96" s="0" t="n">
        <v>158.4</v>
      </c>
      <c r="H96" s="0" t="n">
        <v>1</v>
      </c>
      <c r="I96" s="0" t="n">
        <v>1.8</v>
      </c>
      <c r="J96" s="0" t="n">
        <v>151.2</v>
      </c>
      <c r="K96" s="115" t="n">
        <f aca="false">IFERROR((D96/C96)/4.5*0.25*C96,0)</f>
        <v>45.65</v>
      </c>
      <c r="L96" s="115" t="n">
        <f aca="false">IFERROR((G96/F96)/7.95*0.376*F96,0)</f>
        <v>7.49162264150943</v>
      </c>
      <c r="M96" s="117" t="n">
        <f aca="false">C98*Scoring!$B$32+D98/Scoring!$C$32+E98*Scoring!$D$32+F98*Scoring!$E$32+G98/Scoring!$F$32+H98*Scoring!$G$32+I98*Scoring!$H$32+K98*Scoring!$I$32+RB!L98*Scoring!$J$32+U96</f>
        <v>114.01</v>
      </c>
      <c r="N96" s="117" t="n">
        <f aca="false">C96*Scoring!$B$32+D96/Scoring!$C$32+E96*Scoring!$D$32+F96*Scoring!$E$32+G96/Scoring!$F$32+H96*Scoring!$G$32+I96*Scoring!$H$32+K96*Scoring!$I$32+RB!L96*Scoring!$J$32+U96</f>
        <v>151.31</v>
      </c>
      <c r="O96" s="117" t="n">
        <f aca="false">C97*Scoring!$B$32+D97/Scoring!$C$32+E97*Scoring!$D$32+F97*Scoring!$E$32+G97/Scoring!$F$32+H97*Scoring!$G$32+I97*Scoring!$H$32+K97*Scoring!$I$32+L97*Scoring!$J$32+U96</f>
        <v>188</v>
      </c>
      <c r="P96" s="53" t="n">
        <f aca="false">IF(COUNTIF(Rookies!$A:$A,A96)&gt;0,1,0)</f>
        <v>0</v>
      </c>
      <c r="S96" s="53" t="n">
        <f aca="false">V96/17</f>
        <v>8.90058823529412</v>
      </c>
      <c r="T96" s="53" t="n">
        <f aca="false">IF(P96=1,MAX(0,0.258*(14.9-S96)),0)</f>
        <v>0</v>
      </c>
      <c r="U96" s="53" t="n">
        <f aca="false">T96*17</f>
        <v>0</v>
      </c>
      <c r="V96" s="53" t="n">
        <f aca="false">C96*Scoring!$B$32+D96/Scoring!$C$32+E96*Scoring!$D$32+F96*Scoring!$E$32+G96/Scoring!$F$32+H96*Scoring!$G$32+I96*Scoring!$H$32+K96*Scoring!$I$32+RB!L96*Scoring!$J$32</f>
        <v>151.31</v>
      </c>
      <c r="X96" s="53" t="n">
        <f aca="false">D96+G96</f>
        <v>980.1</v>
      </c>
      <c r="Y96" s="53" t="n">
        <f aca="false">H96+E96</f>
        <v>7.8</v>
      </c>
      <c r="Z96" s="53" t="n">
        <f aca="false">X96/Y96</f>
        <v>125.653846153846</v>
      </c>
    </row>
    <row r="97" customFormat="false" ht="14.25" hidden="false" customHeight="true" outlineLevel="0" collapsed="false">
      <c r="B97" s="0" t="s">
        <v>491</v>
      </c>
      <c r="C97" s="0" t="n">
        <v>243</v>
      </c>
      <c r="D97" s="0" t="n">
        <v>1022</v>
      </c>
      <c r="E97" s="0" t="n">
        <v>8</v>
      </c>
      <c r="F97" s="0" t="n">
        <v>27</v>
      </c>
      <c r="G97" s="0" t="n">
        <v>197</v>
      </c>
      <c r="H97" s="0" t="n">
        <v>1</v>
      </c>
      <c r="I97" s="0" t="n">
        <v>0.7</v>
      </c>
      <c r="J97" s="0" t="n">
        <v>173.5</v>
      </c>
      <c r="K97" s="115" t="n">
        <f aca="false">IFERROR((D97/C97)/4.5*0.25*C97,0)</f>
        <v>56.7777777777778</v>
      </c>
      <c r="L97" s="115" t="n">
        <f aca="false">IFERROR((G97/F97)/7.95*0.376*F97,0)</f>
        <v>9.31723270440252</v>
      </c>
      <c r="M97" s="117"/>
      <c r="N97" s="117"/>
      <c r="O97" s="117"/>
      <c r="X97" s="53" t="n">
        <f aca="false">D97+G97</f>
        <v>1219</v>
      </c>
      <c r="Y97" s="53" t="n">
        <f aca="false">H97+E97</f>
        <v>9</v>
      </c>
      <c r="Z97" s="53" t="n">
        <f aca="false">X97/Y97</f>
        <v>135.444444444444</v>
      </c>
    </row>
    <row r="98" customFormat="false" ht="14.25" hidden="false" customHeight="true" outlineLevel="0" collapsed="false">
      <c r="B98" s="0" t="s">
        <v>492</v>
      </c>
      <c r="C98" s="0" t="n">
        <v>145.2</v>
      </c>
      <c r="D98" s="0" t="n">
        <v>621.1</v>
      </c>
      <c r="E98" s="0" t="n">
        <v>5.4</v>
      </c>
      <c r="F98" s="0" t="n">
        <v>13</v>
      </c>
      <c r="G98" s="0" t="n">
        <v>130</v>
      </c>
      <c r="H98" s="0" t="n">
        <v>1</v>
      </c>
      <c r="I98" s="0" t="n">
        <v>3</v>
      </c>
      <c r="J98" s="0" t="n">
        <v>124.2</v>
      </c>
      <c r="K98" s="115" t="n">
        <f aca="false">IFERROR((D98/C98)/4.5*0.25*C98,0)</f>
        <v>34.5055555555556</v>
      </c>
      <c r="L98" s="115" t="n">
        <f aca="false">IFERROR((G98/F98)/7.95*0.376*F98,0)</f>
        <v>6.14842767295598</v>
      </c>
      <c r="M98" s="117"/>
      <c r="N98" s="117"/>
      <c r="O98" s="117"/>
      <c r="X98" s="53" t="n">
        <f aca="false">D98+G98</f>
        <v>751.1</v>
      </c>
      <c r="Y98" s="53" t="n">
        <f aca="false">H98+E98</f>
        <v>6.4</v>
      </c>
      <c r="Z98" s="53" t="n">
        <f aca="false">X98/Y98</f>
        <v>117.359375</v>
      </c>
    </row>
    <row r="99" customFormat="false" ht="14.25" hidden="false" customHeight="true" outlineLevel="0" collapsed="false">
      <c r="A99" s="0" t="s">
        <v>633</v>
      </c>
      <c r="B99" s="0" t="s">
        <v>540</v>
      </c>
      <c r="C99" s="0" t="n">
        <v>189.1</v>
      </c>
      <c r="D99" s="0" t="n">
        <v>781</v>
      </c>
      <c r="E99" s="0" t="n">
        <v>4.8</v>
      </c>
      <c r="F99" s="0" t="n">
        <v>30.9</v>
      </c>
      <c r="G99" s="0" t="n">
        <v>235.6</v>
      </c>
      <c r="H99" s="0" t="n">
        <v>1.1</v>
      </c>
      <c r="I99" s="0" t="n">
        <v>1.5</v>
      </c>
      <c r="J99" s="0" t="n">
        <v>149.7</v>
      </c>
      <c r="K99" s="115" t="n">
        <f aca="false">IFERROR((D99/C99)/4.5*0.25*C99,0)</f>
        <v>43.3888888888889</v>
      </c>
      <c r="L99" s="115" t="n">
        <f aca="false">IFERROR((G99/F99)/7.95*0.376*F99,0)</f>
        <v>11.1428427672956</v>
      </c>
      <c r="M99" s="117" t="n">
        <f aca="false">C101*Scoring!$B$32+D101/Scoring!$C$32+E101*Scoring!$D$32+F101*Scoring!$E$32+G101/Scoring!$F$32+H101*Scoring!$G$32+I101*Scoring!$H$32+K101*Scoring!$I$32+RB!L101*Scoring!$J$32+U99</f>
        <v>122.5</v>
      </c>
      <c r="N99" s="117" t="n">
        <f aca="false">C99*Scoring!$B$32+D99/Scoring!$C$32+E99*Scoring!$D$32+F99*Scoring!$E$32+G99/Scoring!$F$32+H99*Scoring!$G$32+I99*Scoring!$H$32+K99*Scoring!$I$32+RB!L99*Scoring!$J$32+U99</f>
        <v>149.51</v>
      </c>
      <c r="O99" s="117" t="n">
        <f aca="false">C100*Scoring!$B$32+D100/Scoring!$C$32+E100*Scoring!$D$32+F100*Scoring!$E$32+G100/Scoring!$F$32+H100*Scoring!$G$32+I100*Scoring!$H$32+K100*Scoring!$I$32+L100*Scoring!$J$32+U99</f>
        <v>176.77</v>
      </c>
      <c r="P99" s="53" t="n">
        <f aca="false">IF(COUNTIF(Rookies!$A:$A,A99)&gt;0,1,0)</f>
        <v>0</v>
      </c>
      <c r="S99" s="53" t="n">
        <f aca="false">V99/17</f>
        <v>8.79470588235294</v>
      </c>
      <c r="T99" s="53" t="n">
        <f aca="false">IF(P99=1,MAX(0,0.258*(14.9-S99)),0)</f>
        <v>0</v>
      </c>
      <c r="U99" s="53" t="n">
        <f aca="false">T99*17</f>
        <v>0</v>
      </c>
      <c r="V99" s="53" t="n">
        <f aca="false">C99*Scoring!$B$32+D99/Scoring!$C$32+E99*Scoring!$D$32+F99*Scoring!$E$32+G99/Scoring!$F$32+H99*Scoring!$G$32+I99*Scoring!$H$32+K99*Scoring!$I$32+RB!L99*Scoring!$J$32</f>
        <v>149.51</v>
      </c>
      <c r="X99" s="53" t="n">
        <f aca="false">D99+G99</f>
        <v>1016.6</v>
      </c>
      <c r="Y99" s="53" t="n">
        <f aca="false">H99+E99</f>
        <v>5.9</v>
      </c>
      <c r="Z99" s="53" t="n">
        <f aca="false">X99/Y99</f>
        <v>172.305084745763</v>
      </c>
    </row>
    <row r="100" customFormat="false" ht="14.25" hidden="false" customHeight="true" outlineLevel="0" collapsed="false">
      <c r="B100" s="0" t="s">
        <v>491</v>
      </c>
      <c r="C100" s="0" t="n">
        <v>215</v>
      </c>
      <c r="D100" s="0" t="n">
        <v>880</v>
      </c>
      <c r="E100" s="0" t="n">
        <v>6</v>
      </c>
      <c r="F100" s="0" t="n">
        <v>36.6</v>
      </c>
      <c r="G100" s="0" t="n">
        <v>278.7</v>
      </c>
      <c r="H100" s="0" t="n">
        <v>1.4</v>
      </c>
      <c r="I100" s="0" t="n">
        <v>0.9</v>
      </c>
      <c r="J100" s="0" t="n">
        <v>158.7</v>
      </c>
      <c r="K100" s="115" t="n">
        <f aca="false">IFERROR((D100/C100)/4.5*0.25*C100,0)</f>
        <v>48.8888888888889</v>
      </c>
      <c r="L100" s="115" t="n">
        <f aca="false">IFERROR((G100/F100)/7.95*0.376*F100,0)</f>
        <v>13.1812830188679</v>
      </c>
      <c r="M100" s="117"/>
      <c r="N100" s="117"/>
      <c r="O100" s="117"/>
      <c r="X100" s="53" t="n">
        <f aca="false">D100+G100</f>
        <v>1158.7</v>
      </c>
      <c r="Y100" s="53" t="n">
        <f aca="false">H100+E100</f>
        <v>7.4</v>
      </c>
      <c r="Z100" s="53" t="n">
        <f aca="false">X100/Y100</f>
        <v>156.581081081081</v>
      </c>
    </row>
    <row r="101" customFormat="false" ht="14.25" hidden="false" customHeight="true" outlineLevel="0" collapsed="false">
      <c r="B101" s="0" t="s">
        <v>492</v>
      </c>
      <c r="C101" s="0" t="n">
        <v>158</v>
      </c>
      <c r="D101" s="0" t="n">
        <v>646</v>
      </c>
      <c r="E101" s="0" t="n">
        <v>4</v>
      </c>
      <c r="F101" s="0" t="n">
        <v>24</v>
      </c>
      <c r="G101" s="0" t="n">
        <v>199</v>
      </c>
      <c r="H101" s="0" t="n">
        <v>1</v>
      </c>
      <c r="I101" s="0" t="n">
        <v>2</v>
      </c>
      <c r="J101" s="0" t="n">
        <v>145.4</v>
      </c>
      <c r="K101" s="115" t="n">
        <f aca="false">IFERROR((D101/C101)/4.5*0.25*C101,0)</f>
        <v>35.8888888888889</v>
      </c>
      <c r="L101" s="115" t="n">
        <f aca="false">IFERROR((G101/F101)/7.95*0.376*F101,0)</f>
        <v>9.41182389937107</v>
      </c>
      <c r="M101" s="117"/>
      <c r="N101" s="117"/>
      <c r="O101" s="117"/>
      <c r="X101" s="53" t="n">
        <f aca="false">D101+G101</f>
        <v>845</v>
      </c>
      <c r="Y101" s="53" t="n">
        <f aca="false">H101+E101</f>
        <v>5</v>
      </c>
      <c r="Z101" s="53" t="n">
        <f aca="false">X101/Y101</f>
        <v>169</v>
      </c>
    </row>
    <row r="102" customFormat="false" ht="14.25" hidden="false" customHeight="true" outlineLevel="0" collapsed="false">
      <c r="A102" s="0" t="s">
        <v>634</v>
      </c>
      <c r="B102" s="0" t="s">
        <v>528</v>
      </c>
      <c r="C102" s="0" t="n">
        <v>116.6</v>
      </c>
      <c r="D102" s="0" t="n">
        <v>512.1</v>
      </c>
      <c r="E102" s="0" t="n">
        <v>4.2</v>
      </c>
      <c r="F102" s="0" t="n">
        <v>49.7</v>
      </c>
      <c r="G102" s="0" t="n">
        <v>351.6</v>
      </c>
      <c r="H102" s="0" t="n">
        <v>2</v>
      </c>
      <c r="I102" s="0" t="n">
        <v>0.9</v>
      </c>
      <c r="J102" s="0" t="n">
        <v>146.7</v>
      </c>
      <c r="K102" s="115" t="n">
        <f aca="false">IFERROR((D102/C102)/4.5*0.25*C102,0)</f>
        <v>28.45</v>
      </c>
      <c r="L102" s="115" t="n">
        <f aca="false">IFERROR((G102/F102)/7.95*0.376*F102,0)</f>
        <v>16.6291320754717</v>
      </c>
      <c r="M102" s="117" t="n">
        <f aca="false">C104*Scoring!$B$32+D104/Scoring!$C$32+E104*Scoring!$D$32+F104*Scoring!$E$32+G104/Scoring!$F$32+H104*Scoring!$G$32+I104*Scoring!$H$32+K104*Scoring!$I$32+RB!L104*Scoring!$J$32+U102</f>
        <v>127.9</v>
      </c>
      <c r="N102" s="117" t="n">
        <f aca="false">C102*Scoring!$B$32+D102/Scoring!$C$32+E102*Scoring!$D$32+F102*Scoring!$E$32+G102/Scoring!$F$32+H102*Scoring!$G$32+I102*Scoring!$H$32+K102*Scoring!$I$32+RB!L102*Scoring!$J$32+U102</f>
        <v>146.62</v>
      </c>
      <c r="O102" s="117" t="n">
        <f aca="false">C103*Scoring!$B$32+D103/Scoring!$C$32+E103*Scoring!$D$32+F103*Scoring!$E$32+G103/Scoring!$F$32+H103*Scoring!$G$32+I103*Scoring!$H$32+K103*Scoring!$I$32+L103*Scoring!$J$32+U102</f>
        <v>165.4</v>
      </c>
      <c r="P102" s="53" t="n">
        <f aca="false">IF(COUNTIF(Rookies!$A:$A,A102)&gt;0,1,0)</f>
        <v>0</v>
      </c>
      <c r="S102" s="53" t="n">
        <f aca="false">V102/17</f>
        <v>8.62470588235294</v>
      </c>
      <c r="T102" s="53" t="n">
        <f aca="false">IF(P102=1,MAX(0,0.258*(14.9-S102)),0)</f>
        <v>0</v>
      </c>
      <c r="U102" s="53" t="n">
        <f aca="false">T102*17</f>
        <v>0</v>
      </c>
      <c r="V102" s="53" t="n">
        <f aca="false">C102*Scoring!$B$32+D102/Scoring!$C$32+E102*Scoring!$D$32+F102*Scoring!$E$32+G102/Scoring!$F$32+H102*Scoring!$G$32+I102*Scoring!$H$32+K102*Scoring!$I$32+RB!L102*Scoring!$J$32</f>
        <v>146.62</v>
      </c>
      <c r="X102" s="53" t="n">
        <f aca="false">D102+G102</f>
        <v>863.7</v>
      </c>
      <c r="Y102" s="53" t="n">
        <f aca="false">H102+E102</f>
        <v>6.2</v>
      </c>
      <c r="Z102" s="53" t="n">
        <f aca="false">X102/Y102</f>
        <v>139.306451612903</v>
      </c>
    </row>
    <row r="103" customFormat="false" ht="14.25" hidden="false" customHeight="true" outlineLevel="0" collapsed="false">
      <c r="B103" s="0" t="s">
        <v>491</v>
      </c>
      <c r="C103" s="0" t="n">
        <v>123</v>
      </c>
      <c r="D103" s="0" t="n">
        <v>536</v>
      </c>
      <c r="E103" s="0" t="n">
        <v>4.6</v>
      </c>
      <c r="F103" s="0" t="n">
        <v>60</v>
      </c>
      <c r="G103" s="0" t="n">
        <v>438</v>
      </c>
      <c r="H103" s="0" t="n">
        <v>2</v>
      </c>
      <c r="I103" s="0" t="n">
        <v>0.8</v>
      </c>
      <c r="J103" s="0" t="n">
        <v>154.8</v>
      </c>
      <c r="K103" s="115" t="n">
        <f aca="false">IFERROR((D103/C103)/4.5*0.25*C103,0)</f>
        <v>29.7777777777778</v>
      </c>
      <c r="L103" s="115" t="n">
        <f aca="false">IFERROR((G103/F103)/7.95*0.376*F103,0)</f>
        <v>20.7154716981132</v>
      </c>
      <c r="M103" s="117"/>
      <c r="N103" s="117"/>
      <c r="O103" s="117"/>
      <c r="X103" s="53" t="n">
        <f aca="false">D103+G103</f>
        <v>974</v>
      </c>
      <c r="Y103" s="53" t="n">
        <f aca="false">H103+E103</f>
        <v>6.6</v>
      </c>
      <c r="Z103" s="53" t="n">
        <f aca="false">X103/Y103</f>
        <v>147.575757575758</v>
      </c>
    </row>
    <row r="104" customFormat="false" ht="14.25" hidden="false" customHeight="true" outlineLevel="0" collapsed="false">
      <c r="B104" s="0" t="s">
        <v>492</v>
      </c>
      <c r="C104" s="0" t="n">
        <v>109</v>
      </c>
      <c r="D104" s="0" t="n">
        <v>479</v>
      </c>
      <c r="E104" s="0" t="n">
        <v>4</v>
      </c>
      <c r="F104" s="0" t="n">
        <v>37</v>
      </c>
      <c r="G104" s="0" t="n">
        <v>275</v>
      </c>
      <c r="H104" s="0" t="n">
        <v>2</v>
      </c>
      <c r="I104" s="0" t="n">
        <v>1</v>
      </c>
      <c r="J104" s="0" t="n">
        <v>139.9</v>
      </c>
      <c r="K104" s="115" t="n">
        <f aca="false">IFERROR((D104/C104)/4.5*0.25*C104,0)</f>
        <v>26.6111111111111</v>
      </c>
      <c r="L104" s="115" t="n">
        <f aca="false">IFERROR((G104/F104)/7.95*0.376*F104,0)</f>
        <v>13.0062893081761</v>
      </c>
      <c r="M104" s="117"/>
      <c r="N104" s="117"/>
      <c r="O104" s="117"/>
      <c r="X104" s="53" t="n">
        <f aca="false">D104+G104</f>
        <v>754</v>
      </c>
      <c r="Y104" s="53" t="n">
        <f aca="false">H104+E104</f>
        <v>6</v>
      </c>
      <c r="Z104" s="53" t="n">
        <f aca="false">X104/Y104</f>
        <v>125.666666666667</v>
      </c>
    </row>
    <row r="105" customFormat="false" ht="14.25" hidden="false" customHeight="true" outlineLevel="0" collapsed="false">
      <c r="A105" s="0" t="s">
        <v>635</v>
      </c>
      <c r="B105" s="0" t="s">
        <v>514</v>
      </c>
      <c r="C105" s="0" t="n">
        <v>190.5</v>
      </c>
      <c r="D105" s="0" t="n">
        <v>814.4</v>
      </c>
      <c r="E105" s="0" t="n">
        <v>5.1</v>
      </c>
      <c r="F105" s="0" t="n">
        <v>23</v>
      </c>
      <c r="G105" s="0" t="n">
        <v>195.2</v>
      </c>
      <c r="H105" s="0" t="n">
        <v>0.4</v>
      </c>
      <c r="I105" s="0" t="n">
        <v>0.7</v>
      </c>
      <c r="J105" s="0" t="n">
        <v>144.5</v>
      </c>
      <c r="K105" s="115" t="n">
        <f aca="false">IFERROR((D105/C105)/4.5*0.25*C105,0)</f>
        <v>45.2444444444445</v>
      </c>
      <c r="L105" s="115" t="n">
        <f aca="false">IFERROR((G105/F105)/7.95*0.376*F105,0)</f>
        <v>9.23210062893082</v>
      </c>
      <c r="M105" s="117" t="n">
        <f aca="false">C107*Scoring!$B$32+D107/Scoring!$C$32+E107*Scoring!$D$32+F107*Scoring!$E$32+G107/Scoring!$F$32+H107*Scoring!$G$32+I107*Scoring!$H$32+K107*Scoring!$I$32+RB!L107*Scoring!$J$32+U105</f>
        <v>125.7</v>
      </c>
      <c r="N105" s="117" t="n">
        <f aca="false">C105*Scoring!$B$32+D105/Scoring!$C$32+E105*Scoring!$D$32+F105*Scoring!$E$32+G105/Scoring!$F$32+H105*Scoring!$G$32+I105*Scoring!$H$32+K105*Scoring!$I$32+RB!L105*Scoring!$J$32+U105</f>
        <v>144.06</v>
      </c>
      <c r="O105" s="117" t="n">
        <f aca="false">C106*Scoring!$B$32+D106/Scoring!$C$32+E106*Scoring!$D$32+F106*Scoring!$E$32+G106/Scoring!$F$32+H106*Scoring!$G$32+I106*Scoring!$H$32+K106*Scoring!$I$32+L106*Scoring!$J$32+U105</f>
        <v>165.42</v>
      </c>
      <c r="P105" s="53" t="n">
        <f aca="false">IF(COUNTIF(Rookies!$A:$A,A105)&gt;0,1,0)</f>
        <v>0</v>
      </c>
      <c r="S105" s="53" t="n">
        <f aca="false">V105/17</f>
        <v>8.47411764705882</v>
      </c>
      <c r="T105" s="53" t="n">
        <f aca="false">IF(P105=1,MAX(0,0.258*(14.9-S105)),0)</f>
        <v>0</v>
      </c>
      <c r="U105" s="53" t="n">
        <f aca="false">T105*17</f>
        <v>0</v>
      </c>
      <c r="V105" s="53" t="n">
        <f aca="false">C105*Scoring!$B$32+D105/Scoring!$C$32+E105*Scoring!$D$32+F105*Scoring!$E$32+G105/Scoring!$F$32+H105*Scoring!$G$32+I105*Scoring!$H$32+K105*Scoring!$I$32+RB!L105*Scoring!$J$32</f>
        <v>144.06</v>
      </c>
      <c r="X105" s="53" t="n">
        <f aca="false">D105+G105</f>
        <v>1009.6</v>
      </c>
      <c r="Y105" s="53" t="n">
        <f aca="false">H105+E105</f>
        <v>5.5</v>
      </c>
      <c r="Z105" s="53" t="n">
        <f aca="false">X105/Y105</f>
        <v>183.563636363636</v>
      </c>
    </row>
    <row r="106" customFormat="false" ht="14.25" hidden="false" customHeight="true" outlineLevel="0" collapsed="false">
      <c r="B106" s="0" t="s">
        <v>491</v>
      </c>
      <c r="C106" s="0" t="n">
        <v>206</v>
      </c>
      <c r="D106" s="0" t="n">
        <v>855</v>
      </c>
      <c r="E106" s="0" t="n">
        <v>6.4</v>
      </c>
      <c r="F106" s="0" t="n">
        <v>25.9</v>
      </c>
      <c r="G106" s="0" t="n">
        <v>215.7</v>
      </c>
      <c r="H106" s="0" t="n">
        <v>1.3</v>
      </c>
      <c r="I106" s="0" t="n">
        <v>0.4</v>
      </c>
      <c r="J106" s="0" t="n">
        <v>160.8</v>
      </c>
      <c r="K106" s="115" t="n">
        <f aca="false">IFERROR((D106/C106)/4.5*0.25*C106,0)</f>
        <v>47.5</v>
      </c>
      <c r="L106" s="115" t="n">
        <f aca="false">IFERROR((G106/F106)/7.95*0.376*F106,0)</f>
        <v>10.2016603773585</v>
      </c>
      <c r="M106" s="117"/>
      <c r="N106" s="117"/>
      <c r="O106" s="117"/>
      <c r="X106" s="53" t="n">
        <f aca="false">D106+G106</f>
        <v>1070.7</v>
      </c>
      <c r="Y106" s="53" t="n">
        <f aca="false">H106+E106</f>
        <v>7.7</v>
      </c>
      <c r="Z106" s="53" t="n">
        <f aca="false">X106/Y106</f>
        <v>139.051948051948</v>
      </c>
    </row>
    <row r="107" customFormat="false" ht="14.25" hidden="false" customHeight="true" outlineLevel="0" collapsed="false">
      <c r="B107" s="0" t="s">
        <v>492</v>
      </c>
      <c r="C107" s="0" t="n">
        <v>176</v>
      </c>
      <c r="D107" s="0" t="n">
        <v>775</v>
      </c>
      <c r="E107" s="0" t="n">
        <v>4</v>
      </c>
      <c r="F107" s="0" t="n">
        <v>20</v>
      </c>
      <c r="G107" s="0" t="n">
        <v>162</v>
      </c>
      <c r="H107" s="0" t="n">
        <v>0</v>
      </c>
      <c r="I107" s="0" t="n">
        <v>1</v>
      </c>
      <c r="J107" s="0" t="n">
        <v>130.5</v>
      </c>
      <c r="K107" s="115" t="n">
        <f aca="false">IFERROR((D107/C107)/4.5*0.25*C107,0)</f>
        <v>43.0555555555556</v>
      </c>
      <c r="L107" s="115" t="n">
        <f aca="false">IFERROR((G107/F107)/7.95*0.376*F107,0)</f>
        <v>7.66188679245283</v>
      </c>
      <c r="M107" s="117"/>
      <c r="N107" s="117"/>
      <c r="O107" s="117"/>
      <c r="X107" s="53" t="n">
        <f aca="false">D107+G107</f>
        <v>937</v>
      </c>
      <c r="Y107" s="53" t="n">
        <f aca="false">H107+E107</f>
        <v>4</v>
      </c>
      <c r="Z107" s="53" t="n">
        <f aca="false">X107/Y107</f>
        <v>234.25</v>
      </c>
    </row>
    <row r="108" customFormat="false" ht="14.25" hidden="false" customHeight="true" outlineLevel="0" collapsed="false">
      <c r="A108" s="0" t="s">
        <v>636</v>
      </c>
      <c r="B108" s="0" t="s">
        <v>496</v>
      </c>
      <c r="C108" s="0" t="n">
        <v>137</v>
      </c>
      <c r="D108" s="0" t="n">
        <v>605.2</v>
      </c>
      <c r="E108" s="0" t="n">
        <v>5.4</v>
      </c>
      <c r="F108" s="0" t="n">
        <v>35.7</v>
      </c>
      <c r="G108" s="0" t="n">
        <v>247.7</v>
      </c>
      <c r="H108" s="0" t="n">
        <v>1.6</v>
      </c>
      <c r="I108" s="0" t="n">
        <v>0.8</v>
      </c>
      <c r="J108" s="0" t="n">
        <v>143.2</v>
      </c>
      <c r="K108" s="115" t="n">
        <f aca="false">IFERROR((D108/C108)/4.5*0.25*C108,0)</f>
        <v>33.6222222222222</v>
      </c>
      <c r="L108" s="115" t="n">
        <f aca="false">IFERROR((G108/F108)/7.95*0.376*F108,0)</f>
        <v>11.7151194968553</v>
      </c>
      <c r="M108" s="117" t="n">
        <f aca="false">C110*Scoring!$B$32+D110/Scoring!$C$32+E110*Scoring!$D$32+F110*Scoring!$E$32+G110/Scoring!$F$32+H110*Scoring!$G$32+I110*Scoring!$H$32+K110*Scoring!$I$32+RB!L110*Scoring!$J$32+U108</f>
        <v>117.1</v>
      </c>
      <c r="N108" s="117" t="n">
        <f aca="false">C108*Scoring!$B$32+D108/Scoring!$C$32+E108*Scoring!$D$32+F108*Scoring!$E$32+G108/Scoring!$F$32+H108*Scoring!$G$32+I108*Scoring!$H$32+K108*Scoring!$I$32+RB!L108*Scoring!$J$32+U108</f>
        <v>143.54</v>
      </c>
      <c r="O108" s="117" t="n">
        <f aca="false">C109*Scoring!$B$32+D109/Scoring!$C$32+E109*Scoring!$D$32+F109*Scoring!$E$32+G109/Scoring!$F$32+H109*Scoring!$G$32+I109*Scoring!$H$32+K109*Scoring!$I$32+L109*Scoring!$J$32+U108</f>
        <v>169.8</v>
      </c>
      <c r="P108" s="53" t="n">
        <f aca="false">IF(COUNTIF(Rookies!$A:$A,A108)&gt;0,1,0)</f>
        <v>0</v>
      </c>
      <c r="S108" s="53" t="n">
        <f aca="false">V108/17</f>
        <v>8.44352941176471</v>
      </c>
      <c r="T108" s="53" t="n">
        <f aca="false">IF(P108=1,MAX(0,0.258*(14.9-S108)),0)</f>
        <v>0</v>
      </c>
      <c r="U108" s="53" t="n">
        <f aca="false">T108*17</f>
        <v>0</v>
      </c>
      <c r="V108" s="53" t="n">
        <f aca="false">C108*Scoring!$B$32+D108/Scoring!$C$32+E108*Scoring!$D$32+F108*Scoring!$E$32+G108/Scoring!$F$32+H108*Scoring!$G$32+I108*Scoring!$H$32+K108*Scoring!$I$32+RB!L108*Scoring!$J$32</f>
        <v>143.54</v>
      </c>
      <c r="X108" s="53" t="n">
        <f aca="false">D108+G108</f>
        <v>852.9</v>
      </c>
      <c r="Y108" s="53" t="n">
        <f aca="false">H108+E108</f>
        <v>7</v>
      </c>
      <c r="Z108" s="53" t="n">
        <f aca="false">X108/Y108</f>
        <v>121.842857142857</v>
      </c>
    </row>
    <row r="109" customFormat="false" ht="14.25" hidden="false" customHeight="true" outlineLevel="0" collapsed="false">
      <c r="B109" s="0" t="s">
        <v>491</v>
      </c>
      <c r="C109" s="0" t="n">
        <v>145</v>
      </c>
      <c r="D109" s="0" t="n">
        <v>710</v>
      </c>
      <c r="E109" s="0" t="n">
        <v>6</v>
      </c>
      <c r="F109" s="0" t="n">
        <v>42</v>
      </c>
      <c r="G109" s="0" t="n">
        <v>310</v>
      </c>
      <c r="H109" s="0" t="n">
        <v>2</v>
      </c>
      <c r="I109" s="0" t="n">
        <v>0.6</v>
      </c>
      <c r="J109" s="0" t="n">
        <v>165.8</v>
      </c>
      <c r="K109" s="115" t="n">
        <f aca="false">IFERROR((D109/C109)/4.5*0.25*C109,0)</f>
        <v>39.4444444444444</v>
      </c>
      <c r="L109" s="115" t="n">
        <f aca="false">IFERROR((G109/F109)/7.95*0.376*F109,0)</f>
        <v>14.6616352201258</v>
      </c>
      <c r="M109" s="117"/>
      <c r="N109" s="117"/>
      <c r="O109" s="117"/>
      <c r="X109" s="53" t="n">
        <f aca="false">D109+G109</f>
        <v>1020</v>
      </c>
      <c r="Y109" s="53" t="n">
        <f aca="false">H109+E109</f>
        <v>8</v>
      </c>
      <c r="Z109" s="53" t="n">
        <f aca="false">X109/Y109</f>
        <v>127.5</v>
      </c>
    </row>
    <row r="110" customFormat="false" ht="14.25" hidden="false" customHeight="true" outlineLevel="0" collapsed="false">
      <c r="B110" s="0" t="s">
        <v>492</v>
      </c>
      <c r="C110" s="0" t="n">
        <v>131</v>
      </c>
      <c r="D110" s="0" t="n">
        <v>539</v>
      </c>
      <c r="E110" s="0" t="n">
        <v>5</v>
      </c>
      <c r="F110" s="0" t="n">
        <v>25</v>
      </c>
      <c r="G110" s="0" t="n">
        <v>167</v>
      </c>
      <c r="H110" s="0" t="n">
        <v>1</v>
      </c>
      <c r="I110" s="0" t="n">
        <v>1</v>
      </c>
      <c r="J110" s="0" t="n">
        <v>127.9</v>
      </c>
      <c r="K110" s="115" t="n">
        <f aca="false">IFERROR((D110/C110)/4.5*0.25*C110,0)</f>
        <v>29.9444444444444</v>
      </c>
      <c r="L110" s="115" t="n">
        <f aca="false">IFERROR((G110/F110)/7.95*0.376*F110,0)</f>
        <v>7.89836477987421</v>
      </c>
      <c r="M110" s="117"/>
      <c r="N110" s="117"/>
      <c r="O110" s="117"/>
      <c r="X110" s="53" t="n">
        <f aca="false">D110+G110</f>
        <v>706</v>
      </c>
      <c r="Y110" s="53" t="n">
        <f aca="false">H110+E110</f>
        <v>6</v>
      </c>
      <c r="Z110" s="53" t="n">
        <f aca="false">X110/Y110</f>
        <v>117.666666666667</v>
      </c>
    </row>
    <row r="111" customFormat="false" ht="14.25" hidden="false" customHeight="true" outlineLevel="0" collapsed="false">
      <c r="A111" s="0" t="s">
        <v>637</v>
      </c>
      <c r="B111" s="0" t="s">
        <v>522</v>
      </c>
      <c r="C111" s="0" t="n">
        <v>150.3</v>
      </c>
      <c r="D111" s="0" t="n">
        <v>640.8</v>
      </c>
      <c r="E111" s="0" t="n">
        <v>3.1</v>
      </c>
      <c r="F111" s="0" t="n">
        <v>40.8</v>
      </c>
      <c r="G111" s="0" t="n">
        <v>301.6</v>
      </c>
      <c r="H111" s="0" t="n">
        <v>1.7</v>
      </c>
      <c r="I111" s="0" t="n">
        <v>1</v>
      </c>
      <c r="J111" s="0" t="n">
        <v>141.3</v>
      </c>
      <c r="K111" s="115" t="n">
        <f aca="false">IFERROR((D111/C111)/4.5*0.25*C111,0)</f>
        <v>35.6</v>
      </c>
      <c r="L111" s="115" t="n">
        <f aca="false">IFERROR((G111/F111)/7.95*0.376*F111,0)</f>
        <v>14.2643522012579</v>
      </c>
      <c r="M111" s="117" t="n">
        <f aca="false">C113*Scoring!$B$32+D113/Scoring!$C$32+E113*Scoring!$D$32+F113*Scoring!$E$32+G113/Scoring!$F$32+H113*Scoring!$G$32+I113*Scoring!$H$32+K113*Scoring!$I$32+RB!L113*Scoring!$J$32+U111</f>
        <v>127.5</v>
      </c>
      <c r="N111" s="117" t="n">
        <f aca="false">C111*Scoring!$B$32+D111/Scoring!$C$32+E111*Scoring!$D$32+F111*Scoring!$E$32+G111/Scoring!$F$32+H111*Scoring!$G$32+I111*Scoring!$H$32+K111*Scoring!$I$32+RB!L111*Scoring!$J$32+U111</f>
        <v>141.44</v>
      </c>
      <c r="O111" s="117" t="n">
        <f aca="false">C112*Scoring!$B$32+D112/Scoring!$C$32+E112*Scoring!$D$32+F112*Scoring!$E$32+G112/Scoring!$F$32+H112*Scoring!$G$32+I112*Scoring!$H$32+K112*Scoring!$I$32+L112*Scoring!$J$32+U111</f>
        <v>155.13</v>
      </c>
      <c r="P111" s="53" t="n">
        <f aca="false">IF(COUNTIF(Rookies!$A:$A,A111)&gt;0,1,0)</f>
        <v>0</v>
      </c>
      <c r="S111" s="53" t="n">
        <f aca="false">V111/17</f>
        <v>8.32</v>
      </c>
      <c r="T111" s="53" t="n">
        <f aca="false">IF(P111=1,MAX(0,0.258*(14.9-S111)),0)</f>
        <v>0</v>
      </c>
      <c r="U111" s="53" t="n">
        <f aca="false">T111*17</f>
        <v>0</v>
      </c>
      <c r="V111" s="53" t="n">
        <f aca="false">C111*Scoring!$B$32+D111/Scoring!$C$32+E111*Scoring!$D$32+F111*Scoring!$E$32+G111/Scoring!$F$32+H111*Scoring!$G$32+I111*Scoring!$H$32+K111*Scoring!$I$32+RB!L111*Scoring!$J$32</f>
        <v>141.44</v>
      </c>
      <c r="X111" s="53" t="n">
        <f aca="false">D111+G111</f>
        <v>942.4</v>
      </c>
      <c r="Y111" s="53" t="n">
        <f aca="false">H111+E111</f>
        <v>4.8</v>
      </c>
      <c r="Z111" s="53" t="n">
        <f aca="false">X111/Y111</f>
        <v>196.333333333333</v>
      </c>
    </row>
    <row r="112" customFormat="false" ht="14.25" hidden="false" customHeight="true" outlineLevel="0" collapsed="false">
      <c r="B112" s="0" t="s">
        <v>491</v>
      </c>
      <c r="C112" s="0" t="n">
        <v>158</v>
      </c>
      <c r="D112" s="0" t="n">
        <v>666</v>
      </c>
      <c r="E112" s="0" t="n">
        <v>3.3</v>
      </c>
      <c r="F112" s="0" t="n">
        <v>47.3</v>
      </c>
      <c r="G112" s="0" t="n">
        <v>344.8</v>
      </c>
      <c r="H112" s="0" t="n">
        <v>2.1</v>
      </c>
      <c r="I112" s="0" t="n">
        <v>1</v>
      </c>
      <c r="J112" s="0" t="n">
        <v>151.1</v>
      </c>
      <c r="K112" s="115" t="n">
        <f aca="false">IFERROR((D112/C112)/4.5*0.25*C112,0)</f>
        <v>37</v>
      </c>
      <c r="L112" s="115" t="n">
        <f aca="false">IFERROR((G112/F112)/7.95*0.376*F112,0)</f>
        <v>16.3075220125786</v>
      </c>
      <c r="M112" s="117"/>
      <c r="N112" s="117"/>
      <c r="O112" s="117"/>
      <c r="X112" s="53" t="n">
        <f aca="false">D112+G112</f>
        <v>1010.8</v>
      </c>
      <c r="Y112" s="53" t="n">
        <f aca="false">H112+E112</f>
        <v>5.4</v>
      </c>
      <c r="Z112" s="53" t="n">
        <f aca="false">X112/Y112</f>
        <v>187.185185185185</v>
      </c>
    </row>
    <row r="113" customFormat="false" ht="14.25" hidden="false" customHeight="true" outlineLevel="0" collapsed="false">
      <c r="B113" s="0" t="s">
        <v>492</v>
      </c>
      <c r="C113" s="0" t="n">
        <v>143</v>
      </c>
      <c r="D113" s="0" t="n">
        <v>602</v>
      </c>
      <c r="E113" s="0" t="n">
        <v>3</v>
      </c>
      <c r="F113" s="0" t="n">
        <v>37</v>
      </c>
      <c r="G113" s="0" t="n">
        <v>268</v>
      </c>
      <c r="H113" s="0" t="n">
        <v>1</v>
      </c>
      <c r="I113" s="0" t="n">
        <v>1</v>
      </c>
      <c r="J113" s="0" t="n">
        <v>127.4</v>
      </c>
      <c r="K113" s="115" t="n">
        <f aca="false">IFERROR((D113/C113)/4.5*0.25*C113,0)</f>
        <v>33.4444444444444</v>
      </c>
      <c r="L113" s="115" t="n">
        <f aca="false">IFERROR((G113/F113)/7.95*0.376*F113,0)</f>
        <v>12.6752201257862</v>
      </c>
      <c r="M113" s="117"/>
      <c r="N113" s="117"/>
      <c r="O113" s="117"/>
      <c r="X113" s="53" t="n">
        <f aca="false">D113+G113</f>
        <v>870</v>
      </c>
      <c r="Y113" s="53" t="n">
        <f aca="false">H113+E113</f>
        <v>4</v>
      </c>
      <c r="Z113" s="53" t="n">
        <f aca="false">X113/Y113</f>
        <v>217.5</v>
      </c>
    </row>
    <row r="114" customFormat="false" ht="14.25" hidden="false" customHeight="true" outlineLevel="0" collapsed="false">
      <c r="A114" s="0" t="s">
        <v>638</v>
      </c>
      <c r="B114" s="0" t="s">
        <v>496</v>
      </c>
      <c r="C114" s="0" t="n">
        <v>185.1</v>
      </c>
      <c r="D114" s="0" t="n">
        <v>831</v>
      </c>
      <c r="E114" s="0" t="n">
        <v>7.5</v>
      </c>
      <c r="F114" s="0" t="n">
        <v>12.3</v>
      </c>
      <c r="G114" s="0" t="n">
        <v>91.2</v>
      </c>
      <c r="H114" s="0" t="n">
        <v>0.2</v>
      </c>
      <c r="I114" s="0" t="n">
        <v>1.8</v>
      </c>
      <c r="J114" s="0" t="n">
        <v>141.1</v>
      </c>
      <c r="K114" s="115" t="n">
        <f aca="false">IFERROR((D114/C114)/4.5*0.25*C114,0)</f>
        <v>46.1666666666667</v>
      </c>
      <c r="L114" s="115" t="n">
        <f aca="false">IFERROR((G114/F114)/7.95*0.376*F114,0)</f>
        <v>4.31335849056604</v>
      </c>
      <c r="M114" s="117" t="n">
        <f aca="false">C116*Scoring!$B$32+D116/Scoring!$C$32+E116*Scoring!$D$32+F116*Scoring!$E$32+G116/Scoring!$F$32+H116*Scoring!$G$32+I116*Scoring!$H$32+K116*Scoring!$I$32+RB!L116*Scoring!$J$32+U114</f>
        <v>128.4</v>
      </c>
      <c r="N114" s="117" t="n">
        <f aca="false">C114*Scoring!$B$32+D114/Scoring!$C$32+E114*Scoring!$D$32+F114*Scoring!$E$32+G114/Scoring!$F$32+H114*Scoring!$G$32+I114*Scoring!$H$32+K114*Scoring!$I$32+RB!L114*Scoring!$J$32+U114</f>
        <v>140.97</v>
      </c>
      <c r="O114" s="117" t="n">
        <f aca="false">C115*Scoring!$B$32+D115/Scoring!$C$32+E115*Scoring!$D$32+F115*Scoring!$E$32+G115/Scoring!$F$32+H115*Scoring!$G$32+I115*Scoring!$H$32+K115*Scoring!$I$32+L115*Scoring!$J$32+U114</f>
        <v>154.97</v>
      </c>
      <c r="P114" s="53" t="n">
        <f aca="false">IF(COUNTIF(Rookies!$A:$A,A114)&gt;0,1,0)</f>
        <v>0</v>
      </c>
      <c r="S114" s="53" t="n">
        <f aca="false">V114/17</f>
        <v>8.29235294117647</v>
      </c>
      <c r="T114" s="53" t="n">
        <f aca="false">IF(P114=1,MAX(0,0.258*(14.9-S114)),0)</f>
        <v>0</v>
      </c>
      <c r="U114" s="53" t="n">
        <f aca="false">T114*17</f>
        <v>0</v>
      </c>
      <c r="V114" s="53" t="n">
        <f aca="false">C114*Scoring!$B$32+D114/Scoring!$C$32+E114*Scoring!$D$32+F114*Scoring!$E$32+G114/Scoring!$F$32+H114*Scoring!$G$32+I114*Scoring!$H$32+K114*Scoring!$I$32+RB!L114*Scoring!$J$32</f>
        <v>140.97</v>
      </c>
      <c r="X114" s="53" t="n">
        <f aca="false">D114+G114</f>
        <v>922.2</v>
      </c>
      <c r="Y114" s="53" t="n">
        <f aca="false">H114+E114</f>
        <v>7.7</v>
      </c>
      <c r="Z114" s="53" t="n">
        <f aca="false">X114/Y114</f>
        <v>119.766233766234</v>
      </c>
    </row>
    <row r="115" customFormat="false" ht="14.25" hidden="false" customHeight="true" outlineLevel="0" collapsed="false">
      <c r="B115" s="0" t="s">
        <v>491</v>
      </c>
      <c r="C115" s="0" t="n">
        <v>196.2</v>
      </c>
      <c r="D115" s="0" t="n">
        <v>859</v>
      </c>
      <c r="E115" s="0" t="n">
        <v>8</v>
      </c>
      <c r="F115" s="0" t="n">
        <v>16</v>
      </c>
      <c r="G115" s="0" t="n">
        <v>118.7</v>
      </c>
      <c r="H115" s="0" t="n">
        <v>0.7</v>
      </c>
      <c r="I115" s="0" t="n">
        <v>1.5</v>
      </c>
      <c r="J115" s="0" t="n">
        <v>149.2</v>
      </c>
      <c r="K115" s="115" t="n">
        <f aca="false">IFERROR((D115/C115)/4.5*0.25*C115,0)</f>
        <v>47.7222222222222</v>
      </c>
      <c r="L115" s="115" t="n">
        <f aca="false">IFERROR((G115/F115)/7.95*0.376*F115,0)</f>
        <v>5.61398742138365</v>
      </c>
      <c r="M115" s="117"/>
      <c r="N115" s="117"/>
      <c r="O115" s="117"/>
      <c r="X115" s="53" t="n">
        <f aca="false">D115+G115</f>
        <v>977.7</v>
      </c>
      <c r="Y115" s="53" t="n">
        <f aca="false">H115+E115</f>
        <v>8.7</v>
      </c>
      <c r="Z115" s="53" t="n">
        <f aca="false">X115/Y115</f>
        <v>112.379310344828</v>
      </c>
    </row>
    <row r="116" customFormat="false" ht="14.25" hidden="false" customHeight="true" outlineLevel="0" collapsed="false">
      <c r="B116" s="0" t="s">
        <v>492</v>
      </c>
      <c r="C116" s="0" t="n">
        <v>179</v>
      </c>
      <c r="D116" s="0" t="n">
        <v>788</v>
      </c>
      <c r="E116" s="0" t="n">
        <v>7</v>
      </c>
      <c r="F116" s="0" t="n">
        <v>9</v>
      </c>
      <c r="G116" s="0" t="n">
        <v>71</v>
      </c>
      <c r="H116" s="0" t="n">
        <v>0</v>
      </c>
      <c r="I116" s="0" t="n">
        <v>2</v>
      </c>
      <c r="J116" s="0" t="n">
        <v>131.2</v>
      </c>
      <c r="K116" s="115" t="n">
        <f aca="false">IFERROR((D116/C116)/4.5*0.25*C116,0)</f>
        <v>43.7777777777778</v>
      </c>
      <c r="L116" s="115" t="n">
        <f aca="false">IFERROR((G116/F116)/7.95*0.376*F116,0)</f>
        <v>3.35798742138365</v>
      </c>
      <c r="M116" s="117"/>
      <c r="N116" s="117"/>
      <c r="O116" s="117"/>
      <c r="X116" s="53" t="n">
        <f aca="false">D116+G116</f>
        <v>859</v>
      </c>
      <c r="Y116" s="53" t="n">
        <f aca="false">H116+E116</f>
        <v>7</v>
      </c>
      <c r="Z116" s="53" t="n">
        <f aca="false">X116/Y116</f>
        <v>122.714285714286</v>
      </c>
    </row>
    <row r="117" customFormat="false" ht="14.25" hidden="false" customHeight="true" outlineLevel="0" collapsed="false">
      <c r="A117" s="0" t="s">
        <v>639</v>
      </c>
      <c r="B117" s="0" t="s">
        <v>518</v>
      </c>
      <c r="C117" s="0" t="n">
        <v>107.6</v>
      </c>
      <c r="D117" s="0" t="n">
        <v>406.2</v>
      </c>
      <c r="E117" s="0" t="n">
        <v>4</v>
      </c>
      <c r="F117" s="0" t="n">
        <v>45.9</v>
      </c>
      <c r="G117" s="0" t="n">
        <v>341.5</v>
      </c>
      <c r="H117" s="0" t="n">
        <v>3.2</v>
      </c>
      <c r="I117" s="0" t="n">
        <v>0.7</v>
      </c>
      <c r="J117" s="0" t="n">
        <v>139.1</v>
      </c>
      <c r="K117" s="115" t="n">
        <f aca="false">IFERROR((D117/C117)/4.5*0.25*C117,0)</f>
        <v>22.5666666666667</v>
      </c>
      <c r="L117" s="115" t="n">
        <f aca="false">IFERROR((G117/F117)/7.95*0.376*F117,0)</f>
        <v>16.1514465408805</v>
      </c>
      <c r="M117" s="117" t="n">
        <f aca="false">C119*Scoring!$B$32+D119/Scoring!$C$32+E119*Scoring!$D$32+F119*Scoring!$E$32+G119/Scoring!$F$32+H119*Scoring!$G$32+I119*Scoring!$H$32+K119*Scoring!$I$32+RB!L119*Scoring!$J$32+U117</f>
        <v>117.16</v>
      </c>
      <c r="N117" s="117" t="n">
        <f aca="false">C117*Scoring!$B$32+D117/Scoring!$C$32+E117*Scoring!$D$32+F117*Scoring!$E$32+G117/Scoring!$F$32+H117*Scoring!$G$32+I117*Scoring!$H$32+K117*Scoring!$I$32+RB!L117*Scoring!$J$32+U117</f>
        <v>139.52</v>
      </c>
      <c r="O117" s="117" t="n">
        <f aca="false">C118*Scoring!$B$32+D118/Scoring!$C$32+E118*Scoring!$D$32+F118*Scoring!$E$32+G118/Scoring!$F$32+H118*Scoring!$G$32+I118*Scoring!$H$32+K118*Scoring!$I$32+L118*Scoring!$J$32+U117</f>
        <v>173.2</v>
      </c>
      <c r="P117" s="53" t="n">
        <f aca="false">IF(COUNTIF(Rookies!$A:$A,A117)&gt;0,1,0)</f>
        <v>0</v>
      </c>
      <c r="S117" s="53" t="n">
        <f aca="false">V117/17</f>
        <v>8.20705882352941</v>
      </c>
      <c r="T117" s="53" t="n">
        <f aca="false">IF(P117=1,MAX(0,0.258*(14.9-S117)),0)</f>
        <v>0</v>
      </c>
      <c r="U117" s="53" t="n">
        <f aca="false">T117*17</f>
        <v>0</v>
      </c>
      <c r="V117" s="53" t="n">
        <f aca="false">C117*Scoring!$B$32+D117/Scoring!$C$32+E117*Scoring!$D$32+F117*Scoring!$E$32+G117/Scoring!$F$32+H117*Scoring!$G$32+I117*Scoring!$H$32+K117*Scoring!$I$32+RB!L117*Scoring!$J$32</f>
        <v>139.52</v>
      </c>
      <c r="X117" s="53" t="n">
        <f aca="false">D117+G117</f>
        <v>747.7</v>
      </c>
      <c r="Y117" s="53" t="n">
        <f aca="false">H117+E117</f>
        <v>7.2</v>
      </c>
      <c r="Z117" s="53" t="n">
        <f aca="false">X117/Y117</f>
        <v>103.847222222222</v>
      </c>
    </row>
    <row r="118" customFormat="false" ht="14.25" hidden="false" customHeight="true" outlineLevel="0" collapsed="false">
      <c r="B118" s="0" t="s">
        <v>491</v>
      </c>
      <c r="C118" s="0" t="n">
        <v>149</v>
      </c>
      <c r="D118" s="0" t="n">
        <v>530</v>
      </c>
      <c r="E118" s="0" t="n">
        <v>6</v>
      </c>
      <c r="F118" s="0" t="n">
        <v>48.7</v>
      </c>
      <c r="G118" s="0" t="n">
        <v>366.5</v>
      </c>
      <c r="H118" s="0" t="n">
        <v>4</v>
      </c>
      <c r="I118" s="0" t="n">
        <v>0.4</v>
      </c>
      <c r="J118" s="0" t="n">
        <v>151</v>
      </c>
      <c r="K118" s="115" t="n">
        <f aca="false">IFERROR((D118/C118)/4.5*0.25*C118,0)</f>
        <v>29.4444444444444</v>
      </c>
      <c r="L118" s="115" t="n">
        <f aca="false">IFERROR((G118/F118)/7.95*0.376*F118,0)</f>
        <v>17.3338364779874</v>
      </c>
      <c r="M118" s="117"/>
      <c r="N118" s="117"/>
      <c r="O118" s="117"/>
      <c r="X118" s="53" t="n">
        <f aca="false">D118+G118</f>
        <v>896.5</v>
      </c>
      <c r="Y118" s="53" t="n">
        <f aca="false">H118+E118</f>
        <v>10</v>
      </c>
      <c r="Z118" s="53" t="n">
        <f aca="false">X118/Y118</f>
        <v>89.65</v>
      </c>
    </row>
    <row r="119" customFormat="false" ht="14.25" hidden="false" customHeight="true" outlineLevel="0" collapsed="false">
      <c r="B119" s="0" t="s">
        <v>492</v>
      </c>
      <c r="C119" s="0" t="n">
        <v>77.8</v>
      </c>
      <c r="D119" s="0" t="n">
        <v>315.6</v>
      </c>
      <c r="E119" s="0" t="n">
        <v>2.9</v>
      </c>
      <c r="F119" s="0" t="n">
        <v>44</v>
      </c>
      <c r="G119" s="0" t="n">
        <v>326</v>
      </c>
      <c r="H119" s="0" t="n">
        <v>2.6</v>
      </c>
      <c r="I119" s="0" t="n">
        <v>1</v>
      </c>
      <c r="J119" s="0" t="n">
        <v>123.6</v>
      </c>
      <c r="K119" s="115" t="n">
        <f aca="false">IFERROR((D119/C119)/4.5*0.25*C119,0)</f>
        <v>17.5333333333333</v>
      </c>
      <c r="L119" s="115" t="n">
        <f aca="false">IFERROR((G119/F119)/7.95*0.376*F119,0)</f>
        <v>15.4183647798742</v>
      </c>
      <c r="M119" s="117"/>
      <c r="N119" s="117"/>
      <c r="O119" s="117"/>
      <c r="X119" s="53" t="n">
        <f aca="false">D119+G119</f>
        <v>641.6</v>
      </c>
      <c r="Y119" s="53" t="n">
        <f aca="false">H119+E119</f>
        <v>5.5</v>
      </c>
      <c r="Z119" s="53" t="n">
        <f aca="false">X119/Y119</f>
        <v>116.654545454545</v>
      </c>
    </row>
    <row r="120" customFormat="false" ht="14.25" hidden="false" customHeight="true" outlineLevel="0" collapsed="false">
      <c r="A120" s="0" t="s">
        <v>640</v>
      </c>
      <c r="B120" s="0" t="s">
        <v>522</v>
      </c>
      <c r="C120" s="0" t="n">
        <v>192.9</v>
      </c>
      <c r="D120" s="0" t="n">
        <v>881.3</v>
      </c>
      <c r="E120" s="0" t="n">
        <v>6.2</v>
      </c>
      <c r="F120" s="0" t="n">
        <v>14.5</v>
      </c>
      <c r="G120" s="0" t="n">
        <v>75.8</v>
      </c>
      <c r="H120" s="0" t="n">
        <v>0.1</v>
      </c>
      <c r="I120" s="0" t="n">
        <v>1.1</v>
      </c>
      <c r="J120" s="0" t="n">
        <v>138.5</v>
      </c>
      <c r="K120" s="115" t="n">
        <f aca="false">IFERROR((D120/C120)/4.5*0.25*C120,0)</f>
        <v>48.9611111111111</v>
      </c>
      <c r="L120" s="115" t="n">
        <f aca="false">IFERROR((G120/F120)/7.95*0.376*F120,0)</f>
        <v>3.58500628930818</v>
      </c>
      <c r="M120" s="117" t="n">
        <f aca="false">C122*Scoring!$B$32+D122/Scoring!$C$32+E122*Scoring!$D$32+F122*Scoring!$E$32+G122/Scoring!$F$32+H122*Scoring!$G$32+I122*Scoring!$H$32+K122*Scoring!$I$32+RB!L122*Scoring!$J$32+U120</f>
        <v>122.9</v>
      </c>
      <c r="N120" s="117" t="n">
        <f aca="false">C120*Scoring!$B$32+D120/Scoring!$C$32+E120*Scoring!$D$32+F120*Scoring!$E$32+G120/Scoring!$F$32+H120*Scoring!$G$32+I120*Scoring!$H$32+K120*Scoring!$I$32+RB!L120*Scoring!$J$32+U120</f>
        <v>138.56</v>
      </c>
      <c r="O120" s="117" t="n">
        <f aca="false">C121*Scoring!$B$32+D121/Scoring!$C$32+E121*Scoring!$D$32+F121*Scoring!$E$32+G121/Scoring!$F$32+H121*Scoring!$G$32+I121*Scoring!$H$32+K121*Scoring!$I$32+L121*Scoring!$J$32+U120</f>
        <v>150.25</v>
      </c>
      <c r="P120" s="53" t="n">
        <f aca="false">IF(COUNTIF(Rookies!$A:$A,A120)&gt;0,1,0)</f>
        <v>0</v>
      </c>
      <c r="S120" s="53" t="n">
        <f aca="false">V120/17</f>
        <v>8.15058823529412</v>
      </c>
      <c r="T120" s="53" t="n">
        <f aca="false">IF(P120=1,MAX(0,0.258*(14.9-S120)),0)</f>
        <v>0</v>
      </c>
      <c r="U120" s="53" t="n">
        <f aca="false">T120*17</f>
        <v>0</v>
      </c>
      <c r="V120" s="53" t="n">
        <f aca="false">C120*Scoring!$B$32+D120/Scoring!$C$32+E120*Scoring!$D$32+F120*Scoring!$E$32+G120/Scoring!$F$32+H120*Scoring!$G$32+I120*Scoring!$H$32+K120*Scoring!$I$32+RB!L120*Scoring!$J$32</f>
        <v>138.56</v>
      </c>
      <c r="X120" s="53" t="n">
        <f aca="false">D120+G120</f>
        <v>957.1</v>
      </c>
      <c r="Y120" s="53" t="n">
        <f aca="false">H120+E120</f>
        <v>6.3</v>
      </c>
      <c r="Z120" s="53" t="n">
        <f aca="false">X120/Y120</f>
        <v>151.920634920635</v>
      </c>
    </row>
    <row r="121" customFormat="false" ht="14.25" hidden="false" customHeight="true" outlineLevel="0" collapsed="false">
      <c r="B121" s="0" t="s">
        <v>491</v>
      </c>
      <c r="C121" s="0" t="n">
        <v>195</v>
      </c>
      <c r="D121" s="0" t="n">
        <v>911</v>
      </c>
      <c r="E121" s="0" t="n">
        <v>7</v>
      </c>
      <c r="F121" s="0" t="n">
        <v>18</v>
      </c>
      <c r="G121" s="0" t="n">
        <v>83.5</v>
      </c>
      <c r="H121" s="0" t="n">
        <v>0.3</v>
      </c>
      <c r="I121" s="0" t="n">
        <v>1</v>
      </c>
      <c r="J121" s="0" t="n">
        <v>145.5</v>
      </c>
      <c r="K121" s="115" t="n">
        <f aca="false">IFERROR((D121/C121)/4.5*0.25*C121,0)</f>
        <v>50.6111111111111</v>
      </c>
      <c r="L121" s="115" t="n">
        <f aca="false">IFERROR((G121/F121)/7.95*0.376*F121,0)</f>
        <v>3.94918238993711</v>
      </c>
      <c r="M121" s="117"/>
      <c r="N121" s="117"/>
      <c r="O121" s="117"/>
      <c r="X121" s="53" t="n">
        <f aca="false">D121+G121</f>
        <v>994.5</v>
      </c>
      <c r="Y121" s="53" t="n">
        <f aca="false">H121+E121</f>
        <v>7.3</v>
      </c>
      <c r="Z121" s="53" t="n">
        <f aca="false">X121/Y121</f>
        <v>136.232876712329</v>
      </c>
    </row>
    <row r="122" customFormat="false" ht="14.25" hidden="false" customHeight="true" outlineLevel="0" collapsed="false">
      <c r="B122" s="0" t="s">
        <v>492</v>
      </c>
      <c r="C122" s="0" t="n">
        <v>189</v>
      </c>
      <c r="D122" s="0" t="n">
        <v>831</v>
      </c>
      <c r="E122" s="0" t="n">
        <v>5</v>
      </c>
      <c r="F122" s="0" t="n">
        <v>12</v>
      </c>
      <c r="G122" s="0" t="n">
        <v>62</v>
      </c>
      <c r="H122" s="0" t="n">
        <v>0</v>
      </c>
      <c r="I122" s="0" t="n">
        <v>1.2</v>
      </c>
      <c r="J122" s="0" t="n">
        <v>132.5</v>
      </c>
      <c r="K122" s="115" t="n">
        <f aca="false">IFERROR((D122/C122)/4.5*0.25*C122,0)</f>
        <v>46.1666666666667</v>
      </c>
      <c r="L122" s="115" t="n">
        <f aca="false">IFERROR((G122/F122)/7.95*0.376*F122,0)</f>
        <v>2.93232704402516</v>
      </c>
      <c r="M122" s="117"/>
      <c r="N122" s="117"/>
      <c r="O122" s="117"/>
      <c r="X122" s="53" t="n">
        <f aca="false">D122+G122</f>
        <v>893</v>
      </c>
      <c r="Y122" s="53" t="n">
        <f aca="false">H122+E122</f>
        <v>5</v>
      </c>
      <c r="Z122" s="53" t="n">
        <f aca="false">X122/Y122</f>
        <v>178.6</v>
      </c>
    </row>
    <row r="123" customFormat="false" ht="14.25" hidden="false" customHeight="true" outlineLevel="0" collapsed="false">
      <c r="A123" s="0" t="s">
        <v>641</v>
      </c>
      <c r="B123" s="0" t="s">
        <v>520</v>
      </c>
      <c r="C123" s="0" t="n">
        <v>172</v>
      </c>
      <c r="D123" s="0" t="n">
        <v>822.9</v>
      </c>
      <c r="E123" s="0" t="n">
        <v>6.4</v>
      </c>
      <c r="F123" s="0" t="n">
        <v>11.9</v>
      </c>
      <c r="G123" s="0" t="n">
        <v>80.6</v>
      </c>
      <c r="H123" s="0" t="n">
        <v>0.2</v>
      </c>
      <c r="I123" s="0" t="n">
        <v>0.7</v>
      </c>
      <c r="J123" s="0" t="n">
        <v>134.8</v>
      </c>
      <c r="K123" s="115" t="n">
        <f aca="false">IFERROR((D123/C123)/4.5*0.25*C123,0)</f>
        <v>45.7166666666667</v>
      </c>
      <c r="L123" s="115" t="n">
        <f aca="false">IFERROR((G123/F123)/7.95*0.376*F123,0)</f>
        <v>3.8120251572327</v>
      </c>
      <c r="M123" s="117" t="n">
        <f aca="false">C125*Scoring!$B$32+D125/Scoring!$C$32+E125*Scoring!$D$32+F125*Scoring!$E$32+G125/Scoring!$F$32+H125*Scoring!$G$32+I125*Scoring!$H$32+K125*Scoring!$I$32+RB!L125*Scoring!$J$32+U123</f>
        <v>115.1</v>
      </c>
      <c r="N123" s="117" t="n">
        <f aca="false">C123*Scoring!$B$32+D123/Scoring!$C$32+E123*Scoring!$D$32+F123*Scoring!$E$32+G123/Scoring!$F$32+H123*Scoring!$G$32+I123*Scoring!$H$32+K123*Scoring!$I$32+RB!L123*Scoring!$J$32+U123</f>
        <v>134.5</v>
      </c>
      <c r="O123" s="117" t="n">
        <f aca="false">C124*Scoring!$B$32+D124/Scoring!$C$32+E124*Scoring!$D$32+F124*Scoring!$E$32+G124/Scoring!$F$32+H124*Scoring!$G$32+I124*Scoring!$H$32+K124*Scoring!$I$32+L124*Scoring!$J$32+U123</f>
        <v>155.32</v>
      </c>
      <c r="P123" s="53" t="n">
        <f aca="false">IF(COUNTIF(Rookies!$A:$A,A123)&gt;0,1,0)</f>
        <v>0</v>
      </c>
      <c r="S123" s="53" t="n">
        <f aca="false">V123/17</f>
        <v>7.91176470588235</v>
      </c>
      <c r="T123" s="53" t="n">
        <f aca="false">IF(P123=1,MAX(0,0.258*(14.9-S123)),0)</f>
        <v>0</v>
      </c>
      <c r="U123" s="53" t="n">
        <f aca="false">T123*17</f>
        <v>0</v>
      </c>
      <c r="V123" s="53" t="n">
        <f aca="false">C123*Scoring!$B$32+D123/Scoring!$C$32+E123*Scoring!$D$32+F123*Scoring!$E$32+G123/Scoring!$F$32+H123*Scoring!$G$32+I123*Scoring!$H$32+K123*Scoring!$I$32+RB!L123*Scoring!$J$32</f>
        <v>134.5</v>
      </c>
      <c r="X123" s="53" t="n">
        <f aca="false">D123+G123</f>
        <v>903.5</v>
      </c>
      <c r="Y123" s="53" t="n">
        <f aca="false">H123+E123</f>
        <v>6.6</v>
      </c>
      <c r="Z123" s="53" t="n">
        <f aca="false">X123/Y123</f>
        <v>136.893939393939</v>
      </c>
    </row>
    <row r="124" customFormat="false" ht="14.25" hidden="false" customHeight="true" outlineLevel="0" collapsed="false">
      <c r="B124" s="0" t="s">
        <v>491</v>
      </c>
      <c r="C124" s="0" t="n">
        <v>181.9</v>
      </c>
      <c r="D124" s="0" t="n">
        <v>887</v>
      </c>
      <c r="E124" s="0" t="n">
        <v>7.3</v>
      </c>
      <c r="F124" s="0" t="n">
        <v>16.7</v>
      </c>
      <c r="G124" s="0" t="n">
        <v>116.7</v>
      </c>
      <c r="H124" s="0" t="n">
        <v>0.6</v>
      </c>
      <c r="I124" s="0" t="n">
        <v>0.4</v>
      </c>
      <c r="J124" s="0" t="n">
        <v>148.5</v>
      </c>
      <c r="K124" s="115" t="n">
        <f aca="false">IFERROR((D124/C124)/4.5*0.25*C124,0)</f>
        <v>49.2777777777778</v>
      </c>
      <c r="L124" s="115" t="n">
        <f aca="false">IFERROR((G124/F124)/7.95*0.376*F124,0)</f>
        <v>5.51939622641509</v>
      </c>
      <c r="M124" s="117"/>
      <c r="N124" s="117"/>
      <c r="O124" s="117"/>
      <c r="X124" s="53" t="n">
        <f aca="false">D124+G124</f>
        <v>1003.7</v>
      </c>
      <c r="Y124" s="53" t="n">
        <f aca="false">H124+E124</f>
        <v>7.9</v>
      </c>
      <c r="Z124" s="53" t="n">
        <f aca="false">X124/Y124</f>
        <v>127.050632911392</v>
      </c>
    </row>
    <row r="125" customFormat="false" ht="14.25" hidden="false" customHeight="true" outlineLevel="0" collapsed="false">
      <c r="B125" s="0" t="s">
        <v>492</v>
      </c>
      <c r="C125" s="0" t="n">
        <v>159</v>
      </c>
      <c r="D125" s="0" t="n">
        <v>745</v>
      </c>
      <c r="E125" s="0" t="n">
        <v>6</v>
      </c>
      <c r="F125" s="0" t="n">
        <v>6</v>
      </c>
      <c r="G125" s="0" t="n">
        <v>36</v>
      </c>
      <c r="H125" s="0" t="n">
        <v>0</v>
      </c>
      <c r="I125" s="0" t="n">
        <v>1</v>
      </c>
      <c r="J125" s="0" t="n">
        <v>122</v>
      </c>
      <c r="K125" s="115" t="n">
        <f aca="false">IFERROR((D125/C125)/4.5*0.25*C125,0)</f>
        <v>41.3888888888889</v>
      </c>
      <c r="L125" s="115" t="n">
        <f aca="false">IFERROR((G125/F125)/7.95*0.376*F125,0)</f>
        <v>1.70264150943396</v>
      </c>
      <c r="M125" s="117"/>
      <c r="N125" s="117"/>
      <c r="O125" s="117"/>
      <c r="X125" s="53" t="n">
        <f aca="false">D125+G125</f>
        <v>781</v>
      </c>
      <c r="Y125" s="53" t="n">
        <f aca="false">H125+E125</f>
        <v>6</v>
      </c>
      <c r="Z125" s="53" t="n">
        <f aca="false">X125/Y125</f>
        <v>130.166666666667</v>
      </c>
    </row>
    <row r="126" customFormat="false" ht="14.25" hidden="false" customHeight="true" outlineLevel="0" collapsed="false">
      <c r="A126" s="0" t="s">
        <v>642</v>
      </c>
      <c r="B126" s="0" t="s">
        <v>530</v>
      </c>
      <c r="C126" s="0" t="n">
        <v>151.6</v>
      </c>
      <c r="D126" s="0" t="n">
        <v>615.5</v>
      </c>
      <c r="E126" s="0" t="n">
        <v>5.9</v>
      </c>
      <c r="F126" s="0" t="n">
        <v>19.9</v>
      </c>
      <c r="G126" s="0" t="n">
        <v>158.4</v>
      </c>
      <c r="H126" s="0" t="n">
        <v>1</v>
      </c>
      <c r="I126" s="0" t="n">
        <v>1</v>
      </c>
      <c r="J126" s="0" t="n">
        <v>126.7</v>
      </c>
      <c r="K126" s="115" t="n">
        <f aca="false">IFERROR((D126/C126)/4.5*0.25*C126,0)</f>
        <v>34.1944444444444</v>
      </c>
      <c r="L126" s="115" t="n">
        <f aca="false">IFERROR((G126/F126)/7.95*0.376*F126,0)</f>
        <v>7.49162264150943</v>
      </c>
      <c r="M126" s="117" t="n">
        <f aca="false">C128*Scoring!$B$32+D128/Scoring!$C$32+E128*Scoring!$D$32+F128*Scoring!$E$32+G128/Scoring!$F$32+H128*Scoring!$G$32+I128*Scoring!$H$32+K128*Scoring!$I$32+RB!L128*Scoring!$J$32+U126</f>
        <v>98.2</v>
      </c>
      <c r="N126" s="117" t="n">
        <f aca="false">C126*Scoring!$B$32+D126/Scoring!$C$32+E126*Scoring!$D$32+F126*Scoring!$E$32+G126/Scoring!$F$32+H126*Scoring!$G$32+I126*Scoring!$H$32+K126*Scoring!$I$32+RB!L126*Scoring!$J$32+U126</f>
        <v>126.74</v>
      </c>
      <c r="O126" s="117" t="n">
        <f aca="false">C127*Scoring!$B$32+D127/Scoring!$C$32+E127*Scoring!$D$32+F127*Scoring!$E$32+G127/Scoring!$F$32+H127*Scoring!$G$32+I127*Scoring!$H$32+K127*Scoring!$I$32+L127*Scoring!$J$32+U126</f>
        <v>152.22</v>
      </c>
      <c r="P126" s="53" t="n">
        <f aca="false">IF(COUNTIF(Rookies!$A:$A,A126)&gt;0,1,0)</f>
        <v>0</v>
      </c>
      <c r="S126" s="53" t="n">
        <f aca="false">V126/17</f>
        <v>7.45529411764706</v>
      </c>
      <c r="T126" s="53" t="n">
        <f aca="false">IF(P126=1,MAX(0,0.258*(14.9-S126)),0)</f>
        <v>0</v>
      </c>
      <c r="U126" s="53" t="n">
        <f aca="false">T126*17</f>
        <v>0</v>
      </c>
      <c r="V126" s="53" t="n">
        <f aca="false">C126*Scoring!$B$32+D126/Scoring!$C$32+E126*Scoring!$D$32+F126*Scoring!$E$32+G126/Scoring!$F$32+H126*Scoring!$G$32+I126*Scoring!$H$32+K126*Scoring!$I$32+RB!L126*Scoring!$J$32</f>
        <v>126.74</v>
      </c>
      <c r="X126" s="53" t="n">
        <f aca="false">D126+G126</f>
        <v>773.9</v>
      </c>
      <c r="Y126" s="53" t="n">
        <f aca="false">H126+E126</f>
        <v>6.9</v>
      </c>
      <c r="Z126" s="53" t="n">
        <f aca="false">X126/Y126</f>
        <v>112.159420289855</v>
      </c>
    </row>
    <row r="127" customFormat="false" ht="14.25" hidden="false" customHeight="true" outlineLevel="0" collapsed="false">
      <c r="B127" s="0" t="s">
        <v>491</v>
      </c>
      <c r="C127" s="0" t="n">
        <v>174.9</v>
      </c>
      <c r="D127" s="0" t="n">
        <v>718.5</v>
      </c>
      <c r="E127" s="0" t="n">
        <v>7.6</v>
      </c>
      <c r="F127" s="0" t="n">
        <v>23.7</v>
      </c>
      <c r="G127" s="0" t="n">
        <v>183.2</v>
      </c>
      <c r="H127" s="0" t="n">
        <v>1.1</v>
      </c>
      <c r="I127" s="0" t="n">
        <v>1</v>
      </c>
      <c r="J127" s="0" t="n">
        <v>150.7</v>
      </c>
      <c r="K127" s="115" t="n">
        <f aca="false">IFERROR((D127/C127)/4.5*0.25*C127,0)</f>
        <v>39.9166666666667</v>
      </c>
      <c r="L127" s="115" t="n">
        <f aca="false">IFERROR((G127/F127)/7.95*0.376*F127,0)</f>
        <v>8.6645534591195</v>
      </c>
      <c r="M127" s="117"/>
      <c r="N127" s="117"/>
      <c r="O127" s="117"/>
      <c r="X127" s="53" t="n">
        <f aca="false">D127+G127</f>
        <v>901.7</v>
      </c>
      <c r="Y127" s="53" t="n">
        <f aca="false">H127+E127</f>
        <v>8.7</v>
      </c>
      <c r="Z127" s="53" t="n">
        <f aca="false">X127/Y127</f>
        <v>103.64367816092</v>
      </c>
    </row>
    <row r="128" customFormat="false" ht="14.25" hidden="false" customHeight="true" outlineLevel="0" collapsed="false">
      <c r="B128" s="0" t="s">
        <v>492</v>
      </c>
      <c r="C128" s="0" t="n">
        <v>128</v>
      </c>
      <c r="D128" s="0" t="n">
        <v>506</v>
      </c>
      <c r="E128" s="0" t="n">
        <v>4</v>
      </c>
      <c r="F128" s="0" t="n">
        <v>15</v>
      </c>
      <c r="G128" s="0" t="n">
        <v>121</v>
      </c>
      <c r="H128" s="0" t="n">
        <v>1</v>
      </c>
      <c r="I128" s="0" t="n">
        <v>1</v>
      </c>
      <c r="J128" s="0" t="n">
        <v>100.9</v>
      </c>
      <c r="K128" s="115" t="n">
        <f aca="false">IFERROR((D128/C128)/4.5*0.25*C128,0)</f>
        <v>28.1111111111111</v>
      </c>
      <c r="L128" s="115" t="n">
        <f aca="false">IFERROR((G128/F128)/7.95*0.376*F128,0)</f>
        <v>5.72276729559748</v>
      </c>
      <c r="M128" s="117"/>
      <c r="N128" s="117"/>
      <c r="O128" s="117"/>
      <c r="X128" s="53" t="n">
        <f aca="false">D128+G128</f>
        <v>627</v>
      </c>
      <c r="Y128" s="53" t="n">
        <f aca="false">H128+E128</f>
        <v>5</v>
      </c>
      <c r="Z128" s="53" t="n">
        <f aca="false">X128/Y128</f>
        <v>125.4</v>
      </c>
    </row>
    <row r="129" customFormat="false" ht="14.25" hidden="false" customHeight="true" outlineLevel="0" collapsed="false">
      <c r="A129" s="0" t="s">
        <v>643</v>
      </c>
      <c r="B129" s="0" t="s">
        <v>544</v>
      </c>
      <c r="C129" s="0" t="n">
        <v>94.8</v>
      </c>
      <c r="D129" s="0" t="n">
        <v>379.1</v>
      </c>
      <c r="E129" s="0" t="n">
        <v>3</v>
      </c>
      <c r="F129" s="0" t="n">
        <v>45.8</v>
      </c>
      <c r="G129" s="0" t="n">
        <v>306</v>
      </c>
      <c r="H129" s="0" t="n">
        <v>1.2</v>
      </c>
      <c r="I129" s="0" t="n">
        <v>0.7</v>
      </c>
      <c r="J129" s="0" t="n">
        <v>115.1</v>
      </c>
      <c r="K129" s="115" t="n">
        <f aca="false">IFERROR((D129/C129)/4.5*0.25*C129,0)</f>
        <v>21.0611111111111</v>
      </c>
      <c r="L129" s="115" t="n">
        <f aca="false">IFERROR((G129/F129)/7.95*0.376*F129,0)</f>
        <v>14.4724528301887</v>
      </c>
      <c r="M129" s="117" t="n">
        <f aca="false">C131*Scoring!$B$32+D131/Scoring!$C$32+E131*Scoring!$D$32+F131*Scoring!$E$32+G131/Scoring!$F$32+H131*Scoring!$G$32+I131*Scoring!$H$32+K131*Scoring!$I$32+RB!L131*Scoring!$J$32+U129</f>
        <v>94.9</v>
      </c>
      <c r="N129" s="117" t="n">
        <f aca="false">C129*Scoring!$B$32+D129/Scoring!$C$32+E129*Scoring!$D$32+F129*Scoring!$E$32+G129/Scoring!$F$32+H129*Scoring!$G$32+I129*Scoring!$H$32+K129*Scoring!$I$32+RB!L129*Scoring!$J$32+U129</f>
        <v>115.21</v>
      </c>
      <c r="O129" s="117" t="n">
        <f aca="false">C130*Scoring!$B$32+D130/Scoring!$C$32+E130*Scoring!$D$32+F130*Scoring!$E$32+G130/Scoring!$F$32+H130*Scoring!$G$32+I130*Scoring!$H$32+K130*Scoring!$I$32+L130*Scoring!$J$32+U129</f>
        <v>135.83</v>
      </c>
      <c r="P129" s="53" t="n">
        <f aca="false">IF(COUNTIF(Rookies!$A:$A,A129)&gt;0,1,0)</f>
        <v>0</v>
      </c>
      <c r="S129" s="53" t="n">
        <f aca="false">V129/17</f>
        <v>6.77705882352941</v>
      </c>
      <c r="T129" s="53" t="n">
        <f aca="false">IF(P129=1,MAX(0,0.258*(14.9-S129)),0)</f>
        <v>0</v>
      </c>
      <c r="U129" s="53" t="n">
        <f aca="false">T129*17</f>
        <v>0</v>
      </c>
      <c r="V129" s="53" t="n">
        <f aca="false">C129*Scoring!$B$32+D129/Scoring!$C$32+E129*Scoring!$D$32+F129*Scoring!$E$32+G129/Scoring!$F$32+H129*Scoring!$G$32+I129*Scoring!$H$32+K129*Scoring!$I$32+RB!L129*Scoring!$J$32</f>
        <v>115.21</v>
      </c>
      <c r="X129" s="53" t="n">
        <f aca="false">D129+G129</f>
        <v>685.1</v>
      </c>
      <c r="Y129" s="53" t="n">
        <f aca="false">H129+E129</f>
        <v>4.2</v>
      </c>
      <c r="Z129" s="53" t="n">
        <f aca="false">X129/Y129</f>
        <v>163.119047619048</v>
      </c>
    </row>
    <row r="130" customFormat="false" ht="14.25" hidden="false" customHeight="true" outlineLevel="0" collapsed="false">
      <c r="B130" s="0" t="s">
        <v>491</v>
      </c>
      <c r="C130" s="0" t="n">
        <v>105.5</v>
      </c>
      <c r="D130" s="0" t="n">
        <v>446.2</v>
      </c>
      <c r="E130" s="0" t="n">
        <v>4</v>
      </c>
      <c r="F130" s="0" t="n">
        <v>50</v>
      </c>
      <c r="G130" s="0" t="n">
        <v>336.1</v>
      </c>
      <c r="H130" s="0" t="n">
        <v>1.6</v>
      </c>
      <c r="I130" s="0" t="n">
        <v>0.5</v>
      </c>
      <c r="J130" s="0" t="n">
        <v>127.7</v>
      </c>
      <c r="K130" s="115" t="n">
        <f aca="false">IFERROR((D130/C130)/4.5*0.25*C130,0)</f>
        <v>24.7888888888889</v>
      </c>
      <c r="L130" s="115" t="n">
        <f aca="false">IFERROR((G130/F130)/7.95*0.376*F130,0)</f>
        <v>15.8960503144654</v>
      </c>
      <c r="M130" s="117"/>
      <c r="N130" s="117"/>
      <c r="O130" s="117"/>
      <c r="X130" s="53" t="n">
        <f aca="false">D130+G130</f>
        <v>782.3</v>
      </c>
      <c r="Y130" s="53" t="n">
        <f aca="false">H130+E130</f>
        <v>5.6</v>
      </c>
      <c r="Z130" s="53" t="n">
        <f aca="false">X130/Y130</f>
        <v>139.696428571429</v>
      </c>
    </row>
    <row r="131" customFormat="false" ht="14.25" hidden="false" customHeight="true" outlineLevel="0" collapsed="false">
      <c r="B131" s="0" t="s">
        <v>492</v>
      </c>
      <c r="C131" s="0" t="n">
        <v>86</v>
      </c>
      <c r="D131" s="0" t="n">
        <v>344</v>
      </c>
      <c r="E131" s="0" t="n">
        <v>2</v>
      </c>
      <c r="F131" s="0" t="n">
        <v>38</v>
      </c>
      <c r="G131" s="0" t="n">
        <v>255</v>
      </c>
      <c r="H131" s="0" t="n">
        <v>1</v>
      </c>
      <c r="I131" s="0" t="n">
        <v>1</v>
      </c>
      <c r="J131" s="0" t="n">
        <v>101.9</v>
      </c>
      <c r="K131" s="115" t="n">
        <f aca="false">IFERROR((D131/C131)/4.5*0.25*C131,0)</f>
        <v>19.1111111111111</v>
      </c>
      <c r="L131" s="115" t="n">
        <f aca="false">IFERROR((G131/F131)/7.95*0.376*F131,0)</f>
        <v>12.0603773584906</v>
      </c>
      <c r="M131" s="117"/>
      <c r="N131" s="117"/>
      <c r="O131" s="117"/>
      <c r="X131" s="53" t="n">
        <f aca="false">D131+G131</f>
        <v>599</v>
      </c>
      <c r="Y131" s="53" t="n">
        <f aca="false">H131+E131</f>
        <v>3</v>
      </c>
      <c r="Z131" s="53" t="n">
        <f aca="false">X131/Y131</f>
        <v>199.666666666667</v>
      </c>
    </row>
    <row r="132" customFormat="false" ht="14.25" hidden="false" customHeight="true" outlineLevel="0" collapsed="false">
      <c r="A132" s="0" t="s">
        <v>644</v>
      </c>
      <c r="B132" s="0" t="s">
        <v>538</v>
      </c>
      <c r="C132" s="0" t="n">
        <v>145.5</v>
      </c>
      <c r="D132" s="0" t="n">
        <v>567.3</v>
      </c>
      <c r="E132" s="0" t="n">
        <v>2.7</v>
      </c>
      <c r="F132" s="0" t="n">
        <v>24.1</v>
      </c>
      <c r="G132" s="0" t="n">
        <v>197.2</v>
      </c>
      <c r="H132" s="0" t="n">
        <v>1.8</v>
      </c>
      <c r="I132" s="0" t="n">
        <v>0.8</v>
      </c>
      <c r="J132" s="0" t="n">
        <v>113.7</v>
      </c>
      <c r="K132" s="115" t="n">
        <f aca="false">IFERROR((D132/C132)/4.5*0.25*C132,0)</f>
        <v>31.5166666666667</v>
      </c>
      <c r="L132" s="115" t="n">
        <f aca="false">IFERROR((G132/F132)/7.95*0.376*F132,0)</f>
        <v>9.32669182389937</v>
      </c>
      <c r="M132" s="117" t="n">
        <f aca="false">C134*Scoring!$B$32+D134/Scoring!$C$32+E134*Scoring!$D$32+F134*Scoring!$E$32+G134/Scoring!$F$32+H134*Scoring!$G$32+I134*Scoring!$H$32+K134*Scoring!$I$32+RB!L134*Scoring!$J$32+U132</f>
        <v>97.1</v>
      </c>
      <c r="N132" s="117" t="n">
        <f aca="false">C132*Scoring!$B$32+D132/Scoring!$C$32+E132*Scoring!$D$32+F132*Scoring!$E$32+G132/Scoring!$F$32+H132*Scoring!$G$32+I132*Scoring!$H$32+K132*Scoring!$I$32+RB!L132*Scoring!$J$32+U132</f>
        <v>113.9</v>
      </c>
      <c r="O132" s="117" t="n">
        <f aca="false">C133*Scoring!$B$32+D133/Scoring!$C$32+E133*Scoring!$D$32+F133*Scoring!$E$32+G133/Scoring!$F$32+H133*Scoring!$G$32+I133*Scoring!$H$32+K133*Scoring!$I$32+L133*Scoring!$J$32+U132</f>
        <v>131.48</v>
      </c>
      <c r="P132" s="53" t="n">
        <f aca="false">IF(COUNTIF(Rookies!$A:$A,A132)&gt;0,1,0)</f>
        <v>0</v>
      </c>
      <c r="S132" s="53" t="n">
        <f aca="false">V132/17</f>
        <v>6.7</v>
      </c>
      <c r="T132" s="53" t="n">
        <f aca="false">IF(P132=1,MAX(0,0.258*(14.9-S132)),0)</f>
        <v>0</v>
      </c>
      <c r="U132" s="53" t="n">
        <f aca="false">T132*17</f>
        <v>0</v>
      </c>
      <c r="V132" s="53" t="n">
        <f aca="false">C132*Scoring!$B$32+D132/Scoring!$C$32+E132*Scoring!$D$32+F132*Scoring!$E$32+G132/Scoring!$F$32+H132*Scoring!$G$32+I132*Scoring!$H$32+K132*Scoring!$I$32+RB!L132*Scoring!$J$32</f>
        <v>113.9</v>
      </c>
      <c r="X132" s="53" t="n">
        <f aca="false">D132+G132</f>
        <v>764.5</v>
      </c>
      <c r="Y132" s="53" t="n">
        <f aca="false">H132+E132</f>
        <v>4.5</v>
      </c>
      <c r="Z132" s="53" t="n">
        <f aca="false">X132/Y132</f>
        <v>169.888888888889</v>
      </c>
    </row>
    <row r="133" customFormat="false" ht="14.25" hidden="false" customHeight="true" outlineLevel="0" collapsed="false">
      <c r="B133" s="0" t="s">
        <v>491</v>
      </c>
      <c r="C133" s="0" t="n">
        <v>151.4</v>
      </c>
      <c r="D133" s="0" t="n">
        <v>613.8</v>
      </c>
      <c r="E133" s="0" t="n">
        <v>3.1</v>
      </c>
      <c r="F133" s="0" t="n">
        <v>27</v>
      </c>
      <c r="G133" s="0" t="n">
        <v>214</v>
      </c>
      <c r="H133" s="0" t="n">
        <v>3</v>
      </c>
      <c r="I133" s="0" t="n">
        <v>0.7</v>
      </c>
      <c r="J133" s="0" t="n">
        <v>119.6</v>
      </c>
      <c r="K133" s="115" t="n">
        <f aca="false">IFERROR((D133/C133)/4.5*0.25*C133,0)</f>
        <v>34.1</v>
      </c>
      <c r="L133" s="115" t="n">
        <f aca="false">IFERROR((G133/F133)/7.95*0.376*F133,0)</f>
        <v>10.1212578616352</v>
      </c>
      <c r="M133" s="117"/>
      <c r="N133" s="117"/>
      <c r="O133" s="117"/>
      <c r="X133" s="53" t="n">
        <f aca="false">D133+G133</f>
        <v>827.8</v>
      </c>
      <c r="Y133" s="53" t="n">
        <f aca="false">H133+E133</f>
        <v>6.1</v>
      </c>
      <c r="Z133" s="53" t="n">
        <f aca="false">X133/Y133</f>
        <v>135.704918032787</v>
      </c>
    </row>
    <row r="134" customFormat="false" ht="14.25" hidden="false" customHeight="true" outlineLevel="0" collapsed="false">
      <c r="B134" s="0" t="s">
        <v>492</v>
      </c>
      <c r="C134" s="0" t="n">
        <v>135</v>
      </c>
      <c r="D134" s="0" t="n">
        <v>527</v>
      </c>
      <c r="E134" s="0" t="n">
        <v>2</v>
      </c>
      <c r="F134" s="0" t="n">
        <v>21</v>
      </c>
      <c r="G134" s="0" t="n">
        <v>179</v>
      </c>
      <c r="H134" s="0" t="n">
        <v>1</v>
      </c>
      <c r="I134" s="0" t="n">
        <v>1</v>
      </c>
      <c r="J134" s="0" t="n">
        <v>105</v>
      </c>
      <c r="K134" s="115" t="n">
        <f aca="false">IFERROR((D134/C134)/4.5*0.25*C134,0)</f>
        <v>29.2777777777778</v>
      </c>
      <c r="L134" s="115" t="n">
        <f aca="false">IFERROR((G134/F134)/7.95*0.376*F134,0)</f>
        <v>8.46591194968553</v>
      </c>
      <c r="M134" s="117"/>
      <c r="N134" s="117"/>
      <c r="O134" s="117"/>
      <c r="X134" s="53" t="n">
        <f aca="false">D134+G134</f>
        <v>706</v>
      </c>
      <c r="Y134" s="53" t="n">
        <f aca="false">H134+E134</f>
        <v>3</v>
      </c>
      <c r="Z134" s="53" t="n">
        <f aca="false">X134/Y134</f>
        <v>235.333333333333</v>
      </c>
    </row>
    <row r="135" customFormat="false" ht="14.25" hidden="false" customHeight="true" outlineLevel="0" collapsed="false">
      <c r="A135" s="0" t="s">
        <v>645</v>
      </c>
      <c r="B135" s="0" t="s">
        <v>536</v>
      </c>
      <c r="C135" s="0" t="n">
        <v>125.9</v>
      </c>
      <c r="D135" s="0" t="n">
        <v>513.8</v>
      </c>
      <c r="E135" s="0" t="n">
        <v>5.3</v>
      </c>
      <c r="F135" s="0" t="n">
        <v>18.4</v>
      </c>
      <c r="G135" s="0" t="n">
        <v>136.3</v>
      </c>
      <c r="H135" s="0" t="n">
        <v>0.5</v>
      </c>
      <c r="I135" s="0" t="n">
        <v>0.7</v>
      </c>
      <c r="J135" s="0" t="n">
        <v>107.5</v>
      </c>
      <c r="K135" s="115" t="n">
        <f aca="false">IFERROR((D135/C135)/4.5*0.25*C135,0)</f>
        <v>28.5444444444444</v>
      </c>
      <c r="L135" s="115" t="n">
        <f aca="false">IFERROR((G135/F135)/7.95*0.376*F135,0)</f>
        <v>6.44638993710692</v>
      </c>
      <c r="M135" s="117" t="n">
        <f aca="false">C137*Scoring!$B$32+D137/Scoring!$C$32+E137*Scoring!$D$32+F137*Scoring!$E$32+G137/Scoring!$F$32+H137*Scoring!$G$32+I137*Scoring!$H$32+K137*Scoring!$I$32+RB!L137*Scoring!$J$32+U135</f>
        <v>81.8</v>
      </c>
      <c r="N135" s="117" t="n">
        <f aca="false">C135*Scoring!$B$32+D135/Scoring!$C$32+E135*Scoring!$D$32+F135*Scoring!$E$32+G135/Scoring!$F$32+H135*Scoring!$G$32+I135*Scoring!$H$32+K135*Scoring!$I$32+RB!L135*Scoring!$J$32+U135</f>
        <v>107.61</v>
      </c>
      <c r="O135" s="117" t="n">
        <f aca="false">C136*Scoring!$B$32+D136/Scoring!$C$32+E136*Scoring!$D$32+F136*Scoring!$E$32+G136/Scoring!$F$32+H136*Scoring!$G$32+I136*Scoring!$H$32+K136*Scoring!$I$32+L136*Scoring!$J$32+U135</f>
        <v>126.98</v>
      </c>
      <c r="P135" s="53" t="n">
        <f aca="false">IF(COUNTIF(Rookies!$A:$A,A135)&gt;0,1,0)</f>
        <v>0</v>
      </c>
      <c r="S135" s="53" t="n">
        <f aca="false">V135/17</f>
        <v>6.33</v>
      </c>
      <c r="T135" s="53" t="n">
        <f aca="false">IF(P135=1,MAX(0,0.258*(14.9-S135)),0)</f>
        <v>0</v>
      </c>
      <c r="U135" s="53" t="n">
        <f aca="false">T135*17</f>
        <v>0</v>
      </c>
      <c r="V135" s="53" t="n">
        <f aca="false">C135*Scoring!$B$32+D135/Scoring!$C$32+E135*Scoring!$D$32+F135*Scoring!$E$32+G135/Scoring!$F$32+H135*Scoring!$G$32+I135*Scoring!$H$32+K135*Scoring!$I$32+RB!L135*Scoring!$J$32</f>
        <v>107.61</v>
      </c>
      <c r="X135" s="53" t="n">
        <f aca="false">D135+G135</f>
        <v>650.1</v>
      </c>
      <c r="Y135" s="53" t="n">
        <f aca="false">H135+E135</f>
        <v>5.8</v>
      </c>
      <c r="Z135" s="53" t="n">
        <f aca="false">X135/Y135</f>
        <v>112.086206896552</v>
      </c>
    </row>
    <row r="136" customFormat="false" ht="14.25" hidden="false" customHeight="true" outlineLevel="0" collapsed="false">
      <c r="B136" s="0" t="s">
        <v>491</v>
      </c>
      <c r="C136" s="0" t="n">
        <v>136.6</v>
      </c>
      <c r="D136" s="0" t="n">
        <v>555.3</v>
      </c>
      <c r="E136" s="0" t="n">
        <v>6.9</v>
      </c>
      <c r="F136" s="0" t="n">
        <v>20.3</v>
      </c>
      <c r="G136" s="0" t="n">
        <v>145</v>
      </c>
      <c r="H136" s="0" t="n">
        <v>1</v>
      </c>
      <c r="I136" s="0" t="n">
        <v>0.3</v>
      </c>
      <c r="J136" s="0" t="n">
        <v>122.9</v>
      </c>
      <c r="K136" s="115" t="n">
        <f aca="false">IFERROR((D136/C136)/4.5*0.25*C136,0)</f>
        <v>30.85</v>
      </c>
      <c r="L136" s="115" t="n">
        <f aca="false">IFERROR((G136/F136)/7.95*0.376*F136,0)</f>
        <v>6.85786163522013</v>
      </c>
      <c r="M136" s="117"/>
      <c r="N136" s="117"/>
      <c r="O136" s="117"/>
      <c r="X136" s="53" t="n">
        <f aca="false">D136+G136</f>
        <v>700.3</v>
      </c>
      <c r="Y136" s="53" t="n">
        <f aca="false">H136+E136</f>
        <v>7.9</v>
      </c>
      <c r="Z136" s="53" t="n">
        <f aca="false">X136/Y136</f>
        <v>88.6455696202532</v>
      </c>
    </row>
    <row r="137" customFormat="false" ht="14.25" hidden="false" customHeight="true" outlineLevel="0" collapsed="false">
      <c r="B137" s="0" t="s">
        <v>492</v>
      </c>
      <c r="C137" s="0" t="n">
        <v>113</v>
      </c>
      <c r="D137" s="0" t="n">
        <v>449</v>
      </c>
      <c r="E137" s="0" t="n">
        <v>3</v>
      </c>
      <c r="F137" s="0" t="n">
        <v>16</v>
      </c>
      <c r="G137" s="0" t="n">
        <v>129</v>
      </c>
      <c r="H137" s="0" t="n">
        <v>0</v>
      </c>
      <c r="I137" s="0" t="n">
        <v>1</v>
      </c>
      <c r="J137" s="0" t="n">
        <v>82.2</v>
      </c>
      <c r="K137" s="115" t="n">
        <f aca="false">IFERROR((D137/C137)/4.5*0.25*C137,0)</f>
        <v>24.9444444444444</v>
      </c>
      <c r="L137" s="115" t="n">
        <f aca="false">IFERROR((G137/F137)/7.95*0.376*F137,0)</f>
        <v>6.1011320754717</v>
      </c>
      <c r="M137" s="117"/>
      <c r="N137" s="117"/>
      <c r="O137" s="117"/>
      <c r="X137" s="53" t="n">
        <f aca="false">D137+G137</f>
        <v>578</v>
      </c>
      <c r="Y137" s="53" t="n">
        <f aca="false">H137+E137</f>
        <v>3</v>
      </c>
      <c r="Z137" s="53" t="n">
        <f aca="false">X137/Y137</f>
        <v>192.666666666667</v>
      </c>
    </row>
    <row r="138" customFormat="false" ht="14.25" hidden="false" customHeight="true" outlineLevel="0" collapsed="false">
      <c r="A138" s="0" t="s">
        <v>646</v>
      </c>
      <c r="B138" s="0" t="s">
        <v>494</v>
      </c>
      <c r="C138" s="0" t="n">
        <v>61.3</v>
      </c>
      <c r="D138" s="0" t="n">
        <v>296.4</v>
      </c>
      <c r="E138" s="0" t="n">
        <v>2.3</v>
      </c>
      <c r="F138" s="0" t="n">
        <v>32.7</v>
      </c>
      <c r="G138" s="0" t="n">
        <v>283.1</v>
      </c>
      <c r="H138" s="0" t="n">
        <v>1.8</v>
      </c>
      <c r="I138" s="0" t="n">
        <v>0.2</v>
      </c>
      <c r="J138" s="0" t="n">
        <v>98.7</v>
      </c>
      <c r="K138" s="115" t="n">
        <f aca="false">IFERROR((D138/C138)/4.5*0.25*C138,0)</f>
        <v>16.4666666666667</v>
      </c>
      <c r="L138" s="115" t="n">
        <f aca="false">IFERROR((G138/F138)/7.95*0.376*F138,0)</f>
        <v>13.3893836477987</v>
      </c>
      <c r="M138" s="117" t="n">
        <f aca="false">C140*Scoring!$B$32+D140/Scoring!$C$32+E140*Scoring!$D$32+F140*Scoring!$E$32+G140/Scoring!$F$32+H140*Scoring!$G$32+I140*Scoring!$H$32+K140*Scoring!$I$32+RB!L140*Scoring!$J$32+U138</f>
        <v>80.38</v>
      </c>
      <c r="N138" s="117" t="n">
        <f aca="false">C138*Scoring!$B$32+D138/Scoring!$C$32+E138*Scoring!$D$32+F138*Scoring!$E$32+G138/Scoring!$F$32+H138*Scoring!$G$32+I138*Scoring!$H$32+K138*Scoring!$I$32+RB!L138*Scoring!$J$32+U138</f>
        <v>98.5</v>
      </c>
      <c r="O138" s="117" t="n">
        <f aca="false">C139*Scoring!$B$32+D139/Scoring!$C$32+E139*Scoring!$D$32+F139*Scoring!$E$32+G139/Scoring!$F$32+H139*Scoring!$G$32+I139*Scoring!$H$32+K139*Scoring!$I$32+L139*Scoring!$J$32+U138</f>
        <v>117.03</v>
      </c>
      <c r="P138" s="53" t="n">
        <f aca="false">IF(COUNTIF(Rookies!$A:$A,A138)&gt;0,1,0)</f>
        <v>0</v>
      </c>
      <c r="S138" s="53" t="n">
        <f aca="false">V138/17</f>
        <v>5.79411764705882</v>
      </c>
      <c r="T138" s="53" t="n">
        <f aca="false">IF(P138=1,MAX(0,0.258*(14.9-S138)),0)</f>
        <v>0</v>
      </c>
      <c r="U138" s="53" t="n">
        <f aca="false">T138*17</f>
        <v>0</v>
      </c>
      <c r="V138" s="53" t="n">
        <f aca="false">C138*Scoring!$B$32+D138/Scoring!$C$32+E138*Scoring!$D$32+F138*Scoring!$E$32+G138/Scoring!$F$32+H138*Scoring!$G$32+I138*Scoring!$H$32+K138*Scoring!$I$32+RB!L138*Scoring!$J$32</f>
        <v>98.5</v>
      </c>
      <c r="X138" s="53" t="n">
        <f aca="false">D138+G138</f>
        <v>579.5</v>
      </c>
      <c r="Y138" s="53" t="n">
        <f aca="false">H138+E138</f>
        <v>4.1</v>
      </c>
      <c r="Z138" s="53" t="n">
        <f aca="false">X138/Y138</f>
        <v>141.341463414634</v>
      </c>
    </row>
    <row r="139" customFormat="false" ht="14.25" hidden="false" customHeight="true" outlineLevel="0" collapsed="false">
      <c r="B139" s="0" t="s">
        <v>491</v>
      </c>
      <c r="C139" s="0" t="n">
        <v>64</v>
      </c>
      <c r="D139" s="0" t="n">
        <v>325</v>
      </c>
      <c r="E139" s="0" t="n">
        <v>3</v>
      </c>
      <c r="F139" s="0" t="n">
        <v>39.4</v>
      </c>
      <c r="G139" s="0" t="n">
        <v>348.3</v>
      </c>
      <c r="H139" s="0" t="n">
        <v>2</v>
      </c>
      <c r="I139" s="0" t="n">
        <v>0</v>
      </c>
      <c r="J139" s="0" t="n">
        <v>97</v>
      </c>
      <c r="K139" s="115" t="n">
        <f aca="false">IFERROR((D139/C139)/4.5*0.25*C139,0)</f>
        <v>18.0555555555556</v>
      </c>
      <c r="L139" s="115" t="n">
        <f aca="false">IFERROR((G139/F139)/7.95*0.376*F139,0)</f>
        <v>16.4730566037736</v>
      </c>
      <c r="M139" s="117"/>
      <c r="N139" s="117"/>
      <c r="O139" s="117"/>
      <c r="X139" s="53" t="n">
        <f aca="false">D139+G139</f>
        <v>673.3</v>
      </c>
      <c r="Y139" s="53" t="n">
        <f aca="false">H139+E139</f>
        <v>5</v>
      </c>
      <c r="Z139" s="53" t="n">
        <f aca="false">X139/Y139</f>
        <v>134.66</v>
      </c>
    </row>
    <row r="140" customFormat="false" ht="14.25" hidden="false" customHeight="true" outlineLevel="0" collapsed="false">
      <c r="B140" s="0" t="s">
        <v>492</v>
      </c>
      <c r="C140" s="0" t="n">
        <v>58.5</v>
      </c>
      <c r="D140" s="0" t="n">
        <v>267.8</v>
      </c>
      <c r="E140" s="0" t="n">
        <v>1.6</v>
      </c>
      <c r="F140" s="0" t="n">
        <v>26</v>
      </c>
      <c r="G140" s="0" t="n">
        <v>218</v>
      </c>
      <c r="H140" s="0" t="n">
        <v>1.7</v>
      </c>
      <c r="I140" s="0" t="n">
        <v>0.5</v>
      </c>
      <c r="J140" s="0" t="n">
        <v>83.4</v>
      </c>
      <c r="K140" s="115" t="n">
        <f aca="false">IFERROR((D140/C140)/4.5*0.25*C140,0)</f>
        <v>14.8777777777778</v>
      </c>
      <c r="L140" s="115" t="n">
        <f aca="false">IFERROR((G140/F140)/7.95*0.376*F140,0)</f>
        <v>10.3104402515723</v>
      </c>
      <c r="M140" s="117"/>
      <c r="N140" s="117"/>
      <c r="O140" s="117"/>
      <c r="X140" s="53" t="n">
        <f aca="false">D140+G140</f>
        <v>485.8</v>
      </c>
      <c r="Y140" s="53" t="n">
        <f aca="false">H140+E140</f>
        <v>3.3</v>
      </c>
      <c r="Z140" s="53" t="n">
        <f aca="false">X140/Y140</f>
        <v>147.212121212121</v>
      </c>
    </row>
    <row r="141" customFormat="false" ht="14.25" hidden="false" customHeight="true" outlineLevel="0" collapsed="false">
      <c r="A141" s="0" t="s">
        <v>647</v>
      </c>
      <c r="B141" s="0" t="s">
        <v>526</v>
      </c>
      <c r="C141" s="0" t="n">
        <v>105</v>
      </c>
      <c r="D141" s="0" t="n">
        <v>406.6</v>
      </c>
      <c r="E141" s="0" t="n">
        <v>2.4</v>
      </c>
      <c r="F141" s="0" t="n">
        <v>30.9</v>
      </c>
      <c r="G141" s="0" t="n">
        <v>216.7</v>
      </c>
      <c r="H141" s="0" t="n">
        <v>0.6</v>
      </c>
      <c r="I141" s="0" t="n">
        <v>0.8</v>
      </c>
      <c r="J141" s="0" t="n">
        <v>94.1</v>
      </c>
      <c r="K141" s="115" t="n">
        <f aca="false">IFERROR((D141/C141)/4.5*0.25*C141,0)</f>
        <v>22.5888888888889</v>
      </c>
      <c r="L141" s="115" t="n">
        <f aca="false">IFERROR((G141/F141)/7.95*0.376*F141,0)</f>
        <v>10.2489559748428</v>
      </c>
      <c r="M141" s="117" t="n">
        <f aca="false">C143*Scoring!$B$32+D143/Scoring!$C$32+E143*Scoring!$D$32+F143*Scoring!$E$32+G143/Scoring!$F$32+H143*Scoring!$G$32+I143*Scoring!$H$32+K143*Scoring!$I$32+RB!L143*Scoring!$J$32+U141</f>
        <v>78.95</v>
      </c>
      <c r="N141" s="117" t="n">
        <f aca="false">C141*Scoring!$B$32+D141/Scoring!$C$32+E141*Scoring!$D$32+F141*Scoring!$E$32+G141/Scoring!$F$32+H141*Scoring!$G$32+I141*Scoring!$H$32+K141*Scoring!$I$32+RB!L141*Scoring!$J$32+U141</f>
        <v>94.18</v>
      </c>
      <c r="O141" s="117" t="n">
        <f aca="false">C142*Scoring!$B$32+D142/Scoring!$C$32+E142*Scoring!$D$32+F142*Scoring!$E$32+G142/Scoring!$F$32+H142*Scoring!$G$32+I142*Scoring!$H$32+K142*Scoring!$I$32+L142*Scoring!$J$32+U141</f>
        <v>106.07</v>
      </c>
      <c r="P141" s="53" t="n">
        <f aca="false">IF(COUNTIF(Rookies!$A:$A,A141)&gt;0,1,0)</f>
        <v>0</v>
      </c>
      <c r="S141" s="53" t="n">
        <f aca="false">V141/17</f>
        <v>5.54</v>
      </c>
      <c r="T141" s="53" t="n">
        <f aca="false">IF(P141=1,MAX(0,0.258*(14.9-S141)),0)</f>
        <v>0</v>
      </c>
      <c r="U141" s="53" t="n">
        <f aca="false">T141*17</f>
        <v>0</v>
      </c>
      <c r="V141" s="53" t="n">
        <f aca="false">C141*Scoring!$B$32+D141/Scoring!$C$32+E141*Scoring!$D$32+F141*Scoring!$E$32+G141/Scoring!$F$32+H141*Scoring!$G$32+I141*Scoring!$H$32+K141*Scoring!$I$32+RB!L141*Scoring!$J$32</f>
        <v>94.18</v>
      </c>
      <c r="X141" s="53" t="n">
        <f aca="false">D141+G141</f>
        <v>623.3</v>
      </c>
      <c r="Y141" s="53" t="n">
        <f aca="false">H141+E141</f>
        <v>3</v>
      </c>
      <c r="Z141" s="53" t="n">
        <f aca="false">X141/Y141</f>
        <v>207.766666666667</v>
      </c>
    </row>
    <row r="142" customFormat="false" ht="14.25" hidden="false" customHeight="true" outlineLevel="0" collapsed="false">
      <c r="B142" s="0" t="s">
        <v>491</v>
      </c>
      <c r="C142" s="0" t="n">
        <v>117</v>
      </c>
      <c r="D142" s="0" t="n">
        <v>450.7</v>
      </c>
      <c r="E142" s="0" t="n">
        <v>3</v>
      </c>
      <c r="F142" s="0" t="n">
        <v>31</v>
      </c>
      <c r="G142" s="0" t="n">
        <v>227</v>
      </c>
      <c r="H142" s="0" t="n">
        <v>1</v>
      </c>
      <c r="I142" s="0" t="n">
        <v>0.6</v>
      </c>
      <c r="J142" s="0" t="n">
        <v>103.3</v>
      </c>
      <c r="K142" s="115" t="n">
        <f aca="false">IFERROR((D142/C142)/4.5*0.25*C142,0)</f>
        <v>25.0388888888889</v>
      </c>
      <c r="L142" s="115" t="n">
        <f aca="false">IFERROR((G142/F142)/7.95*0.376*F142,0)</f>
        <v>10.7361006289308</v>
      </c>
      <c r="M142" s="117"/>
      <c r="N142" s="117"/>
      <c r="O142" s="117"/>
      <c r="X142" s="53" t="n">
        <f aca="false">D142+G142</f>
        <v>677.7</v>
      </c>
      <c r="Y142" s="53" t="n">
        <f aca="false">H142+E142</f>
        <v>4</v>
      </c>
      <c r="Z142" s="53" t="n">
        <f aca="false">X142/Y142</f>
        <v>169.425</v>
      </c>
    </row>
    <row r="143" customFormat="false" ht="14.25" hidden="false" customHeight="true" outlineLevel="0" collapsed="false">
      <c r="B143" s="0" t="s">
        <v>492</v>
      </c>
      <c r="C143" s="0" t="n">
        <v>86</v>
      </c>
      <c r="D143" s="0" t="n">
        <v>328</v>
      </c>
      <c r="E143" s="0" t="n">
        <v>2</v>
      </c>
      <c r="F143" s="0" t="n">
        <v>30.7</v>
      </c>
      <c r="G143" s="0" t="n">
        <v>208</v>
      </c>
      <c r="H143" s="0" t="n">
        <v>0</v>
      </c>
      <c r="I143" s="0" t="n">
        <v>1</v>
      </c>
      <c r="J143" s="0" t="n">
        <v>82.5</v>
      </c>
      <c r="K143" s="115" t="n">
        <f aca="false">IFERROR((D143/C143)/4.5*0.25*C143,0)</f>
        <v>18.2222222222222</v>
      </c>
      <c r="L143" s="115" t="n">
        <f aca="false">IFERROR((G143/F143)/7.95*0.376*F143,0)</f>
        <v>9.83748427672956</v>
      </c>
      <c r="M143" s="117"/>
      <c r="N143" s="117"/>
      <c r="O143" s="117"/>
      <c r="X143" s="53" t="n">
        <f aca="false">D143+G143</f>
        <v>536</v>
      </c>
      <c r="Y143" s="53" t="n">
        <f aca="false">H143+E143</f>
        <v>2</v>
      </c>
      <c r="Z143" s="53" t="n">
        <f aca="false">X143/Y143</f>
        <v>268</v>
      </c>
    </row>
    <row r="144" customFormat="false" ht="14.25" hidden="false" customHeight="true" outlineLevel="0" collapsed="false">
      <c r="A144" s="0" t="s">
        <v>648</v>
      </c>
      <c r="B144" s="0" t="s">
        <v>506</v>
      </c>
      <c r="C144" s="0" t="n">
        <v>135.8</v>
      </c>
      <c r="D144" s="0" t="n">
        <v>561.2</v>
      </c>
      <c r="E144" s="0" t="n">
        <v>5.1</v>
      </c>
      <c r="F144" s="0" t="n">
        <v>5.5</v>
      </c>
      <c r="G144" s="0" t="n">
        <v>43.4</v>
      </c>
      <c r="H144" s="0" t="n">
        <v>0.1</v>
      </c>
      <c r="I144" s="0" t="n">
        <v>0.6</v>
      </c>
      <c r="J144" s="0" t="n">
        <v>93.1</v>
      </c>
      <c r="K144" s="115" t="n">
        <f aca="false">IFERROR((D144/C144)/4.5*0.25*C144,0)</f>
        <v>31.1777777777778</v>
      </c>
      <c r="L144" s="115" t="n">
        <f aca="false">IFERROR((G144/F144)/7.95*0.376*F144,0)</f>
        <v>2.05262893081761</v>
      </c>
      <c r="M144" s="117" t="n">
        <f aca="false">C146*Scoring!$B$32+D146/Scoring!$C$32+E146*Scoring!$D$32+F146*Scoring!$E$32+G146/Scoring!$F$32+H146*Scoring!$G$32+I146*Scoring!$H$32+K146*Scoring!$I$32+RB!L146*Scoring!$J$32+U144</f>
        <v>64.96</v>
      </c>
      <c r="N144" s="117" t="n">
        <f aca="false">C144*Scoring!$B$32+D144/Scoring!$C$32+E144*Scoring!$D$32+F144*Scoring!$E$32+G144/Scoring!$F$32+H144*Scoring!$G$32+I144*Scoring!$H$32+K144*Scoring!$I$32+RB!L144*Scoring!$J$32+U144</f>
        <v>93.21</v>
      </c>
      <c r="O144" s="117" t="n">
        <f aca="false">C145*Scoring!$B$32+D145/Scoring!$C$32+E145*Scoring!$D$32+F145*Scoring!$E$32+G145/Scoring!$F$32+H145*Scoring!$G$32+I145*Scoring!$H$32+K145*Scoring!$I$32+L145*Scoring!$J$32+U144</f>
        <v>130.7</v>
      </c>
      <c r="P144" s="53" t="n">
        <f aca="false">IF(COUNTIF(Rookies!$A:$A,A144)&gt;0,1,0)</f>
        <v>0</v>
      </c>
      <c r="S144" s="53" t="n">
        <f aca="false">V144/17</f>
        <v>5.48294117647059</v>
      </c>
      <c r="T144" s="53" t="n">
        <f aca="false">IF(P144=1,MAX(0,0.258*(14.9-S144)),0)</f>
        <v>0</v>
      </c>
      <c r="U144" s="53" t="n">
        <f aca="false">T144*17</f>
        <v>0</v>
      </c>
      <c r="V144" s="53" t="n">
        <f aca="false">C144*Scoring!$B$32+D144/Scoring!$C$32+E144*Scoring!$D$32+F144*Scoring!$E$32+G144/Scoring!$F$32+H144*Scoring!$G$32+I144*Scoring!$H$32+K144*Scoring!$I$32+RB!L144*Scoring!$J$32</f>
        <v>93.21</v>
      </c>
      <c r="X144" s="53" t="n">
        <f aca="false">D144+G144</f>
        <v>604.6</v>
      </c>
      <c r="Y144" s="53" t="n">
        <f aca="false">H144+E144</f>
        <v>5.2</v>
      </c>
      <c r="Z144" s="53" t="n">
        <f aca="false">X144/Y144</f>
        <v>116.269230769231</v>
      </c>
    </row>
    <row r="145" customFormat="false" ht="14.25" hidden="false" customHeight="true" outlineLevel="0" collapsed="false">
      <c r="B145" s="0" t="s">
        <v>491</v>
      </c>
      <c r="C145" s="0" t="n">
        <v>178</v>
      </c>
      <c r="D145" s="0" t="n">
        <v>695</v>
      </c>
      <c r="E145" s="0" t="n">
        <v>8</v>
      </c>
      <c r="F145" s="0" t="n">
        <v>10</v>
      </c>
      <c r="G145" s="0" t="n">
        <v>76</v>
      </c>
      <c r="H145" s="0" t="n">
        <v>0.2</v>
      </c>
      <c r="I145" s="0" t="n">
        <v>0.3</v>
      </c>
      <c r="J145" s="0" t="n">
        <v>110.7</v>
      </c>
      <c r="K145" s="115" t="n">
        <f aca="false">IFERROR((D145/C145)/4.5*0.25*C145,0)</f>
        <v>38.6111111111111</v>
      </c>
      <c r="L145" s="115" t="n">
        <f aca="false">IFERROR((G145/F145)/7.95*0.376*F145,0)</f>
        <v>3.59446540880503</v>
      </c>
      <c r="M145" s="117"/>
      <c r="N145" s="117"/>
      <c r="O145" s="117"/>
      <c r="X145" s="53" t="n">
        <f aca="false">D145+G145</f>
        <v>771</v>
      </c>
      <c r="Y145" s="53" t="n">
        <f aca="false">H145+E145</f>
        <v>8.2</v>
      </c>
      <c r="Z145" s="53" t="n">
        <f aca="false">X145/Y145</f>
        <v>94.0243902439025</v>
      </c>
    </row>
    <row r="146" customFormat="false" ht="14.25" hidden="false" customHeight="true" outlineLevel="0" collapsed="false">
      <c r="B146" s="0" t="s">
        <v>492</v>
      </c>
      <c r="C146" s="0" t="n">
        <v>100.5</v>
      </c>
      <c r="D146" s="0" t="n">
        <v>432.6</v>
      </c>
      <c r="E146" s="0" t="n">
        <v>3.4</v>
      </c>
      <c r="F146" s="0" t="n">
        <v>2</v>
      </c>
      <c r="G146" s="0" t="n">
        <v>23</v>
      </c>
      <c r="H146" s="0" t="n">
        <v>0</v>
      </c>
      <c r="I146" s="0" t="n">
        <v>1</v>
      </c>
      <c r="J146" s="0" t="n">
        <v>70.4</v>
      </c>
      <c r="K146" s="115" t="n">
        <f aca="false">IFERROR((D146/C146)/4.5*0.25*C146,0)</f>
        <v>24.0333333333333</v>
      </c>
      <c r="L146" s="115" t="n">
        <f aca="false">IFERROR((G146/F146)/7.95*0.376*F146,0)</f>
        <v>1.08779874213836</v>
      </c>
      <c r="M146" s="117"/>
      <c r="N146" s="117"/>
      <c r="O146" s="117"/>
      <c r="X146" s="53" t="n">
        <f aca="false">D146+G146</f>
        <v>455.6</v>
      </c>
      <c r="Y146" s="53" t="n">
        <f aca="false">H146+E146</f>
        <v>3.4</v>
      </c>
      <c r="Z146" s="53" t="n">
        <f aca="false">X146/Y146</f>
        <v>134</v>
      </c>
    </row>
    <row r="147" customFormat="false" ht="14.25" hidden="false" customHeight="true" outlineLevel="0" collapsed="false">
      <c r="A147" s="0" t="s">
        <v>649</v>
      </c>
      <c r="B147" s="0" t="s">
        <v>550</v>
      </c>
      <c r="C147" s="0" t="n">
        <v>126.7</v>
      </c>
      <c r="D147" s="0" t="n">
        <v>489.7</v>
      </c>
      <c r="E147" s="0" t="n">
        <v>3.1</v>
      </c>
      <c r="F147" s="0" t="n">
        <v>17.9</v>
      </c>
      <c r="G147" s="0" t="n">
        <v>145.5</v>
      </c>
      <c r="H147" s="0" t="n">
        <v>0.6</v>
      </c>
      <c r="I147" s="0" t="n">
        <v>1.2</v>
      </c>
      <c r="J147" s="0" t="n">
        <v>92.8</v>
      </c>
      <c r="K147" s="115" t="n">
        <f aca="false">IFERROR((D147/C147)/4.5*0.25*C147,0)</f>
        <v>27.2055555555556</v>
      </c>
      <c r="L147" s="115" t="n">
        <f aca="false">IFERROR((G147/F147)/7.95*0.376*F147,0)</f>
        <v>6.88150943396227</v>
      </c>
      <c r="M147" s="117" t="n">
        <f aca="false">C149*Scoring!$B$32+D149/Scoring!$C$32+E149*Scoring!$D$32+F149*Scoring!$E$32+G149/Scoring!$F$32+H149*Scoring!$G$32+I149*Scoring!$H$32+K149*Scoring!$I$32+RB!L149*Scoring!$J$32+U147</f>
        <v>100.82574</v>
      </c>
      <c r="N147" s="117" t="n">
        <f aca="false">C147*Scoring!$B$32+D147/Scoring!$C$32+E147*Scoring!$D$32+F147*Scoring!$E$32+G147/Scoring!$F$32+H147*Scoring!$G$32+I147*Scoring!$H$32+K147*Scoring!$I$32+RB!L147*Scoring!$J$32+U147</f>
        <v>133.81574</v>
      </c>
      <c r="O147" s="117" t="n">
        <f aca="false">C148*Scoring!$B$32+D148/Scoring!$C$32+E148*Scoring!$D$32+F148*Scoring!$E$32+G148/Scoring!$F$32+H148*Scoring!$G$32+I148*Scoring!$H$32+K148*Scoring!$I$32+L148*Scoring!$J$32+U147</f>
        <v>168.04574</v>
      </c>
      <c r="P147" s="53" t="n">
        <f aca="false">IF(COUNTIF(Rookies!$A:$A,A147)&gt;0,1,0)</f>
        <v>1</v>
      </c>
      <c r="S147" s="53" t="n">
        <f aca="false">V147/17</f>
        <v>5.42764705882353</v>
      </c>
      <c r="T147" s="53" t="n">
        <f aca="false">IF(P147=1,MAX(0,0.258*(14.9-S147)),0)</f>
        <v>2.44386705882353</v>
      </c>
      <c r="U147" s="53" t="n">
        <f aca="false">T147*17</f>
        <v>41.54574</v>
      </c>
      <c r="V147" s="53" t="n">
        <f aca="false">C147*Scoring!$B$32+D147/Scoring!$C$32+E147*Scoring!$D$32+F147*Scoring!$E$32+G147/Scoring!$F$32+H147*Scoring!$G$32+I147*Scoring!$H$32+K147*Scoring!$I$32+RB!L147*Scoring!$J$32</f>
        <v>92.27</v>
      </c>
      <c r="X147" s="53" t="n">
        <f aca="false">D147+G147</f>
        <v>635.2</v>
      </c>
      <c r="Y147" s="53" t="n">
        <f aca="false">H147+E147</f>
        <v>3.7</v>
      </c>
      <c r="Z147" s="53" t="n">
        <f aca="false">X147/Y147</f>
        <v>171.675675675676</v>
      </c>
    </row>
    <row r="148" customFormat="false" ht="14.25" hidden="false" customHeight="true" outlineLevel="0" collapsed="false">
      <c r="B148" s="0" t="s">
        <v>491</v>
      </c>
      <c r="C148" s="0" t="n">
        <v>164</v>
      </c>
      <c r="D148" s="0" t="n">
        <v>611</v>
      </c>
      <c r="E148" s="0" t="n">
        <v>4</v>
      </c>
      <c r="F148" s="0" t="n">
        <v>27</v>
      </c>
      <c r="G148" s="0" t="n">
        <v>227</v>
      </c>
      <c r="H148" s="0" t="n">
        <v>1</v>
      </c>
      <c r="I148" s="0" t="n">
        <v>0.4</v>
      </c>
      <c r="J148" s="0" t="n">
        <v>102</v>
      </c>
      <c r="K148" s="115" t="n">
        <f aca="false">IFERROR((D148/C148)/4.5*0.25*C148,0)</f>
        <v>33.9444444444444</v>
      </c>
      <c r="L148" s="115" t="n">
        <f aca="false">IFERROR((G148/F148)/7.95*0.376*F148,0)</f>
        <v>10.7361006289308</v>
      </c>
      <c r="M148" s="117"/>
      <c r="N148" s="117"/>
      <c r="O148" s="117"/>
      <c r="X148" s="53" t="n">
        <f aca="false">D148+G148</f>
        <v>838</v>
      </c>
      <c r="Y148" s="53" t="n">
        <f aca="false">H148+E148</f>
        <v>5</v>
      </c>
      <c r="Z148" s="53" t="n">
        <f aca="false">X148/Y148</f>
        <v>167.6</v>
      </c>
    </row>
    <row r="149" customFormat="false" ht="14.25" hidden="false" customHeight="true" outlineLevel="0" collapsed="false">
      <c r="B149" s="0" t="s">
        <v>492</v>
      </c>
      <c r="C149" s="0" t="n">
        <v>89.4</v>
      </c>
      <c r="D149" s="0" t="n">
        <v>368.4</v>
      </c>
      <c r="E149" s="0" t="n">
        <v>2.3</v>
      </c>
      <c r="F149" s="0" t="n">
        <v>8.9</v>
      </c>
      <c r="G149" s="0" t="n">
        <v>63.9</v>
      </c>
      <c r="H149" s="0" t="n">
        <v>0.3</v>
      </c>
      <c r="I149" s="0" t="n">
        <v>2</v>
      </c>
      <c r="J149" s="0" t="n">
        <v>67.2</v>
      </c>
      <c r="K149" s="115" t="n">
        <f aca="false">IFERROR((D149/C149)/4.5*0.25*C149,0)</f>
        <v>20.4666666666667</v>
      </c>
      <c r="L149" s="115" t="n">
        <f aca="false">IFERROR((G149/F149)/7.95*0.376*F149,0)</f>
        <v>3.02218867924528</v>
      </c>
      <c r="M149" s="117"/>
      <c r="N149" s="117"/>
      <c r="O149" s="117"/>
      <c r="X149" s="53" t="n">
        <f aca="false">D149+G149</f>
        <v>432.3</v>
      </c>
      <c r="Y149" s="53" t="n">
        <f aca="false">H149+E149</f>
        <v>2.6</v>
      </c>
      <c r="Z149" s="53" t="n">
        <f aca="false">X149/Y149</f>
        <v>166.269230769231</v>
      </c>
    </row>
    <row r="150" customFormat="false" ht="14.25" hidden="false" customHeight="true" outlineLevel="0" collapsed="false">
      <c r="A150" s="0" t="s">
        <v>650</v>
      </c>
      <c r="B150" s="0" t="s">
        <v>554</v>
      </c>
      <c r="C150" s="0" t="n">
        <v>74.2</v>
      </c>
      <c r="D150" s="0" t="n">
        <v>256.7</v>
      </c>
      <c r="E150" s="0" t="n">
        <v>1.4</v>
      </c>
      <c r="F150" s="0" t="n">
        <v>37.9</v>
      </c>
      <c r="G150" s="0" t="n">
        <v>291.7</v>
      </c>
      <c r="H150" s="0" t="n">
        <v>2.1</v>
      </c>
      <c r="I150" s="0" t="n">
        <v>1.2</v>
      </c>
      <c r="J150" s="0" t="n">
        <v>92</v>
      </c>
      <c r="K150" s="115" t="n">
        <f aca="false">IFERROR((D150/C150)/4.5*0.25*C150,0)</f>
        <v>14.2611111111111</v>
      </c>
      <c r="L150" s="115" t="n">
        <f aca="false">IFERROR((G150/F150)/7.95*0.376*F150,0)</f>
        <v>13.7961257861635</v>
      </c>
      <c r="M150" s="117" t="n">
        <f aca="false">C152*Scoring!$B$32+D152/Scoring!$C$32+E152*Scoring!$D$32+F152*Scoring!$E$32+G152/Scoring!$F$32+H152*Scoring!$G$32+I152*Scoring!$H$32+K152*Scoring!$I$32+RB!L152*Scoring!$J$32+U150</f>
        <v>68.52</v>
      </c>
      <c r="N150" s="117" t="n">
        <f aca="false">C150*Scoring!$B$32+D150/Scoring!$C$32+E150*Scoring!$D$32+F150*Scoring!$E$32+G150/Scoring!$F$32+H150*Scoring!$G$32+I150*Scoring!$H$32+K150*Scoring!$I$32+RB!L150*Scoring!$J$32+U150</f>
        <v>92.39</v>
      </c>
      <c r="O150" s="117" t="n">
        <f aca="false">C151*Scoring!$B$32+D151/Scoring!$C$32+E151*Scoring!$D$32+F151*Scoring!$E$32+G151/Scoring!$F$32+H151*Scoring!$G$32+I151*Scoring!$H$32+K151*Scoring!$I$32+L151*Scoring!$J$32+U150</f>
        <v>115.2</v>
      </c>
      <c r="P150" s="53" t="n">
        <f aca="false">IF(COUNTIF(Rookies!$A:$A,A150)&gt;0,1,0)</f>
        <v>0</v>
      </c>
      <c r="S150" s="53" t="n">
        <f aca="false">V150/17</f>
        <v>5.43470588235294</v>
      </c>
      <c r="T150" s="53" t="n">
        <f aca="false">IF(P150=1,MAX(0,0.258*(14.9-S150)),0)</f>
        <v>0</v>
      </c>
      <c r="U150" s="53" t="n">
        <f aca="false">T150*17</f>
        <v>0</v>
      </c>
      <c r="V150" s="53" t="n">
        <f aca="false">C150*Scoring!$B$32+D150/Scoring!$C$32+E150*Scoring!$D$32+F150*Scoring!$E$32+G150/Scoring!$F$32+H150*Scoring!$G$32+I150*Scoring!$H$32+K150*Scoring!$I$32+RB!L150*Scoring!$J$32</f>
        <v>92.39</v>
      </c>
      <c r="X150" s="53" t="n">
        <f aca="false">D150+G150</f>
        <v>548.4</v>
      </c>
      <c r="Y150" s="53" t="n">
        <f aca="false">H150+E150</f>
        <v>3.5</v>
      </c>
      <c r="Z150" s="53" t="n">
        <f aca="false">X150/Y150</f>
        <v>156.685714285714</v>
      </c>
    </row>
    <row r="151" customFormat="false" ht="14.25" hidden="false" customHeight="true" outlineLevel="0" collapsed="false">
      <c r="B151" s="0" t="s">
        <v>491</v>
      </c>
      <c r="C151" s="0" t="n">
        <v>105</v>
      </c>
      <c r="D151" s="0" t="n">
        <v>289</v>
      </c>
      <c r="E151" s="0" t="n">
        <v>2</v>
      </c>
      <c r="F151" s="0" t="n">
        <v>44</v>
      </c>
      <c r="G151" s="0" t="n">
        <v>351</v>
      </c>
      <c r="H151" s="0" t="n">
        <v>3</v>
      </c>
      <c r="I151" s="0" t="n">
        <v>0.4</v>
      </c>
      <c r="J151" s="0" t="n">
        <v>113.1</v>
      </c>
      <c r="K151" s="115" t="n">
        <f aca="false">IFERROR((D151/C151)/4.5*0.25*C151,0)</f>
        <v>16.0555555555556</v>
      </c>
      <c r="L151" s="115" t="n">
        <f aca="false">IFERROR((G151/F151)/7.95*0.376*F151,0)</f>
        <v>16.6007547169811</v>
      </c>
      <c r="M151" s="117"/>
      <c r="N151" s="117"/>
      <c r="O151" s="117"/>
      <c r="X151" s="53" t="n">
        <f aca="false">D151+G151</f>
        <v>640</v>
      </c>
      <c r="Y151" s="53" t="n">
        <f aca="false">H151+E151</f>
        <v>5</v>
      </c>
      <c r="Z151" s="53" t="n">
        <f aca="false">X151/Y151</f>
        <v>128</v>
      </c>
    </row>
    <row r="152" customFormat="false" ht="14.25" hidden="false" customHeight="true" outlineLevel="0" collapsed="false">
      <c r="B152" s="0" t="s">
        <v>492</v>
      </c>
      <c r="C152" s="0" t="n">
        <v>56.6</v>
      </c>
      <c r="D152" s="0" t="n">
        <v>236.1</v>
      </c>
      <c r="E152" s="0" t="n">
        <v>1</v>
      </c>
      <c r="F152" s="0" t="n">
        <v>29.8</v>
      </c>
      <c r="G152" s="0" t="n">
        <v>208.1</v>
      </c>
      <c r="H152" s="0" t="n">
        <v>1.2</v>
      </c>
      <c r="I152" s="0" t="n">
        <v>2</v>
      </c>
      <c r="J152" s="0" t="n">
        <v>77.3</v>
      </c>
      <c r="K152" s="115" t="n">
        <f aca="false">IFERROR((D152/C152)/4.5*0.25*C152,0)</f>
        <v>13.1166666666667</v>
      </c>
      <c r="L152" s="115" t="n">
        <f aca="false">IFERROR((G152/F152)/7.95*0.376*F152,0)</f>
        <v>9.84221383647799</v>
      </c>
      <c r="M152" s="117"/>
      <c r="N152" s="117"/>
      <c r="O152" s="117"/>
      <c r="X152" s="53" t="n">
        <f aca="false">D152+G152</f>
        <v>444.2</v>
      </c>
      <c r="Y152" s="53" t="n">
        <f aca="false">H152+E152</f>
        <v>2.2</v>
      </c>
      <c r="Z152" s="53" t="n">
        <f aca="false">X152/Y152</f>
        <v>201.909090909091</v>
      </c>
    </row>
    <row r="153" customFormat="false" ht="14.25" hidden="false" customHeight="true" outlineLevel="0" collapsed="false">
      <c r="A153" s="0" t="s">
        <v>651</v>
      </c>
      <c r="B153" s="0" t="s">
        <v>540</v>
      </c>
      <c r="C153" s="0" t="n">
        <v>121</v>
      </c>
      <c r="D153" s="0" t="n">
        <v>532</v>
      </c>
      <c r="E153" s="0" t="n">
        <v>3</v>
      </c>
      <c r="F153" s="0" t="n">
        <v>18</v>
      </c>
      <c r="G153" s="0" t="n">
        <v>146</v>
      </c>
      <c r="H153" s="0" t="n">
        <v>1</v>
      </c>
      <c r="I153" s="0" t="n">
        <v>5</v>
      </c>
      <c r="J153" s="0" t="n">
        <v>90.8</v>
      </c>
      <c r="K153" s="115" t="n">
        <f aca="false">IFERROR((D153/C153)/4.5*0.25*C153,0)</f>
        <v>29.5555555555556</v>
      </c>
      <c r="L153" s="115" t="n">
        <f aca="false">IFERROR((G153/F153)/7.95*0.376*F153,0)</f>
        <v>6.9051572327044</v>
      </c>
      <c r="M153" s="117" t="n">
        <f aca="false">C155*Scoring!$B$32+D155/Scoring!$C$32+E155*Scoring!$D$32+F155*Scoring!$E$32+G155/Scoring!$F$32+H155*Scoring!$G$32+I155*Scoring!$H$32+K155*Scoring!$I$32+RB!L155*Scoring!$J$32+U153</f>
        <v>90.8</v>
      </c>
      <c r="N153" s="117" t="n">
        <f aca="false">C153*Scoring!$B$32+D153/Scoring!$C$32+E153*Scoring!$D$32+F153*Scoring!$E$32+G153/Scoring!$F$32+H153*Scoring!$G$32+I153*Scoring!$H$32+K153*Scoring!$I$32+RB!L153*Scoring!$J$32+U153</f>
        <v>90.8</v>
      </c>
      <c r="O153" s="117" t="n">
        <f aca="false">C154*Scoring!$B$32+D154/Scoring!$C$32+E154*Scoring!$D$32+F154*Scoring!$E$32+G154/Scoring!$F$32+H154*Scoring!$G$32+I154*Scoring!$H$32+K154*Scoring!$I$32+L154*Scoring!$J$32+U153</f>
        <v>90.8</v>
      </c>
      <c r="P153" s="53" t="n">
        <f aca="false">IF(COUNTIF(Rookies!$A:$A,A153)&gt;0,1,0)</f>
        <v>0</v>
      </c>
      <c r="S153" s="53" t="n">
        <f aca="false">V153/17</f>
        <v>5.34117647058824</v>
      </c>
      <c r="T153" s="53" t="n">
        <f aca="false">IF(P153=1,MAX(0,0.258*(14.9-S153)),0)</f>
        <v>0</v>
      </c>
      <c r="U153" s="53" t="n">
        <f aca="false">T153*17</f>
        <v>0</v>
      </c>
      <c r="V153" s="53" t="n">
        <f aca="false">C153*Scoring!$B$32+D153/Scoring!$C$32+E153*Scoring!$D$32+F153*Scoring!$E$32+G153/Scoring!$F$32+H153*Scoring!$G$32+I153*Scoring!$H$32+K153*Scoring!$I$32+RB!L153*Scoring!$J$32</f>
        <v>90.8</v>
      </c>
      <c r="X153" s="53" t="n">
        <f aca="false">D153+G153</f>
        <v>678</v>
      </c>
      <c r="Y153" s="53" t="n">
        <f aca="false">H153+E153</f>
        <v>4</v>
      </c>
      <c r="Z153" s="53" t="n">
        <f aca="false">X153/Y153</f>
        <v>169.5</v>
      </c>
    </row>
    <row r="154" customFormat="false" ht="14.25" hidden="false" customHeight="true" outlineLevel="0" collapsed="false">
      <c r="B154" s="0" t="s">
        <v>491</v>
      </c>
      <c r="C154" s="0" t="n">
        <v>121</v>
      </c>
      <c r="D154" s="0" t="n">
        <v>532</v>
      </c>
      <c r="E154" s="0" t="n">
        <v>3</v>
      </c>
      <c r="F154" s="0" t="n">
        <v>18</v>
      </c>
      <c r="G154" s="0" t="n">
        <v>146</v>
      </c>
      <c r="H154" s="0" t="n">
        <v>1</v>
      </c>
      <c r="I154" s="0" t="n">
        <v>5</v>
      </c>
      <c r="J154" s="0" t="n">
        <v>75</v>
      </c>
      <c r="K154" s="115" t="n">
        <f aca="false">IFERROR((D154/C154)/4.5*0.25*C154,0)</f>
        <v>29.5555555555556</v>
      </c>
      <c r="L154" s="115" t="n">
        <f aca="false">IFERROR((G154/F154)/7.95*0.376*F154,0)</f>
        <v>6.9051572327044</v>
      </c>
      <c r="M154" s="117"/>
      <c r="N154" s="117"/>
      <c r="O154" s="117"/>
      <c r="X154" s="53" t="n">
        <f aca="false">D154+G154</f>
        <v>678</v>
      </c>
      <c r="Y154" s="53" t="n">
        <f aca="false">H154+E154</f>
        <v>4</v>
      </c>
      <c r="Z154" s="53" t="n">
        <f aca="false">X154/Y154</f>
        <v>169.5</v>
      </c>
    </row>
    <row r="155" customFormat="false" ht="14.25" hidden="false" customHeight="true" outlineLevel="0" collapsed="false">
      <c r="B155" s="0" t="s">
        <v>492</v>
      </c>
      <c r="C155" s="0" t="n">
        <v>121</v>
      </c>
      <c r="D155" s="0" t="n">
        <v>532</v>
      </c>
      <c r="E155" s="0" t="n">
        <v>3</v>
      </c>
      <c r="F155" s="0" t="n">
        <v>18</v>
      </c>
      <c r="G155" s="0" t="n">
        <v>146</v>
      </c>
      <c r="H155" s="0" t="n">
        <v>1</v>
      </c>
      <c r="I155" s="0" t="n">
        <v>5</v>
      </c>
      <c r="J155" s="0" t="n">
        <v>75</v>
      </c>
      <c r="K155" s="115" t="n">
        <f aca="false">IFERROR((D155/C155)/4.5*0.25*C155,0)</f>
        <v>29.5555555555556</v>
      </c>
      <c r="L155" s="115" t="n">
        <f aca="false">IFERROR((G155/F155)/7.95*0.376*F155,0)</f>
        <v>6.9051572327044</v>
      </c>
      <c r="M155" s="117"/>
      <c r="N155" s="117"/>
      <c r="O155" s="117"/>
      <c r="X155" s="53" t="n">
        <f aca="false">D155+G155</f>
        <v>678</v>
      </c>
      <c r="Y155" s="53" t="n">
        <f aca="false">H155+E155</f>
        <v>4</v>
      </c>
      <c r="Z155" s="53" t="n">
        <f aca="false">X155/Y155</f>
        <v>169.5</v>
      </c>
    </row>
    <row r="156" customFormat="false" ht="14.25" hidden="false" customHeight="true" outlineLevel="0" collapsed="false">
      <c r="A156" s="0" t="s">
        <v>652</v>
      </c>
      <c r="B156" s="0" t="s">
        <v>542</v>
      </c>
      <c r="C156" s="0" t="n">
        <v>111.7</v>
      </c>
      <c r="D156" s="0" t="n">
        <v>448.9</v>
      </c>
      <c r="E156" s="0" t="n">
        <v>4.5</v>
      </c>
      <c r="F156" s="0" t="n">
        <v>13.9</v>
      </c>
      <c r="G156" s="0" t="n">
        <v>100.8</v>
      </c>
      <c r="H156" s="0" t="n">
        <v>0.7</v>
      </c>
      <c r="I156" s="0" t="n">
        <v>1.7</v>
      </c>
      <c r="J156" s="0" t="n">
        <v>89.6</v>
      </c>
      <c r="K156" s="115" t="n">
        <f aca="false">IFERROR((D156/C156)/4.5*0.25*C156,0)</f>
        <v>24.9388888888889</v>
      </c>
      <c r="L156" s="115" t="n">
        <f aca="false">IFERROR((G156/F156)/7.95*0.376*F156,0)</f>
        <v>4.76739622641509</v>
      </c>
      <c r="M156" s="117" t="n">
        <f aca="false">C158*Scoring!$B$32+D158/Scoring!$C$32+E158*Scoring!$D$32+F158*Scoring!$E$32+G158/Scoring!$F$32+H158*Scoring!$G$32+I158*Scoring!$H$32+K158*Scoring!$I$32+RB!L158*Scoring!$J$32+U156</f>
        <v>64.02</v>
      </c>
      <c r="N156" s="117" t="n">
        <f aca="false">C156*Scoring!$B$32+D156/Scoring!$C$32+E156*Scoring!$D$32+F156*Scoring!$E$32+G156/Scoring!$F$32+H156*Scoring!$G$32+I156*Scoring!$H$32+K156*Scoring!$I$32+RB!L156*Scoring!$J$32+U156</f>
        <v>89.72</v>
      </c>
      <c r="O156" s="117" t="n">
        <f aca="false">C157*Scoring!$B$32+D157/Scoring!$C$32+E157*Scoring!$D$32+F157*Scoring!$E$32+G157/Scoring!$F$32+H157*Scoring!$G$32+I157*Scoring!$H$32+K157*Scoring!$I$32+L157*Scoring!$J$32+U156</f>
        <v>114.8</v>
      </c>
      <c r="P156" s="53" t="n">
        <f aca="false">IF(COUNTIF(Rookies!$A:$A,A156)&gt;0,1,0)</f>
        <v>0</v>
      </c>
      <c r="S156" s="53" t="n">
        <f aca="false">V156/17</f>
        <v>5.27764705882353</v>
      </c>
      <c r="T156" s="53" t="n">
        <f aca="false">IF(P156=1,MAX(0,0.258*(14.9-S156)),0)</f>
        <v>0</v>
      </c>
      <c r="U156" s="53" t="n">
        <f aca="false">T156*17</f>
        <v>0</v>
      </c>
      <c r="V156" s="53" t="n">
        <f aca="false">C156*Scoring!$B$32+D156/Scoring!$C$32+E156*Scoring!$D$32+F156*Scoring!$E$32+G156/Scoring!$F$32+H156*Scoring!$G$32+I156*Scoring!$H$32+K156*Scoring!$I$32+RB!L156*Scoring!$J$32</f>
        <v>89.72</v>
      </c>
      <c r="X156" s="53" t="n">
        <f aca="false">D156+G156</f>
        <v>549.7</v>
      </c>
      <c r="Y156" s="53" t="n">
        <f aca="false">H156+E156</f>
        <v>5.2</v>
      </c>
      <c r="Z156" s="53" t="n">
        <f aca="false">X156/Y156</f>
        <v>105.711538461538</v>
      </c>
    </row>
    <row r="157" customFormat="false" ht="14.25" hidden="false" customHeight="true" outlineLevel="0" collapsed="false">
      <c r="B157" s="0" t="s">
        <v>491</v>
      </c>
      <c r="C157" s="0" t="n">
        <v>141</v>
      </c>
      <c r="D157" s="0" t="n">
        <v>550</v>
      </c>
      <c r="E157" s="0" t="n">
        <v>6</v>
      </c>
      <c r="F157" s="0" t="n">
        <v>15</v>
      </c>
      <c r="G157" s="0" t="n">
        <v>111</v>
      </c>
      <c r="H157" s="0" t="n">
        <v>1</v>
      </c>
      <c r="I157" s="0" t="n">
        <v>0.4</v>
      </c>
      <c r="J157" s="0" t="n">
        <v>93.9</v>
      </c>
      <c r="K157" s="115" t="n">
        <f aca="false">IFERROR((D157/C157)/4.5*0.25*C157,0)</f>
        <v>30.5555555555556</v>
      </c>
      <c r="L157" s="115" t="n">
        <f aca="false">IFERROR((G157/F157)/7.95*0.376*F157,0)</f>
        <v>5.24981132075472</v>
      </c>
      <c r="M157" s="117"/>
      <c r="N157" s="117"/>
      <c r="O157" s="117"/>
      <c r="X157" s="53" t="n">
        <f aca="false">D157+G157</f>
        <v>661</v>
      </c>
      <c r="Y157" s="53" t="n">
        <f aca="false">H157+E157</f>
        <v>7</v>
      </c>
      <c r="Z157" s="53" t="n">
        <f aca="false">X157/Y157</f>
        <v>94.4285714285714</v>
      </c>
    </row>
    <row r="158" customFormat="false" ht="14.25" hidden="false" customHeight="true" outlineLevel="0" collapsed="false">
      <c r="B158" s="0" t="s">
        <v>492</v>
      </c>
      <c r="C158" s="0" t="n">
        <v>82.4</v>
      </c>
      <c r="D158" s="0" t="n">
        <v>347.7</v>
      </c>
      <c r="E158" s="0" t="n">
        <v>2.9</v>
      </c>
      <c r="F158" s="0" t="n">
        <v>12.8</v>
      </c>
      <c r="G158" s="0" t="n">
        <v>90.5</v>
      </c>
      <c r="H158" s="0" t="n">
        <v>0.4</v>
      </c>
      <c r="I158" s="0" t="n">
        <v>3</v>
      </c>
      <c r="J158" s="0" t="n">
        <v>71</v>
      </c>
      <c r="K158" s="115" t="n">
        <f aca="false">IFERROR((D158/C158)/4.5*0.25*C158,0)</f>
        <v>19.3166666666667</v>
      </c>
      <c r="L158" s="115" t="n">
        <f aca="false">IFERROR((G158/F158)/7.95*0.376*F158,0)</f>
        <v>4.28025157232704</v>
      </c>
      <c r="M158" s="117"/>
      <c r="N158" s="117"/>
      <c r="O158" s="117"/>
      <c r="X158" s="53" t="n">
        <f aca="false">D158+G158</f>
        <v>438.2</v>
      </c>
      <c r="Y158" s="53" t="n">
        <f aca="false">H158+E158</f>
        <v>3.3</v>
      </c>
      <c r="Z158" s="53" t="n">
        <f aca="false">X158/Y158</f>
        <v>132.787878787879</v>
      </c>
    </row>
    <row r="159" customFormat="false" ht="14.25" hidden="false" customHeight="true" outlineLevel="0" collapsed="false">
      <c r="A159" s="0" t="s">
        <v>653</v>
      </c>
      <c r="B159" s="0" t="s">
        <v>502</v>
      </c>
      <c r="C159" s="0" t="n">
        <v>98.4</v>
      </c>
      <c r="D159" s="0" t="n">
        <v>441.3</v>
      </c>
      <c r="E159" s="0" t="n">
        <v>3.7</v>
      </c>
      <c r="F159" s="0" t="n">
        <v>17.9</v>
      </c>
      <c r="G159" s="0" t="n">
        <v>135.6</v>
      </c>
      <c r="H159" s="0" t="n">
        <v>0.4</v>
      </c>
      <c r="I159" s="0" t="n">
        <v>1.9</v>
      </c>
      <c r="J159" s="0" t="n">
        <v>87.1</v>
      </c>
      <c r="K159" s="115" t="n">
        <f aca="false">IFERROR((D159/C159)/4.5*0.25*C159,0)</f>
        <v>24.5166666666667</v>
      </c>
      <c r="L159" s="115" t="n">
        <f aca="false">IFERROR((G159/F159)/7.95*0.376*F159,0)</f>
        <v>6.41328301886793</v>
      </c>
      <c r="M159" s="117" t="n">
        <f aca="false">C161*Scoring!$B$32+D161/Scoring!$C$32+E161*Scoring!$D$32+F161*Scoring!$E$32+G161/Scoring!$F$32+H161*Scoring!$G$32+I161*Scoring!$H$32+K161*Scoring!$I$32+RB!L161*Scoring!$J$32+U159</f>
        <v>79.46</v>
      </c>
      <c r="N159" s="117" t="n">
        <f aca="false">C159*Scoring!$B$32+D159/Scoring!$C$32+E159*Scoring!$D$32+F159*Scoring!$E$32+G159/Scoring!$F$32+H159*Scoring!$G$32+I159*Scoring!$H$32+K159*Scoring!$I$32+RB!L159*Scoring!$J$32+U159</f>
        <v>87.44</v>
      </c>
      <c r="O159" s="117" t="n">
        <f aca="false">C160*Scoring!$B$32+D160/Scoring!$C$32+E160*Scoring!$D$32+F160*Scoring!$E$32+G160/Scoring!$F$32+H160*Scoring!$G$32+I160*Scoring!$H$32+K160*Scoring!$I$32+L160*Scoring!$J$32+U159</f>
        <v>94.22</v>
      </c>
      <c r="P159" s="53" t="n">
        <f aca="false">IF(COUNTIF(Rookies!$A:$A,A159)&gt;0,1,0)</f>
        <v>0</v>
      </c>
      <c r="S159" s="53" t="n">
        <f aca="false">V159/17</f>
        <v>5.14352941176471</v>
      </c>
      <c r="T159" s="53" t="n">
        <f aca="false">IF(P159=1,MAX(0,0.258*(14.9-S159)),0)</f>
        <v>0</v>
      </c>
      <c r="U159" s="53" t="n">
        <f aca="false">T159*17</f>
        <v>0</v>
      </c>
      <c r="V159" s="53" t="n">
        <f aca="false">C159*Scoring!$B$32+D159/Scoring!$C$32+E159*Scoring!$D$32+F159*Scoring!$E$32+G159/Scoring!$F$32+H159*Scoring!$G$32+I159*Scoring!$H$32+K159*Scoring!$I$32+RB!L159*Scoring!$J$32</f>
        <v>87.44</v>
      </c>
      <c r="X159" s="53" t="n">
        <f aca="false">D159+G159</f>
        <v>576.9</v>
      </c>
      <c r="Y159" s="53" t="n">
        <f aca="false">H159+E159</f>
        <v>4.1</v>
      </c>
      <c r="Z159" s="53" t="n">
        <f aca="false">X159/Y159</f>
        <v>140.707317073171</v>
      </c>
    </row>
    <row r="160" customFormat="false" ht="14.25" hidden="false" customHeight="true" outlineLevel="0" collapsed="false">
      <c r="B160" s="0" t="s">
        <v>491</v>
      </c>
      <c r="C160" s="0" t="n">
        <v>100.9</v>
      </c>
      <c r="D160" s="0" t="n">
        <v>443</v>
      </c>
      <c r="E160" s="0" t="n">
        <v>4</v>
      </c>
      <c r="F160" s="0" t="n">
        <v>18.8</v>
      </c>
      <c r="G160" s="0" t="n">
        <v>139.2</v>
      </c>
      <c r="H160" s="0" t="n">
        <v>0.7</v>
      </c>
      <c r="I160" s="0" t="n">
        <v>0.8</v>
      </c>
      <c r="J160" s="0" t="n">
        <v>90.5</v>
      </c>
      <c r="K160" s="115" t="n">
        <f aca="false">IFERROR((D160/C160)/4.5*0.25*C160,0)</f>
        <v>24.6111111111111</v>
      </c>
      <c r="L160" s="115" t="n">
        <f aca="false">IFERROR((G160/F160)/7.95*0.376*F160,0)</f>
        <v>6.58354716981132</v>
      </c>
      <c r="M160" s="117"/>
      <c r="N160" s="117"/>
      <c r="O160" s="117"/>
      <c r="X160" s="53" t="n">
        <f aca="false">D160+G160</f>
        <v>582.2</v>
      </c>
      <c r="Y160" s="53" t="n">
        <f aca="false">H160+E160</f>
        <v>4.7</v>
      </c>
      <c r="Z160" s="53" t="n">
        <f aca="false">X160/Y160</f>
        <v>123.872340425532</v>
      </c>
    </row>
    <row r="161" customFormat="false" ht="14.25" hidden="false" customHeight="true" outlineLevel="0" collapsed="false">
      <c r="B161" s="0" t="s">
        <v>492</v>
      </c>
      <c r="C161" s="0" t="n">
        <v>96</v>
      </c>
      <c r="D161" s="0" t="n">
        <v>439.6</v>
      </c>
      <c r="E161" s="0" t="n">
        <v>3.3</v>
      </c>
      <c r="F161" s="0" t="n">
        <v>17</v>
      </c>
      <c r="G161" s="0" t="n">
        <v>132</v>
      </c>
      <c r="H161" s="0" t="n">
        <v>0</v>
      </c>
      <c r="I161" s="0" t="n">
        <v>3</v>
      </c>
      <c r="J161" s="0" t="n">
        <v>68</v>
      </c>
      <c r="K161" s="115" t="n">
        <f aca="false">IFERROR((D161/C161)/4.5*0.25*C161,0)</f>
        <v>24.4222222222222</v>
      </c>
      <c r="L161" s="115" t="n">
        <f aca="false">IFERROR((G161/F161)/7.95*0.376*F161,0)</f>
        <v>6.24301886792453</v>
      </c>
      <c r="M161" s="117"/>
      <c r="N161" s="117"/>
      <c r="O161" s="117"/>
      <c r="X161" s="53" t="n">
        <f aca="false">D161+G161</f>
        <v>571.6</v>
      </c>
      <c r="Y161" s="53" t="n">
        <f aca="false">H161+E161</f>
        <v>3.3</v>
      </c>
      <c r="Z161" s="53" t="n">
        <f aca="false">X161/Y161</f>
        <v>173.212121212121</v>
      </c>
    </row>
    <row r="162" customFormat="false" ht="14.25" hidden="false" customHeight="true" outlineLevel="0" collapsed="false">
      <c r="A162" s="0" t="s">
        <v>654</v>
      </c>
      <c r="B162" s="0" t="s">
        <v>546</v>
      </c>
      <c r="C162" s="0" t="n">
        <v>107.7</v>
      </c>
      <c r="D162" s="0" t="n">
        <v>408</v>
      </c>
      <c r="E162" s="0" t="n">
        <v>3.8</v>
      </c>
      <c r="F162" s="0" t="n">
        <v>17.5</v>
      </c>
      <c r="G162" s="0" t="n">
        <v>115.9</v>
      </c>
      <c r="H162" s="0" t="n">
        <v>0.1</v>
      </c>
      <c r="I162" s="0" t="n">
        <v>0.6</v>
      </c>
      <c r="J162" s="0" t="n">
        <v>83.4</v>
      </c>
      <c r="K162" s="115" t="n">
        <f aca="false">IFERROR((D162/C162)/4.5*0.25*C162,0)</f>
        <v>22.6666666666667</v>
      </c>
      <c r="L162" s="115" t="n">
        <f aca="false">IFERROR((G162/F162)/7.95*0.376*F162,0)</f>
        <v>5.48155974842767</v>
      </c>
      <c r="M162" s="117" t="n">
        <f aca="false">C164*Scoring!$B$32+D164/Scoring!$C$32+E164*Scoring!$D$32+F164*Scoring!$E$32+G164/Scoring!$F$32+H164*Scoring!$G$32+I164*Scoring!$H$32+K164*Scoring!$I$32+RB!L164*Scoring!$J$32+U162</f>
        <v>72.7</v>
      </c>
      <c r="N162" s="117" t="n">
        <f aca="false">C162*Scoring!$B$32+D162/Scoring!$C$32+E162*Scoring!$D$32+F162*Scoring!$E$32+G162/Scoring!$F$32+H162*Scoring!$G$32+I162*Scoring!$H$32+K162*Scoring!$I$32+RB!L162*Scoring!$J$32+U162</f>
        <v>83.34</v>
      </c>
      <c r="O162" s="117" t="n">
        <f aca="false">C163*Scoring!$B$32+D163/Scoring!$C$32+E163*Scoring!$D$32+F163*Scoring!$E$32+G163/Scoring!$F$32+H163*Scoring!$G$32+I163*Scoring!$H$32+K163*Scoring!$I$32+L163*Scoring!$J$32+U162</f>
        <v>98.16</v>
      </c>
      <c r="P162" s="53" t="n">
        <f aca="false">IF(COUNTIF(Rookies!$A:$A,A162)&gt;0,1,0)</f>
        <v>0</v>
      </c>
      <c r="S162" s="53" t="n">
        <f aca="false">V162/17</f>
        <v>4.90235294117647</v>
      </c>
      <c r="T162" s="53" t="n">
        <f aca="false">IF(P162=1,MAX(0,0.258*(14.9-S162)),0)</f>
        <v>0</v>
      </c>
      <c r="U162" s="53" t="n">
        <f aca="false">T162*17</f>
        <v>0</v>
      </c>
      <c r="V162" s="53" t="n">
        <f aca="false">C162*Scoring!$B$32+D162/Scoring!$C$32+E162*Scoring!$D$32+F162*Scoring!$E$32+G162/Scoring!$F$32+H162*Scoring!$G$32+I162*Scoring!$H$32+K162*Scoring!$I$32+RB!L162*Scoring!$J$32</f>
        <v>83.34</v>
      </c>
      <c r="X162" s="53" t="n">
        <f aca="false">D162+G162</f>
        <v>523.9</v>
      </c>
      <c r="Y162" s="53" t="n">
        <f aca="false">H162+E162</f>
        <v>3.9</v>
      </c>
      <c r="Z162" s="53" t="n">
        <f aca="false">X162/Y162</f>
        <v>134.333333333333</v>
      </c>
    </row>
    <row r="163" customFormat="false" ht="14.25" hidden="false" customHeight="true" outlineLevel="0" collapsed="false">
      <c r="B163" s="0" t="s">
        <v>491</v>
      </c>
      <c r="C163" s="0" t="n">
        <v>126</v>
      </c>
      <c r="D163" s="0" t="n">
        <v>442</v>
      </c>
      <c r="E163" s="0" t="n">
        <v>5</v>
      </c>
      <c r="F163" s="0" t="n">
        <v>18.4</v>
      </c>
      <c r="G163" s="0" t="n">
        <v>127.6</v>
      </c>
      <c r="H163" s="0" t="n">
        <v>0.4</v>
      </c>
      <c r="I163" s="0" t="n">
        <v>0.2</v>
      </c>
      <c r="J163" s="0" t="n">
        <v>87.2</v>
      </c>
      <c r="K163" s="115" t="n">
        <f aca="false">IFERROR((D163/C163)/4.5*0.25*C163,0)</f>
        <v>24.5555555555556</v>
      </c>
      <c r="L163" s="115" t="n">
        <f aca="false">IFERROR((G163/F163)/7.95*0.376*F163,0)</f>
        <v>6.03491823899371</v>
      </c>
      <c r="M163" s="117"/>
      <c r="N163" s="117"/>
      <c r="O163" s="117"/>
      <c r="X163" s="53" t="n">
        <f aca="false">D163+G163</f>
        <v>569.6</v>
      </c>
      <c r="Y163" s="53" t="n">
        <f aca="false">H163+E163</f>
        <v>5.4</v>
      </c>
      <c r="Z163" s="53" t="n">
        <f aca="false">X163/Y163</f>
        <v>105.481481481481</v>
      </c>
    </row>
    <row r="164" customFormat="false" ht="14.25" hidden="false" customHeight="true" outlineLevel="0" collapsed="false">
      <c r="B164" s="0" t="s">
        <v>492</v>
      </c>
      <c r="C164" s="0" t="n">
        <v>98</v>
      </c>
      <c r="D164" s="0" t="n">
        <v>391</v>
      </c>
      <c r="E164" s="0" t="n">
        <v>3</v>
      </c>
      <c r="F164" s="0" t="n">
        <v>16</v>
      </c>
      <c r="G164" s="0" t="n">
        <v>96</v>
      </c>
      <c r="H164" s="0" t="n">
        <v>0</v>
      </c>
      <c r="I164" s="0" t="n">
        <v>1</v>
      </c>
      <c r="J164" s="0" t="n">
        <v>76.7</v>
      </c>
      <c r="K164" s="115" t="n">
        <f aca="false">IFERROR((D164/C164)/4.5*0.25*C164,0)</f>
        <v>21.7222222222222</v>
      </c>
      <c r="L164" s="115" t="n">
        <f aca="false">IFERROR((G164/F164)/7.95*0.376*F164,0)</f>
        <v>4.54037735849057</v>
      </c>
      <c r="M164" s="117"/>
      <c r="N164" s="117"/>
      <c r="O164" s="117"/>
      <c r="X164" s="53" t="n">
        <f aca="false">D164+G164</f>
        <v>487</v>
      </c>
      <c r="Y164" s="53" t="n">
        <f aca="false">H164+E164</f>
        <v>3</v>
      </c>
      <c r="Z164" s="53" t="n">
        <f aca="false">X164/Y164</f>
        <v>162.333333333333</v>
      </c>
    </row>
    <row r="165" customFormat="false" ht="14.25" hidden="false" customHeight="true" outlineLevel="0" collapsed="false">
      <c r="A165" s="0" t="s">
        <v>655</v>
      </c>
      <c r="B165" s="0" t="s">
        <v>508</v>
      </c>
      <c r="C165" s="0" t="n">
        <v>113.6</v>
      </c>
      <c r="D165" s="0" t="n">
        <v>452.1</v>
      </c>
      <c r="E165" s="0" t="n">
        <v>3.6</v>
      </c>
      <c r="F165" s="0" t="n">
        <v>10.6</v>
      </c>
      <c r="G165" s="0" t="n">
        <v>95.2</v>
      </c>
      <c r="H165" s="0" t="n">
        <v>0.7</v>
      </c>
      <c r="I165" s="0" t="n">
        <v>1.2</v>
      </c>
      <c r="J165" s="0" t="n">
        <v>83.3</v>
      </c>
      <c r="K165" s="115" t="n">
        <f aca="false">IFERROR((D165/C165)/4.5*0.25*C165,0)</f>
        <v>25.1166666666667</v>
      </c>
      <c r="L165" s="115" t="n">
        <f aca="false">IFERROR((G165/F165)/7.95*0.376*F165,0)</f>
        <v>4.50254088050315</v>
      </c>
      <c r="M165" s="117" t="n">
        <f aca="false">C167*Scoring!$B$32+D167/Scoring!$C$32+E167*Scoring!$D$32+F167*Scoring!$E$32+G167/Scoring!$F$32+H167*Scoring!$G$32+I167*Scoring!$H$32+K167*Scoring!$I$32+RB!L167*Scoring!$J$32+U165</f>
        <v>96.83646</v>
      </c>
      <c r="N165" s="117" t="n">
        <f aca="false">C165*Scoring!$B$32+D165/Scoring!$C$32+E165*Scoring!$D$32+F165*Scoring!$E$32+G165/Scoring!$F$32+H165*Scoring!$G$32+I165*Scoring!$H$32+K165*Scoring!$I$32+RB!L165*Scoring!$J$32+U165</f>
        <v>127.25646</v>
      </c>
      <c r="O165" s="117" t="n">
        <f aca="false">C166*Scoring!$B$32+D166/Scoring!$C$32+E166*Scoring!$D$32+F166*Scoring!$E$32+G166/Scoring!$F$32+H166*Scoring!$G$32+I166*Scoring!$H$32+K166*Scoring!$I$32+L166*Scoring!$J$32+U165</f>
        <v>157.82646</v>
      </c>
      <c r="P165" s="53" t="n">
        <f aca="false">IF(COUNTIF(Rookies!$A:$A,A165)&gt;0,1,0)</f>
        <v>1</v>
      </c>
      <c r="S165" s="53" t="n">
        <f aca="false">V165/17</f>
        <v>4.90764705882353</v>
      </c>
      <c r="T165" s="53" t="n">
        <f aca="false">IF(P165=1,MAX(0,0.258*(14.9-S165)),0)</f>
        <v>2.57802705882353</v>
      </c>
      <c r="U165" s="53" t="n">
        <f aca="false">T165*17</f>
        <v>43.82646</v>
      </c>
      <c r="V165" s="53" t="n">
        <f aca="false">C165*Scoring!$B$32+D165/Scoring!$C$32+E165*Scoring!$D$32+F165*Scoring!$E$32+G165/Scoring!$F$32+H165*Scoring!$G$32+I165*Scoring!$H$32+K165*Scoring!$I$32+RB!L165*Scoring!$J$32</f>
        <v>83.43</v>
      </c>
      <c r="X165" s="53" t="n">
        <f aca="false">D165+G165</f>
        <v>547.3</v>
      </c>
      <c r="Y165" s="53" t="n">
        <f aca="false">H165+E165</f>
        <v>4.3</v>
      </c>
      <c r="Z165" s="53" t="n">
        <f aca="false">X165/Y165</f>
        <v>127.279069767442</v>
      </c>
    </row>
    <row r="166" customFormat="false" ht="14.25" hidden="false" customHeight="true" outlineLevel="0" collapsed="false">
      <c r="B166" s="0" t="s">
        <v>491</v>
      </c>
      <c r="C166" s="0" t="n">
        <v>152</v>
      </c>
      <c r="D166" s="0" t="n">
        <v>593</v>
      </c>
      <c r="E166" s="0" t="n">
        <v>5</v>
      </c>
      <c r="F166" s="0" t="n">
        <v>13</v>
      </c>
      <c r="G166" s="0" t="n">
        <v>128</v>
      </c>
      <c r="H166" s="0" t="n">
        <v>1</v>
      </c>
      <c r="I166" s="0" t="n">
        <v>0.3</v>
      </c>
      <c r="J166" s="0" t="n">
        <v>92.3</v>
      </c>
      <c r="K166" s="115" t="n">
        <f aca="false">IFERROR((D166/C166)/4.5*0.25*C166,0)</f>
        <v>32.9444444444444</v>
      </c>
      <c r="L166" s="115" t="n">
        <f aca="false">IFERROR((G166/F166)/7.95*0.376*F166,0)</f>
        <v>6.05383647798742</v>
      </c>
      <c r="M166" s="117"/>
      <c r="N166" s="117"/>
      <c r="O166" s="117"/>
      <c r="X166" s="53" t="n">
        <f aca="false">D166+G166</f>
        <v>721</v>
      </c>
      <c r="Y166" s="53" t="n">
        <f aca="false">H166+E166</f>
        <v>6</v>
      </c>
      <c r="Z166" s="53" t="n">
        <f aca="false">X166/Y166</f>
        <v>120.166666666667</v>
      </c>
    </row>
    <row r="167" customFormat="false" ht="14.25" hidden="false" customHeight="true" outlineLevel="0" collapsed="false">
      <c r="B167" s="0" t="s">
        <v>492</v>
      </c>
      <c r="C167" s="0" t="n">
        <v>75.2</v>
      </c>
      <c r="D167" s="0" t="n">
        <v>311.1</v>
      </c>
      <c r="E167" s="0" t="n">
        <v>2.2</v>
      </c>
      <c r="F167" s="0" t="n">
        <v>8.1</v>
      </c>
      <c r="G167" s="0" t="n">
        <v>62.5</v>
      </c>
      <c r="H167" s="0" t="n">
        <v>0.4</v>
      </c>
      <c r="I167" s="0" t="n">
        <v>2</v>
      </c>
      <c r="J167" s="0" t="n">
        <v>57.5</v>
      </c>
      <c r="K167" s="115" t="n">
        <f aca="false">IFERROR((D167/C167)/4.5*0.25*C167,0)</f>
        <v>17.2833333333333</v>
      </c>
      <c r="L167" s="115" t="n">
        <f aca="false">IFERROR((G167/F167)/7.95*0.376*F167,0)</f>
        <v>2.9559748427673</v>
      </c>
      <c r="M167" s="117"/>
      <c r="N167" s="117"/>
      <c r="O167" s="117"/>
      <c r="X167" s="53" t="n">
        <f aca="false">D167+G167</f>
        <v>373.6</v>
      </c>
      <c r="Y167" s="53" t="n">
        <f aca="false">H167+E167</f>
        <v>2.6</v>
      </c>
      <c r="Z167" s="53" t="n">
        <f aca="false">X167/Y167</f>
        <v>143.692307692308</v>
      </c>
    </row>
    <row r="168" customFormat="false" ht="14.25" hidden="false" customHeight="true" outlineLevel="0" collapsed="false">
      <c r="A168" s="0" t="s">
        <v>656</v>
      </c>
      <c r="B168" s="0" t="s">
        <v>490</v>
      </c>
      <c r="C168" s="0" t="n">
        <v>51.9</v>
      </c>
      <c r="D168" s="0" t="n">
        <v>222.5</v>
      </c>
      <c r="E168" s="0" t="n">
        <v>2.1</v>
      </c>
      <c r="F168" s="0" t="n">
        <v>22.8</v>
      </c>
      <c r="G168" s="0" t="n">
        <v>244.1</v>
      </c>
      <c r="H168" s="0" t="n">
        <v>2.2</v>
      </c>
      <c r="I168" s="0" t="n">
        <v>0.2</v>
      </c>
      <c r="J168" s="0" t="n">
        <v>83</v>
      </c>
      <c r="K168" s="115" t="n">
        <f aca="false">IFERROR((D168/C168)/4.5*0.25*C168,0)</f>
        <v>12.3611111111111</v>
      </c>
      <c r="L168" s="115" t="n">
        <f aca="false">IFERROR((G168/F168)/7.95*0.376*F168,0)</f>
        <v>11.544855345912</v>
      </c>
      <c r="M168" s="117" t="n">
        <f aca="false">C170*Scoring!$B$32+D170/Scoring!$C$32+E170*Scoring!$D$32+F170*Scoring!$E$32+G170/Scoring!$F$32+H170*Scoring!$G$32+I170*Scoring!$H$32+K170*Scoring!$I$32+RB!L170*Scoring!$J$32+U168</f>
        <v>72.61</v>
      </c>
      <c r="N168" s="117" t="n">
        <f aca="false">C168*Scoring!$B$32+D168/Scoring!$C$32+E168*Scoring!$D$32+F168*Scoring!$E$32+G168/Scoring!$F$32+H168*Scoring!$G$32+I168*Scoring!$H$32+K168*Scoring!$I$32+RB!L168*Scoring!$J$32+U168</f>
        <v>83.46</v>
      </c>
      <c r="O168" s="117" t="n">
        <f aca="false">C169*Scoring!$B$32+D169/Scoring!$C$32+E169*Scoring!$D$32+F169*Scoring!$E$32+G169/Scoring!$F$32+H169*Scoring!$G$32+I169*Scoring!$H$32+K169*Scoring!$I$32+L169*Scoring!$J$32+U168</f>
        <v>93.1</v>
      </c>
      <c r="P168" s="53" t="n">
        <f aca="false">IF(COUNTIF(Rookies!$A:$A,A168)&gt;0,1,0)</f>
        <v>0</v>
      </c>
      <c r="S168" s="53" t="n">
        <f aca="false">V168/17</f>
        <v>4.90941176470588</v>
      </c>
      <c r="T168" s="53" t="n">
        <f aca="false">IF(P168=1,MAX(0,0.258*(14.9-S168)),0)</f>
        <v>0</v>
      </c>
      <c r="U168" s="53" t="n">
        <f aca="false">T168*17</f>
        <v>0</v>
      </c>
      <c r="V168" s="53" t="n">
        <f aca="false">C168*Scoring!$B$32+D168/Scoring!$C$32+E168*Scoring!$D$32+F168*Scoring!$E$32+G168/Scoring!$F$32+H168*Scoring!$G$32+I168*Scoring!$H$32+K168*Scoring!$I$32+RB!L168*Scoring!$J$32</f>
        <v>83.46</v>
      </c>
      <c r="X168" s="53" t="n">
        <f aca="false">D168+G168</f>
        <v>466.6</v>
      </c>
      <c r="Y168" s="53" t="n">
        <f aca="false">H168+E168</f>
        <v>4.3</v>
      </c>
      <c r="Z168" s="53" t="n">
        <f aca="false">X168/Y168</f>
        <v>108.511627906977</v>
      </c>
    </row>
    <row r="169" customFormat="false" ht="14.25" hidden="false" customHeight="true" outlineLevel="0" collapsed="false">
      <c r="B169" s="0" t="s">
        <v>491</v>
      </c>
      <c r="C169" s="0" t="n">
        <v>53</v>
      </c>
      <c r="D169" s="0" t="n">
        <v>225</v>
      </c>
      <c r="E169" s="0" t="n">
        <v>2.1</v>
      </c>
      <c r="F169" s="0" t="n">
        <v>24</v>
      </c>
      <c r="G169" s="0" t="n">
        <v>280</v>
      </c>
      <c r="H169" s="0" t="n">
        <v>3</v>
      </c>
      <c r="I169" s="0" t="n">
        <v>0</v>
      </c>
      <c r="J169" s="0" t="n">
        <v>75.4</v>
      </c>
      <c r="K169" s="115" t="n">
        <f aca="false">IFERROR((D169/C169)/4.5*0.25*C169,0)</f>
        <v>12.5</v>
      </c>
      <c r="L169" s="115" t="n">
        <f aca="false">IFERROR((G169/F169)/7.95*0.376*F169,0)</f>
        <v>13.2427672955975</v>
      </c>
      <c r="M169" s="117"/>
      <c r="N169" s="117"/>
      <c r="O169" s="117"/>
      <c r="X169" s="53" t="n">
        <f aca="false">D169+G169</f>
        <v>505</v>
      </c>
      <c r="Y169" s="53" t="n">
        <f aca="false">H169+E169</f>
        <v>5.1</v>
      </c>
      <c r="Z169" s="53" t="n">
        <f aca="false">X169/Y169</f>
        <v>99.0196078431373</v>
      </c>
    </row>
    <row r="170" customFormat="false" ht="14.25" hidden="false" customHeight="true" outlineLevel="0" collapsed="false">
      <c r="B170" s="0" t="s">
        <v>492</v>
      </c>
      <c r="C170" s="0" t="n">
        <v>50.8</v>
      </c>
      <c r="D170" s="0" t="n">
        <v>220</v>
      </c>
      <c r="E170" s="0" t="n">
        <v>2</v>
      </c>
      <c r="F170" s="0" t="n">
        <v>21.6</v>
      </c>
      <c r="G170" s="0" t="n">
        <v>208.1</v>
      </c>
      <c r="H170" s="0" t="n">
        <v>1.3</v>
      </c>
      <c r="I170" s="0" t="n">
        <v>0.4</v>
      </c>
      <c r="J170" s="0" t="n">
        <v>74.7</v>
      </c>
      <c r="K170" s="115" t="n">
        <f aca="false">IFERROR((D170/C170)/4.5*0.25*C170,0)</f>
        <v>12.2222222222222</v>
      </c>
      <c r="L170" s="115" t="n">
        <f aca="false">IFERROR((G170/F170)/7.95*0.376*F170,0)</f>
        <v>9.84221383647799</v>
      </c>
      <c r="M170" s="117"/>
      <c r="N170" s="117"/>
      <c r="O170" s="117"/>
      <c r="X170" s="53" t="n">
        <f aca="false">D170+G170</f>
        <v>428.1</v>
      </c>
      <c r="Y170" s="53" t="n">
        <f aca="false">H170+E170</f>
        <v>3.3</v>
      </c>
      <c r="Z170" s="53" t="n">
        <f aca="false">X170/Y170</f>
        <v>129.727272727273</v>
      </c>
    </row>
    <row r="171" customFormat="false" ht="14.25" hidden="false" customHeight="true" outlineLevel="0" collapsed="false">
      <c r="A171" s="0" t="s">
        <v>657</v>
      </c>
      <c r="B171" s="0" t="s">
        <v>552</v>
      </c>
      <c r="C171" s="0" t="n">
        <v>120.9</v>
      </c>
      <c r="D171" s="0" t="n">
        <v>517.1</v>
      </c>
      <c r="E171" s="0" t="n">
        <v>3.9</v>
      </c>
      <c r="F171" s="0" t="n">
        <v>7.3</v>
      </c>
      <c r="G171" s="0" t="n">
        <v>46.7</v>
      </c>
      <c r="H171" s="0" t="n">
        <v>0.1</v>
      </c>
      <c r="I171" s="0" t="n">
        <v>0.7</v>
      </c>
      <c r="J171" s="0" t="n">
        <v>82.5</v>
      </c>
      <c r="K171" s="115" t="n">
        <f aca="false">IFERROR((D171/C171)/4.5*0.25*C171,0)</f>
        <v>28.7277777777778</v>
      </c>
      <c r="L171" s="115" t="n">
        <f aca="false">IFERROR((G171/F171)/7.95*0.376*F171,0)</f>
        <v>2.20870440251572</v>
      </c>
      <c r="M171" s="117" t="n">
        <f aca="false">C173*Scoring!$B$32+D173/Scoring!$C$32+E173*Scoring!$D$32+F173*Scoring!$E$32+G173/Scoring!$F$32+H173*Scoring!$G$32+I173*Scoring!$H$32+K173*Scoring!$I$32+RB!L173*Scoring!$J$32+U171</f>
        <v>70.7</v>
      </c>
      <c r="N171" s="117" t="n">
        <f aca="false">C171*Scoring!$B$32+D171/Scoring!$C$32+E171*Scoring!$D$32+F171*Scoring!$E$32+G171/Scoring!$F$32+H171*Scoring!$G$32+I171*Scoring!$H$32+K171*Scoring!$I$32+RB!L171*Scoring!$J$32+U171</f>
        <v>82.63</v>
      </c>
      <c r="O171" s="117" t="n">
        <f aca="false">C172*Scoring!$B$32+D172/Scoring!$C$32+E172*Scoring!$D$32+F172*Scoring!$E$32+G172/Scoring!$F$32+H172*Scoring!$G$32+I172*Scoring!$H$32+K172*Scoring!$I$32+L172*Scoring!$J$32+U171</f>
        <v>91.25</v>
      </c>
      <c r="P171" s="53" t="n">
        <f aca="false">IF(COUNTIF(Rookies!$A:$A,A171)&gt;0,1,0)</f>
        <v>0</v>
      </c>
      <c r="S171" s="53" t="n">
        <f aca="false">V171/17</f>
        <v>4.86058823529412</v>
      </c>
      <c r="T171" s="53" t="n">
        <f aca="false">IF(P171=1,MAX(0,0.258*(14.9-S171)),0)</f>
        <v>0</v>
      </c>
      <c r="U171" s="53" t="n">
        <f aca="false">T171*17</f>
        <v>0</v>
      </c>
      <c r="V171" s="53" t="n">
        <f aca="false">C171*Scoring!$B$32+D171/Scoring!$C$32+E171*Scoring!$D$32+F171*Scoring!$E$32+G171/Scoring!$F$32+H171*Scoring!$G$32+I171*Scoring!$H$32+K171*Scoring!$I$32+RB!L171*Scoring!$J$32</f>
        <v>82.63</v>
      </c>
      <c r="X171" s="53" t="n">
        <f aca="false">D171+G171</f>
        <v>563.8</v>
      </c>
      <c r="Y171" s="53" t="n">
        <f aca="false">H171+E171</f>
        <v>4</v>
      </c>
      <c r="Z171" s="53" t="n">
        <f aca="false">X171/Y171</f>
        <v>140.95</v>
      </c>
    </row>
    <row r="172" customFormat="false" ht="14.25" hidden="false" customHeight="true" outlineLevel="0" collapsed="false">
      <c r="B172" s="0" t="s">
        <v>491</v>
      </c>
      <c r="C172" s="0" t="n">
        <v>134.6</v>
      </c>
      <c r="D172" s="0" t="n">
        <v>560.4</v>
      </c>
      <c r="E172" s="0" t="n">
        <v>4</v>
      </c>
      <c r="F172" s="0" t="n">
        <v>9</v>
      </c>
      <c r="G172" s="0" t="n">
        <v>59.1</v>
      </c>
      <c r="H172" s="0" t="n">
        <v>0.3</v>
      </c>
      <c r="I172" s="0" t="n">
        <v>0.5</v>
      </c>
      <c r="J172" s="0" t="n">
        <v>88.8</v>
      </c>
      <c r="K172" s="115" t="n">
        <f aca="false">IFERROR((D172/C172)/4.5*0.25*C172,0)</f>
        <v>31.1333333333333</v>
      </c>
      <c r="L172" s="115" t="n">
        <f aca="false">IFERROR((G172/F172)/7.95*0.376*F172,0)</f>
        <v>2.79516981132075</v>
      </c>
      <c r="M172" s="117"/>
      <c r="N172" s="117"/>
      <c r="O172" s="117"/>
      <c r="X172" s="53" t="n">
        <f aca="false">D172+G172</f>
        <v>619.5</v>
      </c>
      <c r="Y172" s="53" t="n">
        <f aca="false">H172+E172</f>
        <v>4.3</v>
      </c>
      <c r="Z172" s="53" t="n">
        <f aca="false">X172/Y172</f>
        <v>144.06976744186</v>
      </c>
    </row>
    <row r="173" customFormat="false" ht="14.25" hidden="false" customHeight="true" outlineLevel="0" collapsed="false">
      <c r="B173" s="0" t="s">
        <v>492</v>
      </c>
      <c r="C173" s="0" t="n">
        <v>107</v>
      </c>
      <c r="D173" s="0" t="n">
        <v>462</v>
      </c>
      <c r="E173" s="0" t="n">
        <v>3.7</v>
      </c>
      <c r="F173" s="0" t="n">
        <v>4</v>
      </c>
      <c r="G173" s="0" t="n">
        <v>23</v>
      </c>
      <c r="H173" s="0" t="n">
        <v>0</v>
      </c>
      <c r="I173" s="0" t="n">
        <v>1</v>
      </c>
      <c r="J173" s="0" t="n">
        <v>72.6</v>
      </c>
      <c r="K173" s="115" t="n">
        <f aca="false">IFERROR((D173/C173)/4.5*0.25*C173,0)</f>
        <v>25.6666666666667</v>
      </c>
      <c r="L173" s="115" t="n">
        <f aca="false">IFERROR((G173/F173)/7.95*0.376*F173,0)</f>
        <v>1.08779874213836</v>
      </c>
      <c r="M173" s="117"/>
      <c r="N173" s="117"/>
      <c r="O173" s="117"/>
      <c r="X173" s="53" t="n">
        <f aca="false">D173+G173</f>
        <v>485</v>
      </c>
      <c r="Y173" s="53" t="n">
        <f aca="false">H173+E173</f>
        <v>3.7</v>
      </c>
      <c r="Z173" s="53" t="n">
        <f aca="false">X173/Y173</f>
        <v>131.081081081081</v>
      </c>
    </row>
    <row r="174" customFormat="false" ht="14.25" hidden="false" customHeight="true" outlineLevel="0" collapsed="false">
      <c r="A174" s="0" t="s">
        <v>658</v>
      </c>
      <c r="B174" s="0" t="s">
        <v>500</v>
      </c>
      <c r="C174" s="0" t="n">
        <v>104.6</v>
      </c>
      <c r="D174" s="0" t="n">
        <v>510.7</v>
      </c>
      <c r="E174" s="0" t="n">
        <v>4.2</v>
      </c>
      <c r="F174" s="0" t="n">
        <v>3.8</v>
      </c>
      <c r="G174" s="0" t="n">
        <v>31.8</v>
      </c>
      <c r="H174" s="0" t="n">
        <v>0.1</v>
      </c>
      <c r="I174" s="0" t="n">
        <v>0.7</v>
      </c>
      <c r="J174" s="0" t="n">
        <v>80.2</v>
      </c>
      <c r="K174" s="115" t="n">
        <f aca="false">IFERROR((D174/C174)/4.5*0.25*C174,0)</f>
        <v>28.3722222222222</v>
      </c>
      <c r="L174" s="115" t="n">
        <f aca="false">IFERROR((G174/F174)/7.95*0.376*F174,0)</f>
        <v>1.504</v>
      </c>
      <c r="M174" s="117" t="n">
        <f aca="false">C176*Scoring!$B$32+D176/Scoring!$C$32+E176*Scoring!$D$32+F176*Scoring!$E$32+G176/Scoring!$F$32+H176*Scoring!$G$32+I176*Scoring!$H$32+K176*Scoring!$I$32+RB!L176*Scoring!$J$32+U174</f>
        <v>60.31</v>
      </c>
      <c r="N174" s="117" t="n">
        <f aca="false">C174*Scoring!$B$32+D174/Scoring!$C$32+E174*Scoring!$D$32+F174*Scoring!$E$32+G174/Scoring!$F$32+H174*Scoring!$G$32+I174*Scoring!$H$32+K174*Scoring!$I$32+RB!L174*Scoring!$J$32+U174</f>
        <v>80.55</v>
      </c>
      <c r="O174" s="117" t="n">
        <f aca="false">C175*Scoring!$B$32+D175/Scoring!$C$32+E175*Scoring!$D$32+F175*Scoring!$E$32+G175/Scoring!$F$32+H175*Scoring!$G$32+I175*Scoring!$H$32+K175*Scoring!$I$32+L175*Scoring!$J$32+U174</f>
        <v>100.2</v>
      </c>
      <c r="P174" s="53" t="n">
        <f aca="false">IF(COUNTIF(Rookies!$A:$A,A174)&gt;0,1,0)</f>
        <v>0</v>
      </c>
      <c r="S174" s="53" t="n">
        <f aca="false">V174/17</f>
        <v>4.73823529411765</v>
      </c>
      <c r="T174" s="53" t="n">
        <f aca="false">IF(P174=1,MAX(0,0.258*(14.9-S174)),0)</f>
        <v>0</v>
      </c>
      <c r="U174" s="53" t="n">
        <f aca="false">T174*17</f>
        <v>0</v>
      </c>
      <c r="V174" s="53" t="n">
        <f aca="false">C174*Scoring!$B$32+D174/Scoring!$C$32+E174*Scoring!$D$32+F174*Scoring!$E$32+G174/Scoring!$F$32+H174*Scoring!$G$32+I174*Scoring!$H$32+K174*Scoring!$I$32+RB!L174*Scoring!$J$32</f>
        <v>80.55</v>
      </c>
      <c r="X174" s="53" t="n">
        <f aca="false">D174+G174</f>
        <v>542.5</v>
      </c>
      <c r="Y174" s="53" t="n">
        <f aca="false">H174+E174</f>
        <v>4.3</v>
      </c>
      <c r="Z174" s="53" t="n">
        <f aca="false">X174/Y174</f>
        <v>126.162790697674</v>
      </c>
    </row>
    <row r="175" customFormat="false" ht="14.25" hidden="false" customHeight="true" outlineLevel="0" collapsed="false">
      <c r="B175" s="0" t="s">
        <v>491</v>
      </c>
      <c r="C175" s="0" t="n">
        <v>126</v>
      </c>
      <c r="D175" s="0" t="n">
        <v>649</v>
      </c>
      <c r="E175" s="0" t="n">
        <v>5</v>
      </c>
      <c r="F175" s="0" t="n">
        <v>4</v>
      </c>
      <c r="G175" s="0" t="n">
        <v>35</v>
      </c>
      <c r="H175" s="0" t="n">
        <v>0.1</v>
      </c>
      <c r="I175" s="0" t="n">
        <v>0.4</v>
      </c>
      <c r="J175" s="0" t="n">
        <v>86.9</v>
      </c>
      <c r="K175" s="115" t="n">
        <f aca="false">IFERROR((D175/C175)/4.5*0.25*C175,0)</f>
        <v>36.0555555555556</v>
      </c>
      <c r="L175" s="115" t="n">
        <f aca="false">IFERROR((G175/F175)/7.95*0.376*F175,0)</f>
        <v>1.65534591194969</v>
      </c>
      <c r="M175" s="117"/>
      <c r="N175" s="117"/>
      <c r="O175" s="117"/>
      <c r="X175" s="53" t="n">
        <f aca="false">D175+G175</f>
        <v>684</v>
      </c>
      <c r="Y175" s="53" t="n">
        <f aca="false">H175+E175</f>
        <v>5.1</v>
      </c>
      <c r="Z175" s="53" t="n">
        <f aca="false">X175/Y175</f>
        <v>134.117647058824</v>
      </c>
    </row>
    <row r="176" customFormat="false" ht="14.25" hidden="false" customHeight="true" outlineLevel="0" collapsed="false">
      <c r="B176" s="0" t="s">
        <v>492</v>
      </c>
      <c r="C176" s="0" t="n">
        <v>83.2</v>
      </c>
      <c r="D176" s="0" t="n">
        <v>372.4</v>
      </c>
      <c r="E176" s="0" t="n">
        <v>3.4</v>
      </c>
      <c r="F176" s="0" t="n">
        <v>3.6</v>
      </c>
      <c r="G176" s="0" t="n">
        <v>28.7</v>
      </c>
      <c r="H176" s="0" t="n">
        <v>0</v>
      </c>
      <c r="I176" s="0" t="n">
        <v>1</v>
      </c>
      <c r="J176" s="0" t="n">
        <v>62.4</v>
      </c>
      <c r="K176" s="115" t="n">
        <f aca="false">IFERROR((D176/C176)/4.5*0.25*C176,0)</f>
        <v>20.6888888888889</v>
      </c>
      <c r="L176" s="115" t="n">
        <f aca="false">IFERROR((G176/F176)/7.95*0.376*F176,0)</f>
        <v>1.35738364779874</v>
      </c>
      <c r="M176" s="117"/>
      <c r="N176" s="117"/>
      <c r="O176" s="117"/>
      <c r="X176" s="53" t="n">
        <f aca="false">D176+G176</f>
        <v>401.1</v>
      </c>
      <c r="Y176" s="53" t="n">
        <f aca="false">H176+E176</f>
        <v>3.4</v>
      </c>
      <c r="Z176" s="53" t="n">
        <f aca="false">X176/Y176</f>
        <v>117.970588235294</v>
      </c>
    </row>
    <row r="177" customFormat="false" ht="14.25" hidden="false" customHeight="true" outlineLevel="0" collapsed="false">
      <c r="A177" s="0" t="s">
        <v>659</v>
      </c>
      <c r="B177" s="0" t="s">
        <v>516</v>
      </c>
      <c r="C177" s="0" t="n">
        <v>95.6</v>
      </c>
      <c r="D177" s="0" t="n">
        <v>433.8</v>
      </c>
      <c r="E177" s="0" t="n">
        <v>2.2</v>
      </c>
      <c r="F177" s="0" t="n">
        <v>15.5</v>
      </c>
      <c r="G177" s="0" t="n">
        <v>114.5</v>
      </c>
      <c r="H177" s="0" t="n">
        <v>0.4</v>
      </c>
      <c r="I177" s="0" t="n">
        <v>0.7</v>
      </c>
      <c r="J177" s="0" t="n">
        <v>76.7</v>
      </c>
      <c r="K177" s="115" t="n">
        <f aca="false">IFERROR((D177/C177)/4.5*0.25*C177,0)</f>
        <v>24.1</v>
      </c>
      <c r="L177" s="115" t="n">
        <f aca="false">IFERROR((G177/F177)/7.95*0.376*F177,0)</f>
        <v>5.41534591194969</v>
      </c>
      <c r="M177" s="117" t="n">
        <f aca="false">C179*Scoring!$B$32+D179/Scoring!$C$32+E179*Scoring!$D$32+F179*Scoring!$E$32+G179/Scoring!$F$32+H179*Scoring!$G$32+I179*Scoring!$H$32+K179*Scoring!$I$32+RB!L179*Scoring!$J$32+U177</f>
        <v>61.96</v>
      </c>
      <c r="N177" s="117" t="n">
        <f aca="false">C177*Scoring!$B$32+D177/Scoring!$C$32+E177*Scoring!$D$32+F177*Scoring!$E$32+G177/Scoring!$F$32+H177*Scoring!$G$32+I177*Scoring!$H$32+K177*Scoring!$I$32+RB!L177*Scoring!$J$32+U177</f>
        <v>76.78</v>
      </c>
      <c r="O177" s="117" t="n">
        <f aca="false">C178*Scoring!$B$32+D178/Scoring!$C$32+E178*Scoring!$D$32+F178*Scoring!$E$32+G178/Scoring!$F$32+H178*Scoring!$G$32+I178*Scoring!$H$32+K178*Scoring!$I$32+L178*Scoring!$J$32+U177</f>
        <v>91.39</v>
      </c>
      <c r="P177" s="53" t="n">
        <f aca="false">IF(COUNTIF(Rookies!$A:$A,A177)&gt;0,1,0)</f>
        <v>0</v>
      </c>
      <c r="S177" s="53" t="n">
        <f aca="false">V177/17</f>
        <v>4.5164705882353</v>
      </c>
      <c r="T177" s="53" t="n">
        <f aca="false">IF(P177=1,MAX(0,0.258*(14.9-S177)),0)</f>
        <v>0</v>
      </c>
      <c r="U177" s="53" t="n">
        <f aca="false">T177*17</f>
        <v>0</v>
      </c>
      <c r="V177" s="53" t="n">
        <f aca="false">C177*Scoring!$B$32+D177/Scoring!$C$32+E177*Scoring!$D$32+F177*Scoring!$E$32+G177/Scoring!$F$32+H177*Scoring!$G$32+I177*Scoring!$H$32+K177*Scoring!$I$32+RB!L177*Scoring!$J$32</f>
        <v>76.78</v>
      </c>
      <c r="X177" s="53" t="n">
        <f aca="false">D177+G177</f>
        <v>548.3</v>
      </c>
      <c r="Y177" s="53" t="n">
        <f aca="false">H177+E177</f>
        <v>2.6</v>
      </c>
      <c r="Z177" s="53" t="n">
        <f aca="false">X177/Y177</f>
        <v>210.884615384615</v>
      </c>
    </row>
    <row r="178" customFormat="false" ht="14.25" hidden="false" customHeight="true" outlineLevel="0" collapsed="false">
      <c r="B178" s="0" t="s">
        <v>491</v>
      </c>
      <c r="C178" s="0" t="n">
        <v>108</v>
      </c>
      <c r="D178" s="0" t="n">
        <v>475</v>
      </c>
      <c r="E178" s="0" t="n">
        <v>2.4</v>
      </c>
      <c r="F178" s="0" t="n">
        <v>20</v>
      </c>
      <c r="G178" s="0" t="n">
        <v>156.9</v>
      </c>
      <c r="H178" s="0" t="n">
        <v>0.8</v>
      </c>
      <c r="I178" s="0" t="n">
        <v>0.5</v>
      </c>
      <c r="J178" s="0" t="n">
        <v>81.6</v>
      </c>
      <c r="K178" s="115" t="n">
        <f aca="false">IFERROR((D178/C178)/4.5*0.25*C178,0)</f>
        <v>26.3888888888889</v>
      </c>
      <c r="L178" s="115" t="n">
        <f aca="false">IFERROR((G178/F178)/7.95*0.376*F178,0)</f>
        <v>7.42067924528302</v>
      </c>
      <c r="M178" s="117"/>
      <c r="N178" s="117"/>
      <c r="O178" s="117"/>
      <c r="X178" s="53" t="n">
        <f aca="false">D178+G178</f>
        <v>631.9</v>
      </c>
      <c r="Y178" s="53" t="n">
        <f aca="false">H178+E178</f>
        <v>3.2</v>
      </c>
      <c r="Z178" s="53" t="n">
        <f aca="false">X178/Y178</f>
        <v>197.46875</v>
      </c>
    </row>
    <row r="179" customFormat="false" ht="14.25" hidden="false" customHeight="true" outlineLevel="0" collapsed="false">
      <c r="B179" s="0" t="s">
        <v>492</v>
      </c>
      <c r="C179" s="0" t="n">
        <v>83.3</v>
      </c>
      <c r="D179" s="0" t="n">
        <v>392.6</v>
      </c>
      <c r="E179" s="0" t="n">
        <v>2</v>
      </c>
      <c r="F179" s="0" t="n">
        <v>11</v>
      </c>
      <c r="G179" s="0" t="n">
        <v>72</v>
      </c>
      <c r="H179" s="0" t="n">
        <v>0</v>
      </c>
      <c r="I179" s="0" t="n">
        <v>1</v>
      </c>
      <c r="J179" s="0" t="n">
        <v>58.8</v>
      </c>
      <c r="K179" s="115" t="n">
        <f aca="false">IFERROR((D179/C179)/4.5*0.25*C179,0)</f>
        <v>21.8111111111111</v>
      </c>
      <c r="L179" s="115" t="n">
        <f aca="false">IFERROR((G179/F179)/7.95*0.376*F179,0)</f>
        <v>3.40528301886793</v>
      </c>
      <c r="M179" s="117"/>
      <c r="N179" s="117"/>
      <c r="O179" s="117"/>
      <c r="X179" s="53" t="n">
        <f aca="false">D179+G179</f>
        <v>464.6</v>
      </c>
      <c r="Y179" s="53" t="n">
        <f aca="false">H179+E179</f>
        <v>2</v>
      </c>
      <c r="Z179" s="53" t="n">
        <f aca="false">X179/Y179</f>
        <v>232.3</v>
      </c>
    </row>
    <row r="180" customFormat="false" ht="14.25" hidden="false" customHeight="true" outlineLevel="0" collapsed="false">
      <c r="A180" s="0" t="s">
        <v>660</v>
      </c>
      <c r="B180" s="0" t="s">
        <v>524</v>
      </c>
      <c r="C180" s="0" t="n">
        <v>100.7</v>
      </c>
      <c r="D180" s="0" t="n">
        <v>426.8</v>
      </c>
      <c r="E180" s="0" t="n">
        <v>2.3</v>
      </c>
      <c r="F180" s="0" t="n">
        <v>14.6</v>
      </c>
      <c r="G180" s="0" t="n">
        <v>89.5</v>
      </c>
      <c r="H180" s="0" t="n">
        <v>0.7</v>
      </c>
      <c r="I180" s="0" t="n">
        <v>0.7</v>
      </c>
      <c r="J180" s="0" t="n">
        <v>75.9</v>
      </c>
      <c r="K180" s="115" t="n">
        <f aca="false">IFERROR((D180/C180)/4.5*0.25*C180,0)</f>
        <v>23.7111111111111</v>
      </c>
      <c r="L180" s="115" t="n">
        <f aca="false">IFERROR((G180/F180)/7.95*0.376*F180,0)</f>
        <v>4.23295597484277</v>
      </c>
      <c r="M180" s="117" t="n">
        <f aca="false">C182*Scoring!$B$32+D182/Scoring!$C$32+E182*Scoring!$D$32+F182*Scoring!$E$32+G182/Scoring!$F$32+H182*Scoring!$G$32+I182*Scoring!$H$32+K182*Scoring!$I$32+RB!L182*Scoring!$J$32+U180</f>
        <v>61.02</v>
      </c>
      <c r="N180" s="117" t="n">
        <f aca="false">C180*Scoring!$B$32+D180/Scoring!$C$32+E180*Scoring!$D$32+F180*Scoring!$E$32+G180/Scoring!$F$32+H180*Scoring!$G$32+I180*Scoring!$H$32+K180*Scoring!$I$32+RB!L180*Scoring!$J$32+U180</f>
        <v>75.53</v>
      </c>
      <c r="O180" s="117" t="n">
        <f aca="false">C181*Scoring!$B$32+D181/Scoring!$C$32+E181*Scoring!$D$32+F181*Scoring!$E$32+G181/Scoring!$F$32+H181*Scoring!$G$32+I181*Scoring!$H$32+K181*Scoring!$I$32+L181*Scoring!$J$32+U180</f>
        <v>90.8</v>
      </c>
      <c r="P180" s="53" t="n">
        <f aca="false">IF(COUNTIF(Rookies!$A:$A,A180)&gt;0,1,0)</f>
        <v>0</v>
      </c>
      <c r="S180" s="53" t="n">
        <f aca="false">V180/17</f>
        <v>4.44294117647059</v>
      </c>
      <c r="T180" s="53" t="n">
        <f aca="false">IF(P180=1,MAX(0,0.258*(14.9-S180)),0)</f>
        <v>0</v>
      </c>
      <c r="U180" s="53" t="n">
        <f aca="false">T180*17</f>
        <v>0</v>
      </c>
      <c r="V180" s="53" t="n">
        <f aca="false">C180*Scoring!$B$32+D180/Scoring!$C$32+E180*Scoring!$D$32+F180*Scoring!$E$32+G180/Scoring!$F$32+H180*Scoring!$G$32+I180*Scoring!$H$32+K180*Scoring!$I$32+RB!L180*Scoring!$J$32</f>
        <v>75.53</v>
      </c>
      <c r="X180" s="53" t="n">
        <f aca="false">D180+G180</f>
        <v>516.3</v>
      </c>
      <c r="Y180" s="53" t="n">
        <f aca="false">H180+E180</f>
        <v>3</v>
      </c>
      <c r="Z180" s="53" t="n">
        <f aca="false">X180/Y180</f>
        <v>172.1</v>
      </c>
    </row>
    <row r="181" customFormat="false" ht="14.25" hidden="false" customHeight="true" outlineLevel="0" collapsed="false">
      <c r="B181" s="0" t="s">
        <v>491</v>
      </c>
      <c r="C181" s="0" t="n">
        <v>113</v>
      </c>
      <c r="D181" s="0" t="n">
        <v>473</v>
      </c>
      <c r="E181" s="0" t="n">
        <v>2.7</v>
      </c>
      <c r="F181" s="0" t="n">
        <v>20</v>
      </c>
      <c r="G181" s="0" t="n">
        <v>119</v>
      </c>
      <c r="H181" s="0" t="n">
        <v>1</v>
      </c>
      <c r="I181" s="0" t="n">
        <v>0.3</v>
      </c>
      <c r="J181" s="0" t="n">
        <v>69.4</v>
      </c>
      <c r="K181" s="115" t="n">
        <f aca="false">IFERROR((D181/C181)/4.5*0.25*C181,0)</f>
        <v>26.2777777777778</v>
      </c>
      <c r="L181" s="115" t="n">
        <f aca="false">IFERROR((G181/F181)/7.95*0.376*F181,0)</f>
        <v>5.62817610062893</v>
      </c>
      <c r="M181" s="117"/>
      <c r="N181" s="117"/>
      <c r="O181" s="117"/>
      <c r="X181" s="53" t="n">
        <f aca="false">D181+G181</f>
        <v>592</v>
      </c>
      <c r="Y181" s="53" t="n">
        <f aca="false">H181+E181</f>
        <v>3.7</v>
      </c>
      <c r="Z181" s="53" t="n">
        <f aca="false">X181/Y181</f>
        <v>160</v>
      </c>
    </row>
    <row r="182" customFormat="false" ht="14.25" hidden="false" customHeight="true" outlineLevel="0" collapsed="false">
      <c r="B182" s="0" t="s">
        <v>492</v>
      </c>
      <c r="C182" s="0" t="n">
        <v>88.5</v>
      </c>
      <c r="D182" s="0" t="n">
        <v>380.6</v>
      </c>
      <c r="E182" s="0" t="n">
        <v>2</v>
      </c>
      <c r="F182" s="0" t="n">
        <v>9.1</v>
      </c>
      <c r="G182" s="0" t="n">
        <v>60.1</v>
      </c>
      <c r="H182" s="0" t="n">
        <v>0.4</v>
      </c>
      <c r="I182" s="0" t="n">
        <v>1</v>
      </c>
      <c r="J182" s="0" t="n">
        <v>65.3</v>
      </c>
      <c r="K182" s="115" t="n">
        <f aca="false">IFERROR((D182/C182)/4.5*0.25*C182,0)</f>
        <v>21.1444444444444</v>
      </c>
      <c r="L182" s="115" t="n">
        <f aca="false">IFERROR((G182/F182)/7.95*0.376*F182,0)</f>
        <v>2.84246540880503</v>
      </c>
      <c r="M182" s="117"/>
      <c r="N182" s="117"/>
      <c r="O182" s="117"/>
      <c r="X182" s="53" t="n">
        <f aca="false">D182+G182</f>
        <v>440.7</v>
      </c>
      <c r="Y182" s="53" t="n">
        <f aca="false">H182+E182</f>
        <v>2.4</v>
      </c>
      <c r="Z182" s="53" t="n">
        <f aca="false">X182/Y182</f>
        <v>183.625</v>
      </c>
    </row>
    <row r="183" customFormat="false" ht="14.25" hidden="false" customHeight="true" outlineLevel="0" collapsed="false">
      <c r="A183" s="0" t="s">
        <v>661</v>
      </c>
      <c r="B183" s="0" t="s">
        <v>510</v>
      </c>
      <c r="C183" s="0" t="n">
        <v>90.9</v>
      </c>
      <c r="D183" s="0" t="n">
        <v>422</v>
      </c>
      <c r="E183" s="0" t="n">
        <v>3.1</v>
      </c>
      <c r="F183" s="0" t="n">
        <v>8.6</v>
      </c>
      <c r="G183" s="0" t="n">
        <v>67.2</v>
      </c>
      <c r="H183" s="0" t="n">
        <v>0.2</v>
      </c>
      <c r="I183" s="0" t="n">
        <v>0.6</v>
      </c>
      <c r="J183" s="0" t="n">
        <v>71.4</v>
      </c>
      <c r="K183" s="115" t="n">
        <f aca="false">IFERROR((D183/C183)/4.5*0.25*C183,0)</f>
        <v>23.4444444444444</v>
      </c>
      <c r="L183" s="115" t="n">
        <f aca="false">IFERROR((G183/F183)/7.95*0.376*F183,0)</f>
        <v>3.1782641509434</v>
      </c>
      <c r="M183" s="117" t="n">
        <f aca="false">C185*Scoring!$B$32+D185/Scoring!$C$32+E185*Scoring!$D$32+F185*Scoring!$E$32+G185/Scoring!$F$32+H185*Scoring!$G$32+I185*Scoring!$H$32+K185*Scoring!$I$32+RB!L185*Scoring!$J$32+U183</f>
        <v>49.67</v>
      </c>
      <c r="N183" s="117" t="n">
        <f aca="false">C183*Scoring!$B$32+D183/Scoring!$C$32+E183*Scoring!$D$32+F183*Scoring!$E$32+G183/Scoring!$F$32+H183*Scoring!$G$32+I183*Scoring!$H$32+K183*Scoring!$I$32+RB!L183*Scoring!$J$32+U183</f>
        <v>71.82</v>
      </c>
      <c r="O183" s="117" t="n">
        <f aca="false">C184*Scoring!$B$32+D184/Scoring!$C$32+E184*Scoring!$D$32+F184*Scoring!$E$32+G184/Scoring!$F$32+H184*Scoring!$G$32+I184*Scoring!$H$32+K184*Scoring!$I$32+L184*Scoring!$J$32+U183</f>
        <v>92.8</v>
      </c>
      <c r="P183" s="53" t="n">
        <f aca="false">IF(COUNTIF(Rookies!$A:$A,A183)&gt;0,1,0)</f>
        <v>0</v>
      </c>
      <c r="S183" s="53" t="n">
        <f aca="false">V183/17</f>
        <v>4.22470588235294</v>
      </c>
      <c r="T183" s="53" t="n">
        <f aca="false">IF(P183=1,MAX(0,0.258*(14.9-S183)),0)</f>
        <v>0</v>
      </c>
      <c r="U183" s="53" t="n">
        <f aca="false">T183*17</f>
        <v>0</v>
      </c>
      <c r="V183" s="53" t="n">
        <f aca="false">C183*Scoring!$B$32+D183/Scoring!$C$32+E183*Scoring!$D$32+F183*Scoring!$E$32+G183/Scoring!$F$32+H183*Scoring!$G$32+I183*Scoring!$H$32+K183*Scoring!$I$32+RB!L183*Scoring!$J$32</f>
        <v>71.82</v>
      </c>
      <c r="X183" s="53" t="n">
        <f aca="false">D183+G183</f>
        <v>489.2</v>
      </c>
      <c r="Y183" s="53" t="n">
        <f aca="false">H183+E183</f>
        <v>3.3</v>
      </c>
      <c r="Z183" s="53" t="n">
        <f aca="false">X183/Y183</f>
        <v>148.242424242424</v>
      </c>
    </row>
    <row r="184" customFormat="false" ht="14.25" hidden="false" customHeight="true" outlineLevel="0" collapsed="false">
      <c r="B184" s="0" t="s">
        <v>491</v>
      </c>
      <c r="C184" s="0" t="n">
        <v>115</v>
      </c>
      <c r="D184" s="0" t="n">
        <v>554</v>
      </c>
      <c r="E184" s="0" t="n">
        <v>4</v>
      </c>
      <c r="F184" s="0" t="n">
        <v>9</v>
      </c>
      <c r="G184" s="0" t="n">
        <v>75</v>
      </c>
      <c r="H184" s="0" t="n">
        <v>0.3</v>
      </c>
      <c r="I184" s="0" t="n">
        <v>0.2</v>
      </c>
      <c r="J184" s="0" t="n">
        <v>76.3</v>
      </c>
      <c r="K184" s="115" t="n">
        <f aca="false">IFERROR((D184/C184)/4.5*0.25*C184,0)</f>
        <v>30.7777777777778</v>
      </c>
      <c r="L184" s="115" t="n">
        <f aca="false">IFERROR((G184/F184)/7.95*0.376*F184,0)</f>
        <v>3.54716981132076</v>
      </c>
      <c r="M184" s="117"/>
      <c r="N184" s="117"/>
      <c r="O184" s="117"/>
      <c r="X184" s="53" t="n">
        <f aca="false">D184+G184</f>
        <v>629</v>
      </c>
      <c r="Y184" s="53" t="n">
        <f aca="false">H184+E184</f>
        <v>4.3</v>
      </c>
      <c r="Z184" s="53" t="n">
        <f aca="false">X184/Y184</f>
        <v>146.279069767442</v>
      </c>
    </row>
    <row r="185" customFormat="false" ht="14.25" hidden="false" customHeight="true" outlineLevel="0" collapsed="false">
      <c r="B185" s="0" t="s">
        <v>492</v>
      </c>
      <c r="C185" s="0" t="n">
        <v>66.8</v>
      </c>
      <c r="D185" s="0" t="n">
        <v>289.9</v>
      </c>
      <c r="E185" s="0" t="n">
        <v>2.1</v>
      </c>
      <c r="F185" s="0" t="n">
        <v>8.3</v>
      </c>
      <c r="G185" s="0" t="n">
        <v>59.3</v>
      </c>
      <c r="H185" s="0" t="n">
        <v>0</v>
      </c>
      <c r="I185" s="0" t="n">
        <v>1</v>
      </c>
      <c r="J185" s="0" t="n">
        <v>53.7</v>
      </c>
      <c r="K185" s="115" t="n">
        <f aca="false">IFERROR((D185/C185)/4.5*0.25*C185,0)</f>
        <v>16.1055555555556</v>
      </c>
      <c r="L185" s="115" t="n">
        <f aca="false">IFERROR((G185/F185)/7.95*0.376*F185,0)</f>
        <v>2.80462893081761</v>
      </c>
      <c r="M185" s="117"/>
      <c r="N185" s="117"/>
      <c r="O185" s="117"/>
      <c r="X185" s="53" t="n">
        <f aca="false">D185+G185</f>
        <v>349.2</v>
      </c>
      <c r="Y185" s="53" t="n">
        <f aca="false">H185+E185</f>
        <v>2.1</v>
      </c>
      <c r="Z185" s="53" t="n">
        <f aca="false">X185/Y185</f>
        <v>166.285714285714</v>
      </c>
    </row>
    <row r="186" customFormat="false" ht="14.25" hidden="false" customHeight="true" outlineLevel="0" collapsed="false">
      <c r="A186" s="0" t="s">
        <v>662</v>
      </c>
      <c r="B186" s="0" t="s">
        <v>530</v>
      </c>
      <c r="C186" s="0" t="n">
        <v>85</v>
      </c>
      <c r="D186" s="0" t="n">
        <v>385.3</v>
      </c>
      <c r="E186" s="0" t="n">
        <v>1.9</v>
      </c>
      <c r="F186" s="0" t="n">
        <v>16.1</v>
      </c>
      <c r="G186" s="0" t="n">
        <v>113.8</v>
      </c>
      <c r="H186" s="0" t="n">
        <v>0.4</v>
      </c>
      <c r="I186" s="0" t="n">
        <v>0.6</v>
      </c>
      <c r="J186" s="0" t="n">
        <v>70.1</v>
      </c>
      <c r="K186" s="115" t="n">
        <f aca="false">IFERROR((D186/C186)/4.5*0.25*C186,0)</f>
        <v>21.4055555555556</v>
      </c>
      <c r="L186" s="115" t="n">
        <f aca="false">IFERROR((G186/F186)/7.95*0.376*F186,0)</f>
        <v>5.38223899371069</v>
      </c>
      <c r="M186" s="117" t="n">
        <f aca="false">C188*Scoring!$B$32+D188/Scoring!$C$32+E188*Scoring!$D$32+F188*Scoring!$E$32+G188/Scoring!$F$32+H188*Scoring!$G$32+I188*Scoring!$H$32+K188*Scoring!$I$32+RB!L188*Scoring!$J$32+U186</f>
        <v>47.85</v>
      </c>
      <c r="N186" s="117" t="n">
        <f aca="false">C186*Scoring!$B$32+D186/Scoring!$C$32+E186*Scoring!$D$32+F186*Scoring!$E$32+G186/Scoring!$F$32+H186*Scoring!$G$32+I186*Scoring!$H$32+K186*Scoring!$I$32+RB!L186*Scoring!$J$32+U186</f>
        <v>70.56</v>
      </c>
      <c r="O186" s="117" t="n">
        <f aca="false">C187*Scoring!$B$32+D187/Scoring!$C$32+E187*Scoring!$D$32+F187*Scoring!$E$32+G187/Scoring!$F$32+H187*Scoring!$G$32+I187*Scoring!$H$32+K187*Scoring!$I$32+L187*Scoring!$J$32+U186</f>
        <v>92.61</v>
      </c>
      <c r="P186" s="53" t="n">
        <f aca="false">IF(COUNTIF(Rookies!$A:$A,A186)&gt;0,1,0)</f>
        <v>0</v>
      </c>
      <c r="S186" s="53" t="n">
        <f aca="false">V186/17</f>
        <v>4.15058823529412</v>
      </c>
      <c r="T186" s="53" t="n">
        <f aca="false">IF(P186=1,MAX(0,0.258*(14.9-S186)),0)</f>
        <v>0</v>
      </c>
      <c r="U186" s="53" t="n">
        <f aca="false">T186*17</f>
        <v>0</v>
      </c>
      <c r="V186" s="53" t="n">
        <f aca="false">C186*Scoring!$B$32+D186/Scoring!$C$32+E186*Scoring!$D$32+F186*Scoring!$E$32+G186/Scoring!$F$32+H186*Scoring!$G$32+I186*Scoring!$H$32+K186*Scoring!$I$32+RB!L186*Scoring!$J$32</f>
        <v>70.56</v>
      </c>
      <c r="X186" s="53" t="n">
        <f aca="false">D186+G186</f>
        <v>499.1</v>
      </c>
      <c r="Y186" s="53" t="n">
        <f aca="false">H186+E186</f>
        <v>2.3</v>
      </c>
      <c r="Z186" s="53" t="n">
        <f aca="false">X186/Y186</f>
        <v>217</v>
      </c>
    </row>
    <row r="187" customFormat="false" ht="14.25" hidden="false" customHeight="true" outlineLevel="0" collapsed="false">
      <c r="B187" s="0" t="s">
        <v>491</v>
      </c>
      <c r="C187" s="0" t="n">
        <v>117</v>
      </c>
      <c r="D187" s="0" t="n">
        <v>536</v>
      </c>
      <c r="E187" s="0" t="n">
        <v>2</v>
      </c>
      <c r="F187" s="0" t="n">
        <v>19.1</v>
      </c>
      <c r="G187" s="0" t="n">
        <v>136.6</v>
      </c>
      <c r="H187" s="0" t="n">
        <v>0.7</v>
      </c>
      <c r="I187" s="0" t="n">
        <v>0.2</v>
      </c>
      <c r="J187" s="0" t="n">
        <v>68</v>
      </c>
      <c r="K187" s="115" t="n">
        <f aca="false">IFERROR((D187/C187)/4.5*0.25*C187,0)</f>
        <v>29.7777777777778</v>
      </c>
      <c r="L187" s="115" t="n">
        <f aca="false">IFERROR((G187/F187)/7.95*0.376*F187,0)</f>
        <v>6.4605786163522</v>
      </c>
      <c r="M187" s="117"/>
      <c r="N187" s="117"/>
      <c r="O187" s="117"/>
      <c r="X187" s="53" t="n">
        <f aca="false">D187+G187</f>
        <v>672.6</v>
      </c>
      <c r="Y187" s="53" t="n">
        <f aca="false">H187+E187</f>
        <v>2.7</v>
      </c>
      <c r="Z187" s="53" t="n">
        <f aca="false">X187/Y187</f>
        <v>249.111111111111</v>
      </c>
    </row>
    <row r="188" customFormat="false" ht="14.25" hidden="false" customHeight="true" outlineLevel="0" collapsed="false">
      <c r="B188" s="0" t="s">
        <v>492</v>
      </c>
      <c r="C188" s="0" t="n">
        <v>53.1</v>
      </c>
      <c r="D188" s="0" t="n">
        <v>234.5</v>
      </c>
      <c r="E188" s="0" t="n">
        <v>1.8</v>
      </c>
      <c r="F188" s="0" t="n">
        <v>13</v>
      </c>
      <c r="G188" s="0" t="n">
        <v>91</v>
      </c>
      <c r="H188" s="0" t="n">
        <v>0</v>
      </c>
      <c r="I188" s="0" t="n">
        <v>1</v>
      </c>
      <c r="J188" s="0" t="n">
        <v>59.7</v>
      </c>
      <c r="K188" s="115" t="n">
        <f aca="false">IFERROR((D188/C188)/4.5*0.25*C188,0)</f>
        <v>13.0277777777778</v>
      </c>
      <c r="L188" s="115" t="n">
        <f aca="false">IFERROR((G188/F188)/7.95*0.376*F188,0)</f>
        <v>4.30389937106918</v>
      </c>
      <c r="M188" s="117"/>
      <c r="N188" s="117"/>
      <c r="O188" s="117"/>
      <c r="X188" s="53" t="n">
        <f aca="false">D188+G188</f>
        <v>325.5</v>
      </c>
      <c r="Y188" s="53" t="n">
        <f aca="false">H188+E188</f>
        <v>1.8</v>
      </c>
      <c r="Z188" s="53" t="n">
        <f aca="false">X188/Y188</f>
        <v>180.833333333333</v>
      </c>
    </row>
    <row r="189" customFormat="false" ht="14.25" hidden="false" customHeight="true" outlineLevel="0" collapsed="false">
      <c r="A189" s="0" t="s">
        <v>663</v>
      </c>
      <c r="B189" s="0" t="s">
        <v>504</v>
      </c>
      <c r="C189" s="0" t="n">
        <v>93.6</v>
      </c>
      <c r="D189" s="0" t="n">
        <v>392.3</v>
      </c>
      <c r="E189" s="0" t="n">
        <v>2.6</v>
      </c>
      <c r="F189" s="0" t="n">
        <v>11.1</v>
      </c>
      <c r="G189" s="0" t="n">
        <v>75.5</v>
      </c>
      <c r="H189" s="0" t="n">
        <v>0.2</v>
      </c>
      <c r="I189" s="0" t="n">
        <v>0.2</v>
      </c>
      <c r="J189" s="0" t="n">
        <v>69</v>
      </c>
      <c r="K189" s="115" t="n">
        <f aca="false">IFERROR((D189/C189)/4.5*0.25*C189,0)</f>
        <v>21.7944444444444</v>
      </c>
      <c r="L189" s="115" t="n">
        <f aca="false">IFERROR((G189/F189)/7.95*0.376*F189,0)</f>
        <v>3.57081761006289</v>
      </c>
      <c r="M189" s="117" t="n">
        <f aca="false">C191*Scoring!$B$32+D191/Scoring!$C$32+E191*Scoring!$D$32+F191*Scoring!$E$32+G191/Scoring!$F$32+H191*Scoring!$G$32+I191*Scoring!$H$32+K191*Scoring!$I$32+RB!L191*Scoring!$J$32+U189</f>
        <v>61</v>
      </c>
      <c r="N189" s="117" t="n">
        <f aca="false">C189*Scoring!$B$32+D189/Scoring!$C$32+E189*Scoring!$D$32+F189*Scoring!$E$32+G189/Scoring!$F$32+H189*Scoring!$G$32+I189*Scoring!$H$32+K189*Scoring!$I$32+RB!L189*Scoring!$J$32+U189</f>
        <v>68.73</v>
      </c>
      <c r="O189" s="117" t="n">
        <f aca="false">C190*Scoring!$B$32+D190/Scoring!$C$32+E190*Scoring!$D$32+F190*Scoring!$E$32+G190/Scoring!$F$32+H190*Scoring!$G$32+I190*Scoring!$H$32+K190*Scoring!$I$32+L190*Scoring!$J$32+U189</f>
        <v>77.23</v>
      </c>
      <c r="P189" s="53" t="n">
        <f aca="false">IF(COUNTIF(Rookies!$A:$A,A189)&gt;0,1,0)</f>
        <v>0</v>
      </c>
      <c r="S189" s="53" t="n">
        <f aca="false">V189/17</f>
        <v>4.04294117647059</v>
      </c>
      <c r="T189" s="53" t="n">
        <f aca="false">IF(P189=1,MAX(0,0.258*(14.9-S189)),0)</f>
        <v>0</v>
      </c>
      <c r="U189" s="53" t="n">
        <f aca="false">T189*17</f>
        <v>0</v>
      </c>
      <c r="V189" s="53" t="n">
        <f aca="false">C189*Scoring!$B$32+D189/Scoring!$C$32+E189*Scoring!$D$32+F189*Scoring!$E$32+G189/Scoring!$F$32+H189*Scoring!$G$32+I189*Scoring!$H$32+K189*Scoring!$I$32+RB!L189*Scoring!$J$32</f>
        <v>68.73</v>
      </c>
      <c r="X189" s="53" t="n">
        <f aca="false">D189+G189</f>
        <v>467.8</v>
      </c>
      <c r="Y189" s="53" t="n">
        <f aca="false">H189+E189</f>
        <v>2.8</v>
      </c>
      <c r="Z189" s="53" t="n">
        <f aca="false">X189/Y189</f>
        <v>167.071428571429</v>
      </c>
    </row>
    <row r="190" customFormat="false" ht="14.25" hidden="false" customHeight="true" outlineLevel="0" collapsed="false">
      <c r="B190" s="0" t="s">
        <v>491</v>
      </c>
      <c r="C190" s="0" t="n">
        <v>107.2</v>
      </c>
      <c r="D190" s="0" t="n">
        <v>431.7</v>
      </c>
      <c r="E190" s="0" t="n">
        <v>3</v>
      </c>
      <c r="F190" s="0" t="n">
        <v>12.1</v>
      </c>
      <c r="G190" s="0" t="n">
        <v>76.1</v>
      </c>
      <c r="H190" s="0" t="n">
        <v>0.4</v>
      </c>
      <c r="I190" s="0" t="n">
        <v>0</v>
      </c>
      <c r="J190" s="0" t="n">
        <v>71.9</v>
      </c>
      <c r="K190" s="115" t="n">
        <f aca="false">IFERROR((D190/C190)/4.5*0.25*C190,0)</f>
        <v>23.9833333333333</v>
      </c>
      <c r="L190" s="115" t="n">
        <f aca="false">IFERROR((G190/F190)/7.95*0.376*F190,0)</f>
        <v>3.59919496855346</v>
      </c>
      <c r="M190" s="117"/>
      <c r="N190" s="117"/>
      <c r="O190" s="117"/>
      <c r="X190" s="53" t="n">
        <f aca="false">D190+G190</f>
        <v>507.8</v>
      </c>
      <c r="Y190" s="53" t="n">
        <f aca="false">H190+E190</f>
        <v>3.4</v>
      </c>
      <c r="Z190" s="53" t="n">
        <f aca="false">X190/Y190</f>
        <v>149.352941176471</v>
      </c>
    </row>
    <row r="191" customFormat="false" ht="14.25" hidden="false" customHeight="true" outlineLevel="0" collapsed="false">
      <c r="B191" s="0" t="s">
        <v>492</v>
      </c>
      <c r="C191" s="0" t="n">
        <v>80</v>
      </c>
      <c r="D191" s="0" t="n">
        <v>353</v>
      </c>
      <c r="E191" s="0" t="n">
        <v>2.3</v>
      </c>
      <c r="F191" s="0" t="n">
        <v>10</v>
      </c>
      <c r="G191" s="0" t="n">
        <v>75</v>
      </c>
      <c r="H191" s="0" t="n">
        <v>0</v>
      </c>
      <c r="I191" s="0" t="n">
        <v>0.3</v>
      </c>
      <c r="J191" s="0" t="n">
        <v>53.5</v>
      </c>
      <c r="K191" s="115" t="n">
        <f aca="false">IFERROR((D191/C191)/4.5*0.25*C191,0)</f>
        <v>19.6111111111111</v>
      </c>
      <c r="L191" s="115" t="n">
        <f aca="false">IFERROR((G191/F191)/7.95*0.376*F191,0)</f>
        <v>3.54716981132076</v>
      </c>
      <c r="M191" s="117"/>
      <c r="N191" s="117"/>
      <c r="O191" s="117"/>
      <c r="X191" s="53" t="n">
        <f aca="false">D191+G191</f>
        <v>428</v>
      </c>
      <c r="Y191" s="53" t="n">
        <f aca="false">H191+E191</f>
        <v>2.3</v>
      </c>
      <c r="Z191" s="53" t="n">
        <f aca="false">X191/Y191</f>
        <v>186.086956521739</v>
      </c>
    </row>
    <row r="192" customFormat="false" ht="14.25" hidden="false" customHeight="true" outlineLevel="0" collapsed="false">
      <c r="A192" s="0" t="s">
        <v>664</v>
      </c>
      <c r="B192" s="0" t="s">
        <v>508</v>
      </c>
      <c r="C192" s="0" t="n">
        <v>80.7</v>
      </c>
      <c r="D192" s="0" t="n">
        <v>322.5</v>
      </c>
      <c r="E192" s="0" t="n">
        <v>2.5</v>
      </c>
      <c r="F192" s="0" t="n">
        <v>14</v>
      </c>
      <c r="G192" s="0" t="n">
        <v>133</v>
      </c>
      <c r="H192" s="0" t="n">
        <v>0.6</v>
      </c>
      <c r="I192" s="0" t="n">
        <v>1.1</v>
      </c>
      <c r="J192" s="0" t="n">
        <v>69</v>
      </c>
      <c r="K192" s="115" t="n">
        <f aca="false">IFERROR((D192/C192)/4.5*0.25*C192,0)</f>
        <v>17.9166666666667</v>
      </c>
      <c r="L192" s="115" t="n">
        <f aca="false">IFERROR((G192/F192)/7.95*0.376*F192,0)</f>
        <v>6.2903144654088</v>
      </c>
      <c r="M192" s="117" t="n">
        <f aca="false">C194*Scoring!$B$32+D194/Scoring!$C$32+E194*Scoring!$D$32+F194*Scoring!$E$32+G194/Scoring!$F$32+H194*Scoring!$G$32+I194*Scoring!$H$32+K194*Scoring!$I$32+RB!L194*Scoring!$J$32+U192</f>
        <v>23.45</v>
      </c>
      <c r="N192" s="117" t="n">
        <f aca="false">C192*Scoring!$B$32+D192/Scoring!$C$32+E192*Scoring!$D$32+F192*Scoring!$E$32+G192/Scoring!$F$32+H192*Scoring!$G$32+I192*Scoring!$H$32+K192*Scoring!$I$32+RB!L192*Scoring!$J$32+U192</f>
        <v>68.95</v>
      </c>
      <c r="O192" s="117" t="n">
        <f aca="false">C193*Scoring!$B$32+D193/Scoring!$C$32+E193*Scoring!$D$32+F193*Scoring!$E$32+G193/Scoring!$F$32+H193*Scoring!$G$32+I193*Scoring!$H$32+K193*Scoring!$I$32+L193*Scoring!$J$32+U192</f>
        <v>114.5</v>
      </c>
      <c r="P192" s="53" t="n">
        <f aca="false">IF(COUNTIF(Rookies!$A:$A,A192)&gt;0,1,0)</f>
        <v>0</v>
      </c>
      <c r="S192" s="53" t="n">
        <f aca="false">V192/17</f>
        <v>4.05588235294118</v>
      </c>
      <c r="T192" s="53" t="n">
        <f aca="false">IF(P192=1,MAX(0,0.258*(14.9-S192)),0)</f>
        <v>0</v>
      </c>
      <c r="U192" s="53" t="n">
        <f aca="false">T192*17</f>
        <v>0</v>
      </c>
      <c r="V192" s="53" t="n">
        <f aca="false">C192*Scoring!$B$32+D192/Scoring!$C$32+E192*Scoring!$D$32+F192*Scoring!$E$32+G192/Scoring!$F$32+H192*Scoring!$G$32+I192*Scoring!$H$32+K192*Scoring!$I$32+RB!L192*Scoring!$J$32</f>
        <v>68.95</v>
      </c>
      <c r="X192" s="53" t="n">
        <f aca="false">D192+G192</f>
        <v>455.5</v>
      </c>
      <c r="Y192" s="53" t="n">
        <f aca="false">H192+E192</f>
        <v>3.1</v>
      </c>
      <c r="Z192" s="53" t="n">
        <f aca="false">X192/Y192</f>
        <v>146.935483870968</v>
      </c>
    </row>
    <row r="193" customFormat="false" ht="14.25" hidden="false" customHeight="true" outlineLevel="0" collapsed="false">
      <c r="B193" s="0" t="s">
        <v>491</v>
      </c>
      <c r="C193" s="0" t="n">
        <v>126</v>
      </c>
      <c r="D193" s="0" t="n">
        <v>494</v>
      </c>
      <c r="E193" s="0" t="n">
        <v>4</v>
      </c>
      <c r="F193" s="0" t="n">
        <v>24</v>
      </c>
      <c r="G193" s="0" t="n">
        <v>235</v>
      </c>
      <c r="H193" s="0" t="n">
        <v>1</v>
      </c>
      <c r="I193" s="0" t="n">
        <v>0.2</v>
      </c>
      <c r="J193" s="0" t="n">
        <v>89</v>
      </c>
      <c r="K193" s="115" t="n">
        <f aca="false">IFERROR((D193/C193)/4.5*0.25*C193,0)</f>
        <v>27.4444444444444</v>
      </c>
      <c r="L193" s="115" t="n">
        <f aca="false">IFERROR((G193/F193)/7.95*0.376*F193,0)</f>
        <v>11.114465408805</v>
      </c>
      <c r="M193" s="117"/>
      <c r="N193" s="117"/>
      <c r="O193" s="117"/>
      <c r="X193" s="53" t="n">
        <f aca="false">D193+G193</f>
        <v>729</v>
      </c>
      <c r="Y193" s="53" t="n">
        <f aca="false">H193+E193</f>
        <v>5</v>
      </c>
      <c r="Z193" s="53" t="n">
        <f aca="false">X193/Y193</f>
        <v>145.8</v>
      </c>
    </row>
    <row r="194" customFormat="false" ht="14.25" hidden="false" customHeight="true" outlineLevel="0" collapsed="false">
      <c r="B194" s="0" t="s">
        <v>492</v>
      </c>
      <c r="C194" s="0" t="n">
        <v>35.4</v>
      </c>
      <c r="D194" s="0" t="n">
        <v>151</v>
      </c>
      <c r="E194" s="0" t="n">
        <v>1</v>
      </c>
      <c r="F194" s="0" t="n">
        <v>4.1</v>
      </c>
      <c r="G194" s="0" t="n">
        <v>31</v>
      </c>
      <c r="H194" s="0" t="n">
        <v>0.2</v>
      </c>
      <c r="I194" s="0" t="n">
        <v>2</v>
      </c>
      <c r="J194" s="0" t="n">
        <v>32.1</v>
      </c>
      <c r="K194" s="115" t="n">
        <f aca="false">IFERROR((D194/C194)/4.5*0.25*C194,0)</f>
        <v>8.38888888888889</v>
      </c>
      <c r="L194" s="115" t="n">
        <f aca="false">IFERROR((G194/F194)/7.95*0.376*F194,0)</f>
        <v>1.46616352201258</v>
      </c>
      <c r="M194" s="117"/>
      <c r="N194" s="117"/>
      <c r="O194" s="117"/>
      <c r="X194" s="53" t="n">
        <f aca="false">D194+G194</f>
        <v>182</v>
      </c>
      <c r="Y194" s="53" t="n">
        <f aca="false">H194+E194</f>
        <v>1.2</v>
      </c>
      <c r="Z194" s="53" t="n">
        <f aca="false">X194/Y194</f>
        <v>151.666666666667</v>
      </c>
    </row>
    <row r="195" customFormat="false" ht="14.25" hidden="false" customHeight="true" outlineLevel="0" collapsed="false">
      <c r="A195" s="0" t="s">
        <v>665</v>
      </c>
      <c r="B195" s="0" t="s">
        <v>504</v>
      </c>
      <c r="C195" s="0" t="n">
        <v>79.4</v>
      </c>
      <c r="D195" s="0" t="n">
        <v>337.9</v>
      </c>
      <c r="E195" s="0" t="n">
        <v>1.3</v>
      </c>
      <c r="F195" s="0" t="n">
        <v>15.4</v>
      </c>
      <c r="G195" s="0" t="n">
        <v>113.4</v>
      </c>
      <c r="H195" s="0" t="n">
        <v>0.7</v>
      </c>
      <c r="I195" s="0" t="n">
        <v>0.6</v>
      </c>
      <c r="J195" s="0" t="n">
        <v>63.4</v>
      </c>
      <c r="K195" s="115" t="n">
        <f aca="false">IFERROR((D195/C195)/4.5*0.25*C195,0)</f>
        <v>18.7722222222222</v>
      </c>
      <c r="L195" s="115" t="n">
        <f aca="false">IFERROR((G195/F195)/7.95*0.376*F195,0)</f>
        <v>5.36332075471698</v>
      </c>
      <c r="M195" s="117" t="n">
        <f aca="false">C197*Scoring!$B$32+D197/Scoring!$C$32+E197*Scoring!$D$32+F197*Scoring!$E$32+G197/Scoring!$F$32+H197*Scoring!$G$32+I197*Scoring!$H$32+K197*Scoring!$I$32+RB!L197*Scoring!$J$32+U195</f>
        <v>33.22</v>
      </c>
      <c r="N195" s="117" t="n">
        <f aca="false">C195*Scoring!$B$32+D195/Scoring!$C$32+E195*Scoring!$D$32+F195*Scoring!$E$32+G195/Scoring!$F$32+H195*Scoring!$G$32+I195*Scoring!$H$32+K195*Scoring!$I$32+RB!L195*Scoring!$J$32+U195</f>
        <v>63.63</v>
      </c>
      <c r="O195" s="117" t="n">
        <f aca="false">C196*Scoring!$B$32+D196/Scoring!$C$32+E196*Scoring!$D$32+F196*Scoring!$E$32+G196/Scoring!$F$32+H196*Scoring!$G$32+I196*Scoring!$H$32+K196*Scoring!$I$32+L196*Scoring!$J$32+U195</f>
        <v>93.5</v>
      </c>
      <c r="P195" s="53" t="n">
        <f aca="false">IF(COUNTIF(Rookies!$A:$A,A195)&gt;0,1,0)</f>
        <v>0</v>
      </c>
      <c r="S195" s="53" t="n">
        <f aca="false">V195/17</f>
        <v>3.74294117647059</v>
      </c>
      <c r="T195" s="53" t="n">
        <f aca="false">IF(P195=1,MAX(0,0.258*(14.9-S195)),0)</f>
        <v>0</v>
      </c>
      <c r="U195" s="53" t="n">
        <f aca="false">T195*17</f>
        <v>0</v>
      </c>
      <c r="V195" s="53" t="n">
        <f aca="false">C195*Scoring!$B$32+D195/Scoring!$C$32+E195*Scoring!$D$32+F195*Scoring!$E$32+G195/Scoring!$F$32+H195*Scoring!$G$32+I195*Scoring!$H$32+K195*Scoring!$I$32+RB!L195*Scoring!$J$32</f>
        <v>63.63</v>
      </c>
      <c r="X195" s="53" t="n">
        <f aca="false">D195+G195</f>
        <v>451.3</v>
      </c>
      <c r="Y195" s="53" t="n">
        <f aca="false">H195+E195</f>
        <v>2</v>
      </c>
      <c r="Z195" s="53" t="n">
        <f aca="false">X195/Y195</f>
        <v>225.65</v>
      </c>
    </row>
    <row r="196" customFormat="false" ht="14.25" hidden="false" customHeight="true" outlineLevel="0" collapsed="false">
      <c r="B196" s="0" t="s">
        <v>491</v>
      </c>
      <c r="C196" s="0" t="n">
        <v>123</v>
      </c>
      <c r="D196" s="0" t="n">
        <v>524</v>
      </c>
      <c r="E196" s="0" t="n">
        <v>2</v>
      </c>
      <c r="F196" s="0" t="n">
        <v>19</v>
      </c>
      <c r="G196" s="0" t="n">
        <v>140</v>
      </c>
      <c r="H196" s="0" t="n">
        <v>1</v>
      </c>
      <c r="I196" s="0" t="n">
        <v>0.2</v>
      </c>
      <c r="J196" s="0" t="n">
        <v>73.7</v>
      </c>
      <c r="K196" s="115" t="n">
        <f aca="false">IFERROR((D196/C196)/4.5*0.25*C196,0)</f>
        <v>29.1111111111111</v>
      </c>
      <c r="L196" s="115" t="n">
        <f aca="false">IFERROR((G196/F196)/7.95*0.376*F196,0)</f>
        <v>6.62138364779874</v>
      </c>
      <c r="M196" s="117"/>
      <c r="N196" s="117"/>
      <c r="O196" s="117"/>
      <c r="X196" s="53" t="n">
        <f aca="false">D196+G196</f>
        <v>664</v>
      </c>
      <c r="Y196" s="53" t="n">
        <f aca="false">H196+E196</f>
        <v>3</v>
      </c>
      <c r="Z196" s="53" t="n">
        <f aca="false">X196/Y196</f>
        <v>221.333333333333</v>
      </c>
    </row>
    <row r="197" customFormat="false" ht="14.25" hidden="false" customHeight="true" outlineLevel="0" collapsed="false">
      <c r="B197" s="0" t="s">
        <v>492</v>
      </c>
      <c r="C197" s="0" t="n">
        <v>35.8</v>
      </c>
      <c r="D197" s="0" t="n">
        <v>151.9</v>
      </c>
      <c r="E197" s="0" t="n">
        <v>0.5</v>
      </c>
      <c r="F197" s="0" t="n">
        <v>11.9</v>
      </c>
      <c r="G197" s="0" t="n">
        <v>86.8</v>
      </c>
      <c r="H197" s="0" t="n">
        <v>0.4</v>
      </c>
      <c r="I197" s="0" t="n">
        <v>1</v>
      </c>
      <c r="J197" s="0" t="n">
        <v>36.7</v>
      </c>
      <c r="K197" s="115" t="n">
        <f aca="false">IFERROR((D197/C197)/4.5*0.25*C197,0)</f>
        <v>8.43888888888889</v>
      </c>
      <c r="L197" s="115" t="n">
        <f aca="false">IFERROR((G197/F197)/7.95*0.376*F197,0)</f>
        <v>4.10525786163522</v>
      </c>
      <c r="M197" s="117"/>
      <c r="N197" s="117"/>
      <c r="O197" s="117"/>
      <c r="X197" s="53" t="n">
        <f aca="false">D197+G197</f>
        <v>238.7</v>
      </c>
      <c r="Y197" s="53" t="n">
        <f aca="false">H197+E197</f>
        <v>0.9</v>
      </c>
      <c r="Z197" s="53" t="n">
        <f aca="false">X197/Y197</f>
        <v>265.222222222222</v>
      </c>
    </row>
    <row r="198" customFormat="false" ht="14.25" hidden="false" customHeight="true" outlineLevel="0" collapsed="false">
      <c r="A198" s="0" t="s">
        <v>666</v>
      </c>
      <c r="B198" s="0" t="s">
        <v>516</v>
      </c>
      <c r="C198" s="0" t="n">
        <v>60.2</v>
      </c>
      <c r="D198" s="0" t="n">
        <v>235.2</v>
      </c>
      <c r="E198" s="0" t="n">
        <v>1.6</v>
      </c>
      <c r="F198" s="0" t="n">
        <v>11.9</v>
      </c>
      <c r="G198" s="0" t="n">
        <v>104</v>
      </c>
      <c r="H198" s="0" t="n">
        <v>0.7</v>
      </c>
      <c r="I198" s="0" t="n">
        <v>0.1</v>
      </c>
      <c r="J198" s="0" t="n">
        <v>53.1</v>
      </c>
      <c r="K198" s="115" t="n">
        <f aca="false">IFERROR((D198/C198)/4.5*0.25*C198,0)</f>
        <v>13.0666666666667</v>
      </c>
      <c r="L198" s="115" t="n">
        <f aca="false">IFERROR((G198/F198)/7.95*0.376*F198,0)</f>
        <v>4.91874213836478</v>
      </c>
      <c r="M198" s="117" t="n">
        <f aca="false">C200*Scoring!$B$32+D200/Scoring!$C$32+E200*Scoring!$D$32+F200*Scoring!$E$32+G200/Scoring!$F$32+H200*Scoring!$G$32+I200*Scoring!$H$32+K200*Scoring!$I$32+RB!L200*Scoring!$J$32+U198</f>
        <v>32.44</v>
      </c>
      <c r="N198" s="117" t="n">
        <f aca="false">C198*Scoring!$B$32+D198/Scoring!$C$32+E198*Scoring!$D$32+F198*Scoring!$E$32+G198/Scoring!$F$32+H198*Scoring!$G$32+I198*Scoring!$H$32+K198*Scoring!$I$32+RB!L198*Scoring!$J$32+U198</f>
        <v>53.47</v>
      </c>
      <c r="O198" s="117" t="n">
        <f aca="false">C199*Scoring!$B$32+D199/Scoring!$C$32+E199*Scoring!$D$32+F199*Scoring!$E$32+G199/Scoring!$F$32+H199*Scoring!$G$32+I199*Scoring!$H$32+K199*Scoring!$I$32+L199*Scoring!$J$32+U198</f>
        <v>73.9</v>
      </c>
      <c r="P198" s="53" t="n">
        <f aca="false">IF(COUNTIF(Rookies!$A:$A,A198)&gt;0,1,0)</f>
        <v>0</v>
      </c>
      <c r="S198" s="53" t="n">
        <f aca="false">V198/17</f>
        <v>3.14529411764706</v>
      </c>
      <c r="T198" s="53" t="n">
        <f aca="false">IF(P198=1,MAX(0,0.258*(14.9-S198)),0)</f>
        <v>0</v>
      </c>
      <c r="U198" s="53" t="n">
        <f aca="false">T198*17</f>
        <v>0</v>
      </c>
      <c r="V198" s="53" t="n">
        <f aca="false">C198*Scoring!$B$32+D198/Scoring!$C$32+E198*Scoring!$D$32+F198*Scoring!$E$32+G198/Scoring!$F$32+H198*Scoring!$G$32+I198*Scoring!$H$32+K198*Scoring!$I$32+RB!L198*Scoring!$J$32</f>
        <v>53.47</v>
      </c>
      <c r="X198" s="53" t="n">
        <f aca="false">D198+G198</f>
        <v>339.2</v>
      </c>
      <c r="Y198" s="53" t="n">
        <f aca="false">H198+E198</f>
        <v>2.3</v>
      </c>
      <c r="Z198" s="53" t="n">
        <f aca="false">X198/Y198</f>
        <v>147.478260869565</v>
      </c>
    </row>
    <row r="199" customFormat="false" ht="14.25" hidden="false" customHeight="true" outlineLevel="0" collapsed="false">
      <c r="B199" s="0" t="s">
        <v>491</v>
      </c>
      <c r="C199" s="0" t="n">
        <v>87</v>
      </c>
      <c r="D199" s="0" t="n">
        <v>334</v>
      </c>
      <c r="E199" s="0" t="n">
        <v>2</v>
      </c>
      <c r="F199" s="0" t="n">
        <v>16</v>
      </c>
      <c r="G199" s="0" t="n">
        <v>145</v>
      </c>
      <c r="H199" s="0" t="n">
        <v>1</v>
      </c>
      <c r="I199" s="0" t="n">
        <v>0</v>
      </c>
      <c r="J199" s="0" t="n">
        <v>54</v>
      </c>
      <c r="K199" s="115" t="n">
        <f aca="false">IFERROR((D199/C199)/4.5*0.25*C199,0)</f>
        <v>18.5555555555556</v>
      </c>
      <c r="L199" s="115" t="n">
        <f aca="false">IFERROR((G199/F199)/7.95*0.376*F199,0)</f>
        <v>6.85786163522013</v>
      </c>
      <c r="M199" s="117"/>
      <c r="N199" s="117"/>
      <c r="O199" s="117"/>
      <c r="X199" s="53" t="n">
        <f aca="false">D199+G199</f>
        <v>479</v>
      </c>
      <c r="Y199" s="53" t="n">
        <f aca="false">H199+E199</f>
        <v>3</v>
      </c>
      <c r="Z199" s="53" t="n">
        <f aca="false">X199/Y199</f>
        <v>159.666666666667</v>
      </c>
    </row>
    <row r="200" customFormat="false" ht="14.25" hidden="false" customHeight="true" outlineLevel="0" collapsed="false">
      <c r="B200" s="0" t="s">
        <v>492</v>
      </c>
      <c r="C200" s="0" t="n">
        <v>33.3</v>
      </c>
      <c r="D200" s="0" t="n">
        <v>136.4</v>
      </c>
      <c r="E200" s="0" t="n">
        <v>1.1</v>
      </c>
      <c r="F200" s="0" t="n">
        <v>7.8</v>
      </c>
      <c r="G200" s="0" t="n">
        <v>63</v>
      </c>
      <c r="H200" s="0" t="n">
        <v>0.4</v>
      </c>
      <c r="I200" s="0" t="n">
        <v>0.2</v>
      </c>
      <c r="J200" s="0" t="n">
        <v>34.5</v>
      </c>
      <c r="K200" s="115" t="n">
        <f aca="false">IFERROR((D200/C200)/4.5*0.25*C200,0)</f>
        <v>7.57777777777778</v>
      </c>
      <c r="L200" s="115" t="n">
        <f aca="false">IFERROR((G200/F200)/7.95*0.376*F200,0)</f>
        <v>2.97962264150943</v>
      </c>
      <c r="M200" s="117"/>
      <c r="N200" s="117"/>
      <c r="O200" s="117"/>
      <c r="X200" s="53" t="n">
        <f aca="false">D200+G200</f>
        <v>199.4</v>
      </c>
      <c r="Y200" s="53" t="n">
        <f aca="false">H200+E200</f>
        <v>1.5</v>
      </c>
      <c r="Z200" s="53" t="n">
        <f aca="false">X200/Y200</f>
        <v>132.933333333333</v>
      </c>
    </row>
    <row r="201" customFormat="false" ht="14.25" hidden="false" customHeight="true" outlineLevel="0" collapsed="false">
      <c r="A201" s="0" t="s">
        <v>667</v>
      </c>
      <c r="B201" s="0" t="s">
        <v>512</v>
      </c>
      <c r="C201" s="0" t="n">
        <v>47.1</v>
      </c>
      <c r="D201" s="0" t="n">
        <v>180.4</v>
      </c>
      <c r="E201" s="0" t="n">
        <v>1.1</v>
      </c>
      <c r="F201" s="0" t="n">
        <v>18.7</v>
      </c>
      <c r="G201" s="0" t="n">
        <v>131.7</v>
      </c>
      <c r="H201" s="0" t="n">
        <v>1</v>
      </c>
      <c r="I201" s="0" t="n">
        <v>0.1</v>
      </c>
      <c r="J201" s="0" t="n">
        <v>52.8</v>
      </c>
      <c r="K201" s="115" t="n">
        <f aca="false">IFERROR((D201/C201)/4.5*0.25*C201,0)</f>
        <v>10.0222222222222</v>
      </c>
      <c r="L201" s="115" t="n">
        <f aca="false">IFERROR((G201/F201)/7.95*0.376*F201,0)</f>
        <v>6.22883018867925</v>
      </c>
      <c r="M201" s="117" t="n">
        <f aca="false">C203*Scoring!$B$32+D203/Scoring!$C$32+E203*Scoring!$D$32+F203*Scoring!$E$32+G203/Scoring!$F$32+H203*Scoring!$G$32+I203*Scoring!$H$32+K203*Scoring!$I$32+RB!L203*Scoring!$J$32+U201</f>
        <v>49.22</v>
      </c>
      <c r="N201" s="117" t="n">
        <f aca="false">C201*Scoring!$B$32+D201/Scoring!$C$32+E201*Scoring!$D$32+F201*Scoring!$E$32+G201/Scoring!$F$32+H201*Scoring!$G$32+I201*Scoring!$H$32+K201*Scoring!$I$32+RB!L201*Scoring!$J$32+U201</f>
        <v>52.96</v>
      </c>
      <c r="O201" s="117" t="n">
        <f aca="false">C202*Scoring!$B$32+D202/Scoring!$C$32+E202*Scoring!$D$32+F202*Scoring!$E$32+G202/Scoring!$F$32+H202*Scoring!$G$32+I202*Scoring!$H$32+K202*Scoring!$I$32+L202*Scoring!$J$32+U201</f>
        <v>56.5</v>
      </c>
      <c r="P201" s="53" t="n">
        <f aca="false">IF(COUNTIF(Rookies!$A:$A,A201)&gt;0,1,0)</f>
        <v>0</v>
      </c>
      <c r="S201" s="53" t="n">
        <f aca="false">V201/17</f>
        <v>3.11529411764706</v>
      </c>
      <c r="T201" s="53" t="n">
        <f aca="false">IF(P201=1,MAX(0,0.258*(14.9-S201)),0)</f>
        <v>0</v>
      </c>
      <c r="U201" s="53" t="n">
        <f aca="false">T201*17</f>
        <v>0</v>
      </c>
      <c r="V201" s="53" t="n">
        <f aca="false">C201*Scoring!$B$32+D201/Scoring!$C$32+E201*Scoring!$D$32+F201*Scoring!$E$32+G201/Scoring!$F$32+H201*Scoring!$G$32+I201*Scoring!$H$32+K201*Scoring!$I$32+RB!L201*Scoring!$J$32</f>
        <v>52.96</v>
      </c>
      <c r="X201" s="53" t="n">
        <f aca="false">D201+G201</f>
        <v>312.1</v>
      </c>
      <c r="Y201" s="53" t="n">
        <f aca="false">H201+E201</f>
        <v>2.1</v>
      </c>
      <c r="Z201" s="53" t="n">
        <f aca="false">X201/Y201</f>
        <v>148.619047619048</v>
      </c>
    </row>
    <row r="202" customFormat="false" ht="14.25" hidden="false" customHeight="true" outlineLevel="0" collapsed="false">
      <c r="B202" s="0" t="s">
        <v>491</v>
      </c>
      <c r="C202" s="0" t="n">
        <v>53</v>
      </c>
      <c r="D202" s="0" t="n">
        <v>186</v>
      </c>
      <c r="E202" s="0" t="n">
        <v>1.2</v>
      </c>
      <c r="F202" s="0" t="n">
        <v>21</v>
      </c>
      <c r="G202" s="0" t="n">
        <v>142</v>
      </c>
      <c r="H202" s="0" t="n">
        <v>1</v>
      </c>
      <c r="I202" s="0" t="n">
        <v>0</v>
      </c>
      <c r="J202" s="0" t="n">
        <v>52.6</v>
      </c>
      <c r="K202" s="115" t="n">
        <f aca="false">IFERROR((D202/C202)/4.5*0.25*C202,0)</f>
        <v>10.3333333333333</v>
      </c>
      <c r="L202" s="115" t="n">
        <f aca="false">IFERROR((G202/F202)/7.95*0.376*F202,0)</f>
        <v>6.7159748427673</v>
      </c>
      <c r="M202" s="117"/>
      <c r="N202" s="117"/>
      <c r="O202" s="117"/>
      <c r="X202" s="53" t="n">
        <f aca="false">D202+G202</f>
        <v>328</v>
      </c>
      <c r="Y202" s="53" t="n">
        <f aca="false">H202+E202</f>
        <v>2.2</v>
      </c>
      <c r="Z202" s="53" t="n">
        <f aca="false">X202/Y202</f>
        <v>149.090909090909</v>
      </c>
    </row>
    <row r="203" customFormat="false" ht="14.25" hidden="false" customHeight="true" outlineLevel="0" collapsed="false">
      <c r="B203" s="0" t="s">
        <v>492</v>
      </c>
      <c r="C203" s="0" t="n">
        <v>41.3</v>
      </c>
      <c r="D203" s="0" t="n">
        <v>174.8</v>
      </c>
      <c r="E203" s="0" t="n">
        <v>1</v>
      </c>
      <c r="F203" s="0" t="n">
        <v>16.4</v>
      </c>
      <c r="G203" s="0" t="n">
        <v>121.4</v>
      </c>
      <c r="H203" s="0" t="n">
        <v>1</v>
      </c>
      <c r="I203" s="0" t="n">
        <v>0.3</v>
      </c>
      <c r="J203" s="0" t="n">
        <v>37.3</v>
      </c>
      <c r="K203" s="115" t="n">
        <f aca="false">IFERROR((D203/C203)/4.5*0.25*C203,0)</f>
        <v>9.71111111111111</v>
      </c>
      <c r="L203" s="115" t="n">
        <f aca="false">IFERROR((G203/F203)/7.95*0.376*F203,0)</f>
        <v>5.7416855345912</v>
      </c>
      <c r="M203" s="117"/>
      <c r="N203" s="117"/>
      <c r="O203" s="117"/>
      <c r="X203" s="53" t="n">
        <f aca="false">D203+G203</f>
        <v>296.2</v>
      </c>
      <c r="Y203" s="53" t="n">
        <f aca="false">H203+E203</f>
        <v>2</v>
      </c>
      <c r="Z203" s="53" t="n">
        <f aca="false">X203/Y203</f>
        <v>148.1</v>
      </c>
    </row>
    <row r="204" customFormat="false" ht="14.25" hidden="false" customHeight="true" outlineLevel="0" collapsed="false">
      <c r="A204" s="0" t="s">
        <v>668</v>
      </c>
      <c r="B204" s="0" t="s">
        <v>534</v>
      </c>
      <c r="C204" s="0" t="n">
        <v>82.1</v>
      </c>
      <c r="D204" s="0" t="n">
        <v>318.2</v>
      </c>
      <c r="E204" s="0" t="n">
        <v>1.6</v>
      </c>
      <c r="F204" s="0" t="n">
        <v>7.2</v>
      </c>
      <c r="G204" s="0" t="n">
        <v>52.5</v>
      </c>
      <c r="H204" s="0" t="n">
        <v>0.1</v>
      </c>
      <c r="I204" s="0" t="n">
        <v>1.3</v>
      </c>
      <c r="J204" s="0" t="n">
        <v>48.3</v>
      </c>
      <c r="K204" s="115" t="n">
        <f aca="false">IFERROR((D204/C204)/4.5*0.25*C204,0)</f>
        <v>17.6777777777778</v>
      </c>
      <c r="L204" s="115" t="n">
        <f aca="false">IFERROR((G204/F204)/7.95*0.376*F204,0)</f>
        <v>2.48301886792453</v>
      </c>
      <c r="M204" s="117" t="n">
        <f aca="false">C206*Scoring!$B$32+D206/Scoring!$C$32+E206*Scoring!$D$32+F206*Scoring!$E$32+G206/Scoring!$F$32+H206*Scoring!$G$32+I206*Scoring!$H$32+K206*Scoring!$I$32+RB!L206*Scoring!$J$32+U204</f>
        <v>36.85</v>
      </c>
      <c r="N204" s="117" t="n">
        <f aca="false">C204*Scoring!$B$32+D204/Scoring!$C$32+E204*Scoring!$D$32+F204*Scoring!$E$32+G204/Scoring!$F$32+H204*Scoring!$G$32+I204*Scoring!$H$32+K204*Scoring!$I$32+RB!L204*Scoring!$J$32+U204</f>
        <v>48.27</v>
      </c>
      <c r="O204" s="117" t="n">
        <f aca="false">C205*Scoring!$B$32+D205/Scoring!$C$32+E205*Scoring!$D$32+F205*Scoring!$E$32+G205/Scoring!$F$32+H205*Scoring!$G$32+I205*Scoring!$H$32+K205*Scoring!$I$32+L205*Scoring!$J$32+U204</f>
        <v>59.91</v>
      </c>
      <c r="P204" s="53" t="n">
        <f aca="false">IF(COUNTIF(Rookies!$A:$A,A204)&gt;0,1,0)</f>
        <v>0</v>
      </c>
      <c r="S204" s="53" t="n">
        <f aca="false">V204/17</f>
        <v>2.83941176470588</v>
      </c>
      <c r="T204" s="53" t="n">
        <f aca="false">IF(P204=1,MAX(0,0.258*(14.9-S204)),0)</f>
        <v>0</v>
      </c>
      <c r="U204" s="53" t="n">
        <f aca="false">T204*17</f>
        <v>0</v>
      </c>
      <c r="V204" s="53" t="n">
        <f aca="false">C204*Scoring!$B$32+D204/Scoring!$C$32+E204*Scoring!$D$32+F204*Scoring!$E$32+G204/Scoring!$F$32+H204*Scoring!$G$32+I204*Scoring!$H$32+K204*Scoring!$I$32+RB!L204*Scoring!$J$32</f>
        <v>48.27</v>
      </c>
      <c r="X204" s="53" t="n">
        <f aca="false">D204+G204</f>
        <v>370.7</v>
      </c>
      <c r="Y204" s="53" t="n">
        <f aca="false">H204+E204</f>
        <v>1.7</v>
      </c>
      <c r="Z204" s="53" t="n">
        <f aca="false">X204/Y204</f>
        <v>218.058823529412</v>
      </c>
    </row>
    <row r="205" customFormat="false" ht="14.25" hidden="false" customHeight="true" outlineLevel="0" collapsed="false">
      <c r="B205" s="0" t="s">
        <v>491</v>
      </c>
      <c r="C205" s="0" t="n">
        <v>104</v>
      </c>
      <c r="D205" s="0" t="n">
        <v>384</v>
      </c>
      <c r="E205" s="0" t="n">
        <v>2</v>
      </c>
      <c r="F205" s="0" t="n">
        <v>7.4</v>
      </c>
      <c r="G205" s="0" t="n">
        <v>56.1</v>
      </c>
      <c r="H205" s="0" t="n">
        <v>0.2</v>
      </c>
      <c r="I205" s="0" t="n">
        <v>0.5</v>
      </c>
      <c r="J205" s="0" t="n">
        <v>42.6</v>
      </c>
      <c r="K205" s="115" t="n">
        <f aca="false">IFERROR((D205/C205)/4.5*0.25*C205,0)</f>
        <v>21.3333333333333</v>
      </c>
      <c r="L205" s="115" t="n">
        <f aca="false">IFERROR((G205/F205)/7.95*0.376*F205,0)</f>
        <v>2.65328301886792</v>
      </c>
      <c r="M205" s="117"/>
      <c r="N205" s="117"/>
      <c r="O205" s="117"/>
      <c r="X205" s="53" t="n">
        <f aca="false">D205+G205</f>
        <v>440.1</v>
      </c>
      <c r="Y205" s="53" t="n">
        <f aca="false">H205+E205</f>
        <v>2.2</v>
      </c>
      <c r="Z205" s="53" t="n">
        <f aca="false">X205/Y205</f>
        <v>200.045454545455</v>
      </c>
    </row>
    <row r="206" customFormat="false" ht="14.25" hidden="false" customHeight="true" outlineLevel="0" collapsed="false">
      <c r="B206" s="0" t="s">
        <v>492</v>
      </c>
      <c r="C206" s="0" t="n">
        <v>60.3</v>
      </c>
      <c r="D206" s="0" t="n">
        <v>252.5</v>
      </c>
      <c r="E206" s="0" t="n">
        <v>1.2</v>
      </c>
      <c r="F206" s="0" t="n">
        <v>7</v>
      </c>
      <c r="G206" s="0" t="n">
        <v>49</v>
      </c>
      <c r="H206" s="0" t="n">
        <v>0</v>
      </c>
      <c r="I206" s="0" t="n">
        <v>2</v>
      </c>
      <c r="J206" s="0" t="n">
        <v>42</v>
      </c>
      <c r="K206" s="115" t="n">
        <f aca="false">IFERROR((D206/C206)/4.5*0.25*C206,0)</f>
        <v>14.0277777777778</v>
      </c>
      <c r="L206" s="115" t="n">
        <f aca="false">IFERROR((G206/F206)/7.95*0.376*F206,0)</f>
        <v>2.31748427672956</v>
      </c>
      <c r="M206" s="117"/>
      <c r="N206" s="117"/>
      <c r="O206" s="117"/>
      <c r="X206" s="53" t="n">
        <f aca="false">D206+G206</f>
        <v>301.5</v>
      </c>
      <c r="Y206" s="53" t="n">
        <f aca="false">H206+E206</f>
        <v>1.2</v>
      </c>
      <c r="Z206" s="53" t="n">
        <f aca="false">X206/Y206</f>
        <v>251.25</v>
      </c>
    </row>
    <row r="207" customFormat="false" ht="14.25" hidden="false" customHeight="true" outlineLevel="0" collapsed="false">
      <c r="A207" s="0" t="s">
        <v>669</v>
      </c>
      <c r="B207" s="0" t="s">
        <v>536</v>
      </c>
      <c r="C207" s="0" t="n">
        <v>69.7</v>
      </c>
      <c r="D207" s="0" t="n">
        <v>288.5</v>
      </c>
      <c r="E207" s="0" t="n">
        <v>1.7</v>
      </c>
      <c r="F207" s="0" t="n">
        <v>7.7</v>
      </c>
      <c r="G207" s="0" t="n">
        <v>51.6</v>
      </c>
      <c r="H207" s="0" t="n">
        <v>0</v>
      </c>
      <c r="I207" s="0" t="n">
        <v>0.5</v>
      </c>
      <c r="J207" s="0" t="n">
        <v>47.2</v>
      </c>
      <c r="K207" s="115" t="n">
        <f aca="false">IFERROR((D207/C207)/4.5*0.25*C207,0)</f>
        <v>16.0277777777778</v>
      </c>
      <c r="L207" s="115" t="n">
        <f aca="false">IFERROR((G207/F207)/7.95*0.376*F207,0)</f>
        <v>2.44045283018868</v>
      </c>
      <c r="M207" s="117" t="n">
        <f aca="false">C209*Scoring!$B$32+D209/Scoring!$C$32+E209*Scoring!$D$32+F209*Scoring!$E$32+G209/Scoring!$F$32+H209*Scoring!$G$32+I209*Scoring!$H$32+K209*Scoring!$I$32+RB!L209*Scoring!$J$32+U207</f>
        <v>6.93</v>
      </c>
      <c r="N207" s="117" t="n">
        <f aca="false">C207*Scoring!$B$32+D207/Scoring!$C$32+E207*Scoring!$D$32+F207*Scoring!$E$32+G207/Scoring!$F$32+H207*Scoring!$G$32+I207*Scoring!$H$32+K207*Scoring!$I$32+RB!L207*Scoring!$J$32+U207</f>
        <v>47.06</v>
      </c>
      <c r="O207" s="117" t="n">
        <f aca="false">C208*Scoring!$B$32+D208/Scoring!$C$32+E208*Scoring!$D$32+F208*Scoring!$E$32+G208/Scoring!$F$32+H208*Scoring!$G$32+I208*Scoring!$H$32+K208*Scoring!$I$32+L208*Scoring!$J$32+U207</f>
        <v>87.6</v>
      </c>
      <c r="P207" s="53" t="n">
        <f aca="false">IF(COUNTIF(Rookies!$A:$A,A207)&gt;0,1,0)</f>
        <v>0</v>
      </c>
      <c r="S207" s="53" t="n">
        <f aca="false">V207/17</f>
        <v>2.76823529411765</v>
      </c>
      <c r="T207" s="53" t="n">
        <f aca="false">IF(P207=1,MAX(0,0.258*(14.9-S207)),0)</f>
        <v>0</v>
      </c>
      <c r="U207" s="53" t="n">
        <f aca="false">T207*17</f>
        <v>0</v>
      </c>
      <c r="V207" s="53" t="n">
        <f aca="false">C207*Scoring!$B$32+D207/Scoring!$C$32+E207*Scoring!$D$32+F207*Scoring!$E$32+G207/Scoring!$F$32+H207*Scoring!$G$32+I207*Scoring!$H$32+K207*Scoring!$I$32+RB!L207*Scoring!$J$32</f>
        <v>47.06</v>
      </c>
      <c r="X207" s="53" t="n">
        <f aca="false">D207+G207</f>
        <v>340.1</v>
      </c>
      <c r="Y207" s="53" t="n">
        <f aca="false">H207+E207</f>
        <v>1.7</v>
      </c>
      <c r="Z207" s="53" t="n">
        <f aca="false">X207/Y207</f>
        <v>200.058823529412</v>
      </c>
    </row>
    <row r="208" customFormat="false" ht="14.25" hidden="false" customHeight="true" outlineLevel="0" collapsed="false">
      <c r="B208" s="0" t="s">
        <v>491</v>
      </c>
      <c r="C208" s="0" t="n">
        <v>128</v>
      </c>
      <c r="D208" s="0" t="n">
        <v>529</v>
      </c>
      <c r="E208" s="0" t="n">
        <v>3</v>
      </c>
      <c r="F208" s="0" t="n">
        <v>14</v>
      </c>
      <c r="G208" s="0" t="n">
        <v>93</v>
      </c>
      <c r="H208" s="0" t="n">
        <v>0.1</v>
      </c>
      <c r="I208" s="0" t="n">
        <v>0.1</v>
      </c>
      <c r="J208" s="0" t="n">
        <v>69.8</v>
      </c>
      <c r="K208" s="115" t="n">
        <f aca="false">IFERROR((D208/C208)/4.5*0.25*C208,0)</f>
        <v>29.3888888888889</v>
      </c>
      <c r="L208" s="115" t="n">
        <f aca="false">IFERROR((G208/F208)/7.95*0.376*F208,0)</f>
        <v>4.39849056603774</v>
      </c>
      <c r="M208" s="117"/>
      <c r="N208" s="117"/>
      <c r="O208" s="117"/>
      <c r="X208" s="53" t="n">
        <f aca="false">D208+G208</f>
        <v>622</v>
      </c>
      <c r="Y208" s="53" t="n">
        <f aca="false">H208+E208</f>
        <v>3.1</v>
      </c>
      <c r="Z208" s="53" t="n">
        <f aca="false">X208/Y208</f>
        <v>200.645161290323</v>
      </c>
    </row>
    <row r="209" customFormat="false" ht="14.25" hidden="false" customHeight="true" outlineLevel="0" collapsed="false">
      <c r="B209" s="0" t="s">
        <v>492</v>
      </c>
      <c r="C209" s="0" t="n">
        <v>11.4</v>
      </c>
      <c r="D209" s="0" t="n">
        <v>48</v>
      </c>
      <c r="E209" s="0" t="n">
        <v>0.4</v>
      </c>
      <c r="F209" s="0" t="n">
        <v>1.4</v>
      </c>
      <c r="G209" s="0" t="n">
        <v>10.3</v>
      </c>
      <c r="H209" s="0" t="n">
        <v>0</v>
      </c>
      <c r="I209" s="0" t="n">
        <v>1</v>
      </c>
      <c r="J209" s="0" t="n">
        <v>12.4</v>
      </c>
      <c r="K209" s="115" t="n">
        <f aca="false">IFERROR((D209/C209)/4.5*0.25*C209,0)</f>
        <v>2.66666666666667</v>
      </c>
      <c r="L209" s="115" t="n">
        <f aca="false">IFERROR((G209/F209)/7.95*0.376*F209,0)</f>
        <v>0.48714465408805</v>
      </c>
      <c r="M209" s="117"/>
      <c r="N209" s="117"/>
      <c r="O209" s="117"/>
      <c r="X209" s="53" t="n">
        <f aca="false">D209+G209</f>
        <v>58.3</v>
      </c>
      <c r="Y209" s="53" t="n">
        <f aca="false">H209+E209</f>
        <v>0.4</v>
      </c>
      <c r="Z209" s="53" t="n">
        <f aca="false">X209/Y209</f>
        <v>145.75</v>
      </c>
    </row>
    <row r="210" customFormat="false" ht="14.25" hidden="false" customHeight="true" outlineLevel="0" collapsed="false">
      <c r="A210" s="0" t="s">
        <v>670</v>
      </c>
      <c r="B210" s="0" t="s">
        <v>518</v>
      </c>
      <c r="C210" s="0" t="n">
        <v>48.8</v>
      </c>
      <c r="D210" s="0" t="n">
        <v>203.1</v>
      </c>
      <c r="E210" s="0" t="n">
        <v>1.6</v>
      </c>
      <c r="F210" s="0" t="n">
        <v>10.2</v>
      </c>
      <c r="G210" s="0" t="n">
        <v>74.8</v>
      </c>
      <c r="H210" s="0" t="n">
        <v>0.4</v>
      </c>
      <c r="I210" s="0" t="n">
        <v>0.2</v>
      </c>
      <c r="J210" s="0" t="n">
        <v>44.3</v>
      </c>
      <c r="K210" s="115" t="n">
        <f aca="false">IFERROR((D210/C210)/4.5*0.25*C210,0)</f>
        <v>11.2833333333333</v>
      </c>
      <c r="L210" s="115" t="n">
        <f aca="false">IFERROR((G210/F210)/7.95*0.376*F210,0)</f>
        <v>3.5377106918239</v>
      </c>
      <c r="M210" s="117" t="n">
        <f aca="false">C212*Scoring!$B$32+D212/Scoring!$C$32+E212*Scoring!$D$32+F212*Scoring!$E$32+G212/Scoring!$F$32+H212*Scoring!$G$32+I212*Scoring!$H$32+K212*Scoring!$I$32+RB!L212*Scoring!$J$32+U210</f>
        <v>76.47298</v>
      </c>
      <c r="N210" s="117" t="n">
        <f aca="false">C210*Scoring!$B$32+D210/Scoring!$C$32+E210*Scoring!$D$32+F210*Scoring!$E$32+G210/Scoring!$F$32+H210*Scoring!$G$32+I210*Scoring!$H$32+K210*Scoring!$I$32+RB!L210*Scoring!$J$32+U210</f>
        <v>98.36298</v>
      </c>
      <c r="O210" s="117" t="n">
        <f aca="false">C211*Scoring!$B$32+D211/Scoring!$C$32+E211*Scoring!$D$32+F211*Scoring!$E$32+G211/Scoring!$F$32+H211*Scoring!$G$32+I211*Scoring!$H$32+K211*Scoring!$I$32+L211*Scoring!$J$32+U210</f>
        <v>119.83298</v>
      </c>
      <c r="P210" s="53" t="n">
        <f aca="false">IF(COUNTIF(Rookies!$A:$A,A210)&gt;0,1,0)</f>
        <v>1</v>
      </c>
      <c r="S210" s="53" t="n">
        <f aca="false">V210/17</f>
        <v>2.61705882352941</v>
      </c>
      <c r="T210" s="53" t="n">
        <f aca="false">IF(P210=1,MAX(0,0.258*(14.9-S210)),0)</f>
        <v>3.16899882352941</v>
      </c>
      <c r="U210" s="53" t="n">
        <f aca="false">T210*17</f>
        <v>53.87298</v>
      </c>
      <c r="V210" s="53" t="n">
        <f aca="false">C210*Scoring!$B$32+D210/Scoring!$C$32+E210*Scoring!$D$32+F210*Scoring!$E$32+G210/Scoring!$F$32+H210*Scoring!$G$32+I210*Scoring!$H$32+K210*Scoring!$I$32+RB!L210*Scoring!$J$32</f>
        <v>44.49</v>
      </c>
      <c r="X210" s="53" t="n">
        <f aca="false">D210+G210</f>
        <v>277.9</v>
      </c>
      <c r="Y210" s="53" t="n">
        <f aca="false">H210+E210</f>
        <v>2</v>
      </c>
      <c r="Z210" s="53" t="n">
        <f aca="false">X210/Y210</f>
        <v>138.95</v>
      </c>
    </row>
    <row r="211" customFormat="false" ht="14.25" hidden="false" customHeight="true" outlineLevel="0" collapsed="false">
      <c r="B211" s="0" t="s">
        <v>491</v>
      </c>
      <c r="C211" s="0" t="n">
        <v>65.5</v>
      </c>
      <c r="D211" s="0" t="n">
        <v>272.1</v>
      </c>
      <c r="E211" s="0" t="n">
        <v>2.1</v>
      </c>
      <c r="F211" s="0" t="n">
        <v>17.4</v>
      </c>
      <c r="G211" s="0" t="n">
        <v>126.5</v>
      </c>
      <c r="H211" s="0" t="n">
        <v>0.8</v>
      </c>
      <c r="I211" s="0" t="n">
        <v>0</v>
      </c>
      <c r="J211" s="0" t="n">
        <v>62.1</v>
      </c>
      <c r="K211" s="115" t="n">
        <f aca="false">IFERROR((D211/C211)/4.5*0.25*C211,0)</f>
        <v>15.1166666666667</v>
      </c>
      <c r="L211" s="115" t="n">
        <f aca="false">IFERROR((G211/F211)/7.95*0.376*F211,0)</f>
        <v>5.98289308176101</v>
      </c>
      <c r="M211" s="117"/>
      <c r="N211" s="117"/>
      <c r="O211" s="117"/>
      <c r="X211" s="53" t="n">
        <f aca="false">D211+G211</f>
        <v>398.6</v>
      </c>
      <c r="Y211" s="53" t="n">
        <f aca="false">H211+E211</f>
        <v>2.9</v>
      </c>
      <c r="Z211" s="53" t="n">
        <f aca="false">X211/Y211</f>
        <v>137.448275862069</v>
      </c>
    </row>
    <row r="212" customFormat="false" ht="14.25" hidden="false" customHeight="true" outlineLevel="0" collapsed="false">
      <c r="B212" s="0" t="s">
        <v>492</v>
      </c>
      <c r="C212" s="0" t="n">
        <v>32</v>
      </c>
      <c r="D212" s="0" t="n">
        <v>134</v>
      </c>
      <c r="E212" s="0" t="n">
        <v>1</v>
      </c>
      <c r="F212" s="0" t="n">
        <v>3</v>
      </c>
      <c r="G212" s="0" t="n">
        <v>23</v>
      </c>
      <c r="H212" s="0" t="n">
        <v>0</v>
      </c>
      <c r="I212" s="0" t="n">
        <v>0.3</v>
      </c>
      <c r="J212" s="0" t="n">
        <v>17.1</v>
      </c>
      <c r="K212" s="115" t="n">
        <f aca="false">IFERROR((D212/C212)/4.5*0.25*C212,0)</f>
        <v>7.44444444444445</v>
      </c>
      <c r="L212" s="115" t="n">
        <f aca="false">IFERROR((G212/F212)/7.95*0.376*F212,0)</f>
        <v>1.08779874213836</v>
      </c>
      <c r="M212" s="117"/>
      <c r="N212" s="117"/>
      <c r="O212" s="117"/>
      <c r="X212" s="53" t="n">
        <f aca="false">D212+G212</f>
        <v>157</v>
      </c>
      <c r="Y212" s="53" t="n">
        <f aca="false">H212+E212</f>
        <v>1</v>
      </c>
      <c r="Z212" s="53" t="n">
        <f aca="false">X212/Y212</f>
        <v>157</v>
      </c>
    </row>
    <row r="213" customFormat="false" ht="14.25" hidden="false" customHeight="true" outlineLevel="0" collapsed="false">
      <c r="A213" s="0" t="s">
        <v>671</v>
      </c>
      <c r="B213" s="0" t="s">
        <v>508</v>
      </c>
      <c r="C213" s="0" t="n">
        <v>4.2</v>
      </c>
      <c r="D213" s="0" t="n">
        <v>10.3</v>
      </c>
      <c r="E213" s="0" t="n">
        <v>0.1</v>
      </c>
      <c r="F213" s="0" t="n">
        <v>23.7</v>
      </c>
      <c r="G213" s="0" t="n">
        <v>208.8</v>
      </c>
      <c r="H213" s="0" t="n">
        <v>1.5</v>
      </c>
      <c r="I213" s="0" t="n">
        <v>0.1</v>
      </c>
      <c r="J213" s="0" t="n">
        <v>42.9</v>
      </c>
      <c r="K213" s="115" t="n">
        <f aca="false">IFERROR((D213/C213)/4.5*0.25*C213,0)</f>
        <v>0.572222222222222</v>
      </c>
      <c r="L213" s="115" t="n">
        <f aca="false">IFERROR((G213/F213)/7.95*0.376*F213,0)</f>
        <v>9.87532075471698</v>
      </c>
      <c r="M213" s="117" t="n">
        <f aca="false">C215*Scoring!$B$32+D215/Scoring!$C$32+E215*Scoring!$D$32+F215*Scoring!$E$32+G215/Scoring!$F$32+H215*Scoring!$G$32+I215*Scoring!$H$32+K215*Scoring!$I$32+RB!L215*Scoring!$J$32+U213</f>
        <v>31.67</v>
      </c>
      <c r="N213" s="117" t="n">
        <f aca="false">C213*Scoring!$B$32+D213/Scoring!$C$32+E213*Scoring!$D$32+F213*Scoring!$E$32+G213/Scoring!$F$32+H213*Scoring!$G$32+I213*Scoring!$H$32+K213*Scoring!$I$32+RB!L213*Scoring!$J$32+U213</f>
        <v>43.16</v>
      </c>
      <c r="O213" s="117" t="n">
        <f aca="false">C214*Scoring!$B$32+D214/Scoring!$C$32+E214*Scoring!$D$32+F214*Scoring!$E$32+G214/Scoring!$F$32+H214*Scoring!$G$32+I214*Scoring!$H$32+K214*Scoring!$I$32+L214*Scoring!$J$32+U213</f>
        <v>54.26</v>
      </c>
      <c r="P213" s="53" t="n">
        <f aca="false">IF(COUNTIF(Rookies!$A:$A,A213)&gt;0,1,0)</f>
        <v>0</v>
      </c>
      <c r="S213" s="53" t="n">
        <f aca="false">V213/17</f>
        <v>2.53882352941176</v>
      </c>
      <c r="T213" s="53" t="n">
        <f aca="false">IF(P213=1,MAX(0,0.258*(14.9-S213)),0)</f>
        <v>0</v>
      </c>
      <c r="U213" s="53" t="n">
        <f aca="false">T213*17</f>
        <v>0</v>
      </c>
      <c r="V213" s="53" t="n">
        <f aca="false">C213*Scoring!$B$32+D213/Scoring!$C$32+E213*Scoring!$D$32+F213*Scoring!$E$32+G213/Scoring!$F$32+H213*Scoring!$G$32+I213*Scoring!$H$32+K213*Scoring!$I$32+RB!L213*Scoring!$J$32</f>
        <v>43.16</v>
      </c>
      <c r="X213" s="53" t="n">
        <f aca="false">D213+G213</f>
        <v>219.1</v>
      </c>
      <c r="Y213" s="53" t="n">
        <f aca="false">H213+E213</f>
        <v>1.6</v>
      </c>
      <c r="Z213" s="53" t="n">
        <f aca="false">X213/Y213</f>
        <v>136.9375</v>
      </c>
    </row>
    <row r="214" customFormat="false" ht="14.25" hidden="false" customHeight="true" outlineLevel="0" collapsed="false">
      <c r="B214" s="0" t="s">
        <v>491</v>
      </c>
      <c r="C214" s="0" t="n">
        <v>4.4</v>
      </c>
      <c r="D214" s="0" t="n">
        <v>18.6</v>
      </c>
      <c r="E214" s="0" t="n">
        <v>0.2</v>
      </c>
      <c r="F214" s="0" t="n">
        <v>27</v>
      </c>
      <c r="G214" s="0" t="n">
        <v>257</v>
      </c>
      <c r="H214" s="0" t="n">
        <v>2</v>
      </c>
      <c r="I214" s="0" t="n">
        <v>0</v>
      </c>
      <c r="J214" s="0" t="n">
        <v>41.8</v>
      </c>
      <c r="K214" s="115" t="n">
        <f aca="false">IFERROR((D214/C214)/4.5*0.25*C214,0)</f>
        <v>1.03333333333333</v>
      </c>
      <c r="L214" s="115" t="n">
        <f aca="false">IFERROR((G214/F214)/7.95*0.376*F214,0)</f>
        <v>12.1549685534591</v>
      </c>
      <c r="M214" s="117"/>
      <c r="N214" s="117"/>
      <c r="O214" s="117"/>
      <c r="X214" s="53" t="n">
        <f aca="false">D214+G214</f>
        <v>275.6</v>
      </c>
      <c r="Y214" s="53" t="n">
        <f aca="false">H214+E214</f>
        <v>2.2</v>
      </c>
      <c r="Z214" s="53" t="n">
        <f aca="false">X214/Y214</f>
        <v>125.272727272727</v>
      </c>
    </row>
    <row r="215" customFormat="false" ht="14.25" hidden="false" customHeight="true" outlineLevel="0" collapsed="false">
      <c r="B215" s="0" t="s">
        <v>492</v>
      </c>
      <c r="C215" s="0" t="n">
        <v>4</v>
      </c>
      <c r="D215" s="0" t="n">
        <v>2</v>
      </c>
      <c r="E215" s="0" t="n">
        <v>0</v>
      </c>
      <c r="F215" s="0" t="n">
        <v>20.4</v>
      </c>
      <c r="G215" s="0" t="n">
        <v>160.7</v>
      </c>
      <c r="H215" s="0" t="n">
        <v>0.9</v>
      </c>
      <c r="I215" s="0" t="n">
        <v>0.1</v>
      </c>
      <c r="J215" s="0" t="n">
        <v>36.2</v>
      </c>
      <c r="K215" s="115" t="n">
        <f aca="false">IFERROR((D215/C215)/4.5*0.25*C215,0)</f>
        <v>0.111111111111111</v>
      </c>
      <c r="L215" s="115" t="n">
        <f aca="false">IFERROR((G215/F215)/7.95*0.376*F215,0)</f>
        <v>7.60040251572327</v>
      </c>
      <c r="M215" s="117"/>
      <c r="N215" s="117"/>
      <c r="O215" s="117"/>
      <c r="X215" s="53" t="n">
        <f aca="false">D215+G215</f>
        <v>162.7</v>
      </c>
      <c r="Y215" s="53" t="n">
        <f aca="false">H215+E215</f>
        <v>0.9</v>
      </c>
      <c r="Z215" s="53" t="n">
        <f aca="false">X215/Y215</f>
        <v>180.777777777778</v>
      </c>
    </row>
    <row r="216" customFormat="false" ht="14.25" hidden="false" customHeight="true" outlineLevel="0" collapsed="false">
      <c r="A216" s="0" t="s">
        <v>672</v>
      </c>
      <c r="B216" s="0" t="s">
        <v>546</v>
      </c>
      <c r="C216" s="0" t="n">
        <v>32.5</v>
      </c>
      <c r="D216" s="0" t="n">
        <v>108.5</v>
      </c>
      <c r="E216" s="0" t="n">
        <v>1</v>
      </c>
      <c r="F216" s="0" t="n">
        <v>14</v>
      </c>
      <c r="G216" s="0" t="n">
        <v>106.5</v>
      </c>
      <c r="H216" s="0" t="n">
        <v>1</v>
      </c>
      <c r="I216" s="0" t="n">
        <v>0</v>
      </c>
      <c r="J216" s="0" t="n">
        <v>40.5</v>
      </c>
      <c r="K216" s="115" t="n">
        <f aca="false">IFERROR((D216/C216)/4.5*0.25*C216,0)</f>
        <v>6.02777777777778</v>
      </c>
      <c r="L216" s="115" t="n">
        <f aca="false">IFERROR((G216/F216)/7.95*0.376*F216,0)</f>
        <v>5.03698113207547</v>
      </c>
      <c r="M216" s="117" t="n">
        <f aca="false">C218*Scoring!$B$32+D218/Scoring!$C$32+E218*Scoring!$D$32+F218*Scoring!$E$32+G218/Scoring!$F$32+H218*Scoring!$G$32+I218*Scoring!$H$32+K218*Scoring!$I$32+RB!L218*Scoring!$J$32+U216</f>
        <v>0</v>
      </c>
      <c r="N216" s="117" t="n">
        <f aca="false">C216*Scoring!$B$32+D216/Scoring!$C$32+E216*Scoring!$D$32+F216*Scoring!$E$32+G216/Scoring!$F$32+H216*Scoring!$G$32+I216*Scoring!$H$32+K216*Scoring!$I$32+RB!L216*Scoring!$J$32+U216</f>
        <v>40.5</v>
      </c>
      <c r="O216" s="117" t="n">
        <f aca="false">C217*Scoring!$B$32+D217/Scoring!$C$32+E217*Scoring!$D$32+F217*Scoring!$E$32+G217/Scoring!$F$32+H217*Scoring!$G$32+I217*Scoring!$H$32+K217*Scoring!$I$32+L217*Scoring!$J$32+U216</f>
        <v>81</v>
      </c>
      <c r="P216" s="53" t="n">
        <f aca="false">IF(COUNTIF(Rookies!$A:$A,A216)&gt;0,1,0)</f>
        <v>0</v>
      </c>
      <c r="S216" s="53" t="n">
        <f aca="false">V216/17</f>
        <v>2.38235294117647</v>
      </c>
      <c r="T216" s="53" t="n">
        <f aca="false">IF(P216=1,MAX(0,0.258*(14.9-S216)),0)</f>
        <v>0</v>
      </c>
      <c r="U216" s="53" t="n">
        <f aca="false">T216*17</f>
        <v>0</v>
      </c>
      <c r="V216" s="53" t="n">
        <f aca="false">C216*Scoring!$B$32+D216/Scoring!$C$32+E216*Scoring!$D$32+F216*Scoring!$E$32+G216/Scoring!$F$32+H216*Scoring!$G$32+I216*Scoring!$H$32+K216*Scoring!$I$32+RB!L216*Scoring!$J$32</f>
        <v>40.5</v>
      </c>
      <c r="X216" s="53" t="n">
        <f aca="false">D216+G216</f>
        <v>215</v>
      </c>
      <c r="Y216" s="53" t="n">
        <f aca="false">H216+E216</f>
        <v>2</v>
      </c>
      <c r="Z216" s="53" t="n">
        <f aca="false">X216/Y216</f>
        <v>107.5</v>
      </c>
    </row>
    <row r="217" customFormat="false" ht="14.25" hidden="false" customHeight="true" outlineLevel="0" collapsed="false">
      <c r="B217" s="0" t="s">
        <v>491</v>
      </c>
      <c r="C217" s="0" t="n">
        <v>65</v>
      </c>
      <c r="D217" s="0" t="n">
        <v>217</v>
      </c>
      <c r="E217" s="0" t="n">
        <v>2</v>
      </c>
      <c r="F217" s="0" t="n">
        <v>28</v>
      </c>
      <c r="G217" s="0" t="n">
        <v>213</v>
      </c>
      <c r="H217" s="0" t="n">
        <v>2</v>
      </c>
      <c r="I217" s="0" t="n">
        <v>0</v>
      </c>
      <c r="J217" s="0" t="n">
        <v>55</v>
      </c>
      <c r="K217" s="115" t="n">
        <f aca="false">IFERROR((D217/C217)/4.5*0.25*C217,0)</f>
        <v>12.0555555555556</v>
      </c>
      <c r="L217" s="115" t="n">
        <f aca="false">IFERROR((G217/F217)/7.95*0.376*F217,0)</f>
        <v>10.0739622641509</v>
      </c>
      <c r="M217" s="117"/>
      <c r="N217" s="117"/>
      <c r="O217" s="117"/>
      <c r="X217" s="53" t="n">
        <f aca="false">D217+G217</f>
        <v>430</v>
      </c>
      <c r="Y217" s="53" t="n">
        <f aca="false">H217+E217</f>
        <v>4</v>
      </c>
      <c r="Z217" s="53" t="n">
        <f aca="false">X217/Y217</f>
        <v>107.5</v>
      </c>
    </row>
    <row r="218" customFormat="false" ht="14.25" hidden="false" customHeight="true" outlineLevel="0" collapsed="false">
      <c r="B218" s="0" t="s">
        <v>492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7</v>
      </c>
      <c r="K218" s="115" t="n">
        <f aca="false">IFERROR((D218/C218)/4.5*0.25*C218,0)</f>
        <v>0</v>
      </c>
      <c r="L218" s="115" t="n">
        <f aca="false">IFERROR((G218/F218)/7.95*0.376*F218,0)</f>
        <v>0</v>
      </c>
      <c r="M218" s="117"/>
      <c r="N218" s="117"/>
      <c r="O218" s="117"/>
      <c r="X218" s="53" t="n">
        <f aca="false">D218+G218</f>
        <v>0</v>
      </c>
      <c r="Y218" s="53" t="n">
        <f aca="false">H218+E218</f>
        <v>0</v>
      </c>
      <c r="Z218" s="53" t="e">
        <f aca="false">X218/Y218</f>
        <v>#DIV/0!</v>
      </c>
    </row>
    <row r="219" customFormat="false" ht="14.25" hidden="false" customHeight="true" outlineLevel="0" collapsed="false">
      <c r="A219" s="0" t="s">
        <v>673</v>
      </c>
      <c r="B219" s="0" t="s">
        <v>542</v>
      </c>
      <c r="C219" s="0" t="n">
        <v>35</v>
      </c>
      <c r="D219" s="0" t="n">
        <v>174.6</v>
      </c>
      <c r="E219" s="0" t="n">
        <v>1.2</v>
      </c>
      <c r="F219" s="0" t="n">
        <v>10</v>
      </c>
      <c r="G219" s="0" t="n">
        <v>78.7</v>
      </c>
      <c r="H219" s="0" t="n">
        <v>0.2</v>
      </c>
      <c r="I219" s="0" t="n">
        <v>0.1</v>
      </c>
      <c r="J219" s="0" t="n">
        <v>38.5</v>
      </c>
      <c r="K219" s="115" t="n">
        <f aca="false">IFERROR((D219/C219)/4.5*0.25*C219,0)</f>
        <v>9.7</v>
      </c>
      <c r="L219" s="115" t="n">
        <f aca="false">IFERROR((G219/F219)/7.95*0.376*F219,0)</f>
        <v>3.72216352201258</v>
      </c>
      <c r="M219" s="117" t="n">
        <f aca="false">C221*Scoring!$B$32+D221/Scoring!$C$32+E221*Scoring!$D$32+F221*Scoring!$E$32+G221/Scoring!$F$32+H221*Scoring!$G$32+I221*Scoring!$H$32+K221*Scoring!$I$32+RB!L221*Scoring!$J$32+U219</f>
        <v>32.5</v>
      </c>
      <c r="N219" s="117" t="n">
        <f aca="false">C219*Scoring!$B$32+D219/Scoring!$C$32+E219*Scoring!$D$32+F219*Scoring!$E$32+G219/Scoring!$F$32+H219*Scoring!$G$32+I219*Scoring!$H$32+K219*Scoring!$I$32+RB!L219*Scoring!$J$32+U219</f>
        <v>38.53</v>
      </c>
      <c r="O219" s="117" t="n">
        <f aca="false">C220*Scoring!$B$32+D220/Scoring!$C$32+E220*Scoring!$D$32+F220*Scoring!$E$32+G220/Scoring!$F$32+H220*Scoring!$G$32+I220*Scoring!$H$32+K220*Scoring!$I$32+L220*Scoring!$J$32+U219</f>
        <v>44.11</v>
      </c>
      <c r="P219" s="53" t="n">
        <f aca="false">IF(COUNTIF(Rookies!$A:$A,A219)&gt;0,1,0)</f>
        <v>0</v>
      </c>
      <c r="S219" s="53" t="n">
        <f aca="false">V219/17</f>
        <v>2.26647058823529</v>
      </c>
      <c r="T219" s="53" t="n">
        <f aca="false">IF(P219=1,MAX(0,0.258*(14.9-S219)),0)</f>
        <v>0</v>
      </c>
      <c r="U219" s="53" t="n">
        <f aca="false">T219*17</f>
        <v>0</v>
      </c>
      <c r="V219" s="53" t="n">
        <f aca="false">C219*Scoring!$B$32+D219/Scoring!$C$32+E219*Scoring!$D$32+F219*Scoring!$E$32+G219/Scoring!$F$32+H219*Scoring!$G$32+I219*Scoring!$H$32+K219*Scoring!$I$32+RB!L219*Scoring!$J$32</f>
        <v>38.53</v>
      </c>
      <c r="X219" s="53" t="n">
        <f aca="false">D219+G219</f>
        <v>253.3</v>
      </c>
      <c r="Y219" s="53" t="n">
        <f aca="false">H219+E219</f>
        <v>1.4</v>
      </c>
      <c r="Z219" s="53" t="n">
        <f aca="false">X219/Y219</f>
        <v>180.928571428571</v>
      </c>
    </row>
    <row r="220" customFormat="false" ht="14.25" hidden="false" customHeight="true" outlineLevel="0" collapsed="false">
      <c r="B220" s="0" t="s">
        <v>491</v>
      </c>
      <c r="C220" s="0" t="n">
        <v>39</v>
      </c>
      <c r="D220" s="0" t="n">
        <v>178.2</v>
      </c>
      <c r="E220" s="0" t="n">
        <v>1.3</v>
      </c>
      <c r="F220" s="0" t="n">
        <v>12.9</v>
      </c>
      <c r="G220" s="0" t="n">
        <v>96.4</v>
      </c>
      <c r="H220" s="0" t="n">
        <v>0.4</v>
      </c>
      <c r="I220" s="0" t="n">
        <v>0</v>
      </c>
      <c r="J220" s="0" t="n">
        <v>43.1</v>
      </c>
      <c r="K220" s="115" t="n">
        <f aca="false">IFERROR((D220/C220)/4.5*0.25*C220,0)</f>
        <v>9.9</v>
      </c>
      <c r="L220" s="115" t="n">
        <f aca="false">IFERROR((G220/F220)/7.95*0.376*F220,0)</f>
        <v>4.55929559748428</v>
      </c>
      <c r="M220" s="117"/>
      <c r="N220" s="117"/>
      <c r="O220" s="117"/>
      <c r="X220" s="53" t="n">
        <f aca="false">D220+G220</f>
        <v>274.6</v>
      </c>
      <c r="Y220" s="53" t="n">
        <f aca="false">H220+E220</f>
        <v>1.7</v>
      </c>
      <c r="Z220" s="53" t="n">
        <f aca="false">X220/Y220</f>
        <v>161.529411764706</v>
      </c>
    </row>
    <row r="221" customFormat="false" ht="14.25" hidden="false" customHeight="true" outlineLevel="0" collapsed="false">
      <c r="B221" s="0" t="s">
        <v>492</v>
      </c>
      <c r="C221" s="0" t="n">
        <v>31</v>
      </c>
      <c r="D221" s="0" t="n">
        <v>171</v>
      </c>
      <c r="E221" s="0" t="n">
        <v>1</v>
      </c>
      <c r="F221" s="0" t="n">
        <v>7</v>
      </c>
      <c r="G221" s="0" t="n">
        <v>61</v>
      </c>
      <c r="H221" s="0" t="n">
        <v>0</v>
      </c>
      <c r="I221" s="0" t="n">
        <v>0.1</v>
      </c>
      <c r="J221" s="0" t="n">
        <v>23</v>
      </c>
      <c r="K221" s="115" t="n">
        <f aca="false">IFERROR((D221/C221)/4.5*0.25*C221,0)</f>
        <v>9.5</v>
      </c>
      <c r="L221" s="115" t="n">
        <f aca="false">IFERROR((G221/F221)/7.95*0.376*F221,0)</f>
        <v>2.88503144654088</v>
      </c>
      <c r="M221" s="117"/>
      <c r="N221" s="117"/>
      <c r="O221" s="117"/>
      <c r="X221" s="53" t="n">
        <f aca="false">D221+G221</f>
        <v>232</v>
      </c>
      <c r="Y221" s="53" t="n">
        <f aca="false">H221+E221</f>
        <v>1</v>
      </c>
      <c r="Z221" s="53" t="n">
        <f aca="false">X221/Y221</f>
        <v>232</v>
      </c>
    </row>
    <row r="222" customFormat="false" ht="14.25" hidden="false" customHeight="true" outlineLevel="0" collapsed="false">
      <c r="A222" s="0" t="s">
        <v>674</v>
      </c>
      <c r="B222" s="0" t="s">
        <v>512</v>
      </c>
      <c r="C222" s="0" t="n">
        <v>46</v>
      </c>
      <c r="D222" s="0" t="n">
        <v>192</v>
      </c>
      <c r="E222" s="0" t="n">
        <v>1.5</v>
      </c>
      <c r="F222" s="0" t="n">
        <v>5.2</v>
      </c>
      <c r="G222" s="0" t="n">
        <v>41.2</v>
      </c>
      <c r="H222" s="0" t="n">
        <v>0.2</v>
      </c>
      <c r="I222" s="0" t="n">
        <v>0.1</v>
      </c>
      <c r="J222" s="0" t="n">
        <v>35.7</v>
      </c>
      <c r="K222" s="115" t="n">
        <f aca="false">IFERROR((D222/C222)/4.5*0.25*C222,0)</f>
        <v>10.6666666666667</v>
      </c>
      <c r="L222" s="115" t="n">
        <f aca="false">IFERROR((G222/F222)/7.95*0.376*F222,0)</f>
        <v>1.9485786163522</v>
      </c>
      <c r="M222" s="117" t="n">
        <f aca="false">C224*Scoring!$B$32+D224/Scoring!$C$32+E224*Scoring!$D$32+F224*Scoring!$E$32+G224/Scoring!$F$32+H224*Scoring!$G$32+I224*Scoring!$H$32+K224*Scoring!$I$32+RB!L224*Scoring!$J$32+U222</f>
        <v>77.38404</v>
      </c>
      <c r="N222" s="117" t="n">
        <f aca="false">C222*Scoring!$B$32+D222/Scoring!$C$32+E222*Scoring!$D$32+F222*Scoring!$E$32+G222/Scoring!$F$32+H222*Scoring!$G$32+I222*Scoring!$H$32+K222*Scoring!$I$32+RB!L222*Scoring!$J$32+U222</f>
        <v>92.00404</v>
      </c>
      <c r="O222" s="117" t="n">
        <f aca="false">C223*Scoring!$B$32+D223/Scoring!$C$32+E223*Scoring!$D$32+F223*Scoring!$E$32+G223/Scoring!$F$32+H223*Scoring!$G$32+I223*Scoring!$H$32+K223*Scoring!$I$32+L223*Scoring!$J$32+U222</f>
        <v>106.40404</v>
      </c>
      <c r="P222" s="53" t="n">
        <f aca="false">IF(COUNTIF(Rookies!$A:$A,A222)&gt;0,1,0)</f>
        <v>1</v>
      </c>
      <c r="S222" s="53" t="n">
        <f aca="false">V222/17</f>
        <v>2.11294117647059</v>
      </c>
      <c r="T222" s="53" t="n">
        <f aca="false">IF(P222=1,MAX(0,0.258*(14.9-S222)),0)</f>
        <v>3.29906117647059</v>
      </c>
      <c r="U222" s="53" t="n">
        <f aca="false">T222*17</f>
        <v>56.08404</v>
      </c>
      <c r="V222" s="53" t="n">
        <f aca="false">C222*Scoring!$B$32+D222/Scoring!$C$32+E222*Scoring!$D$32+F222*Scoring!$E$32+G222/Scoring!$F$32+H222*Scoring!$G$32+I222*Scoring!$H$32+K222*Scoring!$I$32+RB!L222*Scoring!$J$32</f>
        <v>35.92</v>
      </c>
      <c r="X222" s="53" t="n">
        <f aca="false">D222+G222</f>
        <v>233.2</v>
      </c>
      <c r="Y222" s="53" t="n">
        <f aca="false">H222+E222</f>
        <v>1.7</v>
      </c>
      <c r="Z222" s="53" t="n">
        <f aca="false">X222/Y222</f>
        <v>137.176470588235</v>
      </c>
    </row>
    <row r="223" customFormat="false" ht="14.25" hidden="false" customHeight="true" outlineLevel="0" collapsed="false">
      <c r="B223" s="0" t="s">
        <v>491</v>
      </c>
      <c r="C223" s="0" t="n">
        <v>61.9</v>
      </c>
      <c r="D223" s="0" t="n">
        <v>257.9</v>
      </c>
      <c r="E223" s="0" t="n">
        <v>2</v>
      </c>
      <c r="F223" s="0" t="n">
        <v>8.4</v>
      </c>
      <c r="G223" s="0" t="n">
        <v>59.3</v>
      </c>
      <c r="H223" s="0" t="n">
        <v>0.4</v>
      </c>
      <c r="I223" s="0" t="n">
        <v>0</v>
      </c>
      <c r="J223" s="0" t="n">
        <v>48.1</v>
      </c>
      <c r="K223" s="115" t="n">
        <f aca="false">IFERROR((D223/C223)/4.5*0.25*C223,0)</f>
        <v>14.3277777777778</v>
      </c>
      <c r="L223" s="115" t="n">
        <f aca="false">IFERROR((G223/F223)/7.95*0.376*F223,0)</f>
        <v>2.80462893081761</v>
      </c>
      <c r="M223" s="117"/>
      <c r="N223" s="117"/>
      <c r="O223" s="117"/>
      <c r="X223" s="53" t="n">
        <f aca="false">D223+G223</f>
        <v>317.2</v>
      </c>
      <c r="Y223" s="53" t="n">
        <f aca="false">H223+E223</f>
        <v>2.4</v>
      </c>
      <c r="Z223" s="53" t="n">
        <f aca="false">X223/Y223</f>
        <v>132.166666666667</v>
      </c>
    </row>
    <row r="224" customFormat="false" ht="14.25" hidden="false" customHeight="true" outlineLevel="0" collapsed="false">
      <c r="B224" s="0" t="s">
        <v>492</v>
      </c>
      <c r="C224" s="0" t="n">
        <v>30</v>
      </c>
      <c r="D224" s="0" t="n">
        <v>126</v>
      </c>
      <c r="E224" s="0" t="n">
        <v>1</v>
      </c>
      <c r="F224" s="0" t="n">
        <v>2</v>
      </c>
      <c r="G224" s="0" t="n">
        <v>23</v>
      </c>
      <c r="H224" s="0" t="n">
        <v>0</v>
      </c>
      <c r="I224" s="0" t="n">
        <v>0.3</v>
      </c>
      <c r="J224" s="0" t="n">
        <v>14.6</v>
      </c>
      <c r="K224" s="115" t="n">
        <f aca="false">IFERROR((D224/C224)/4.5*0.25*C224,0)</f>
        <v>7</v>
      </c>
      <c r="L224" s="115" t="n">
        <f aca="false">IFERROR((G224/F224)/7.95*0.376*F224,0)</f>
        <v>1.08779874213836</v>
      </c>
      <c r="M224" s="117"/>
      <c r="N224" s="117"/>
      <c r="O224" s="117"/>
      <c r="X224" s="53" t="n">
        <f aca="false">D224+G224</f>
        <v>149</v>
      </c>
      <c r="Y224" s="53" t="n">
        <f aca="false">H224+E224</f>
        <v>1</v>
      </c>
      <c r="Z224" s="53" t="n">
        <f aca="false">X224/Y224</f>
        <v>149</v>
      </c>
    </row>
    <row r="225" customFormat="false" ht="14.25" hidden="false" customHeight="true" outlineLevel="0" collapsed="false">
      <c r="A225" s="0" t="s">
        <v>675</v>
      </c>
      <c r="B225" s="0" t="s">
        <v>494</v>
      </c>
      <c r="C225" s="0" t="n">
        <v>31</v>
      </c>
      <c r="D225" s="0" t="n">
        <v>169.5</v>
      </c>
      <c r="E225" s="0" t="n">
        <v>1</v>
      </c>
      <c r="F225" s="0" t="n">
        <v>6.5</v>
      </c>
      <c r="G225" s="0" t="n">
        <v>70.5</v>
      </c>
      <c r="H225" s="0" t="n">
        <v>0.5</v>
      </c>
      <c r="I225" s="0" t="n">
        <v>0.5</v>
      </c>
      <c r="J225" s="0" t="n">
        <v>35.3</v>
      </c>
      <c r="K225" s="115" t="n">
        <f aca="false">IFERROR((D225/C225)/4.5*0.25*C225,0)</f>
        <v>9.41666666666667</v>
      </c>
      <c r="L225" s="115" t="n">
        <f aca="false">IFERROR((G225/F225)/7.95*0.376*F225,0)</f>
        <v>3.33433962264151</v>
      </c>
      <c r="M225" s="117" t="n">
        <f aca="false">C227*Scoring!$B$32+D227/Scoring!$C$32+E227*Scoring!$D$32+F227*Scoring!$E$32+G227/Scoring!$F$32+H227*Scoring!$G$32+I227*Scoring!$H$32+K227*Scoring!$I$32+RB!L227*Scoring!$J$32+U225</f>
        <v>54.2569</v>
      </c>
      <c r="N225" s="117" t="n">
        <f aca="false">C225*Scoring!$B$32+D225/Scoring!$C$32+E225*Scoring!$D$32+F225*Scoring!$E$32+G225/Scoring!$F$32+H225*Scoring!$G$32+I225*Scoring!$H$32+K225*Scoring!$I$32+RB!L225*Scoring!$J$32+U225</f>
        <v>91.5069</v>
      </c>
      <c r="O225" s="117" t="n">
        <f aca="false">C226*Scoring!$B$32+D226/Scoring!$C$32+E226*Scoring!$D$32+F226*Scoring!$E$32+G226/Scoring!$F$32+H226*Scoring!$G$32+I226*Scoring!$H$32+K226*Scoring!$I$32+L226*Scoring!$J$32+U225</f>
        <v>128.7569</v>
      </c>
      <c r="P225" s="53" t="n">
        <f aca="false">IF(COUNTIF(Rookies!$A:$A,A225)&gt;0,1,0)</f>
        <v>1</v>
      </c>
      <c r="S225" s="53" t="n">
        <f aca="false">V225/17</f>
        <v>2.07352941176471</v>
      </c>
      <c r="T225" s="53" t="n">
        <f aca="false">IF(P225=1,MAX(0,0.258*(14.9-S225)),0)</f>
        <v>3.30922941176471</v>
      </c>
      <c r="U225" s="53" t="n">
        <f aca="false">T225*17</f>
        <v>56.2569</v>
      </c>
      <c r="V225" s="53" t="n">
        <f aca="false">C225*Scoring!$B$32+D225/Scoring!$C$32+E225*Scoring!$D$32+F225*Scoring!$E$32+G225/Scoring!$F$32+H225*Scoring!$G$32+I225*Scoring!$H$32+K225*Scoring!$I$32+RB!L225*Scoring!$J$32</f>
        <v>35.25</v>
      </c>
      <c r="X225" s="53" t="n">
        <f aca="false">D225+G225</f>
        <v>240</v>
      </c>
      <c r="Y225" s="53" t="n">
        <f aca="false">H225+E225</f>
        <v>1.5</v>
      </c>
      <c r="Z225" s="53" t="n">
        <f aca="false">X225/Y225</f>
        <v>160</v>
      </c>
    </row>
    <row r="226" customFormat="false" ht="14.25" hidden="false" customHeight="true" outlineLevel="0" collapsed="false">
      <c r="B226" s="0" t="s">
        <v>491</v>
      </c>
      <c r="C226" s="0" t="n">
        <v>62</v>
      </c>
      <c r="D226" s="0" t="n">
        <v>339</v>
      </c>
      <c r="E226" s="0" t="n">
        <v>2</v>
      </c>
      <c r="F226" s="0" t="n">
        <v>13</v>
      </c>
      <c r="G226" s="0" t="n">
        <v>141</v>
      </c>
      <c r="H226" s="0" t="n">
        <v>1</v>
      </c>
      <c r="I226" s="0" t="n">
        <v>0</v>
      </c>
      <c r="J226" s="0" t="n">
        <v>50.3</v>
      </c>
      <c r="K226" s="115" t="n">
        <f aca="false">IFERROR((D226/C226)/4.5*0.25*C226,0)</f>
        <v>18.8333333333333</v>
      </c>
      <c r="L226" s="115" t="n">
        <f aca="false">IFERROR((G226/F226)/7.95*0.376*F226,0)</f>
        <v>6.66867924528302</v>
      </c>
      <c r="M226" s="117"/>
      <c r="N226" s="117"/>
      <c r="O226" s="117"/>
      <c r="X226" s="53" t="n">
        <f aca="false">D226+G226</f>
        <v>480</v>
      </c>
      <c r="Y226" s="53" t="n">
        <f aca="false">H226+E226</f>
        <v>3</v>
      </c>
      <c r="Z226" s="53" t="n">
        <f aca="false">X226/Y226</f>
        <v>160</v>
      </c>
    </row>
    <row r="227" customFormat="false" ht="14.25" hidden="false" customHeight="true" outlineLevel="0" collapsed="false">
      <c r="B227" s="0" t="s">
        <v>492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1</v>
      </c>
      <c r="J227" s="0" t="n">
        <v>3.3</v>
      </c>
      <c r="K227" s="115" t="n">
        <f aca="false">IFERROR((D227/C227)/4.5*0.25*C227,0)</f>
        <v>0</v>
      </c>
      <c r="L227" s="115" t="n">
        <f aca="false">IFERROR((G227/F227)/7.95*0.376*F227,0)</f>
        <v>0</v>
      </c>
      <c r="M227" s="117"/>
      <c r="N227" s="117"/>
      <c r="O227" s="117"/>
      <c r="X227" s="53" t="n">
        <f aca="false">D227+G227</f>
        <v>0</v>
      </c>
      <c r="Y227" s="53" t="n">
        <f aca="false">H227+E227</f>
        <v>0</v>
      </c>
      <c r="Z227" s="53" t="e">
        <f aca="false">X227/Y227</f>
        <v>#DIV/0!</v>
      </c>
    </row>
    <row r="228" customFormat="false" ht="14.25" hidden="false" customHeight="true" outlineLevel="0" collapsed="false">
      <c r="A228" s="0" t="s">
        <v>676</v>
      </c>
      <c r="B228" s="0" t="s">
        <v>506</v>
      </c>
      <c r="C228" s="0" t="n">
        <v>31.8</v>
      </c>
      <c r="D228" s="0" t="n">
        <v>125</v>
      </c>
      <c r="E228" s="0" t="n">
        <v>0.6</v>
      </c>
      <c r="F228" s="0" t="n">
        <v>14.7</v>
      </c>
      <c r="G228" s="0" t="n">
        <v>95</v>
      </c>
      <c r="H228" s="0" t="n">
        <v>0.4</v>
      </c>
      <c r="I228" s="0" t="n">
        <v>0.1</v>
      </c>
      <c r="J228" s="0" t="n">
        <v>35.2</v>
      </c>
      <c r="K228" s="115" t="n">
        <f aca="false">IFERROR((D228/C228)/4.5*0.25*C228,0)</f>
        <v>6.94444444444445</v>
      </c>
      <c r="L228" s="115" t="n">
        <f aca="false">IFERROR((G228/F228)/7.95*0.376*F228,0)</f>
        <v>4.49308176100629</v>
      </c>
      <c r="M228" s="117" t="n">
        <f aca="false">C230*Scoring!$B$32+D230/Scoring!$C$32+E230*Scoring!$D$32+F230*Scoring!$E$32+G230/Scoring!$F$32+H230*Scoring!$G$32+I230*Scoring!$H$32+K230*Scoring!$I$32+RB!L230*Scoring!$J$32+U228</f>
        <v>13.69</v>
      </c>
      <c r="N228" s="117" t="n">
        <f aca="false">C228*Scoring!$B$32+D228/Scoring!$C$32+E228*Scoring!$D$32+F228*Scoring!$E$32+G228/Scoring!$F$32+H228*Scoring!$G$32+I228*Scoring!$H$32+K228*Scoring!$I$32+RB!L228*Scoring!$J$32+U228</f>
        <v>35.15</v>
      </c>
      <c r="O228" s="117" t="n">
        <f aca="false">C229*Scoring!$B$32+D229/Scoring!$C$32+E229*Scoring!$D$32+F229*Scoring!$E$32+G229/Scoring!$F$32+H229*Scoring!$G$32+I229*Scoring!$H$32+K229*Scoring!$I$32+L229*Scoring!$J$32+U228</f>
        <v>56.85</v>
      </c>
      <c r="P228" s="53" t="n">
        <f aca="false">IF(COUNTIF(Rookies!$A:$A,A228)&gt;0,1,0)</f>
        <v>0</v>
      </c>
      <c r="S228" s="53" t="n">
        <f aca="false">V228/17</f>
        <v>2.06764705882353</v>
      </c>
      <c r="T228" s="53" t="n">
        <f aca="false">IF(P228=1,MAX(0,0.258*(14.9-S228)),0)</f>
        <v>0</v>
      </c>
      <c r="U228" s="53" t="n">
        <f aca="false">T228*17</f>
        <v>0</v>
      </c>
      <c r="V228" s="53" t="n">
        <f aca="false">C228*Scoring!$B$32+D228/Scoring!$C$32+E228*Scoring!$D$32+F228*Scoring!$E$32+G228/Scoring!$F$32+H228*Scoring!$G$32+I228*Scoring!$H$32+K228*Scoring!$I$32+RB!L228*Scoring!$J$32</f>
        <v>35.15</v>
      </c>
      <c r="X228" s="53" t="n">
        <f aca="false">D228+G228</f>
        <v>220</v>
      </c>
      <c r="Y228" s="53" t="n">
        <f aca="false">H228+E228</f>
        <v>1</v>
      </c>
      <c r="Z228" s="53" t="n">
        <f aca="false">X228/Y228</f>
        <v>220</v>
      </c>
    </row>
    <row r="229" customFormat="false" ht="14.25" hidden="false" customHeight="true" outlineLevel="0" collapsed="false">
      <c r="B229" s="0" t="s">
        <v>491</v>
      </c>
      <c r="C229" s="0" t="n">
        <v>56</v>
      </c>
      <c r="D229" s="0" t="n">
        <v>218</v>
      </c>
      <c r="E229" s="0" t="n">
        <v>1</v>
      </c>
      <c r="F229" s="0" t="n">
        <v>20.5</v>
      </c>
      <c r="G229" s="0" t="n">
        <v>140</v>
      </c>
      <c r="H229" s="0" t="n">
        <v>0.8</v>
      </c>
      <c r="I229" s="0" t="n">
        <v>0</v>
      </c>
      <c r="J229" s="0" t="n">
        <v>30.8</v>
      </c>
      <c r="K229" s="115" t="n">
        <f aca="false">IFERROR((D229/C229)/4.5*0.25*C229,0)</f>
        <v>12.1111111111111</v>
      </c>
      <c r="L229" s="115" t="n">
        <f aca="false">IFERROR((G229/F229)/7.95*0.376*F229,0)</f>
        <v>6.62138364779874</v>
      </c>
      <c r="M229" s="117"/>
      <c r="N229" s="117"/>
      <c r="O229" s="117"/>
      <c r="X229" s="53" t="n">
        <f aca="false">D229+G229</f>
        <v>358</v>
      </c>
      <c r="Y229" s="53" t="n">
        <f aca="false">H229+E229</f>
        <v>1.8</v>
      </c>
      <c r="Z229" s="53" t="n">
        <f aca="false">X229/Y229</f>
        <v>198.888888888889</v>
      </c>
    </row>
    <row r="230" customFormat="false" ht="14.25" hidden="false" customHeight="true" outlineLevel="0" collapsed="false">
      <c r="B230" s="0" t="s">
        <v>492</v>
      </c>
      <c r="C230" s="0" t="n">
        <v>7.5</v>
      </c>
      <c r="D230" s="0" t="n">
        <v>31.9</v>
      </c>
      <c r="E230" s="0" t="n">
        <v>0.2</v>
      </c>
      <c r="F230" s="0" t="n">
        <v>9</v>
      </c>
      <c r="G230" s="0" t="n">
        <v>50</v>
      </c>
      <c r="H230" s="0" t="n">
        <v>0</v>
      </c>
      <c r="I230" s="0" t="n">
        <v>0.1</v>
      </c>
      <c r="J230" s="0" t="n">
        <v>27.4</v>
      </c>
      <c r="K230" s="115" t="n">
        <f aca="false">IFERROR((D230/C230)/4.5*0.25*C230,0)</f>
        <v>1.77222222222222</v>
      </c>
      <c r="L230" s="115" t="n">
        <f aca="false">IFERROR((G230/F230)/7.95*0.376*F230,0)</f>
        <v>2.36477987421384</v>
      </c>
      <c r="M230" s="117"/>
      <c r="N230" s="117"/>
      <c r="O230" s="117"/>
      <c r="X230" s="53" t="n">
        <f aca="false">D230+G230</f>
        <v>81.9</v>
      </c>
      <c r="Y230" s="53" t="n">
        <f aca="false">H230+E230</f>
        <v>0.2</v>
      </c>
      <c r="Z230" s="53" t="n">
        <f aca="false">X230/Y230</f>
        <v>409.5</v>
      </c>
    </row>
    <row r="231" customFormat="false" ht="14.25" hidden="false" customHeight="true" outlineLevel="0" collapsed="false">
      <c r="A231" s="0" t="s">
        <v>677</v>
      </c>
      <c r="B231" s="0" t="s">
        <v>524</v>
      </c>
      <c r="C231" s="0" t="n">
        <v>39.8</v>
      </c>
      <c r="D231" s="0" t="n">
        <v>178.1</v>
      </c>
      <c r="E231" s="0" t="n">
        <v>1.5</v>
      </c>
      <c r="F231" s="0" t="n">
        <v>5.3</v>
      </c>
      <c r="G231" s="0" t="n">
        <v>44.1</v>
      </c>
      <c r="H231" s="0" t="n">
        <v>0.2</v>
      </c>
      <c r="I231" s="0" t="n">
        <v>0.1</v>
      </c>
      <c r="J231" s="0" t="n">
        <v>34.7</v>
      </c>
      <c r="K231" s="115" t="n">
        <f aca="false">IFERROR((D231/C231)/4.5*0.25*C231,0)</f>
        <v>9.89444444444444</v>
      </c>
      <c r="L231" s="115" t="n">
        <f aca="false">IFERROR((G231/F231)/7.95*0.376*F231,0)</f>
        <v>2.0857358490566</v>
      </c>
      <c r="M231" s="117" t="n">
        <f aca="false">C233*Scoring!$B$32+D233/Scoring!$C$32+E233*Scoring!$D$32+F233*Scoring!$E$32+G233/Scoring!$F$32+H233*Scoring!$G$32+I233*Scoring!$H$32+K233*Scoring!$I$32+RB!L233*Scoring!$J$32+U231</f>
        <v>25.2</v>
      </c>
      <c r="N231" s="117" t="n">
        <f aca="false">C231*Scoring!$B$32+D231/Scoring!$C$32+E231*Scoring!$D$32+F231*Scoring!$E$32+G231/Scoring!$F$32+H231*Scoring!$G$32+I231*Scoring!$H$32+K231*Scoring!$I$32+RB!L231*Scoring!$J$32+U231</f>
        <v>34.87</v>
      </c>
      <c r="O231" s="117" t="n">
        <f aca="false">C232*Scoring!$B$32+D232/Scoring!$C$32+E232*Scoring!$D$32+F232*Scoring!$E$32+G232/Scoring!$F$32+H232*Scoring!$G$32+I232*Scoring!$H$32+K232*Scoring!$I$32+L232*Scoring!$J$32+U231</f>
        <v>43.99</v>
      </c>
      <c r="P231" s="53" t="n">
        <f aca="false">IF(COUNTIF(Rookies!$A:$A,A231)&gt;0,1,0)</f>
        <v>0</v>
      </c>
      <c r="S231" s="53" t="n">
        <f aca="false">V231/17</f>
        <v>2.05117647058824</v>
      </c>
      <c r="T231" s="53" t="n">
        <f aca="false">IF(P231=1,MAX(0,0.258*(14.9-S231)),0)</f>
        <v>0</v>
      </c>
      <c r="U231" s="53" t="n">
        <f aca="false">T231*17</f>
        <v>0</v>
      </c>
      <c r="V231" s="53" t="n">
        <f aca="false">C231*Scoring!$B$32+D231/Scoring!$C$32+E231*Scoring!$D$32+F231*Scoring!$E$32+G231/Scoring!$F$32+H231*Scoring!$G$32+I231*Scoring!$H$32+K231*Scoring!$I$32+RB!L231*Scoring!$J$32</f>
        <v>34.87</v>
      </c>
      <c r="X231" s="53" t="n">
        <f aca="false">D231+G231</f>
        <v>222.2</v>
      </c>
      <c r="Y231" s="53" t="n">
        <f aca="false">H231+E231</f>
        <v>1.7</v>
      </c>
      <c r="Z231" s="53" t="n">
        <f aca="false">X231/Y231</f>
        <v>130.705882352941</v>
      </c>
    </row>
    <row r="232" customFormat="false" ht="14.25" hidden="false" customHeight="true" outlineLevel="0" collapsed="false">
      <c r="B232" s="0" t="s">
        <v>491</v>
      </c>
      <c r="C232" s="0" t="n">
        <v>50.7</v>
      </c>
      <c r="D232" s="0" t="n">
        <v>220.2</v>
      </c>
      <c r="E232" s="0" t="n">
        <v>2</v>
      </c>
      <c r="F232" s="0" t="n">
        <v>6.7</v>
      </c>
      <c r="G232" s="0" t="n">
        <v>48.2</v>
      </c>
      <c r="H232" s="0" t="n">
        <v>0.3</v>
      </c>
      <c r="I232" s="0" t="n">
        <v>0</v>
      </c>
      <c r="J232" s="0" t="n">
        <v>45.1</v>
      </c>
      <c r="K232" s="115" t="n">
        <f aca="false">IFERROR((D232/C232)/4.5*0.25*C232,0)</f>
        <v>12.2333333333333</v>
      </c>
      <c r="L232" s="115" t="n">
        <f aca="false">IFERROR((G232/F232)/7.95*0.376*F232,0)</f>
        <v>2.27964779874214</v>
      </c>
      <c r="M232" s="117"/>
      <c r="N232" s="117"/>
      <c r="O232" s="117"/>
      <c r="X232" s="53" t="n">
        <f aca="false">D232+G232</f>
        <v>268.4</v>
      </c>
      <c r="Y232" s="53" t="n">
        <f aca="false">H232+E232</f>
        <v>2.3</v>
      </c>
      <c r="Z232" s="53" t="n">
        <f aca="false">X232/Y232</f>
        <v>116.695652173913</v>
      </c>
    </row>
    <row r="233" customFormat="false" ht="14.25" hidden="false" customHeight="true" outlineLevel="0" collapsed="false">
      <c r="B233" s="0" t="s">
        <v>492</v>
      </c>
      <c r="C233" s="0" t="n">
        <v>29</v>
      </c>
      <c r="D233" s="0" t="n">
        <v>136</v>
      </c>
      <c r="E233" s="0" t="n">
        <v>1</v>
      </c>
      <c r="F233" s="0" t="n">
        <v>4</v>
      </c>
      <c r="G233" s="0" t="n">
        <v>40</v>
      </c>
      <c r="H233" s="0" t="n">
        <v>0</v>
      </c>
      <c r="I233" s="0" t="n">
        <v>0.2</v>
      </c>
      <c r="J233" s="0" t="n">
        <v>15.7</v>
      </c>
      <c r="K233" s="115" t="n">
        <f aca="false">IFERROR((D233/C233)/4.5*0.25*C233,0)</f>
        <v>7.55555555555556</v>
      </c>
      <c r="L233" s="115" t="n">
        <f aca="false">IFERROR((G233/F233)/7.95*0.376*F233,0)</f>
        <v>1.89182389937107</v>
      </c>
      <c r="M233" s="117"/>
      <c r="N233" s="117"/>
      <c r="O233" s="117"/>
      <c r="X233" s="53" t="n">
        <f aca="false">D233+G233</f>
        <v>176</v>
      </c>
      <c r="Y233" s="53" t="n">
        <f aca="false">H233+E233</f>
        <v>1</v>
      </c>
      <c r="Z233" s="53" t="n">
        <f aca="false">X233/Y233</f>
        <v>176</v>
      </c>
    </row>
    <row r="234" customFormat="false" ht="14.25" hidden="false" customHeight="true" outlineLevel="0" collapsed="false">
      <c r="A234" s="0" t="s">
        <v>678</v>
      </c>
      <c r="B234" s="0" t="s">
        <v>514</v>
      </c>
      <c r="C234" s="0" t="n">
        <v>34</v>
      </c>
      <c r="D234" s="0" t="n">
        <v>116</v>
      </c>
      <c r="E234" s="0" t="n">
        <v>3</v>
      </c>
      <c r="F234" s="0" t="n">
        <v>3</v>
      </c>
      <c r="G234" s="0" t="n">
        <v>18</v>
      </c>
      <c r="H234" s="0" t="n">
        <v>0</v>
      </c>
      <c r="I234" s="0" t="n">
        <v>0</v>
      </c>
      <c r="J234" s="0" t="n">
        <v>32.9</v>
      </c>
      <c r="K234" s="115" t="n">
        <f aca="false">IFERROR((D234/C234)/4.5*0.25*C234,0)</f>
        <v>6.44444444444445</v>
      </c>
      <c r="L234" s="115" t="n">
        <f aca="false">IFERROR((G234/F234)/7.95*0.376*F234,0)</f>
        <v>0.851320754716981</v>
      </c>
      <c r="M234" s="117" t="n">
        <f aca="false">C236*Scoring!$B$32+D236/Scoring!$C$32+E236*Scoring!$D$32+F236*Scoring!$E$32+G236/Scoring!$F$32+H236*Scoring!$G$32+I236*Scoring!$H$32+K236*Scoring!$I$32+RB!L236*Scoring!$J$32+U234</f>
        <v>32.9</v>
      </c>
      <c r="N234" s="117" t="n">
        <f aca="false">C234*Scoring!$B$32+D234/Scoring!$C$32+E234*Scoring!$D$32+F234*Scoring!$E$32+G234/Scoring!$F$32+H234*Scoring!$G$32+I234*Scoring!$H$32+K234*Scoring!$I$32+RB!L234*Scoring!$J$32+U234</f>
        <v>32.9</v>
      </c>
      <c r="O234" s="117" t="n">
        <f aca="false">C235*Scoring!$B$32+D235/Scoring!$C$32+E235*Scoring!$D$32+F235*Scoring!$E$32+G235/Scoring!$F$32+H235*Scoring!$G$32+I235*Scoring!$H$32+K235*Scoring!$I$32+L235*Scoring!$J$32+U234</f>
        <v>32.9</v>
      </c>
      <c r="P234" s="53" t="n">
        <f aca="false">IF(COUNTIF(Rookies!$A:$A,A234)&gt;0,1,0)</f>
        <v>0</v>
      </c>
      <c r="S234" s="53" t="n">
        <f aca="false">V234/17</f>
        <v>1.93529411764706</v>
      </c>
      <c r="T234" s="53" t="n">
        <f aca="false">IF(P234=1,MAX(0,0.258*(14.9-S234)),0)</f>
        <v>0</v>
      </c>
      <c r="U234" s="53" t="n">
        <f aca="false">T234*17</f>
        <v>0</v>
      </c>
      <c r="V234" s="53" t="n">
        <f aca="false">C234*Scoring!$B$32+D234/Scoring!$C$32+E234*Scoring!$D$32+F234*Scoring!$E$32+G234/Scoring!$F$32+H234*Scoring!$G$32+I234*Scoring!$H$32+K234*Scoring!$I$32+RB!L234*Scoring!$J$32</f>
        <v>32.9</v>
      </c>
      <c r="X234" s="53" t="n">
        <f aca="false">D234+G234</f>
        <v>134</v>
      </c>
      <c r="Y234" s="53" t="n">
        <f aca="false">H234+E234</f>
        <v>3</v>
      </c>
      <c r="Z234" s="53" t="n">
        <f aca="false">X234/Y234</f>
        <v>44.6666666666667</v>
      </c>
    </row>
    <row r="235" customFormat="false" ht="14.25" hidden="false" customHeight="true" outlineLevel="0" collapsed="false">
      <c r="B235" s="0" t="s">
        <v>491</v>
      </c>
      <c r="C235" s="0" t="n">
        <v>34</v>
      </c>
      <c r="D235" s="0" t="n">
        <v>116</v>
      </c>
      <c r="E235" s="0" t="n">
        <v>3</v>
      </c>
      <c r="F235" s="0" t="n">
        <v>3</v>
      </c>
      <c r="G235" s="0" t="n">
        <v>18</v>
      </c>
      <c r="H235" s="0" t="n">
        <v>0</v>
      </c>
      <c r="I235" s="0" t="n">
        <v>0</v>
      </c>
      <c r="J235" s="0" t="n">
        <v>24.5</v>
      </c>
      <c r="K235" s="115" t="n">
        <f aca="false">IFERROR((D235/C235)/4.5*0.25*C235,0)</f>
        <v>6.44444444444445</v>
      </c>
      <c r="L235" s="115" t="n">
        <f aca="false">IFERROR((G235/F235)/7.95*0.376*F235,0)</f>
        <v>0.851320754716981</v>
      </c>
      <c r="M235" s="117"/>
      <c r="N235" s="117"/>
      <c r="O235" s="117"/>
      <c r="X235" s="53" t="n">
        <f aca="false">D235+G235</f>
        <v>134</v>
      </c>
      <c r="Y235" s="53" t="n">
        <f aca="false">H235+E235</f>
        <v>3</v>
      </c>
      <c r="Z235" s="53" t="n">
        <f aca="false">X235/Y235</f>
        <v>44.6666666666667</v>
      </c>
    </row>
    <row r="236" customFormat="false" ht="14.25" hidden="false" customHeight="true" outlineLevel="0" collapsed="false">
      <c r="B236" s="0" t="s">
        <v>492</v>
      </c>
      <c r="C236" s="0" t="n">
        <v>34</v>
      </c>
      <c r="D236" s="0" t="n">
        <v>116</v>
      </c>
      <c r="E236" s="0" t="n">
        <v>3</v>
      </c>
      <c r="F236" s="0" t="n">
        <v>3</v>
      </c>
      <c r="G236" s="0" t="n">
        <v>18</v>
      </c>
      <c r="H236" s="0" t="n">
        <v>0</v>
      </c>
      <c r="I236" s="0" t="n">
        <v>0</v>
      </c>
      <c r="J236" s="0" t="n">
        <v>24.5</v>
      </c>
      <c r="K236" s="115" t="n">
        <f aca="false">IFERROR((D236/C236)/4.5*0.25*C236,0)</f>
        <v>6.44444444444445</v>
      </c>
      <c r="L236" s="115" t="n">
        <f aca="false">IFERROR((G236/F236)/7.95*0.376*F236,0)</f>
        <v>0.851320754716981</v>
      </c>
      <c r="M236" s="117"/>
      <c r="N236" s="117"/>
      <c r="O236" s="117"/>
      <c r="X236" s="53" t="n">
        <f aca="false">D236+G236</f>
        <v>134</v>
      </c>
      <c r="Y236" s="53" t="n">
        <f aca="false">H236+E236</f>
        <v>3</v>
      </c>
      <c r="Z236" s="53" t="n">
        <f aca="false">X236/Y236</f>
        <v>44.6666666666667</v>
      </c>
    </row>
    <row r="237" customFormat="false" ht="14.25" hidden="false" customHeight="true" outlineLevel="0" collapsed="false">
      <c r="A237" s="0" t="s">
        <v>679</v>
      </c>
      <c r="B237" s="0" t="s">
        <v>490</v>
      </c>
      <c r="C237" s="0" t="n">
        <v>32.4</v>
      </c>
      <c r="D237" s="0" t="n">
        <v>138.3</v>
      </c>
      <c r="E237" s="0" t="n">
        <v>1.1</v>
      </c>
      <c r="F237" s="0" t="n">
        <v>7.8</v>
      </c>
      <c r="G237" s="0" t="n">
        <v>60</v>
      </c>
      <c r="H237" s="0" t="n">
        <v>0.4</v>
      </c>
      <c r="I237" s="0" t="n">
        <v>0.2</v>
      </c>
      <c r="J237" s="0" t="n">
        <v>32.1</v>
      </c>
      <c r="K237" s="115" t="n">
        <f aca="false">IFERROR((D237/C237)/4.5*0.25*C237,0)</f>
        <v>7.68333333333333</v>
      </c>
      <c r="L237" s="115" t="n">
        <f aca="false">IFERROR((G237/F237)/7.95*0.376*F237,0)</f>
        <v>2.8377358490566</v>
      </c>
      <c r="M237" s="117" t="n">
        <f aca="false">C239*Scoring!$B$32+D239/Scoring!$C$32+E239*Scoring!$D$32+F239*Scoring!$E$32+G239/Scoring!$F$32+H239*Scoring!$G$32+I239*Scoring!$H$32+K239*Scoring!$I$32+RB!L239*Scoring!$J$32+U237</f>
        <v>32.33</v>
      </c>
      <c r="N237" s="117" t="n">
        <f aca="false">C237*Scoring!$B$32+D237/Scoring!$C$32+E237*Scoring!$D$32+F237*Scoring!$E$32+G237/Scoring!$F$32+H237*Scoring!$G$32+I237*Scoring!$H$32+K237*Scoring!$I$32+RB!L237*Scoring!$J$32+U237</f>
        <v>32.33</v>
      </c>
      <c r="O237" s="117" t="n">
        <f aca="false">C238*Scoring!$B$32+D238/Scoring!$C$32+E238*Scoring!$D$32+F238*Scoring!$E$32+G238/Scoring!$F$32+H238*Scoring!$G$32+I238*Scoring!$H$32+K238*Scoring!$I$32+L238*Scoring!$J$32+U237</f>
        <v>32.33</v>
      </c>
      <c r="P237" s="53" t="n">
        <f aca="false">IF(COUNTIF(Rookies!$A:$A,A237)&gt;0,1,0)</f>
        <v>0</v>
      </c>
      <c r="S237" s="53" t="n">
        <f aca="false">V237/17</f>
        <v>1.90176470588235</v>
      </c>
      <c r="T237" s="53" t="n">
        <f aca="false">IF(P237=1,MAX(0,0.258*(14.9-S237)),0)</f>
        <v>0</v>
      </c>
      <c r="U237" s="53" t="n">
        <f aca="false">T237*17</f>
        <v>0</v>
      </c>
      <c r="V237" s="53" t="n">
        <f aca="false">C237*Scoring!$B$32+D237/Scoring!$C$32+E237*Scoring!$D$32+F237*Scoring!$E$32+G237/Scoring!$F$32+H237*Scoring!$G$32+I237*Scoring!$H$32+K237*Scoring!$I$32+RB!L237*Scoring!$J$32</f>
        <v>32.33</v>
      </c>
      <c r="X237" s="53" t="n">
        <f aca="false">D237+G237</f>
        <v>198.3</v>
      </c>
      <c r="Y237" s="53" t="n">
        <f aca="false">H237+E237</f>
        <v>1.5</v>
      </c>
      <c r="Z237" s="53" t="n">
        <f aca="false">X237/Y237</f>
        <v>132.2</v>
      </c>
    </row>
    <row r="238" customFormat="false" ht="14.25" hidden="false" customHeight="true" outlineLevel="0" collapsed="false">
      <c r="B238" s="0" t="s">
        <v>491</v>
      </c>
      <c r="C238" s="0" t="n">
        <v>32.4</v>
      </c>
      <c r="D238" s="0" t="n">
        <v>138.3</v>
      </c>
      <c r="E238" s="0" t="n">
        <v>1.1</v>
      </c>
      <c r="F238" s="0" t="n">
        <v>7.8</v>
      </c>
      <c r="G238" s="0" t="n">
        <v>60</v>
      </c>
      <c r="H238" s="0" t="n">
        <v>0.4</v>
      </c>
      <c r="I238" s="0" t="n">
        <v>0.2</v>
      </c>
      <c r="J238" s="0" t="n">
        <v>34.3</v>
      </c>
      <c r="K238" s="115" t="n">
        <f aca="false">IFERROR((D238/C238)/4.5*0.25*C238,0)</f>
        <v>7.68333333333333</v>
      </c>
      <c r="L238" s="115" t="n">
        <f aca="false">IFERROR((G238/F238)/7.95*0.376*F238,0)</f>
        <v>2.8377358490566</v>
      </c>
      <c r="M238" s="117"/>
      <c r="N238" s="117"/>
      <c r="O238" s="117"/>
      <c r="X238" s="53" t="n">
        <f aca="false">D238+G238</f>
        <v>198.3</v>
      </c>
      <c r="Y238" s="53" t="n">
        <f aca="false">H238+E238</f>
        <v>1.5</v>
      </c>
      <c r="Z238" s="53" t="n">
        <f aca="false">X238/Y238</f>
        <v>132.2</v>
      </c>
    </row>
    <row r="239" customFormat="false" ht="14.25" hidden="false" customHeight="true" outlineLevel="0" collapsed="false">
      <c r="B239" s="0" t="s">
        <v>492</v>
      </c>
      <c r="C239" s="0" t="n">
        <v>32.4</v>
      </c>
      <c r="D239" s="0" t="n">
        <v>138.3</v>
      </c>
      <c r="E239" s="0" t="n">
        <v>1.1</v>
      </c>
      <c r="F239" s="0" t="n">
        <v>7.8</v>
      </c>
      <c r="G239" s="0" t="n">
        <v>60</v>
      </c>
      <c r="H239" s="0" t="n">
        <v>0.4</v>
      </c>
      <c r="I239" s="0" t="n">
        <v>0.2</v>
      </c>
      <c r="J239" s="0" t="n">
        <v>34.3</v>
      </c>
      <c r="K239" s="115" t="n">
        <f aca="false">IFERROR((D239/C239)/4.5*0.25*C239,0)</f>
        <v>7.68333333333333</v>
      </c>
      <c r="L239" s="115" t="n">
        <f aca="false">IFERROR((G239/F239)/7.95*0.376*F239,0)</f>
        <v>2.8377358490566</v>
      </c>
      <c r="M239" s="117"/>
      <c r="N239" s="117"/>
      <c r="O239" s="117"/>
      <c r="X239" s="53" t="n">
        <f aca="false">D239+G239</f>
        <v>198.3</v>
      </c>
      <c r="Y239" s="53" t="n">
        <f aca="false">H239+E239</f>
        <v>1.5</v>
      </c>
      <c r="Z239" s="53" t="n">
        <f aca="false">X239/Y239</f>
        <v>132.2</v>
      </c>
    </row>
    <row r="240" customFormat="false" ht="14.25" hidden="false" customHeight="true" outlineLevel="0" collapsed="false">
      <c r="A240" s="0" t="s">
        <v>680</v>
      </c>
      <c r="B240" s="0" t="s">
        <v>528</v>
      </c>
      <c r="C240" s="0" t="n">
        <v>39.3</v>
      </c>
      <c r="D240" s="0" t="n">
        <v>163.6</v>
      </c>
      <c r="E240" s="0" t="n">
        <v>2.2</v>
      </c>
      <c r="F240" s="0" t="n">
        <v>1.5</v>
      </c>
      <c r="G240" s="0" t="n">
        <v>10.2</v>
      </c>
      <c r="H240" s="0" t="n">
        <v>0</v>
      </c>
      <c r="I240" s="0" t="n">
        <v>0.1</v>
      </c>
      <c r="J240" s="0" t="n">
        <v>31.4</v>
      </c>
      <c r="K240" s="115" t="n">
        <f aca="false">IFERROR((D240/C240)/4.5*0.25*C240,0)</f>
        <v>9.08888888888889</v>
      </c>
      <c r="L240" s="115" t="n">
        <f aca="false">IFERROR((G240/F240)/7.95*0.376*F240,0)</f>
        <v>0.482415094339623</v>
      </c>
      <c r="M240" s="117" t="n">
        <f aca="false">C242*Scoring!$B$32+D242/Scoring!$C$32+E242*Scoring!$D$32+F242*Scoring!$E$32+G242/Scoring!$F$32+H242*Scoring!$G$32+I242*Scoring!$H$32+K242*Scoring!$I$32+RB!L242*Scoring!$J$32+U240</f>
        <v>27</v>
      </c>
      <c r="N240" s="117" t="n">
        <f aca="false">C240*Scoring!$B$32+D240/Scoring!$C$32+E240*Scoring!$D$32+F240*Scoring!$E$32+G240/Scoring!$F$32+H240*Scoring!$G$32+I240*Scoring!$H$32+K240*Scoring!$I$32+RB!L240*Scoring!$J$32+U240</f>
        <v>31.13</v>
      </c>
      <c r="O240" s="117" t="n">
        <f aca="false">C241*Scoring!$B$32+D241/Scoring!$C$32+E241*Scoring!$D$32+F241*Scoring!$E$32+G241/Scoring!$F$32+H241*Scoring!$G$32+I241*Scoring!$H$32+K241*Scoring!$I$32+L241*Scoring!$J$32+U240</f>
        <v>35.66</v>
      </c>
      <c r="P240" s="53" t="n">
        <f aca="false">IF(COUNTIF(Rookies!$A:$A,A240)&gt;0,1,0)</f>
        <v>0</v>
      </c>
      <c r="S240" s="53" t="n">
        <f aca="false">V240/17</f>
        <v>1.83117647058824</v>
      </c>
      <c r="T240" s="53" t="n">
        <f aca="false">IF(P240=1,MAX(0,0.258*(14.9-S240)),0)</f>
        <v>0</v>
      </c>
      <c r="U240" s="53" t="n">
        <f aca="false">T240*17</f>
        <v>0</v>
      </c>
      <c r="V240" s="53" t="n">
        <f aca="false">C240*Scoring!$B$32+D240/Scoring!$C$32+E240*Scoring!$D$32+F240*Scoring!$E$32+G240/Scoring!$F$32+H240*Scoring!$G$32+I240*Scoring!$H$32+K240*Scoring!$I$32+RB!L240*Scoring!$J$32</f>
        <v>31.13</v>
      </c>
      <c r="X240" s="53" t="n">
        <f aca="false">D240+G240</f>
        <v>173.8</v>
      </c>
      <c r="Y240" s="53" t="n">
        <f aca="false">H240+E240</f>
        <v>2.2</v>
      </c>
      <c r="Z240" s="53" t="n">
        <f aca="false">X240/Y240</f>
        <v>79</v>
      </c>
    </row>
    <row r="241" customFormat="false" ht="14.25" hidden="false" customHeight="true" outlineLevel="0" collapsed="false">
      <c r="B241" s="0" t="s">
        <v>491</v>
      </c>
      <c r="C241" s="0" t="n">
        <v>43.6</v>
      </c>
      <c r="D241" s="0" t="n">
        <v>182.2</v>
      </c>
      <c r="E241" s="0" t="n">
        <v>2.4</v>
      </c>
      <c r="F241" s="0" t="n">
        <v>2</v>
      </c>
      <c r="G241" s="0" t="n">
        <v>14.4</v>
      </c>
      <c r="H241" s="0" t="n">
        <v>0.1</v>
      </c>
      <c r="I241" s="0" t="n">
        <v>0</v>
      </c>
      <c r="J241" s="0" t="n">
        <v>35.7</v>
      </c>
      <c r="K241" s="115" t="n">
        <f aca="false">IFERROR((D241/C241)/4.5*0.25*C241,0)</f>
        <v>10.1222222222222</v>
      </c>
      <c r="L241" s="115" t="n">
        <f aca="false">IFERROR((G241/F241)/7.95*0.376*F241,0)</f>
        <v>0.681056603773585</v>
      </c>
      <c r="M241" s="117"/>
      <c r="N241" s="117"/>
      <c r="O241" s="117"/>
      <c r="X241" s="53" t="n">
        <f aca="false">D241+G241</f>
        <v>196.6</v>
      </c>
      <c r="Y241" s="53" t="n">
        <f aca="false">H241+E241</f>
        <v>2.5</v>
      </c>
      <c r="Z241" s="53" t="n">
        <f aca="false">X241/Y241</f>
        <v>78.64</v>
      </c>
    </row>
    <row r="242" customFormat="false" ht="14.25" hidden="false" customHeight="true" outlineLevel="0" collapsed="false">
      <c r="B242" s="0" t="s">
        <v>492</v>
      </c>
      <c r="C242" s="0" t="n">
        <v>35</v>
      </c>
      <c r="D242" s="0" t="n">
        <v>145</v>
      </c>
      <c r="E242" s="0" t="n">
        <v>2</v>
      </c>
      <c r="F242" s="0" t="n">
        <v>1</v>
      </c>
      <c r="G242" s="0" t="n">
        <v>6</v>
      </c>
      <c r="H242" s="0" t="n">
        <v>0</v>
      </c>
      <c r="I242" s="0" t="n">
        <v>0.3</v>
      </c>
      <c r="J242" s="0" t="n">
        <v>18.7</v>
      </c>
      <c r="K242" s="115" t="n">
        <f aca="false">IFERROR((D242/C242)/4.5*0.25*C242,0)</f>
        <v>8.05555555555556</v>
      </c>
      <c r="L242" s="115" t="n">
        <f aca="false">IFERROR((G242/F242)/7.95*0.376*F242,0)</f>
        <v>0.28377358490566</v>
      </c>
      <c r="M242" s="117"/>
      <c r="N242" s="117"/>
      <c r="O242" s="117"/>
      <c r="X242" s="53" t="n">
        <f aca="false">D242+G242</f>
        <v>151</v>
      </c>
      <c r="Y242" s="53" t="n">
        <f aca="false">H242+E242</f>
        <v>2</v>
      </c>
      <c r="Z242" s="53" t="n">
        <f aca="false">X242/Y242</f>
        <v>75.5</v>
      </c>
    </row>
    <row r="243" customFormat="false" ht="14.25" hidden="false" customHeight="true" outlineLevel="0" collapsed="false">
      <c r="A243" s="0" t="s">
        <v>681</v>
      </c>
      <c r="B243" s="0" t="s">
        <v>532</v>
      </c>
      <c r="C243" s="0" t="n">
        <v>32.7</v>
      </c>
      <c r="D243" s="0" t="n">
        <v>140.1</v>
      </c>
      <c r="E243" s="0" t="n">
        <v>1.5</v>
      </c>
      <c r="F243" s="0" t="n">
        <v>5.3</v>
      </c>
      <c r="G243" s="0" t="n">
        <v>42.2</v>
      </c>
      <c r="H243" s="0" t="n">
        <v>0.2</v>
      </c>
      <c r="I243" s="0" t="n">
        <v>0.1</v>
      </c>
      <c r="J243" s="0" t="n">
        <v>30.8</v>
      </c>
      <c r="K243" s="115" t="n">
        <f aca="false">IFERROR((D243/C243)/4.5*0.25*C243,0)</f>
        <v>7.78333333333333</v>
      </c>
      <c r="L243" s="115" t="n">
        <f aca="false">IFERROR((G243/F243)/7.95*0.376*F243,0)</f>
        <v>1.99587421383648</v>
      </c>
      <c r="M243" s="117" t="n">
        <f aca="false">C245*Scoring!$B$32+D245/Scoring!$C$32+E245*Scoring!$D$32+F245*Scoring!$E$32+G245/Scoring!$F$32+H245*Scoring!$G$32+I245*Scoring!$H$32+K245*Scoring!$I$32+RB!L245*Scoring!$J$32+U243</f>
        <v>80.90436</v>
      </c>
      <c r="N243" s="117" t="n">
        <f aca="false">C243*Scoring!$B$32+D243/Scoring!$C$32+E243*Scoring!$D$32+F243*Scoring!$E$32+G243/Scoring!$F$32+H243*Scoring!$G$32+I243*Scoring!$H$32+K243*Scoring!$I$32+RB!L243*Scoring!$J$32+U243</f>
        <v>88.26436</v>
      </c>
      <c r="O243" s="117" t="n">
        <f aca="false">C244*Scoring!$B$32+D244/Scoring!$C$32+E244*Scoring!$D$32+F244*Scoring!$E$32+G244/Scoring!$F$32+H244*Scoring!$G$32+I244*Scoring!$H$32+K244*Scoring!$I$32+L244*Scoring!$J$32+U243</f>
        <v>95.63436</v>
      </c>
      <c r="P243" s="53" t="n">
        <f aca="false">IF(COUNTIF(Rookies!$A:$A,A243)&gt;0,1,0)</f>
        <v>1</v>
      </c>
      <c r="S243" s="53" t="n">
        <f aca="false">V243/17</f>
        <v>1.81647058823529</v>
      </c>
      <c r="T243" s="53" t="n">
        <f aca="false">IF(P243=1,MAX(0,0.258*(14.9-S243)),0)</f>
        <v>3.37555058823529</v>
      </c>
      <c r="U243" s="53" t="n">
        <f aca="false">T243*17</f>
        <v>57.38436</v>
      </c>
      <c r="V243" s="53" t="n">
        <f aca="false">C243*Scoring!$B$32+D243/Scoring!$C$32+E243*Scoring!$D$32+F243*Scoring!$E$32+G243/Scoring!$F$32+H243*Scoring!$G$32+I243*Scoring!$H$32+K243*Scoring!$I$32+RB!L243*Scoring!$J$32</f>
        <v>30.88</v>
      </c>
      <c r="X243" s="53" t="n">
        <f aca="false">D243+G243</f>
        <v>182.3</v>
      </c>
      <c r="Y243" s="53" t="n">
        <f aca="false">H243+E243</f>
        <v>1.7</v>
      </c>
      <c r="Z243" s="53" t="n">
        <f aca="false">X243/Y243</f>
        <v>107.235294117647</v>
      </c>
    </row>
    <row r="244" customFormat="false" ht="14.25" hidden="false" customHeight="true" outlineLevel="0" collapsed="false">
      <c r="B244" s="0" t="s">
        <v>491</v>
      </c>
      <c r="C244" s="0" t="n">
        <v>33.4</v>
      </c>
      <c r="D244" s="0" t="n">
        <v>142</v>
      </c>
      <c r="E244" s="0" t="n">
        <v>2</v>
      </c>
      <c r="F244" s="0" t="n">
        <v>8.6</v>
      </c>
      <c r="G244" s="0" t="n">
        <v>59.5</v>
      </c>
      <c r="H244" s="0" t="n">
        <v>0.3</v>
      </c>
      <c r="I244" s="0" t="n">
        <v>0</v>
      </c>
      <c r="J244" s="0" t="n">
        <v>30.5</v>
      </c>
      <c r="K244" s="115" t="n">
        <f aca="false">IFERROR((D244/C244)/4.5*0.25*C244,0)</f>
        <v>7.88888888888889</v>
      </c>
      <c r="L244" s="115" t="n">
        <f aca="false">IFERROR((G244/F244)/7.95*0.376*F244,0)</f>
        <v>2.81408805031447</v>
      </c>
      <c r="M244" s="117"/>
      <c r="N244" s="117"/>
      <c r="O244" s="117"/>
      <c r="X244" s="53" t="n">
        <f aca="false">D244+G244</f>
        <v>201.5</v>
      </c>
      <c r="Y244" s="53" t="n">
        <f aca="false">H244+E244</f>
        <v>2.3</v>
      </c>
      <c r="Z244" s="53" t="n">
        <f aca="false">X244/Y244</f>
        <v>87.6086956521739</v>
      </c>
    </row>
    <row r="245" customFormat="false" ht="14.25" hidden="false" customHeight="true" outlineLevel="0" collapsed="false">
      <c r="B245" s="0" t="s">
        <v>492</v>
      </c>
      <c r="C245" s="0" t="n">
        <v>32</v>
      </c>
      <c r="D245" s="0" t="n">
        <v>138.2</v>
      </c>
      <c r="E245" s="0" t="n">
        <v>1.1</v>
      </c>
      <c r="F245" s="0" t="n">
        <v>2</v>
      </c>
      <c r="G245" s="0" t="n">
        <v>25</v>
      </c>
      <c r="H245" s="0" t="n">
        <v>0</v>
      </c>
      <c r="I245" s="0" t="n">
        <v>0.2</v>
      </c>
      <c r="J245" s="0" t="n">
        <v>21.6</v>
      </c>
      <c r="K245" s="115" t="n">
        <f aca="false">IFERROR((D245/C245)/4.5*0.25*C245,0)</f>
        <v>7.67777777777778</v>
      </c>
      <c r="L245" s="115" t="n">
        <f aca="false">IFERROR((G245/F245)/7.95*0.376*F245,0)</f>
        <v>1.18238993710692</v>
      </c>
      <c r="M245" s="117"/>
      <c r="N245" s="117"/>
      <c r="O245" s="117"/>
      <c r="X245" s="53" t="n">
        <f aca="false">D245+G245</f>
        <v>163.2</v>
      </c>
      <c r="Y245" s="53" t="n">
        <f aca="false">H245+E245</f>
        <v>1.1</v>
      </c>
      <c r="Z245" s="53" t="n">
        <f aca="false">X245/Y245</f>
        <v>148.363636363636</v>
      </c>
    </row>
    <row r="246" customFormat="false" ht="14.25" hidden="false" customHeight="true" outlineLevel="0" collapsed="false">
      <c r="A246" s="0" t="s">
        <v>682</v>
      </c>
      <c r="B246" s="0" t="s">
        <v>536</v>
      </c>
      <c r="C246" s="0" t="n">
        <v>36.9</v>
      </c>
      <c r="D246" s="0" t="n">
        <v>141.1</v>
      </c>
      <c r="E246" s="0" t="n">
        <v>1.3</v>
      </c>
      <c r="F246" s="0" t="n">
        <v>6</v>
      </c>
      <c r="G246" s="0" t="n">
        <v>46.1</v>
      </c>
      <c r="H246" s="0" t="n">
        <v>0.1</v>
      </c>
      <c r="I246" s="0" t="n">
        <v>0.1</v>
      </c>
      <c r="J246" s="0" t="n">
        <v>30</v>
      </c>
      <c r="K246" s="115" t="n">
        <f aca="false">IFERROR((D246/C246)/4.5*0.25*C246,0)</f>
        <v>7.83888888888889</v>
      </c>
      <c r="L246" s="115" t="n">
        <f aca="false">IFERROR((G246/F246)/7.95*0.376*F246,0)</f>
        <v>2.18032704402516</v>
      </c>
      <c r="M246" s="117" t="n">
        <f aca="false">C248*Scoring!$B$32+D248/Scoring!$C$32+E248*Scoring!$D$32+F248*Scoring!$E$32+G248/Scoring!$F$32+H248*Scoring!$G$32+I248*Scoring!$H$32+K248*Scoring!$I$32+RB!L248*Scoring!$J$32+U246</f>
        <v>22.4</v>
      </c>
      <c r="N246" s="117" t="n">
        <f aca="false">C246*Scoring!$B$32+D246/Scoring!$C$32+E246*Scoring!$D$32+F246*Scoring!$E$32+G246/Scoring!$F$32+H246*Scoring!$G$32+I246*Scoring!$H$32+K246*Scoring!$I$32+RB!L246*Scoring!$J$32+U246</f>
        <v>29.92</v>
      </c>
      <c r="O246" s="117" t="n">
        <f aca="false">C247*Scoring!$B$32+D247/Scoring!$C$32+E247*Scoring!$D$32+F247*Scoring!$E$32+G247/Scoring!$F$32+H247*Scoring!$G$32+I247*Scoring!$H$32+K247*Scoring!$I$32+L247*Scoring!$J$32+U246</f>
        <v>37.44</v>
      </c>
      <c r="P246" s="53" t="n">
        <f aca="false">IF(COUNTIF(Rookies!$A:$A,A246)&gt;0,1,0)</f>
        <v>0</v>
      </c>
      <c r="S246" s="53" t="n">
        <f aca="false">V246/17</f>
        <v>1.76</v>
      </c>
      <c r="T246" s="53" t="n">
        <f aca="false">IF(P246=1,MAX(0,0.258*(14.9-S246)),0)</f>
        <v>0</v>
      </c>
      <c r="U246" s="53" t="n">
        <f aca="false">T246*17</f>
        <v>0</v>
      </c>
      <c r="V246" s="53" t="n">
        <f aca="false">C246*Scoring!$B$32+D246/Scoring!$C$32+E246*Scoring!$D$32+F246*Scoring!$E$32+G246/Scoring!$F$32+H246*Scoring!$G$32+I246*Scoring!$H$32+K246*Scoring!$I$32+RB!L246*Scoring!$J$32</f>
        <v>29.92</v>
      </c>
      <c r="X246" s="53" t="n">
        <f aca="false">D246+G246</f>
        <v>187.2</v>
      </c>
      <c r="Y246" s="53" t="n">
        <f aca="false">H246+E246</f>
        <v>1.4</v>
      </c>
      <c r="Z246" s="53" t="n">
        <f aca="false">X246/Y246</f>
        <v>133.714285714286</v>
      </c>
    </row>
    <row r="247" customFormat="false" ht="14.25" hidden="false" customHeight="true" outlineLevel="0" collapsed="false">
      <c r="B247" s="0" t="s">
        <v>491</v>
      </c>
      <c r="C247" s="0" t="n">
        <v>38.9</v>
      </c>
      <c r="D247" s="0" t="n">
        <v>164.2</v>
      </c>
      <c r="E247" s="0" t="n">
        <v>1.5</v>
      </c>
      <c r="F247" s="0" t="n">
        <v>8</v>
      </c>
      <c r="G247" s="0" t="n">
        <v>62.2</v>
      </c>
      <c r="H247" s="0" t="n">
        <v>0.3</v>
      </c>
      <c r="I247" s="0" t="n">
        <v>0</v>
      </c>
      <c r="J247" s="0" t="n">
        <v>36.5</v>
      </c>
      <c r="K247" s="115" t="n">
        <f aca="false">IFERROR((D247/C247)/4.5*0.25*C247,0)</f>
        <v>9.12222222222222</v>
      </c>
      <c r="L247" s="115" t="n">
        <f aca="false">IFERROR((G247/F247)/7.95*0.376*F247,0)</f>
        <v>2.94178616352201</v>
      </c>
      <c r="M247" s="117"/>
      <c r="N247" s="117"/>
      <c r="O247" s="117"/>
      <c r="X247" s="53" t="n">
        <f aca="false">D247+G247</f>
        <v>226.4</v>
      </c>
      <c r="Y247" s="53" t="n">
        <f aca="false">H247+E247</f>
        <v>1.8</v>
      </c>
      <c r="Z247" s="53" t="n">
        <f aca="false">X247/Y247</f>
        <v>125.777777777778</v>
      </c>
    </row>
    <row r="248" customFormat="false" ht="14.25" hidden="false" customHeight="true" outlineLevel="0" collapsed="false">
      <c r="B248" s="0" t="s">
        <v>492</v>
      </c>
      <c r="C248" s="0" t="n">
        <v>35</v>
      </c>
      <c r="D248" s="0" t="n">
        <v>118</v>
      </c>
      <c r="E248" s="0" t="n">
        <v>1</v>
      </c>
      <c r="F248" s="0" t="n">
        <v>4</v>
      </c>
      <c r="G248" s="0" t="n">
        <v>30</v>
      </c>
      <c r="H248" s="0" t="n">
        <v>0</v>
      </c>
      <c r="I248" s="0" t="n">
        <v>0.2</v>
      </c>
      <c r="J248" s="0" t="n">
        <v>14</v>
      </c>
      <c r="K248" s="115" t="n">
        <f aca="false">IFERROR((D248/C248)/4.5*0.25*C248,0)</f>
        <v>6.55555555555556</v>
      </c>
      <c r="L248" s="115" t="n">
        <f aca="false">IFERROR((G248/F248)/7.95*0.376*F248,0)</f>
        <v>1.4188679245283</v>
      </c>
      <c r="M248" s="117"/>
      <c r="N248" s="117"/>
      <c r="O248" s="117"/>
      <c r="X248" s="53" t="n">
        <f aca="false">D248+G248</f>
        <v>148</v>
      </c>
      <c r="Y248" s="53" t="n">
        <f aca="false">H248+E248</f>
        <v>1</v>
      </c>
      <c r="Z248" s="53" t="n">
        <f aca="false">X248/Y248</f>
        <v>148</v>
      </c>
    </row>
    <row r="249" customFormat="false" ht="14.25" hidden="false" customHeight="true" outlineLevel="0" collapsed="false">
      <c r="A249" s="0" t="s">
        <v>683</v>
      </c>
      <c r="B249" s="0" t="s">
        <v>510</v>
      </c>
      <c r="C249" s="0" t="n">
        <v>29.4</v>
      </c>
      <c r="D249" s="0" t="n">
        <v>166.2</v>
      </c>
      <c r="E249" s="0" t="n">
        <v>0.4</v>
      </c>
      <c r="F249" s="0" t="n">
        <v>4.5</v>
      </c>
      <c r="G249" s="0" t="n">
        <v>34.3</v>
      </c>
      <c r="H249" s="0" t="n">
        <v>0.1</v>
      </c>
      <c r="I249" s="0" t="n">
        <v>0.1</v>
      </c>
      <c r="J249" s="0" t="n">
        <v>24.8</v>
      </c>
      <c r="K249" s="115" t="n">
        <f aca="false">IFERROR((D249/C249)/4.5*0.25*C249,0)</f>
        <v>9.23333333333333</v>
      </c>
      <c r="L249" s="115" t="n">
        <f aca="false">IFERROR((G249/F249)/7.95*0.376*F249,0)</f>
        <v>1.62223899371069</v>
      </c>
      <c r="M249" s="117" t="n">
        <f aca="false">C251*Scoring!$B$32+D251/Scoring!$C$32+E251*Scoring!$D$32+F251*Scoring!$E$32+G251/Scoring!$F$32+H251*Scoring!$G$32+I251*Scoring!$H$32+K251*Scoring!$I$32+RB!L251*Scoring!$J$32+U249</f>
        <v>17.24</v>
      </c>
      <c r="N249" s="117" t="n">
        <f aca="false">C249*Scoring!$B$32+D249/Scoring!$C$32+E249*Scoring!$D$32+F249*Scoring!$E$32+G249/Scoring!$F$32+H249*Scoring!$G$32+I249*Scoring!$H$32+K249*Scoring!$I$32+RB!L249*Scoring!$J$32+U249</f>
        <v>25.1</v>
      </c>
      <c r="O249" s="117" t="n">
        <f aca="false">C250*Scoring!$B$32+D250/Scoring!$C$32+E250*Scoring!$D$32+F250*Scoring!$E$32+G250/Scoring!$F$32+H250*Scoring!$G$32+I250*Scoring!$H$32+K250*Scoring!$I$32+L250*Scoring!$J$32+U249</f>
        <v>32.6</v>
      </c>
      <c r="P249" s="53" t="n">
        <f aca="false">IF(COUNTIF(Rookies!$A:$A,A249)&gt;0,1,0)</f>
        <v>0</v>
      </c>
      <c r="S249" s="53" t="n">
        <f aca="false">V249/17</f>
        <v>1.47647058823529</v>
      </c>
      <c r="T249" s="53" t="n">
        <f aca="false">IF(P249=1,MAX(0,0.258*(14.9-S249)),0)</f>
        <v>0</v>
      </c>
      <c r="U249" s="53" t="n">
        <f aca="false">T249*17</f>
        <v>0</v>
      </c>
      <c r="V249" s="53" t="n">
        <f aca="false">C249*Scoring!$B$32+D249/Scoring!$C$32+E249*Scoring!$D$32+F249*Scoring!$E$32+G249/Scoring!$F$32+H249*Scoring!$G$32+I249*Scoring!$H$32+K249*Scoring!$I$32+RB!L249*Scoring!$J$32</f>
        <v>25.1</v>
      </c>
      <c r="X249" s="53" t="n">
        <f aca="false">D249+G249</f>
        <v>200.5</v>
      </c>
      <c r="Y249" s="53" t="n">
        <f aca="false">H249+E249</f>
        <v>0.5</v>
      </c>
      <c r="Z249" s="53" t="n">
        <f aca="false">X249/Y249</f>
        <v>401</v>
      </c>
    </row>
    <row r="250" customFormat="false" ht="14.25" hidden="false" customHeight="true" outlineLevel="0" collapsed="false">
      <c r="B250" s="0" t="s">
        <v>491</v>
      </c>
      <c r="C250" s="0" t="n">
        <v>32</v>
      </c>
      <c r="D250" s="0" t="n">
        <v>206</v>
      </c>
      <c r="E250" s="0" t="n">
        <v>0.7</v>
      </c>
      <c r="F250" s="0" t="n">
        <v>5</v>
      </c>
      <c r="G250" s="0" t="n">
        <v>41</v>
      </c>
      <c r="H250" s="0" t="n">
        <v>0.2</v>
      </c>
      <c r="I250" s="0" t="n">
        <v>0</v>
      </c>
      <c r="J250" s="0" t="n">
        <v>22.8</v>
      </c>
      <c r="K250" s="115" t="n">
        <f aca="false">IFERROR((D250/C250)/4.5*0.25*C250,0)</f>
        <v>11.4444444444444</v>
      </c>
      <c r="L250" s="115" t="n">
        <f aca="false">IFERROR((G250/F250)/7.95*0.376*F250,0)</f>
        <v>1.93911949685535</v>
      </c>
      <c r="M250" s="117"/>
      <c r="N250" s="117"/>
      <c r="O250" s="117"/>
      <c r="X250" s="53" t="n">
        <f aca="false">D250+G250</f>
        <v>247</v>
      </c>
      <c r="Y250" s="53" t="n">
        <f aca="false">H250+E250</f>
        <v>0.9</v>
      </c>
      <c r="Z250" s="53" t="n">
        <f aca="false">X250/Y250</f>
        <v>274.444444444444</v>
      </c>
    </row>
    <row r="251" customFormat="false" ht="14.25" hidden="false" customHeight="true" outlineLevel="0" collapsed="false">
      <c r="B251" s="0" t="s">
        <v>492</v>
      </c>
      <c r="C251" s="0" t="n">
        <v>26.7</v>
      </c>
      <c r="D251" s="0" t="n">
        <v>126.3</v>
      </c>
      <c r="E251" s="0" t="n">
        <v>0</v>
      </c>
      <c r="F251" s="0" t="n">
        <v>4.1</v>
      </c>
      <c r="G251" s="0" t="n">
        <v>27.6</v>
      </c>
      <c r="H251" s="0" t="n">
        <v>0</v>
      </c>
      <c r="I251" s="0" t="n">
        <v>0.1</v>
      </c>
      <c r="J251" s="0" t="n">
        <v>16.3</v>
      </c>
      <c r="K251" s="115" t="n">
        <f aca="false">IFERROR((D251/C251)/4.5*0.25*C251,0)</f>
        <v>7.01666666666667</v>
      </c>
      <c r="L251" s="115" t="n">
        <f aca="false">IFERROR((G251/F251)/7.95*0.376*F251,0)</f>
        <v>1.30535849056604</v>
      </c>
      <c r="M251" s="117"/>
      <c r="N251" s="117"/>
      <c r="O251" s="117"/>
      <c r="X251" s="53" t="n">
        <f aca="false">D251+G251</f>
        <v>153.9</v>
      </c>
      <c r="Y251" s="53" t="n">
        <f aca="false">H251+E251</f>
        <v>0</v>
      </c>
      <c r="Z251" s="53" t="e">
        <f aca="false">X251/Y251</f>
        <v>#DIV/0!</v>
      </c>
    </row>
    <row r="252" customFormat="false" ht="14.25" hidden="false" customHeight="true" outlineLevel="0" collapsed="false">
      <c r="A252" s="0" t="s">
        <v>684</v>
      </c>
      <c r="B252" s="0" t="s">
        <v>498</v>
      </c>
      <c r="C252" s="0" t="n">
        <v>34</v>
      </c>
      <c r="D252" s="0" t="n">
        <v>151</v>
      </c>
      <c r="E252" s="0" t="n">
        <v>1</v>
      </c>
      <c r="F252" s="0" t="n">
        <v>2</v>
      </c>
      <c r="G252" s="0" t="n">
        <v>20</v>
      </c>
      <c r="H252" s="0" t="n">
        <v>0</v>
      </c>
      <c r="I252" s="0" t="n">
        <v>0</v>
      </c>
      <c r="J252" s="0" t="n">
        <v>24.1</v>
      </c>
      <c r="K252" s="115" t="n">
        <f aca="false">IFERROR((D252/C252)/4.5*0.25*C252,0)</f>
        <v>8.38888888888889</v>
      </c>
      <c r="L252" s="115" t="n">
        <f aca="false">IFERROR((G252/F252)/7.95*0.376*F252,0)</f>
        <v>0.945911949685535</v>
      </c>
      <c r="M252" s="117" t="n">
        <f aca="false">C254*Scoring!$B$32+D254/Scoring!$C$32+E254*Scoring!$D$32+F254*Scoring!$E$32+G254/Scoring!$F$32+H254*Scoring!$G$32+I254*Scoring!$H$32+K254*Scoring!$I$32+RB!L254*Scoring!$J$32+U252</f>
        <v>24.1</v>
      </c>
      <c r="N252" s="117" t="n">
        <f aca="false">C252*Scoring!$B$32+D252/Scoring!$C$32+E252*Scoring!$D$32+F252*Scoring!$E$32+G252/Scoring!$F$32+H252*Scoring!$G$32+I252*Scoring!$H$32+K252*Scoring!$I$32+RB!L252*Scoring!$J$32+U252</f>
        <v>24.1</v>
      </c>
      <c r="O252" s="117" t="n">
        <f aca="false">C253*Scoring!$B$32+D253/Scoring!$C$32+E253*Scoring!$D$32+F253*Scoring!$E$32+G253/Scoring!$F$32+H253*Scoring!$G$32+I253*Scoring!$H$32+K253*Scoring!$I$32+L253*Scoring!$J$32+U252</f>
        <v>24.1</v>
      </c>
      <c r="P252" s="53" t="n">
        <f aca="false">IF(COUNTIF(Rookies!$A:$A,A252)&gt;0,1,0)</f>
        <v>0</v>
      </c>
      <c r="S252" s="53" t="n">
        <f aca="false">V252/17</f>
        <v>1.41764705882353</v>
      </c>
      <c r="T252" s="53" t="n">
        <f aca="false">IF(P252=1,MAX(0,0.258*(14.9-S252)),0)</f>
        <v>0</v>
      </c>
      <c r="U252" s="53" t="n">
        <f aca="false">T252*17</f>
        <v>0</v>
      </c>
      <c r="V252" s="53" t="n">
        <f aca="false">C252*Scoring!$B$32+D252/Scoring!$C$32+E252*Scoring!$D$32+F252*Scoring!$E$32+G252/Scoring!$F$32+H252*Scoring!$G$32+I252*Scoring!$H$32+K252*Scoring!$I$32+RB!L252*Scoring!$J$32</f>
        <v>24.1</v>
      </c>
      <c r="X252" s="53" t="n">
        <f aca="false">D252+G252</f>
        <v>171</v>
      </c>
      <c r="Y252" s="53" t="n">
        <f aca="false">H252+E252</f>
        <v>1</v>
      </c>
      <c r="Z252" s="53" t="n">
        <f aca="false">X252/Y252</f>
        <v>171</v>
      </c>
    </row>
    <row r="253" customFormat="false" ht="14.25" hidden="false" customHeight="true" outlineLevel="0" collapsed="false">
      <c r="B253" s="0" t="s">
        <v>491</v>
      </c>
      <c r="C253" s="0" t="n">
        <v>34</v>
      </c>
      <c r="D253" s="0" t="n">
        <v>151</v>
      </c>
      <c r="E253" s="0" t="n">
        <v>1</v>
      </c>
      <c r="F253" s="0" t="n">
        <v>2</v>
      </c>
      <c r="G253" s="0" t="n">
        <v>20</v>
      </c>
      <c r="H253" s="0" t="n">
        <v>0</v>
      </c>
      <c r="I253" s="0" t="n">
        <v>0</v>
      </c>
      <c r="J253" s="0" t="n">
        <v>14</v>
      </c>
      <c r="K253" s="115" t="n">
        <f aca="false">IFERROR((D253/C253)/4.5*0.25*C253,0)</f>
        <v>8.38888888888889</v>
      </c>
      <c r="L253" s="115" t="n">
        <f aca="false">IFERROR((G253/F253)/7.95*0.376*F253,0)</f>
        <v>0.945911949685535</v>
      </c>
      <c r="M253" s="117"/>
      <c r="N253" s="117"/>
      <c r="O253" s="117"/>
      <c r="X253" s="53" t="n">
        <f aca="false">D253+G253</f>
        <v>171</v>
      </c>
      <c r="Y253" s="53" t="n">
        <f aca="false">H253+E253</f>
        <v>1</v>
      </c>
      <c r="Z253" s="53" t="n">
        <f aca="false">X253/Y253</f>
        <v>171</v>
      </c>
    </row>
    <row r="254" customFormat="false" ht="14.25" hidden="false" customHeight="true" outlineLevel="0" collapsed="false">
      <c r="B254" s="0" t="s">
        <v>492</v>
      </c>
      <c r="C254" s="0" t="n">
        <v>34</v>
      </c>
      <c r="D254" s="0" t="n">
        <v>151</v>
      </c>
      <c r="E254" s="0" t="n">
        <v>1</v>
      </c>
      <c r="F254" s="0" t="n">
        <v>2</v>
      </c>
      <c r="G254" s="0" t="n">
        <v>20</v>
      </c>
      <c r="H254" s="0" t="n">
        <v>0</v>
      </c>
      <c r="I254" s="0" t="n">
        <v>0</v>
      </c>
      <c r="J254" s="0" t="n">
        <v>14</v>
      </c>
      <c r="K254" s="115" t="n">
        <f aca="false">IFERROR((D254/C254)/4.5*0.25*C254,0)</f>
        <v>8.38888888888889</v>
      </c>
      <c r="L254" s="115" t="n">
        <f aca="false">IFERROR((G254/F254)/7.95*0.376*F254,0)</f>
        <v>0.945911949685535</v>
      </c>
      <c r="M254" s="117"/>
      <c r="N254" s="117"/>
      <c r="O254" s="117"/>
      <c r="X254" s="53" t="n">
        <f aca="false">D254+G254</f>
        <v>171</v>
      </c>
      <c r="Y254" s="53" t="n">
        <f aca="false">H254+E254</f>
        <v>1</v>
      </c>
      <c r="Z254" s="53" t="n">
        <f aca="false">X254/Y254</f>
        <v>171</v>
      </c>
    </row>
    <row r="255" customFormat="false" ht="14.25" hidden="false" customHeight="true" outlineLevel="0" collapsed="false">
      <c r="A255" s="0" t="s">
        <v>685</v>
      </c>
      <c r="B255" s="0" t="s">
        <v>534</v>
      </c>
      <c r="C255" s="0" t="n">
        <v>39.2</v>
      </c>
      <c r="D255" s="0" t="n">
        <v>137.6</v>
      </c>
      <c r="E255" s="0" t="n">
        <v>1.1</v>
      </c>
      <c r="F255" s="0" t="n">
        <v>2.5</v>
      </c>
      <c r="G255" s="0" t="n">
        <v>15.9</v>
      </c>
      <c r="H255" s="0" t="n">
        <v>0.1</v>
      </c>
      <c r="I255" s="0" t="n">
        <v>0.1</v>
      </c>
      <c r="J255" s="0" t="n">
        <v>23.3</v>
      </c>
      <c r="K255" s="115" t="n">
        <f aca="false">IFERROR((D255/C255)/4.5*0.25*C255,0)</f>
        <v>7.64444444444444</v>
      </c>
      <c r="L255" s="115" t="n">
        <f aca="false">IFERROR((G255/F255)/7.95*0.376*F255,0)</f>
        <v>0.752</v>
      </c>
      <c r="M255" s="117" t="n">
        <f aca="false">C257*Scoring!$B$32+D257/Scoring!$C$32+E257*Scoring!$D$32+F257*Scoring!$E$32+G257/Scoring!$F$32+H257*Scoring!$G$32+I257*Scoring!$H$32+K257*Scoring!$I$32+RB!L257*Scoring!$J$32+U255</f>
        <v>14.5</v>
      </c>
      <c r="N255" s="117" t="n">
        <f aca="false">C255*Scoring!$B$32+D255/Scoring!$C$32+E255*Scoring!$D$32+F255*Scoring!$E$32+G255/Scoring!$F$32+H255*Scoring!$G$32+I255*Scoring!$H$32+K255*Scoring!$I$32+RB!L255*Scoring!$J$32+U255</f>
        <v>23.6</v>
      </c>
      <c r="O255" s="117" t="n">
        <f aca="false">C256*Scoring!$B$32+D256/Scoring!$C$32+E256*Scoring!$D$32+F256*Scoring!$E$32+G256/Scoring!$F$32+H256*Scoring!$G$32+I256*Scoring!$H$32+K256*Scoring!$I$32+L256*Scoring!$J$32+U255</f>
        <v>32.04</v>
      </c>
      <c r="P255" s="53" t="n">
        <f aca="false">IF(COUNTIF(Rookies!$A:$A,A255)&gt;0,1,0)</f>
        <v>0</v>
      </c>
      <c r="S255" s="53" t="n">
        <f aca="false">V255/17</f>
        <v>1.38823529411765</v>
      </c>
      <c r="T255" s="53" t="n">
        <f aca="false">IF(P255=1,MAX(0,0.258*(14.9-S255)),0)</f>
        <v>0</v>
      </c>
      <c r="U255" s="53" t="n">
        <f aca="false">T255*17</f>
        <v>0</v>
      </c>
      <c r="V255" s="53" t="n">
        <f aca="false">C255*Scoring!$B$32+D255/Scoring!$C$32+E255*Scoring!$D$32+F255*Scoring!$E$32+G255/Scoring!$F$32+H255*Scoring!$G$32+I255*Scoring!$H$32+K255*Scoring!$I$32+RB!L255*Scoring!$J$32</f>
        <v>23.6</v>
      </c>
      <c r="X255" s="53" t="n">
        <f aca="false">D255+G255</f>
        <v>153.5</v>
      </c>
      <c r="Y255" s="53" t="n">
        <f aca="false">H255+E255</f>
        <v>1.2</v>
      </c>
      <c r="Z255" s="53" t="n">
        <f aca="false">X255/Y255</f>
        <v>127.916666666667</v>
      </c>
    </row>
    <row r="256" customFormat="false" ht="14.25" hidden="false" customHeight="true" outlineLevel="0" collapsed="false">
      <c r="B256" s="0" t="s">
        <v>491</v>
      </c>
      <c r="C256" s="0" t="n">
        <v>47.3</v>
      </c>
      <c r="D256" s="0" t="n">
        <v>195.1</v>
      </c>
      <c r="E256" s="0" t="n">
        <v>1.2</v>
      </c>
      <c r="F256" s="0" t="n">
        <v>3.9</v>
      </c>
      <c r="G256" s="0" t="n">
        <v>27.8</v>
      </c>
      <c r="H256" s="0" t="n">
        <v>0.1</v>
      </c>
      <c r="I256" s="0" t="n">
        <v>0</v>
      </c>
      <c r="J256" s="0" t="n">
        <v>31.1</v>
      </c>
      <c r="K256" s="115" t="n">
        <f aca="false">IFERROR((D256/C256)/4.5*0.25*C256,0)</f>
        <v>10.8388888888889</v>
      </c>
      <c r="L256" s="115" t="n">
        <f aca="false">IFERROR((G256/F256)/7.95*0.376*F256,0)</f>
        <v>1.31481761006289</v>
      </c>
      <c r="M256" s="117"/>
      <c r="N256" s="117"/>
      <c r="O256" s="117"/>
      <c r="X256" s="53" t="n">
        <f aca="false">D256+G256</f>
        <v>222.9</v>
      </c>
      <c r="Y256" s="53" t="n">
        <f aca="false">H256+E256</f>
        <v>1.3</v>
      </c>
      <c r="Z256" s="53" t="n">
        <f aca="false">X256/Y256</f>
        <v>171.461538461538</v>
      </c>
    </row>
    <row r="257" customFormat="false" ht="14.25" hidden="false" customHeight="true" outlineLevel="0" collapsed="false">
      <c r="B257" s="0" t="s">
        <v>492</v>
      </c>
      <c r="C257" s="0" t="n">
        <v>31</v>
      </c>
      <c r="D257" s="0" t="n">
        <v>80</v>
      </c>
      <c r="E257" s="0" t="n">
        <v>1</v>
      </c>
      <c r="F257" s="0" t="n">
        <v>1</v>
      </c>
      <c r="G257" s="0" t="n">
        <v>4</v>
      </c>
      <c r="H257" s="0" t="n">
        <v>0</v>
      </c>
      <c r="I257" s="0" t="n">
        <v>0.2</v>
      </c>
      <c r="J257" s="0" t="n">
        <v>10.2</v>
      </c>
      <c r="K257" s="115" t="n">
        <f aca="false">IFERROR((D257/C257)/4.5*0.25*C257,0)</f>
        <v>4.44444444444445</v>
      </c>
      <c r="L257" s="115" t="n">
        <f aca="false">IFERROR((G257/F257)/7.95*0.376*F257,0)</f>
        <v>0.189182389937107</v>
      </c>
      <c r="M257" s="117"/>
      <c r="N257" s="117"/>
      <c r="O257" s="117"/>
      <c r="X257" s="53" t="n">
        <f aca="false">D257+G257</f>
        <v>84</v>
      </c>
      <c r="Y257" s="53" t="n">
        <f aca="false">H257+E257</f>
        <v>1</v>
      </c>
      <c r="Z257" s="53" t="n">
        <f aca="false">X257/Y257</f>
        <v>84</v>
      </c>
    </row>
    <row r="258" customFormat="false" ht="14.25" hidden="false" customHeight="true" outlineLevel="0" collapsed="false">
      <c r="A258" s="0" t="s">
        <v>686</v>
      </c>
      <c r="B258" s="0" t="s">
        <v>526</v>
      </c>
      <c r="C258" s="0" t="n">
        <v>29.4</v>
      </c>
      <c r="D258" s="0" t="n">
        <v>119.9</v>
      </c>
      <c r="E258" s="0" t="n">
        <v>1.3</v>
      </c>
      <c r="F258" s="0" t="n">
        <v>2.5</v>
      </c>
      <c r="G258" s="0" t="n">
        <v>16.8</v>
      </c>
      <c r="H258" s="0" t="n">
        <v>0</v>
      </c>
      <c r="I258" s="0" t="n">
        <v>0</v>
      </c>
      <c r="J258" s="0" t="n">
        <v>22.6</v>
      </c>
      <c r="K258" s="115" t="n">
        <f aca="false">IFERROR((D258/C258)/4.5*0.25*C258,0)</f>
        <v>6.66111111111111</v>
      </c>
      <c r="L258" s="115" t="n">
        <f aca="false">IFERROR((G258/F258)/7.95*0.376*F258,0)</f>
        <v>0.794566037735849</v>
      </c>
      <c r="M258" s="117" t="n">
        <f aca="false">C260*Scoring!$B$32+D260/Scoring!$C$32+E260*Scoring!$D$32+F260*Scoring!$E$32+G260/Scoring!$F$32+H260*Scoring!$G$32+I260*Scoring!$H$32+K260*Scoring!$I$32+RB!L260*Scoring!$J$32+U258</f>
        <v>14.98</v>
      </c>
      <c r="N258" s="117" t="n">
        <f aca="false">C258*Scoring!$B$32+D258/Scoring!$C$32+E258*Scoring!$D$32+F258*Scoring!$E$32+G258/Scoring!$F$32+H258*Scoring!$G$32+I258*Scoring!$H$32+K258*Scoring!$I$32+RB!L258*Scoring!$J$32+U258</f>
        <v>22.72</v>
      </c>
      <c r="O258" s="117" t="n">
        <f aca="false">C259*Scoring!$B$32+D259/Scoring!$C$32+E259*Scoring!$D$32+F259*Scoring!$E$32+G259/Scoring!$F$32+H259*Scoring!$G$32+I259*Scoring!$H$32+K259*Scoring!$I$32+L259*Scoring!$J$32+U258</f>
        <v>30.25</v>
      </c>
      <c r="P258" s="53" t="n">
        <f aca="false">IF(COUNTIF(Rookies!$A:$A,A258)&gt;0,1,0)</f>
        <v>0</v>
      </c>
      <c r="S258" s="53" t="n">
        <f aca="false">V258/17</f>
        <v>1.33647058823529</v>
      </c>
      <c r="T258" s="53" t="n">
        <f aca="false">IF(P258=1,MAX(0,0.258*(14.9-S258)),0)</f>
        <v>0</v>
      </c>
      <c r="U258" s="53" t="n">
        <f aca="false">T258*17</f>
        <v>0</v>
      </c>
      <c r="V258" s="53" t="n">
        <f aca="false">C258*Scoring!$B$32+D258/Scoring!$C$32+E258*Scoring!$D$32+F258*Scoring!$E$32+G258/Scoring!$F$32+H258*Scoring!$G$32+I258*Scoring!$H$32+K258*Scoring!$I$32+RB!L258*Scoring!$J$32</f>
        <v>22.72</v>
      </c>
      <c r="X258" s="53" t="n">
        <f aca="false">D258+G258</f>
        <v>136.7</v>
      </c>
      <c r="Y258" s="53" t="n">
        <f aca="false">H258+E258</f>
        <v>1.3</v>
      </c>
      <c r="Z258" s="53" t="n">
        <f aca="false">X258/Y258</f>
        <v>105.153846153846</v>
      </c>
    </row>
    <row r="259" customFormat="false" ht="14.25" hidden="false" customHeight="true" outlineLevel="0" collapsed="false">
      <c r="B259" s="0" t="s">
        <v>491</v>
      </c>
      <c r="C259" s="0" t="n">
        <v>35</v>
      </c>
      <c r="D259" s="0" t="n">
        <v>140</v>
      </c>
      <c r="E259" s="0" t="n">
        <v>2</v>
      </c>
      <c r="F259" s="0" t="n">
        <v>3</v>
      </c>
      <c r="G259" s="0" t="n">
        <v>21.5</v>
      </c>
      <c r="H259" s="0" t="n">
        <v>0.1</v>
      </c>
      <c r="I259" s="0" t="n">
        <v>0</v>
      </c>
      <c r="J259" s="0" t="n">
        <v>19.3</v>
      </c>
      <c r="K259" s="115" t="n">
        <f aca="false">IFERROR((D259/C259)/4.5*0.25*C259,0)</f>
        <v>7.77777777777778</v>
      </c>
      <c r="L259" s="115" t="n">
        <f aca="false">IFERROR((G259/F259)/7.95*0.376*F259,0)</f>
        <v>1.01685534591195</v>
      </c>
      <c r="M259" s="117"/>
      <c r="N259" s="117"/>
      <c r="O259" s="117"/>
      <c r="X259" s="53" t="n">
        <f aca="false">D259+G259</f>
        <v>161.5</v>
      </c>
      <c r="Y259" s="53" t="n">
        <f aca="false">H259+E259</f>
        <v>2.1</v>
      </c>
      <c r="Z259" s="53" t="n">
        <f aca="false">X259/Y259</f>
        <v>76.9047619047619</v>
      </c>
    </row>
    <row r="260" customFormat="false" ht="14.25" hidden="false" customHeight="true" outlineLevel="0" collapsed="false">
      <c r="B260" s="0" t="s">
        <v>492</v>
      </c>
      <c r="C260" s="0" t="n">
        <v>23.8</v>
      </c>
      <c r="D260" s="0" t="n">
        <v>99.8</v>
      </c>
      <c r="E260" s="0" t="n">
        <v>0.5</v>
      </c>
      <c r="F260" s="0" t="n">
        <v>2</v>
      </c>
      <c r="G260" s="0" t="n">
        <v>12</v>
      </c>
      <c r="H260" s="0" t="n">
        <v>0</v>
      </c>
      <c r="I260" s="0" t="n">
        <v>0.1</v>
      </c>
      <c r="J260" s="0" t="n">
        <v>16.9</v>
      </c>
      <c r="K260" s="115" t="n">
        <f aca="false">IFERROR((D260/C260)/4.5*0.25*C260,0)</f>
        <v>5.54444444444444</v>
      </c>
      <c r="L260" s="115" t="n">
        <f aca="false">IFERROR((G260/F260)/7.95*0.376*F260,0)</f>
        <v>0.567547169811321</v>
      </c>
      <c r="M260" s="117"/>
      <c r="N260" s="117"/>
      <c r="O260" s="117"/>
      <c r="X260" s="53" t="n">
        <f aca="false">D260+G260</f>
        <v>111.8</v>
      </c>
      <c r="Y260" s="53" t="n">
        <f aca="false">H260+E260</f>
        <v>0.5</v>
      </c>
      <c r="Z260" s="53" t="n">
        <f aca="false">X260/Y260</f>
        <v>223.6</v>
      </c>
    </row>
    <row r="261" customFormat="false" ht="14.25" hidden="false" customHeight="true" outlineLevel="0" collapsed="false">
      <c r="A261" s="0" t="s">
        <v>687</v>
      </c>
      <c r="B261" s="0" t="s">
        <v>526</v>
      </c>
      <c r="C261" s="0" t="n">
        <v>30</v>
      </c>
      <c r="D261" s="0" t="n">
        <v>122</v>
      </c>
      <c r="E261" s="0" t="n">
        <v>1</v>
      </c>
      <c r="F261" s="0" t="n">
        <v>3</v>
      </c>
      <c r="G261" s="0" t="n">
        <v>24</v>
      </c>
      <c r="H261" s="0" t="n">
        <v>0</v>
      </c>
      <c r="I261" s="0" t="n">
        <v>0</v>
      </c>
      <c r="J261" s="0" t="n">
        <v>22.1</v>
      </c>
      <c r="K261" s="115" t="n">
        <f aca="false">IFERROR((D261/C261)/4.5*0.25*C261,0)</f>
        <v>6.77777777777778</v>
      </c>
      <c r="L261" s="115" t="n">
        <f aca="false">IFERROR((G261/F261)/7.95*0.376*F261,0)</f>
        <v>1.13509433962264</v>
      </c>
      <c r="M261" s="117" t="n">
        <f aca="false">C263*Scoring!$B$32+D263/Scoring!$C$32+E263*Scoring!$D$32+F263*Scoring!$E$32+G263/Scoring!$F$32+H263*Scoring!$G$32+I263*Scoring!$H$32+K263*Scoring!$I$32+RB!L263*Scoring!$J$32+U261</f>
        <v>22.1</v>
      </c>
      <c r="N261" s="117" t="n">
        <f aca="false">C261*Scoring!$B$32+D261/Scoring!$C$32+E261*Scoring!$D$32+F261*Scoring!$E$32+G261/Scoring!$F$32+H261*Scoring!$G$32+I261*Scoring!$H$32+K261*Scoring!$I$32+RB!L261*Scoring!$J$32+U261</f>
        <v>22.1</v>
      </c>
      <c r="O261" s="117" t="n">
        <f aca="false">C262*Scoring!$B$32+D262/Scoring!$C$32+E262*Scoring!$D$32+F262*Scoring!$E$32+G262/Scoring!$F$32+H262*Scoring!$G$32+I262*Scoring!$H$32+K262*Scoring!$I$32+L262*Scoring!$J$32+U261</f>
        <v>22.1</v>
      </c>
      <c r="P261" s="53" t="n">
        <f aca="false">IF(COUNTIF(Rookies!$A:$A,A261)&gt;0,1,0)</f>
        <v>0</v>
      </c>
      <c r="S261" s="53" t="n">
        <f aca="false">V261/17</f>
        <v>1.3</v>
      </c>
      <c r="T261" s="53" t="n">
        <f aca="false">IF(P261=1,MAX(0,0.258*(14.9-S261)),0)</f>
        <v>0</v>
      </c>
      <c r="U261" s="53" t="n">
        <f aca="false">T261*17</f>
        <v>0</v>
      </c>
      <c r="V261" s="53" t="n">
        <f aca="false">C261*Scoring!$B$32+D261/Scoring!$C$32+E261*Scoring!$D$32+F261*Scoring!$E$32+G261/Scoring!$F$32+H261*Scoring!$G$32+I261*Scoring!$H$32+K261*Scoring!$I$32+RB!L261*Scoring!$J$32</f>
        <v>22.1</v>
      </c>
      <c r="X261" s="53" t="n">
        <f aca="false">D261+G261</f>
        <v>146</v>
      </c>
      <c r="Y261" s="53" t="n">
        <f aca="false">H261+E261</f>
        <v>1</v>
      </c>
      <c r="Z261" s="53" t="n">
        <f aca="false">X261/Y261</f>
        <v>146</v>
      </c>
    </row>
    <row r="262" customFormat="false" ht="14.25" hidden="false" customHeight="true" outlineLevel="0" collapsed="false">
      <c r="B262" s="0" t="s">
        <v>491</v>
      </c>
      <c r="C262" s="0" t="n">
        <v>30</v>
      </c>
      <c r="D262" s="0" t="n">
        <v>122</v>
      </c>
      <c r="E262" s="0" t="n">
        <v>1</v>
      </c>
      <c r="F262" s="0" t="n">
        <v>3</v>
      </c>
      <c r="G262" s="0" t="n">
        <v>24</v>
      </c>
      <c r="H262" s="0" t="n">
        <v>0</v>
      </c>
      <c r="I262" s="0" t="n">
        <v>0</v>
      </c>
      <c r="J262" s="0" t="n">
        <v>13.5</v>
      </c>
      <c r="K262" s="115" t="n">
        <f aca="false">IFERROR((D262/C262)/4.5*0.25*C262,0)</f>
        <v>6.77777777777778</v>
      </c>
      <c r="L262" s="115" t="n">
        <f aca="false">IFERROR((G262/F262)/7.95*0.376*F262,0)</f>
        <v>1.13509433962264</v>
      </c>
      <c r="M262" s="117"/>
      <c r="N262" s="117"/>
      <c r="O262" s="117"/>
      <c r="X262" s="53" t="n">
        <f aca="false">D262+G262</f>
        <v>146</v>
      </c>
      <c r="Y262" s="53" t="n">
        <f aca="false">H262+E262</f>
        <v>1</v>
      </c>
      <c r="Z262" s="53" t="n">
        <f aca="false">X262/Y262</f>
        <v>146</v>
      </c>
    </row>
    <row r="263" customFormat="false" ht="14.25" hidden="false" customHeight="true" outlineLevel="0" collapsed="false">
      <c r="B263" s="0" t="s">
        <v>492</v>
      </c>
      <c r="C263" s="0" t="n">
        <v>30</v>
      </c>
      <c r="D263" s="0" t="n">
        <v>122</v>
      </c>
      <c r="E263" s="0" t="n">
        <v>1</v>
      </c>
      <c r="F263" s="0" t="n">
        <v>3</v>
      </c>
      <c r="G263" s="0" t="n">
        <v>24</v>
      </c>
      <c r="H263" s="0" t="n">
        <v>0</v>
      </c>
      <c r="I263" s="0" t="n">
        <v>0</v>
      </c>
      <c r="J263" s="0" t="n">
        <v>13.5</v>
      </c>
      <c r="K263" s="115" t="n">
        <f aca="false">IFERROR((D263/C263)/4.5*0.25*C263,0)</f>
        <v>6.77777777777778</v>
      </c>
      <c r="L263" s="115" t="n">
        <f aca="false">IFERROR((G263/F263)/7.95*0.376*F263,0)</f>
        <v>1.13509433962264</v>
      </c>
      <c r="M263" s="117"/>
      <c r="N263" s="117"/>
      <c r="O263" s="117"/>
      <c r="X263" s="53" t="n">
        <f aca="false">D263+G263</f>
        <v>146</v>
      </c>
      <c r="Y263" s="53" t="n">
        <f aca="false">H263+E263</f>
        <v>1</v>
      </c>
      <c r="Z263" s="53" t="n">
        <f aca="false">X263/Y263</f>
        <v>146</v>
      </c>
    </row>
    <row r="264" customFormat="false" ht="14.25" hidden="false" customHeight="true" outlineLevel="0" collapsed="false">
      <c r="A264" s="0" t="s">
        <v>688</v>
      </c>
      <c r="B264" s="0" t="s">
        <v>500</v>
      </c>
      <c r="C264" s="0" t="n">
        <v>9.2</v>
      </c>
      <c r="D264" s="0" t="n">
        <v>39.5</v>
      </c>
      <c r="E264" s="0" t="n">
        <v>0.3</v>
      </c>
      <c r="F264" s="0" t="n">
        <v>11.3</v>
      </c>
      <c r="G264" s="0" t="n">
        <v>83.4</v>
      </c>
      <c r="H264" s="0" t="n">
        <v>0.4</v>
      </c>
      <c r="I264" s="0" t="n">
        <v>0.1</v>
      </c>
      <c r="J264" s="0" t="n">
        <v>21.9</v>
      </c>
      <c r="K264" s="115" t="n">
        <f aca="false">IFERROR((D264/C264)/4.5*0.25*C264,0)</f>
        <v>2.19444444444444</v>
      </c>
      <c r="L264" s="115" t="n">
        <f aca="false">IFERROR((G264/F264)/7.95*0.376*F264,0)</f>
        <v>3.94445283018868</v>
      </c>
      <c r="M264" s="117" t="n">
        <f aca="false">C266*Scoring!$B$32+D266/Scoring!$C$32+E266*Scoring!$D$32+F266*Scoring!$E$32+G266/Scoring!$F$32+H266*Scoring!$G$32+I266*Scoring!$H$32+K266*Scoring!$I$32+RB!L266*Scoring!$J$32+U264</f>
        <v>21.94</v>
      </c>
      <c r="N264" s="117" t="n">
        <f aca="false">C264*Scoring!$B$32+D264/Scoring!$C$32+E264*Scoring!$D$32+F264*Scoring!$E$32+G264/Scoring!$F$32+H264*Scoring!$G$32+I264*Scoring!$H$32+K264*Scoring!$I$32+RB!L264*Scoring!$J$32+U264</f>
        <v>21.94</v>
      </c>
      <c r="O264" s="117" t="n">
        <f aca="false">C265*Scoring!$B$32+D265/Scoring!$C$32+E265*Scoring!$D$32+F265*Scoring!$E$32+G265/Scoring!$F$32+H265*Scoring!$G$32+I265*Scoring!$H$32+K265*Scoring!$I$32+L265*Scoring!$J$32+U264</f>
        <v>21.94</v>
      </c>
      <c r="P264" s="53" t="n">
        <f aca="false">IF(COUNTIF(Rookies!$A:$A,A264)&gt;0,1,0)</f>
        <v>0</v>
      </c>
      <c r="S264" s="53" t="n">
        <f aca="false">V264/17</f>
        <v>1.29058823529412</v>
      </c>
      <c r="T264" s="53" t="n">
        <f aca="false">IF(P264=1,MAX(0,0.258*(14.9-S264)),0)</f>
        <v>0</v>
      </c>
      <c r="U264" s="53" t="n">
        <f aca="false">T264*17</f>
        <v>0</v>
      </c>
      <c r="V264" s="53" t="n">
        <f aca="false">C264*Scoring!$B$32+D264/Scoring!$C$32+E264*Scoring!$D$32+F264*Scoring!$E$32+G264/Scoring!$F$32+H264*Scoring!$G$32+I264*Scoring!$H$32+K264*Scoring!$I$32+RB!L264*Scoring!$J$32</f>
        <v>21.94</v>
      </c>
      <c r="X264" s="53" t="n">
        <f aca="false">D264+G264</f>
        <v>122.9</v>
      </c>
      <c r="Y264" s="53" t="n">
        <f aca="false">H264+E264</f>
        <v>0.7</v>
      </c>
      <c r="Z264" s="53" t="n">
        <f aca="false">X264/Y264</f>
        <v>175.571428571429</v>
      </c>
    </row>
    <row r="265" customFormat="false" ht="14.25" hidden="false" customHeight="true" outlineLevel="0" collapsed="false">
      <c r="B265" s="0" t="s">
        <v>491</v>
      </c>
      <c r="C265" s="0" t="n">
        <v>9.2</v>
      </c>
      <c r="D265" s="0" t="n">
        <v>39.5</v>
      </c>
      <c r="E265" s="0" t="n">
        <v>0.3</v>
      </c>
      <c r="F265" s="0" t="n">
        <v>11.3</v>
      </c>
      <c r="G265" s="0" t="n">
        <v>83.4</v>
      </c>
      <c r="H265" s="0" t="n">
        <v>0.4</v>
      </c>
      <c r="I265" s="0" t="n">
        <v>0.1</v>
      </c>
      <c r="J265" s="0" t="n">
        <v>22.5</v>
      </c>
      <c r="K265" s="115" t="n">
        <f aca="false">IFERROR((D265/C265)/4.5*0.25*C265,0)</f>
        <v>2.19444444444444</v>
      </c>
      <c r="L265" s="115" t="n">
        <f aca="false">IFERROR((G265/F265)/7.95*0.376*F265,0)</f>
        <v>3.94445283018868</v>
      </c>
      <c r="M265" s="117"/>
      <c r="N265" s="117"/>
      <c r="O265" s="117"/>
      <c r="X265" s="53" t="n">
        <f aca="false">D265+G265</f>
        <v>122.9</v>
      </c>
      <c r="Y265" s="53" t="n">
        <f aca="false">H265+E265</f>
        <v>0.7</v>
      </c>
      <c r="Z265" s="53" t="n">
        <f aca="false">X265/Y265</f>
        <v>175.571428571429</v>
      </c>
    </row>
    <row r="266" customFormat="false" ht="14.25" hidden="false" customHeight="true" outlineLevel="0" collapsed="false">
      <c r="B266" s="0" t="s">
        <v>492</v>
      </c>
      <c r="C266" s="0" t="n">
        <v>9.2</v>
      </c>
      <c r="D266" s="0" t="n">
        <v>39.5</v>
      </c>
      <c r="E266" s="0" t="n">
        <v>0.3</v>
      </c>
      <c r="F266" s="0" t="n">
        <v>11.3</v>
      </c>
      <c r="G266" s="0" t="n">
        <v>83.4</v>
      </c>
      <c r="H266" s="0" t="n">
        <v>0.4</v>
      </c>
      <c r="I266" s="0" t="n">
        <v>0.1</v>
      </c>
      <c r="J266" s="0" t="n">
        <v>22.5</v>
      </c>
      <c r="K266" s="115" t="n">
        <f aca="false">IFERROR((D266/C266)/4.5*0.25*C266,0)</f>
        <v>2.19444444444444</v>
      </c>
      <c r="L266" s="115" t="n">
        <f aca="false">IFERROR((G266/F266)/7.95*0.376*F266,0)</f>
        <v>3.94445283018868</v>
      </c>
      <c r="M266" s="117"/>
      <c r="N266" s="117"/>
      <c r="O266" s="117"/>
      <c r="X266" s="53" t="n">
        <f aca="false">D266+G266</f>
        <v>122.9</v>
      </c>
      <c r="Y266" s="53" t="n">
        <f aca="false">H266+E266</f>
        <v>0.7</v>
      </c>
      <c r="Z266" s="53" t="n">
        <f aca="false">X266/Y266</f>
        <v>175.571428571429</v>
      </c>
    </row>
    <row r="267" customFormat="false" ht="14.25" hidden="false" customHeight="true" outlineLevel="0" collapsed="false">
      <c r="A267" s="0" t="s">
        <v>689</v>
      </c>
      <c r="B267" s="0" t="s">
        <v>548</v>
      </c>
      <c r="C267" s="0" t="n">
        <v>29</v>
      </c>
      <c r="D267" s="0" t="n">
        <v>117</v>
      </c>
      <c r="E267" s="0" t="n">
        <v>1</v>
      </c>
      <c r="F267" s="0" t="n">
        <v>2</v>
      </c>
      <c r="G267" s="0" t="n">
        <v>21</v>
      </c>
      <c r="H267" s="0" t="n">
        <v>0</v>
      </c>
      <c r="I267" s="0" t="n">
        <v>0</v>
      </c>
      <c r="J267" s="0" t="n">
        <v>20.8</v>
      </c>
      <c r="K267" s="115" t="n">
        <f aca="false">IFERROR((D267/C267)/4.5*0.25*C267,0)</f>
        <v>6.5</v>
      </c>
      <c r="L267" s="115" t="n">
        <f aca="false">IFERROR((G267/F267)/7.95*0.376*F267,0)</f>
        <v>0.993207547169811</v>
      </c>
      <c r="M267" s="117" t="n">
        <f aca="false">C269*Scoring!$B$32+D269/Scoring!$C$32+E269*Scoring!$D$32+F269*Scoring!$E$32+G269/Scoring!$F$32+H269*Scoring!$G$32+I269*Scoring!$H$32+K269*Scoring!$I$32+RB!L269*Scoring!$J$32+U267</f>
        <v>80.785</v>
      </c>
      <c r="N267" s="117" t="n">
        <f aca="false">C267*Scoring!$B$32+D267/Scoring!$C$32+E267*Scoring!$D$32+F267*Scoring!$E$32+G267/Scoring!$F$32+H267*Scoring!$G$32+I267*Scoring!$H$32+K267*Scoring!$I$32+RB!L267*Scoring!$J$32+U267</f>
        <v>80.785</v>
      </c>
      <c r="O267" s="117" t="n">
        <f aca="false">C268*Scoring!$B$32+D268/Scoring!$C$32+E268*Scoring!$D$32+F268*Scoring!$E$32+G268/Scoring!$F$32+H268*Scoring!$G$32+I268*Scoring!$H$32+K268*Scoring!$I$32+L268*Scoring!$J$32+U267</f>
        <v>80.785</v>
      </c>
      <c r="P267" s="53" t="n">
        <f aca="false">IF(COUNTIF(Rookies!$A:$A,A267)&gt;0,1,0)</f>
        <v>1</v>
      </c>
      <c r="S267" s="53" t="n">
        <f aca="false">V267/17</f>
        <v>1.22352941176471</v>
      </c>
      <c r="T267" s="53" t="n">
        <f aca="false">IF(P267=1,MAX(0,0.258*(14.9-S267)),0)</f>
        <v>3.52852941176471</v>
      </c>
      <c r="U267" s="53" t="n">
        <f aca="false">T267*17</f>
        <v>59.985</v>
      </c>
      <c r="V267" s="53" t="n">
        <f aca="false">C267*Scoring!$B$32+D267/Scoring!$C$32+E267*Scoring!$D$32+F267*Scoring!$E$32+G267/Scoring!$F$32+H267*Scoring!$G$32+I267*Scoring!$H$32+K267*Scoring!$I$32+RB!L267*Scoring!$J$32</f>
        <v>20.8</v>
      </c>
      <c r="X267" s="53" t="n">
        <f aca="false">D267+G267</f>
        <v>138</v>
      </c>
      <c r="Y267" s="53" t="n">
        <f aca="false">H267+E267</f>
        <v>1</v>
      </c>
      <c r="Z267" s="53" t="n">
        <f aca="false">X267/Y267</f>
        <v>138</v>
      </c>
    </row>
    <row r="268" customFormat="false" ht="14.25" hidden="false" customHeight="true" outlineLevel="0" collapsed="false">
      <c r="B268" s="0" t="s">
        <v>491</v>
      </c>
      <c r="C268" s="0" t="n">
        <v>29</v>
      </c>
      <c r="D268" s="0" t="n">
        <v>117</v>
      </c>
      <c r="E268" s="0" t="n">
        <v>1</v>
      </c>
      <c r="F268" s="0" t="n">
        <v>2</v>
      </c>
      <c r="G268" s="0" t="n">
        <v>21</v>
      </c>
      <c r="H268" s="0" t="n">
        <v>0</v>
      </c>
      <c r="I268" s="0" t="n">
        <v>0</v>
      </c>
      <c r="J268" s="0" t="n">
        <v>12</v>
      </c>
      <c r="K268" s="115" t="n">
        <f aca="false">IFERROR((D268/C268)/4.5*0.25*C268,0)</f>
        <v>6.5</v>
      </c>
      <c r="L268" s="115" t="n">
        <f aca="false">IFERROR((G268/F268)/7.95*0.376*F268,0)</f>
        <v>0.993207547169811</v>
      </c>
      <c r="M268" s="117"/>
      <c r="N268" s="117"/>
      <c r="O268" s="117"/>
      <c r="X268" s="53" t="n">
        <f aca="false">D268+G268</f>
        <v>138</v>
      </c>
      <c r="Y268" s="53" t="n">
        <f aca="false">H268+E268</f>
        <v>1</v>
      </c>
      <c r="Z268" s="53" t="n">
        <f aca="false">X268/Y268</f>
        <v>138</v>
      </c>
    </row>
    <row r="269" customFormat="false" ht="14.25" hidden="false" customHeight="true" outlineLevel="0" collapsed="false">
      <c r="B269" s="0" t="s">
        <v>492</v>
      </c>
      <c r="C269" s="0" t="n">
        <v>29</v>
      </c>
      <c r="D269" s="0" t="n">
        <v>117</v>
      </c>
      <c r="E269" s="0" t="n">
        <v>1</v>
      </c>
      <c r="F269" s="0" t="n">
        <v>2</v>
      </c>
      <c r="G269" s="0" t="n">
        <v>21</v>
      </c>
      <c r="H269" s="0" t="n">
        <v>0</v>
      </c>
      <c r="I269" s="0" t="n">
        <v>0</v>
      </c>
      <c r="J269" s="0" t="n">
        <v>12</v>
      </c>
      <c r="K269" s="115" t="n">
        <f aca="false">IFERROR((D269/C269)/4.5*0.25*C269,0)</f>
        <v>6.5</v>
      </c>
      <c r="L269" s="115" t="n">
        <f aca="false">IFERROR((G269/F269)/7.95*0.376*F269,0)</f>
        <v>0.993207547169811</v>
      </c>
      <c r="M269" s="117"/>
      <c r="N269" s="117"/>
      <c r="O269" s="117"/>
      <c r="X269" s="53" t="n">
        <f aca="false">D269+G269</f>
        <v>138</v>
      </c>
      <c r="Y269" s="53" t="n">
        <f aca="false">H269+E269</f>
        <v>1</v>
      </c>
      <c r="Z269" s="53" t="n">
        <f aca="false">X269/Y269</f>
        <v>138</v>
      </c>
    </row>
    <row r="270" customFormat="false" ht="14.25" hidden="false" customHeight="true" outlineLevel="0" collapsed="false">
      <c r="A270" s="0" t="s">
        <v>690</v>
      </c>
      <c r="B270" s="0" t="s">
        <v>510</v>
      </c>
      <c r="C270" s="0" t="n">
        <v>13.4</v>
      </c>
      <c r="D270" s="0" t="n">
        <v>56.4</v>
      </c>
      <c r="E270" s="0" t="n">
        <v>0.4</v>
      </c>
      <c r="F270" s="0" t="n">
        <v>8.6</v>
      </c>
      <c r="G270" s="0" t="n">
        <v>61.6</v>
      </c>
      <c r="H270" s="0" t="n">
        <v>0.4</v>
      </c>
      <c r="I270" s="0" t="n">
        <v>0.1</v>
      </c>
      <c r="J270" s="0" t="n">
        <v>20.7</v>
      </c>
      <c r="K270" s="115" t="n">
        <f aca="false">IFERROR((D270/C270)/4.5*0.25*C270,0)</f>
        <v>3.13333333333333</v>
      </c>
      <c r="L270" s="115" t="n">
        <f aca="false">IFERROR((G270/F270)/7.95*0.376*F270,0)</f>
        <v>2.91340880503145</v>
      </c>
      <c r="M270" s="117" t="n">
        <f aca="false">C272*Scoring!$B$32+D272/Scoring!$C$32+E272*Scoring!$D$32+F272*Scoring!$E$32+G272/Scoring!$F$32+H272*Scoring!$G$32+I272*Scoring!$H$32+K272*Scoring!$I$32+RB!L272*Scoring!$J$32+U270</f>
        <v>20.7</v>
      </c>
      <c r="N270" s="117" t="n">
        <f aca="false">C270*Scoring!$B$32+D270/Scoring!$C$32+E270*Scoring!$D$32+F270*Scoring!$E$32+G270/Scoring!$F$32+H270*Scoring!$G$32+I270*Scoring!$H$32+K270*Scoring!$I$32+RB!L270*Scoring!$J$32+U270</f>
        <v>20.7</v>
      </c>
      <c r="O270" s="117" t="n">
        <f aca="false">C271*Scoring!$B$32+D271/Scoring!$C$32+E271*Scoring!$D$32+F271*Scoring!$E$32+G271/Scoring!$F$32+H271*Scoring!$G$32+I271*Scoring!$H$32+K271*Scoring!$I$32+L271*Scoring!$J$32+U270</f>
        <v>20.7</v>
      </c>
      <c r="P270" s="53" t="n">
        <f aca="false">IF(COUNTIF(Rookies!$A:$A,A270)&gt;0,1,0)</f>
        <v>0</v>
      </c>
      <c r="S270" s="53" t="n">
        <f aca="false">V270/17</f>
        <v>1.21764705882353</v>
      </c>
      <c r="T270" s="53" t="n">
        <f aca="false">IF(P270=1,MAX(0,0.258*(14.9-S270)),0)</f>
        <v>0</v>
      </c>
      <c r="U270" s="53" t="n">
        <f aca="false">T270*17</f>
        <v>0</v>
      </c>
      <c r="V270" s="53" t="n">
        <f aca="false">C270*Scoring!$B$32+D270/Scoring!$C$32+E270*Scoring!$D$32+F270*Scoring!$E$32+G270/Scoring!$F$32+H270*Scoring!$G$32+I270*Scoring!$H$32+K270*Scoring!$I$32+RB!L270*Scoring!$J$32</f>
        <v>20.7</v>
      </c>
      <c r="X270" s="53" t="n">
        <f aca="false">D270+G270</f>
        <v>118</v>
      </c>
      <c r="Y270" s="53" t="n">
        <f aca="false">H270+E270</f>
        <v>0.8</v>
      </c>
      <c r="Z270" s="53" t="n">
        <f aca="false">X270/Y270</f>
        <v>147.5</v>
      </c>
    </row>
    <row r="271" customFormat="false" ht="14.25" hidden="false" customHeight="true" outlineLevel="0" collapsed="false">
      <c r="B271" s="0" t="s">
        <v>491</v>
      </c>
      <c r="C271" s="0" t="n">
        <v>13.4</v>
      </c>
      <c r="D271" s="0" t="n">
        <v>56.4</v>
      </c>
      <c r="E271" s="0" t="n">
        <v>0.4</v>
      </c>
      <c r="F271" s="0" t="n">
        <v>8.6</v>
      </c>
      <c r="G271" s="0" t="n">
        <v>61.6</v>
      </c>
      <c r="H271" s="0" t="n">
        <v>0.4</v>
      </c>
      <c r="I271" s="0" t="n">
        <v>0.1</v>
      </c>
      <c r="J271" s="0" t="n">
        <v>20.8</v>
      </c>
      <c r="K271" s="115" t="n">
        <f aca="false">IFERROR((D271/C271)/4.5*0.25*C271,0)</f>
        <v>3.13333333333333</v>
      </c>
      <c r="L271" s="115" t="n">
        <f aca="false">IFERROR((G271/F271)/7.95*0.376*F271,0)</f>
        <v>2.91340880503145</v>
      </c>
      <c r="M271" s="117"/>
      <c r="N271" s="117"/>
      <c r="O271" s="117"/>
      <c r="X271" s="53" t="n">
        <f aca="false">D271+G271</f>
        <v>118</v>
      </c>
      <c r="Y271" s="53" t="n">
        <f aca="false">H271+E271</f>
        <v>0.8</v>
      </c>
      <c r="Z271" s="53" t="n">
        <f aca="false">X271/Y271</f>
        <v>147.5</v>
      </c>
    </row>
    <row r="272" customFormat="false" ht="14.25" hidden="false" customHeight="true" outlineLevel="0" collapsed="false">
      <c r="B272" s="0" t="s">
        <v>492</v>
      </c>
      <c r="C272" s="0" t="n">
        <v>13.4</v>
      </c>
      <c r="D272" s="0" t="n">
        <v>56.4</v>
      </c>
      <c r="E272" s="0" t="n">
        <v>0.4</v>
      </c>
      <c r="F272" s="0" t="n">
        <v>8.6</v>
      </c>
      <c r="G272" s="0" t="n">
        <v>61.6</v>
      </c>
      <c r="H272" s="0" t="n">
        <v>0.4</v>
      </c>
      <c r="I272" s="0" t="n">
        <v>0.1</v>
      </c>
      <c r="J272" s="0" t="n">
        <v>20.8</v>
      </c>
      <c r="K272" s="115" t="n">
        <f aca="false">IFERROR((D272/C272)/4.5*0.25*C272,0)</f>
        <v>3.13333333333333</v>
      </c>
      <c r="L272" s="115" t="n">
        <f aca="false">IFERROR((G272/F272)/7.95*0.376*F272,0)</f>
        <v>2.91340880503145</v>
      </c>
      <c r="M272" s="117"/>
      <c r="N272" s="117"/>
      <c r="O272" s="117"/>
      <c r="X272" s="53" t="n">
        <f aca="false">D272+G272</f>
        <v>118</v>
      </c>
      <c r="Y272" s="53" t="n">
        <f aca="false">H272+E272</f>
        <v>0.8</v>
      </c>
      <c r="Z272" s="53" t="n">
        <f aca="false">X272/Y272</f>
        <v>147.5</v>
      </c>
    </row>
    <row r="273" customFormat="false" ht="14.25" hidden="false" customHeight="true" outlineLevel="0" collapsed="false">
      <c r="A273" s="0" t="s">
        <v>691</v>
      </c>
      <c r="B273" s="0" t="s">
        <v>496</v>
      </c>
      <c r="C273" s="0" t="n">
        <v>23.6</v>
      </c>
      <c r="D273" s="0" t="n">
        <v>110.8</v>
      </c>
      <c r="E273" s="0" t="n">
        <v>0.7</v>
      </c>
      <c r="F273" s="0" t="n">
        <v>3</v>
      </c>
      <c r="G273" s="0" t="n">
        <v>25.6</v>
      </c>
      <c r="H273" s="0" t="n">
        <v>0.1</v>
      </c>
      <c r="I273" s="0" t="n">
        <v>0</v>
      </c>
      <c r="J273" s="0" t="n">
        <v>19.9</v>
      </c>
      <c r="K273" s="115" t="n">
        <f aca="false">IFERROR((D273/C273)/4.5*0.25*C273,0)</f>
        <v>6.15555555555556</v>
      </c>
      <c r="L273" s="115" t="n">
        <f aca="false">IFERROR((G273/F273)/7.95*0.376*F273,0)</f>
        <v>1.21076729559748</v>
      </c>
      <c r="M273" s="117" t="n">
        <f aca="false">C275*Scoring!$B$32+D275/Scoring!$C$32+E275*Scoring!$D$32+F275*Scoring!$E$32+G275/Scoring!$F$32+H275*Scoring!$G$32+I275*Scoring!$H$32+K275*Scoring!$I$32+RB!L275*Scoring!$J$32+U273</f>
        <v>70.67688</v>
      </c>
      <c r="N273" s="117" t="n">
        <f aca="false">C273*Scoring!$B$32+D273/Scoring!$C$32+E273*Scoring!$D$32+F273*Scoring!$E$32+G273/Scoring!$F$32+H273*Scoring!$G$32+I273*Scoring!$H$32+K273*Scoring!$I$32+RB!L273*Scoring!$J$32+U273</f>
        <v>80.14688</v>
      </c>
      <c r="O273" s="117" t="n">
        <f aca="false">C274*Scoring!$B$32+D274/Scoring!$C$32+E274*Scoring!$D$32+F274*Scoring!$E$32+G274/Scoring!$F$32+H274*Scoring!$G$32+I274*Scoring!$H$32+K274*Scoring!$I$32+L274*Scoring!$J$32+U273</f>
        <v>89.48688</v>
      </c>
      <c r="P273" s="53" t="n">
        <f aca="false">IF(COUNTIF(Rookies!$A:$A,A273)&gt;0,1,0)</f>
        <v>1</v>
      </c>
      <c r="S273" s="53" t="n">
        <f aca="false">V273/17</f>
        <v>1.17294117647059</v>
      </c>
      <c r="T273" s="53" t="n">
        <f aca="false">IF(P273=1,MAX(0,0.258*(14.9-S273)),0)</f>
        <v>3.54158117647059</v>
      </c>
      <c r="U273" s="53" t="n">
        <f aca="false">T273*17</f>
        <v>60.20688</v>
      </c>
      <c r="V273" s="53" t="n">
        <f aca="false">C273*Scoring!$B$32+D273/Scoring!$C$32+E273*Scoring!$D$32+F273*Scoring!$E$32+G273/Scoring!$F$32+H273*Scoring!$G$32+I273*Scoring!$H$32+K273*Scoring!$I$32+RB!L273*Scoring!$J$32</f>
        <v>19.94</v>
      </c>
      <c r="X273" s="53" t="n">
        <f aca="false">D273+G273</f>
        <v>136.4</v>
      </c>
      <c r="Y273" s="53" t="n">
        <f aca="false">H273+E273</f>
        <v>0.8</v>
      </c>
      <c r="Z273" s="53" t="n">
        <f aca="false">X273/Y273</f>
        <v>170.5</v>
      </c>
    </row>
    <row r="274" customFormat="false" ht="14.25" hidden="false" customHeight="true" outlineLevel="0" collapsed="false">
      <c r="B274" s="0" t="s">
        <v>491</v>
      </c>
      <c r="C274" s="0" t="n">
        <v>35</v>
      </c>
      <c r="D274" s="0" t="n">
        <v>171</v>
      </c>
      <c r="E274" s="0" t="n">
        <v>1</v>
      </c>
      <c r="F274" s="0" t="n">
        <v>4.1</v>
      </c>
      <c r="G274" s="0" t="n">
        <v>29.3</v>
      </c>
      <c r="H274" s="0" t="n">
        <v>0.2</v>
      </c>
      <c r="I274" s="0" t="n">
        <v>0</v>
      </c>
      <c r="J274" s="0" t="n">
        <v>18.5</v>
      </c>
      <c r="K274" s="115" t="n">
        <f aca="false">IFERROR((D274/C274)/4.5*0.25*C274,0)</f>
        <v>9.5</v>
      </c>
      <c r="L274" s="115" t="n">
        <f aca="false">IFERROR((G274/F274)/7.95*0.376*F274,0)</f>
        <v>1.38576100628931</v>
      </c>
      <c r="M274" s="117"/>
      <c r="N274" s="117"/>
      <c r="O274" s="117"/>
      <c r="X274" s="53" t="n">
        <f aca="false">D274+G274</f>
        <v>200.3</v>
      </c>
      <c r="Y274" s="53" t="n">
        <f aca="false">H274+E274</f>
        <v>1.2</v>
      </c>
      <c r="Z274" s="53" t="n">
        <f aca="false">X274/Y274</f>
        <v>166.916666666667</v>
      </c>
    </row>
    <row r="275" customFormat="false" ht="14.25" hidden="false" customHeight="true" outlineLevel="0" collapsed="false">
      <c r="B275" s="0" t="s">
        <v>492</v>
      </c>
      <c r="C275" s="0" t="n">
        <v>12.3</v>
      </c>
      <c r="D275" s="0" t="n">
        <v>50.7</v>
      </c>
      <c r="E275" s="0" t="n">
        <v>0.4</v>
      </c>
      <c r="F275" s="0" t="n">
        <v>2</v>
      </c>
      <c r="G275" s="0" t="n">
        <v>22</v>
      </c>
      <c r="H275" s="0" t="n">
        <v>0</v>
      </c>
      <c r="I275" s="0" t="n">
        <v>0.1</v>
      </c>
      <c r="J275" s="0" t="n">
        <v>13.2</v>
      </c>
      <c r="K275" s="115" t="n">
        <f aca="false">IFERROR((D275/C275)/4.5*0.25*C275,0)</f>
        <v>2.81666666666667</v>
      </c>
      <c r="L275" s="115" t="n">
        <f aca="false">IFERROR((G275/F275)/7.95*0.376*F275,0)</f>
        <v>1.04050314465409</v>
      </c>
      <c r="M275" s="117"/>
      <c r="N275" s="117"/>
      <c r="O275" s="117"/>
      <c r="X275" s="53" t="n">
        <f aca="false">D275+G275</f>
        <v>72.7</v>
      </c>
      <c r="Y275" s="53" t="n">
        <f aca="false">H275+E275</f>
        <v>0.4</v>
      </c>
      <c r="Z275" s="53" t="n">
        <f aca="false">X275/Y275</f>
        <v>181.75</v>
      </c>
    </row>
    <row r="276" customFormat="false" ht="14.25" hidden="false" customHeight="true" outlineLevel="0" collapsed="false">
      <c r="A276" s="0" t="s">
        <v>692</v>
      </c>
      <c r="B276" s="0" t="s">
        <v>554</v>
      </c>
      <c r="C276" s="0" t="n">
        <v>29</v>
      </c>
      <c r="D276" s="0" t="n">
        <v>107</v>
      </c>
      <c r="E276" s="0" t="n">
        <v>1</v>
      </c>
      <c r="F276" s="0" t="n">
        <v>2</v>
      </c>
      <c r="G276" s="0" t="n">
        <v>17</v>
      </c>
      <c r="H276" s="0" t="n">
        <v>0</v>
      </c>
      <c r="I276" s="0" t="n">
        <v>0</v>
      </c>
      <c r="J276" s="0" t="n">
        <v>19.4</v>
      </c>
      <c r="K276" s="115" t="n">
        <f aca="false">IFERROR((D276/C276)/4.5*0.25*C276,0)</f>
        <v>5.94444444444445</v>
      </c>
      <c r="L276" s="115" t="n">
        <f aca="false">IFERROR((G276/F276)/7.95*0.376*F276,0)</f>
        <v>0.804025157232704</v>
      </c>
      <c r="M276" s="117" t="n">
        <f aca="false">C278*Scoring!$B$32+D278/Scoring!$C$32+E278*Scoring!$D$32+F278*Scoring!$E$32+G278/Scoring!$F$32+H278*Scoring!$G$32+I278*Scoring!$H$32+K278*Scoring!$I$32+RB!L278*Scoring!$J$32+U276</f>
        <v>19.4</v>
      </c>
      <c r="N276" s="117" t="n">
        <f aca="false">C276*Scoring!$B$32+D276/Scoring!$C$32+E276*Scoring!$D$32+F276*Scoring!$E$32+G276/Scoring!$F$32+H276*Scoring!$G$32+I276*Scoring!$H$32+K276*Scoring!$I$32+RB!L276*Scoring!$J$32+U276</f>
        <v>19.4</v>
      </c>
      <c r="O276" s="117" t="n">
        <f aca="false">C277*Scoring!$B$32+D277/Scoring!$C$32+E277*Scoring!$D$32+F277*Scoring!$E$32+G277/Scoring!$F$32+H277*Scoring!$G$32+I277*Scoring!$H$32+K277*Scoring!$I$32+L277*Scoring!$J$32+U276</f>
        <v>19.4</v>
      </c>
      <c r="P276" s="53" t="n">
        <f aca="false">IF(COUNTIF(Rookies!$A:$A,A276)&gt;0,1,0)</f>
        <v>0</v>
      </c>
      <c r="S276" s="53" t="n">
        <f aca="false">V276/17</f>
        <v>1.14117647058824</v>
      </c>
      <c r="T276" s="53" t="n">
        <f aca="false">IF(P276=1,MAX(0,0.258*(14.9-S276)),0)</f>
        <v>0</v>
      </c>
      <c r="U276" s="53" t="n">
        <f aca="false">T276*17</f>
        <v>0</v>
      </c>
      <c r="V276" s="53" t="n">
        <f aca="false">C276*Scoring!$B$32+D276/Scoring!$C$32+E276*Scoring!$D$32+F276*Scoring!$E$32+G276/Scoring!$F$32+H276*Scoring!$G$32+I276*Scoring!$H$32+K276*Scoring!$I$32+RB!L276*Scoring!$J$32</f>
        <v>19.4</v>
      </c>
      <c r="X276" s="53" t="n">
        <f aca="false">D276+G276</f>
        <v>124</v>
      </c>
      <c r="Y276" s="53" t="n">
        <f aca="false">H276+E276</f>
        <v>1</v>
      </c>
      <c r="Z276" s="53" t="n">
        <f aca="false">X276/Y276</f>
        <v>124</v>
      </c>
    </row>
    <row r="277" customFormat="false" ht="14.25" hidden="false" customHeight="true" outlineLevel="0" collapsed="false">
      <c r="B277" s="0" t="s">
        <v>491</v>
      </c>
      <c r="C277" s="0" t="n">
        <v>29</v>
      </c>
      <c r="D277" s="0" t="n">
        <v>107</v>
      </c>
      <c r="E277" s="0" t="n">
        <v>1</v>
      </c>
      <c r="F277" s="0" t="n">
        <v>2</v>
      </c>
      <c r="G277" s="0" t="n">
        <v>17</v>
      </c>
      <c r="H277" s="0" t="n">
        <v>0</v>
      </c>
      <c r="I277" s="0" t="n">
        <v>0</v>
      </c>
      <c r="J277" s="0" t="n">
        <v>12</v>
      </c>
      <c r="K277" s="115" t="n">
        <f aca="false">IFERROR((D277/C277)/4.5*0.25*C277,0)</f>
        <v>5.94444444444445</v>
      </c>
      <c r="L277" s="115" t="n">
        <f aca="false">IFERROR((G277/F277)/7.95*0.376*F277,0)</f>
        <v>0.804025157232704</v>
      </c>
      <c r="M277" s="117"/>
      <c r="N277" s="117"/>
      <c r="O277" s="117"/>
      <c r="X277" s="53" t="n">
        <f aca="false">D277+G277</f>
        <v>124</v>
      </c>
      <c r="Y277" s="53" t="n">
        <f aca="false">H277+E277</f>
        <v>1</v>
      </c>
      <c r="Z277" s="53" t="n">
        <f aca="false">X277/Y277</f>
        <v>124</v>
      </c>
    </row>
    <row r="278" customFormat="false" ht="14.25" hidden="false" customHeight="true" outlineLevel="0" collapsed="false">
      <c r="B278" s="0" t="s">
        <v>492</v>
      </c>
      <c r="C278" s="0" t="n">
        <v>29</v>
      </c>
      <c r="D278" s="0" t="n">
        <v>107</v>
      </c>
      <c r="E278" s="0" t="n">
        <v>1</v>
      </c>
      <c r="F278" s="0" t="n">
        <v>2</v>
      </c>
      <c r="G278" s="0" t="n">
        <v>17</v>
      </c>
      <c r="H278" s="0" t="n">
        <v>0</v>
      </c>
      <c r="I278" s="0" t="n">
        <v>0</v>
      </c>
      <c r="J278" s="0" t="n">
        <v>12</v>
      </c>
      <c r="K278" s="115" t="n">
        <f aca="false">IFERROR((D278/C278)/4.5*0.25*C278,0)</f>
        <v>5.94444444444445</v>
      </c>
      <c r="L278" s="115" t="n">
        <f aca="false">IFERROR((G278/F278)/7.95*0.376*F278,0)</f>
        <v>0.804025157232704</v>
      </c>
      <c r="M278" s="117"/>
      <c r="N278" s="117"/>
      <c r="O278" s="117"/>
      <c r="X278" s="53" t="n">
        <f aca="false">D278+G278</f>
        <v>124</v>
      </c>
      <c r="Y278" s="53" t="n">
        <f aca="false">H278+E278</f>
        <v>1</v>
      </c>
      <c r="Z278" s="53" t="n">
        <f aca="false">X278/Y278</f>
        <v>124</v>
      </c>
    </row>
    <row r="279" customFormat="false" ht="14.25" hidden="false" customHeight="true" outlineLevel="0" collapsed="false">
      <c r="A279" s="0" t="s">
        <v>693</v>
      </c>
      <c r="B279" s="0" t="s">
        <v>544</v>
      </c>
      <c r="C279" s="0" t="n">
        <v>22.6</v>
      </c>
      <c r="D279" s="0" t="n">
        <v>93.8</v>
      </c>
      <c r="E279" s="0" t="n">
        <v>0.8</v>
      </c>
      <c r="F279" s="0" t="n">
        <v>3.1</v>
      </c>
      <c r="G279" s="0" t="n">
        <v>25.6</v>
      </c>
      <c r="H279" s="0" t="n">
        <v>0.1</v>
      </c>
      <c r="I279" s="0" t="n">
        <v>0.1</v>
      </c>
      <c r="J279" s="0" t="n">
        <v>18.5</v>
      </c>
      <c r="K279" s="115" t="n">
        <f aca="false">IFERROR((D279/C279)/4.5*0.25*C279,0)</f>
        <v>5.21111111111111</v>
      </c>
      <c r="L279" s="115" t="n">
        <f aca="false">IFERROR((G279/F279)/7.95*0.376*F279,0)</f>
        <v>1.21076729559748</v>
      </c>
      <c r="M279" s="117" t="n">
        <f aca="false">C281*Scoring!$B$32+D281/Scoring!$C$32+E281*Scoring!$D$32+F281*Scoring!$E$32+G281/Scoring!$F$32+H281*Scoring!$G$32+I281*Scoring!$H$32+K281*Scoring!$I$32+RB!L281*Scoring!$J$32+U279</f>
        <v>75.38938</v>
      </c>
      <c r="N279" s="117" t="n">
        <f aca="false">C279*Scoring!$B$32+D279/Scoring!$C$32+E279*Scoring!$D$32+F279*Scoring!$E$32+G279/Scoring!$F$32+H279*Scoring!$G$32+I279*Scoring!$H$32+K279*Scoring!$I$32+RB!L279*Scoring!$J$32+U279</f>
        <v>79.21938</v>
      </c>
      <c r="O279" s="117" t="n">
        <f aca="false">C280*Scoring!$B$32+D280/Scoring!$C$32+E280*Scoring!$D$32+F280*Scoring!$E$32+G280/Scoring!$F$32+H280*Scoring!$G$32+I280*Scoring!$H$32+K280*Scoring!$I$32+L280*Scoring!$J$32+U279</f>
        <v>83.28938</v>
      </c>
      <c r="P279" s="53" t="n">
        <f aca="false">IF(COUNTIF(Rookies!$A:$A,A279)&gt;0,1,0)</f>
        <v>1</v>
      </c>
      <c r="S279" s="53" t="n">
        <f aca="false">V279/17</f>
        <v>1.09941176470588</v>
      </c>
      <c r="T279" s="53" t="n">
        <f aca="false">IF(P279=1,MAX(0,0.258*(14.9-S279)),0)</f>
        <v>3.56055176470588</v>
      </c>
      <c r="U279" s="53" t="n">
        <f aca="false">T279*17</f>
        <v>60.52938</v>
      </c>
      <c r="V279" s="53" t="n">
        <f aca="false">C279*Scoring!$B$32+D279/Scoring!$C$32+E279*Scoring!$D$32+F279*Scoring!$E$32+G279/Scoring!$F$32+H279*Scoring!$G$32+I279*Scoring!$H$32+K279*Scoring!$I$32+RB!L279*Scoring!$J$32</f>
        <v>18.69</v>
      </c>
      <c r="X279" s="53" t="n">
        <f aca="false">D279+G279</f>
        <v>119.4</v>
      </c>
      <c r="Y279" s="53" t="n">
        <f aca="false">H279+E279</f>
        <v>0.9</v>
      </c>
      <c r="Z279" s="53" t="n">
        <f aca="false">X279/Y279</f>
        <v>132.666666666667</v>
      </c>
    </row>
    <row r="280" customFormat="false" ht="14.25" hidden="false" customHeight="true" outlineLevel="0" collapsed="false">
      <c r="B280" s="0" t="s">
        <v>491</v>
      </c>
      <c r="C280" s="0" t="n">
        <v>25</v>
      </c>
      <c r="D280" s="0" t="n">
        <v>104</v>
      </c>
      <c r="E280" s="0" t="n">
        <v>1</v>
      </c>
      <c r="F280" s="0" t="n">
        <v>4.3</v>
      </c>
      <c r="G280" s="0" t="n">
        <v>30.1</v>
      </c>
      <c r="H280" s="0" t="n">
        <v>0.2</v>
      </c>
      <c r="I280" s="0" t="n">
        <v>0</v>
      </c>
      <c r="J280" s="0" t="n">
        <v>17.1</v>
      </c>
      <c r="K280" s="115" t="n">
        <f aca="false">IFERROR((D280/C280)/4.5*0.25*C280,0)</f>
        <v>5.77777777777778</v>
      </c>
      <c r="L280" s="115" t="n">
        <f aca="false">IFERROR((G280/F280)/7.95*0.376*F280,0)</f>
        <v>1.42359748427673</v>
      </c>
      <c r="M280" s="117"/>
      <c r="N280" s="117"/>
      <c r="O280" s="117"/>
      <c r="X280" s="53" t="n">
        <f aca="false">D280+G280</f>
        <v>134.1</v>
      </c>
      <c r="Y280" s="53" t="n">
        <f aca="false">H280+E280</f>
        <v>1.2</v>
      </c>
      <c r="Z280" s="53" t="n">
        <f aca="false">X280/Y280</f>
        <v>111.75</v>
      </c>
    </row>
    <row r="281" customFormat="false" ht="14.25" hidden="false" customHeight="true" outlineLevel="0" collapsed="false">
      <c r="B281" s="0" t="s">
        <v>492</v>
      </c>
      <c r="C281" s="0" t="n">
        <v>20.3</v>
      </c>
      <c r="D281" s="0" t="n">
        <v>83.6</v>
      </c>
      <c r="E281" s="0" t="n">
        <v>0.6</v>
      </c>
      <c r="F281" s="0" t="n">
        <v>2</v>
      </c>
      <c r="G281" s="0" t="n">
        <v>21</v>
      </c>
      <c r="H281" s="0" t="n">
        <v>0</v>
      </c>
      <c r="I281" s="0" t="n">
        <v>0.1</v>
      </c>
      <c r="J281" s="0" t="n">
        <v>12.6</v>
      </c>
      <c r="K281" s="115" t="n">
        <f aca="false">IFERROR((D281/C281)/4.5*0.25*C281,0)</f>
        <v>4.64444444444444</v>
      </c>
      <c r="L281" s="115" t="n">
        <f aca="false">IFERROR((G281/F281)/7.95*0.376*F281,0)</f>
        <v>0.993207547169811</v>
      </c>
      <c r="M281" s="117"/>
      <c r="N281" s="117"/>
      <c r="O281" s="117"/>
      <c r="X281" s="53" t="n">
        <f aca="false">D281+G281</f>
        <v>104.6</v>
      </c>
      <c r="Y281" s="53" t="n">
        <f aca="false">H281+E281</f>
        <v>0.6</v>
      </c>
      <c r="Z281" s="53" t="n">
        <f aca="false">X281/Y281</f>
        <v>174.333333333333</v>
      </c>
    </row>
    <row r="282" customFormat="false" ht="14.25" hidden="false" customHeight="true" outlineLevel="0" collapsed="false">
      <c r="A282" s="0" t="s">
        <v>694</v>
      </c>
      <c r="B282" s="0" t="s">
        <v>522</v>
      </c>
      <c r="C282" s="0" t="n">
        <v>21.6</v>
      </c>
      <c r="D282" s="0" t="n">
        <v>96.7</v>
      </c>
      <c r="E282" s="0" t="n">
        <v>0.7</v>
      </c>
      <c r="F282" s="0" t="n">
        <v>3.3</v>
      </c>
      <c r="G282" s="0" t="n">
        <v>25.2</v>
      </c>
      <c r="H282" s="0" t="n">
        <v>0.1</v>
      </c>
      <c r="I282" s="0" t="n">
        <v>0</v>
      </c>
      <c r="J282" s="0" t="n">
        <v>18.5</v>
      </c>
      <c r="K282" s="115" t="n">
        <f aca="false">IFERROR((D282/C282)/4.5*0.25*C282,0)</f>
        <v>5.37222222222222</v>
      </c>
      <c r="L282" s="115" t="n">
        <f aca="false">IFERROR((G282/F282)/7.95*0.376*F282,0)</f>
        <v>1.19184905660377</v>
      </c>
      <c r="M282" s="117" t="n">
        <f aca="false">C284*Scoring!$B$32+D284/Scoring!$C$32+E284*Scoring!$D$32+F284*Scoring!$E$32+G284/Scoring!$F$32+H284*Scoring!$G$32+I284*Scoring!$H$32+K284*Scoring!$I$32+RB!L284*Scoring!$J$32+U282</f>
        <v>71.79228</v>
      </c>
      <c r="N282" s="117" t="n">
        <f aca="false">C282*Scoring!$B$32+D282/Scoring!$C$32+E282*Scoring!$D$32+F282*Scoring!$E$32+G282/Scoring!$F$32+H282*Scoring!$G$32+I282*Scoring!$H$32+K282*Scoring!$I$32+RB!L282*Scoring!$J$32+U282</f>
        <v>79.18228</v>
      </c>
      <c r="O282" s="117" t="n">
        <f aca="false">C283*Scoring!$B$32+D283/Scoring!$C$32+E283*Scoring!$D$32+F283*Scoring!$E$32+G283/Scoring!$F$32+H283*Scoring!$G$32+I283*Scoring!$H$32+K283*Scoring!$I$32+L283*Scoring!$J$32+U282</f>
        <v>86.34228</v>
      </c>
      <c r="P282" s="53" t="n">
        <f aca="false">IF(COUNTIF(Rookies!$A:$A,A282)&gt;0,1,0)</f>
        <v>1</v>
      </c>
      <c r="S282" s="53" t="n">
        <f aca="false">V282/17</f>
        <v>1.09647058823529</v>
      </c>
      <c r="T282" s="53" t="n">
        <f aca="false">IF(P282=1,MAX(0,0.258*(14.9-S282)),0)</f>
        <v>3.56131058823529</v>
      </c>
      <c r="U282" s="53" t="n">
        <f aca="false">T282*17</f>
        <v>60.54228</v>
      </c>
      <c r="V282" s="53" t="n">
        <f aca="false">C282*Scoring!$B$32+D282/Scoring!$C$32+E282*Scoring!$D$32+F282*Scoring!$E$32+G282/Scoring!$F$32+H282*Scoring!$G$32+I282*Scoring!$H$32+K282*Scoring!$I$32+RB!L282*Scoring!$J$32</f>
        <v>18.64</v>
      </c>
      <c r="X282" s="53" t="n">
        <f aca="false">D282+G282</f>
        <v>121.9</v>
      </c>
      <c r="Y282" s="53" t="n">
        <f aca="false">H282+E282</f>
        <v>0.8</v>
      </c>
      <c r="Z282" s="53" t="n">
        <f aca="false">X282/Y282</f>
        <v>152.375</v>
      </c>
    </row>
    <row r="283" customFormat="false" ht="14.25" hidden="false" customHeight="true" outlineLevel="0" collapsed="false">
      <c r="B283" s="0" t="s">
        <v>491</v>
      </c>
      <c r="C283" s="0" t="n">
        <v>29</v>
      </c>
      <c r="D283" s="0" t="n">
        <v>134</v>
      </c>
      <c r="E283" s="0" t="n">
        <v>1</v>
      </c>
      <c r="F283" s="0" t="n">
        <v>4.5</v>
      </c>
      <c r="G283" s="0" t="n">
        <v>29.5</v>
      </c>
      <c r="H283" s="0" t="n">
        <v>0.2</v>
      </c>
      <c r="I283" s="0" t="n">
        <v>0</v>
      </c>
      <c r="J283" s="0" t="n">
        <v>14</v>
      </c>
      <c r="K283" s="115" t="n">
        <f aca="false">IFERROR((D283/C283)/4.5*0.25*C283,0)</f>
        <v>7.44444444444445</v>
      </c>
      <c r="L283" s="115" t="n">
        <f aca="false">IFERROR((G283/F283)/7.95*0.376*F283,0)</f>
        <v>1.39522012578616</v>
      </c>
      <c r="M283" s="117"/>
      <c r="N283" s="117"/>
      <c r="O283" s="117"/>
      <c r="X283" s="53" t="n">
        <f aca="false">D283+G283</f>
        <v>163.5</v>
      </c>
      <c r="Y283" s="53" t="n">
        <f aca="false">H283+E283</f>
        <v>1.2</v>
      </c>
      <c r="Z283" s="53" t="n">
        <f aca="false">X283/Y283</f>
        <v>136.25</v>
      </c>
    </row>
    <row r="284" customFormat="false" ht="14.25" hidden="false" customHeight="true" outlineLevel="0" collapsed="false">
      <c r="B284" s="0" t="s">
        <v>492</v>
      </c>
      <c r="C284" s="0" t="n">
        <v>14.2</v>
      </c>
      <c r="D284" s="0" t="n">
        <v>59.5</v>
      </c>
      <c r="E284" s="0" t="n">
        <v>0.4</v>
      </c>
      <c r="F284" s="0" t="n">
        <v>2</v>
      </c>
      <c r="G284" s="0" t="n">
        <v>21</v>
      </c>
      <c r="H284" s="0" t="n">
        <v>0</v>
      </c>
      <c r="I284" s="0" t="n">
        <v>0.1</v>
      </c>
      <c r="J284" s="0" t="n">
        <v>13.6</v>
      </c>
      <c r="K284" s="115" t="n">
        <f aca="false">IFERROR((D284/C284)/4.5*0.25*C284,0)</f>
        <v>3.30555555555556</v>
      </c>
      <c r="L284" s="115" t="n">
        <f aca="false">IFERROR((G284/F284)/7.95*0.376*F284,0)</f>
        <v>0.993207547169811</v>
      </c>
      <c r="M284" s="117"/>
      <c r="N284" s="117"/>
      <c r="O284" s="117"/>
      <c r="X284" s="53" t="n">
        <f aca="false">D284+G284</f>
        <v>80.5</v>
      </c>
      <c r="Y284" s="53" t="n">
        <f aca="false">H284+E284</f>
        <v>0.4</v>
      </c>
      <c r="Z284" s="53" t="n">
        <f aca="false">X284/Y284</f>
        <v>201.25</v>
      </c>
    </row>
    <row r="285" customFormat="false" ht="14.25" hidden="false" customHeight="true" outlineLevel="0" collapsed="false">
      <c r="A285" s="0" t="s">
        <v>695</v>
      </c>
      <c r="B285" s="0" t="s">
        <v>502</v>
      </c>
      <c r="C285" s="0" t="n">
        <v>30.3</v>
      </c>
      <c r="D285" s="0" t="n">
        <v>128.1</v>
      </c>
      <c r="E285" s="0" t="n">
        <v>0.9</v>
      </c>
      <c r="F285" s="0" t="n">
        <v>0</v>
      </c>
      <c r="G285" s="0" t="n">
        <v>0</v>
      </c>
      <c r="H285" s="0" t="n">
        <v>0</v>
      </c>
      <c r="I285" s="0" t="n">
        <v>0.1</v>
      </c>
      <c r="J285" s="0" t="n">
        <v>18.2</v>
      </c>
      <c r="K285" s="115" t="n">
        <f aca="false">IFERROR((D285/C285)/4.5*0.25*C285,0)</f>
        <v>7.11666666666667</v>
      </c>
      <c r="L285" s="115" t="n">
        <f aca="false">IFERROR((G285/F285)/7.95*0.376*F285,0)</f>
        <v>0</v>
      </c>
      <c r="M285" s="117" t="n">
        <f aca="false">C287*Scoring!$B$32+D287/Scoring!$C$32+E287*Scoring!$D$32+F287*Scoring!$E$32+G287/Scoring!$F$32+H287*Scoring!$G$32+I287*Scoring!$H$32+K287*Scoring!$I$32+RB!L287*Scoring!$J$32+U285</f>
        <v>18.01</v>
      </c>
      <c r="N285" s="117" t="n">
        <f aca="false">C285*Scoring!$B$32+D285/Scoring!$C$32+E285*Scoring!$D$32+F285*Scoring!$E$32+G285/Scoring!$F$32+H285*Scoring!$G$32+I285*Scoring!$H$32+K285*Scoring!$I$32+RB!L285*Scoring!$J$32+U285</f>
        <v>18.01</v>
      </c>
      <c r="O285" s="117" t="n">
        <f aca="false">C286*Scoring!$B$32+D286/Scoring!$C$32+E286*Scoring!$D$32+F286*Scoring!$E$32+G286/Scoring!$F$32+H286*Scoring!$G$32+I286*Scoring!$H$32+K286*Scoring!$I$32+L286*Scoring!$J$32+U285</f>
        <v>18.01</v>
      </c>
      <c r="P285" s="53" t="n">
        <f aca="false">IF(COUNTIF(Rookies!$A:$A,A285)&gt;0,1,0)</f>
        <v>0</v>
      </c>
      <c r="S285" s="53" t="n">
        <f aca="false">V285/17</f>
        <v>1.05941176470588</v>
      </c>
      <c r="T285" s="53" t="n">
        <f aca="false">IF(P285=1,MAX(0,0.258*(14.9-S285)),0)</f>
        <v>0</v>
      </c>
      <c r="U285" s="53" t="n">
        <f aca="false">T285*17</f>
        <v>0</v>
      </c>
      <c r="V285" s="53" t="n">
        <f aca="false">C285*Scoring!$B$32+D285/Scoring!$C$32+E285*Scoring!$D$32+F285*Scoring!$E$32+G285/Scoring!$F$32+H285*Scoring!$G$32+I285*Scoring!$H$32+K285*Scoring!$I$32+RB!L285*Scoring!$J$32</f>
        <v>18.01</v>
      </c>
      <c r="X285" s="53" t="n">
        <f aca="false">D285+G285</f>
        <v>128.1</v>
      </c>
      <c r="Y285" s="53" t="n">
        <f aca="false">H285+E285</f>
        <v>0.9</v>
      </c>
      <c r="Z285" s="53" t="n">
        <f aca="false">X285/Y285</f>
        <v>142.333333333333</v>
      </c>
    </row>
    <row r="286" customFormat="false" ht="14.25" hidden="false" customHeight="true" outlineLevel="0" collapsed="false">
      <c r="B286" s="0" t="s">
        <v>491</v>
      </c>
      <c r="C286" s="0" t="n">
        <v>30.3</v>
      </c>
      <c r="D286" s="0" t="n">
        <v>128.1</v>
      </c>
      <c r="E286" s="0" t="n">
        <v>0.9</v>
      </c>
      <c r="F286" s="0" t="n">
        <v>0</v>
      </c>
      <c r="G286" s="0" t="n">
        <v>0</v>
      </c>
      <c r="H286" s="0" t="n">
        <v>0</v>
      </c>
      <c r="I286" s="0" t="n">
        <v>0.1</v>
      </c>
      <c r="J286" s="0" t="n">
        <v>18.4</v>
      </c>
      <c r="K286" s="115" t="n">
        <f aca="false">IFERROR((D286/C286)/4.5*0.25*C286,0)</f>
        <v>7.11666666666667</v>
      </c>
      <c r="L286" s="115" t="n">
        <f aca="false">IFERROR((G286/F286)/7.95*0.376*F286,0)</f>
        <v>0</v>
      </c>
      <c r="M286" s="117"/>
      <c r="N286" s="117"/>
      <c r="O286" s="117"/>
      <c r="X286" s="53" t="n">
        <f aca="false">D286+G286</f>
        <v>128.1</v>
      </c>
      <c r="Y286" s="53" t="n">
        <f aca="false">H286+E286</f>
        <v>0.9</v>
      </c>
      <c r="Z286" s="53" t="n">
        <f aca="false">X286/Y286</f>
        <v>142.333333333333</v>
      </c>
    </row>
    <row r="287" customFormat="false" ht="14.25" hidden="false" customHeight="true" outlineLevel="0" collapsed="false">
      <c r="B287" s="0" t="s">
        <v>492</v>
      </c>
      <c r="C287" s="0" t="n">
        <v>30.3</v>
      </c>
      <c r="D287" s="0" t="n">
        <v>128.1</v>
      </c>
      <c r="E287" s="0" t="n">
        <v>0.9</v>
      </c>
      <c r="F287" s="0" t="n">
        <v>0</v>
      </c>
      <c r="G287" s="0" t="n">
        <v>0</v>
      </c>
      <c r="H287" s="0" t="n">
        <v>0</v>
      </c>
      <c r="I287" s="0" t="n">
        <v>0.1</v>
      </c>
      <c r="J287" s="0" t="n">
        <v>18.4</v>
      </c>
      <c r="K287" s="115" t="n">
        <f aca="false">IFERROR((D287/C287)/4.5*0.25*C287,0)</f>
        <v>7.11666666666667</v>
      </c>
      <c r="L287" s="115" t="n">
        <f aca="false">IFERROR((G287/F287)/7.95*0.376*F287,0)</f>
        <v>0</v>
      </c>
      <c r="M287" s="117"/>
      <c r="N287" s="117"/>
      <c r="O287" s="117"/>
      <c r="X287" s="53" t="n">
        <f aca="false">D287+G287</f>
        <v>128.1</v>
      </c>
      <c r="Y287" s="53" t="n">
        <f aca="false">H287+E287</f>
        <v>0.9</v>
      </c>
      <c r="Z287" s="53" t="n">
        <f aca="false">X287/Y287</f>
        <v>142.333333333333</v>
      </c>
    </row>
    <row r="288" customFormat="false" ht="14.25" hidden="false" customHeight="true" outlineLevel="0" collapsed="false">
      <c r="A288" s="0" t="s">
        <v>696</v>
      </c>
      <c r="B288" s="0" t="s">
        <v>532</v>
      </c>
      <c r="C288" s="0" t="n">
        <v>22.3</v>
      </c>
      <c r="D288" s="0" t="n">
        <v>92.9</v>
      </c>
      <c r="E288" s="0" t="n">
        <v>0.7</v>
      </c>
      <c r="F288" s="0" t="n">
        <v>2.6</v>
      </c>
      <c r="G288" s="0" t="n">
        <v>20</v>
      </c>
      <c r="H288" s="0" t="n">
        <v>0.1</v>
      </c>
      <c r="I288" s="0" t="n">
        <v>0</v>
      </c>
      <c r="J288" s="0" t="n">
        <v>17.1</v>
      </c>
      <c r="K288" s="115" t="n">
        <f aca="false">IFERROR((D288/C288)/4.5*0.25*C288,0)</f>
        <v>5.16111111111111</v>
      </c>
      <c r="L288" s="115" t="n">
        <f aca="false">IFERROR((G288/F288)/7.95*0.376*F288,0)</f>
        <v>0.945911949685534</v>
      </c>
      <c r="M288" s="117" t="n">
        <f aca="false">C290*Scoring!$B$32+D290/Scoring!$C$32+E290*Scoring!$D$32+F290*Scoring!$E$32+G290/Scoring!$F$32+H290*Scoring!$G$32+I290*Scoring!$H$32+K290*Scoring!$I$32+RB!L290*Scoring!$J$32+U288</f>
        <v>9.08</v>
      </c>
      <c r="N288" s="117" t="n">
        <f aca="false">C288*Scoring!$B$32+D288/Scoring!$C$32+E288*Scoring!$D$32+F288*Scoring!$E$32+G288/Scoring!$F$32+H288*Scoring!$G$32+I288*Scoring!$H$32+K288*Scoring!$I$32+RB!L288*Scoring!$J$32+U288</f>
        <v>17.39</v>
      </c>
      <c r="O288" s="117" t="n">
        <f aca="false">C289*Scoring!$B$32+D289/Scoring!$C$32+E289*Scoring!$D$32+F289*Scoring!$E$32+G289/Scoring!$F$32+H289*Scoring!$G$32+I289*Scoring!$H$32+K289*Scoring!$I$32+L289*Scoring!$J$32+U288</f>
        <v>25.5</v>
      </c>
      <c r="P288" s="53" t="n">
        <f aca="false">IF(COUNTIF(Rookies!$A:$A,A288)&gt;0,1,0)</f>
        <v>0</v>
      </c>
      <c r="S288" s="53" t="n">
        <f aca="false">V288/17</f>
        <v>1.02294117647059</v>
      </c>
      <c r="T288" s="53" t="n">
        <f aca="false">IF(P288=1,MAX(0,0.258*(14.9-S288)),0)</f>
        <v>0</v>
      </c>
      <c r="U288" s="53" t="n">
        <f aca="false">T288*17</f>
        <v>0</v>
      </c>
      <c r="V288" s="53" t="n">
        <f aca="false">C288*Scoring!$B$32+D288/Scoring!$C$32+E288*Scoring!$D$32+F288*Scoring!$E$32+G288/Scoring!$F$32+H288*Scoring!$G$32+I288*Scoring!$H$32+K288*Scoring!$I$32+RB!L288*Scoring!$J$32</f>
        <v>17.39</v>
      </c>
      <c r="X288" s="53" t="n">
        <f aca="false">D288+G288</f>
        <v>112.9</v>
      </c>
      <c r="Y288" s="53" t="n">
        <f aca="false">H288+E288</f>
        <v>0.8</v>
      </c>
      <c r="Z288" s="53" t="n">
        <f aca="false">X288/Y288</f>
        <v>141.125</v>
      </c>
    </row>
    <row r="289" customFormat="false" ht="14.25" hidden="false" customHeight="true" outlineLevel="0" collapsed="false">
      <c r="B289" s="0" t="s">
        <v>491</v>
      </c>
      <c r="C289" s="0" t="n">
        <v>32</v>
      </c>
      <c r="D289" s="0" t="n">
        <v>133</v>
      </c>
      <c r="E289" s="0" t="n">
        <v>1</v>
      </c>
      <c r="F289" s="0" t="n">
        <v>4.2</v>
      </c>
      <c r="G289" s="0" t="n">
        <v>29</v>
      </c>
      <c r="H289" s="0" t="n">
        <v>0.2</v>
      </c>
      <c r="I289" s="0" t="n">
        <v>0</v>
      </c>
      <c r="J289" s="0" t="n">
        <v>12.6</v>
      </c>
      <c r="K289" s="115" t="n">
        <f aca="false">IFERROR((D289/C289)/4.5*0.25*C289,0)</f>
        <v>7.38888888888889</v>
      </c>
      <c r="L289" s="115" t="n">
        <f aca="false">IFERROR((G289/F289)/7.95*0.376*F289,0)</f>
        <v>1.37157232704403</v>
      </c>
      <c r="M289" s="117"/>
      <c r="N289" s="117"/>
      <c r="O289" s="117"/>
      <c r="X289" s="53" t="n">
        <f aca="false">D289+G289</f>
        <v>162</v>
      </c>
      <c r="Y289" s="53" t="n">
        <f aca="false">H289+E289</f>
        <v>1.2</v>
      </c>
      <c r="Z289" s="53" t="n">
        <f aca="false">X289/Y289</f>
        <v>135</v>
      </c>
    </row>
    <row r="290" customFormat="false" ht="14.25" hidden="false" customHeight="true" outlineLevel="0" collapsed="false">
      <c r="B290" s="0" t="s">
        <v>492</v>
      </c>
      <c r="C290" s="0" t="n">
        <v>12.5</v>
      </c>
      <c r="D290" s="0" t="n">
        <v>52.8</v>
      </c>
      <c r="E290" s="0" t="n">
        <v>0.4</v>
      </c>
      <c r="F290" s="0" t="n">
        <v>1</v>
      </c>
      <c r="G290" s="0" t="n">
        <v>11</v>
      </c>
      <c r="H290" s="0" t="n">
        <v>0</v>
      </c>
      <c r="I290" s="0" t="n">
        <v>0.1</v>
      </c>
      <c r="J290" s="0" t="n">
        <v>12.3</v>
      </c>
      <c r="K290" s="115" t="n">
        <f aca="false">IFERROR((D290/C290)/4.5*0.25*C290,0)</f>
        <v>2.93333333333333</v>
      </c>
      <c r="L290" s="115" t="n">
        <f aca="false">IFERROR((G290/F290)/7.95*0.376*F290,0)</f>
        <v>0.520251572327044</v>
      </c>
      <c r="M290" s="117"/>
      <c r="N290" s="117"/>
      <c r="O290" s="117"/>
      <c r="X290" s="53" t="n">
        <f aca="false">D290+G290</f>
        <v>63.8</v>
      </c>
      <c r="Y290" s="53" t="n">
        <f aca="false">H290+E290</f>
        <v>0.4</v>
      </c>
      <c r="Z290" s="53" t="n">
        <f aca="false">X290/Y290</f>
        <v>159.5</v>
      </c>
    </row>
    <row r="291" customFormat="false" ht="14.25" hidden="false" customHeight="true" outlineLevel="0" collapsed="false">
      <c r="A291" s="0" t="s">
        <v>697</v>
      </c>
      <c r="B291" s="0" t="s">
        <v>494</v>
      </c>
      <c r="C291" s="0" t="n">
        <v>13.8</v>
      </c>
      <c r="D291" s="0" t="n">
        <v>54.5</v>
      </c>
      <c r="E291" s="0" t="n">
        <v>0.2</v>
      </c>
      <c r="F291" s="0" t="n">
        <v>5.3</v>
      </c>
      <c r="G291" s="0" t="n">
        <v>40.7</v>
      </c>
      <c r="H291" s="0" t="n">
        <v>0.6</v>
      </c>
      <c r="I291" s="0" t="n">
        <v>0</v>
      </c>
      <c r="J291" s="0" t="n">
        <v>16.9</v>
      </c>
      <c r="K291" s="115" t="n">
        <f aca="false">IFERROR((D291/C291)/4.5*0.25*C291,0)</f>
        <v>3.02777777777778</v>
      </c>
      <c r="L291" s="115" t="n">
        <f aca="false">IFERROR((G291/F291)/7.95*0.376*F291,0)</f>
        <v>1.92493081761006</v>
      </c>
      <c r="M291" s="117" t="n">
        <f aca="false">C293*Scoring!$B$32+D293/Scoring!$C$32+E293*Scoring!$D$32+F293*Scoring!$E$32+G293/Scoring!$F$32+H293*Scoring!$G$32+I293*Scoring!$H$32+K293*Scoring!$I$32+RB!L293*Scoring!$J$32+U291</f>
        <v>10.29</v>
      </c>
      <c r="N291" s="117" t="n">
        <f aca="false">C291*Scoring!$B$32+D291/Scoring!$C$32+E291*Scoring!$D$32+F291*Scoring!$E$32+G291/Scoring!$F$32+H291*Scoring!$G$32+I291*Scoring!$H$32+K291*Scoring!$I$32+RB!L291*Scoring!$J$32+U291</f>
        <v>16.97</v>
      </c>
      <c r="O291" s="117" t="n">
        <f aca="false">C292*Scoring!$B$32+D292/Scoring!$C$32+E292*Scoring!$D$32+F292*Scoring!$E$32+G292/Scoring!$F$32+H292*Scoring!$G$32+I292*Scoring!$H$32+K292*Scoring!$I$32+L292*Scoring!$J$32+U291</f>
        <v>23.4</v>
      </c>
      <c r="P291" s="53" t="n">
        <f aca="false">IF(COUNTIF(Rookies!$A:$A,A291)&gt;0,1,0)</f>
        <v>0</v>
      </c>
      <c r="S291" s="53" t="n">
        <f aca="false">V291/17</f>
        <v>0.998235294117647</v>
      </c>
      <c r="T291" s="53" t="n">
        <f aca="false">IF(P291=1,MAX(0,0.258*(14.9-S291)),0)</f>
        <v>0</v>
      </c>
      <c r="U291" s="53" t="n">
        <f aca="false">T291*17</f>
        <v>0</v>
      </c>
      <c r="V291" s="53" t="n">
        <f aca="false">C291*Scoring!$B$32+D291/Scoring!$C$32+E291*Scoring!$D$32+F291*Scoring!$E$32+G291/Scoring!$F$32+H291*Scoring!$G$32+I291*Scoring!$H$32+K291*Scoring!$I$32+RB!L291*Scoring!$J$32</f>
        <v>16.97</v>
      </c>
      <c r="X291" s="53" t="n">
        <f aca="false">D291+G291</f>
        <v>95.2</v>
      </c>
      <c r="Y291" s="53" t="n">
        <f aca="false">H291+E291</f>
        <v>0.8</v>
      </c>
      <c r="Z291" s="53" t="n">
        <f aca="false">X291/Y291</f>
        <v>119</v>
      </c>
    </row>
    <row r="292" customFormat="false" ht="14.25" hidden="false" customHeight="true" outlineLevel="0" collapsed="false">
      <c r="B292" s="0" t="s">
        <v>491</v>
      </c>
      <c r="C292" s="0" t="n">
        <v>14.6</v>
      </c>
      <c r="D292" s="0" t="n">
        <v>62</v>
      </c>
      <c r="E292" s="0" t="n">
        <v>0.4</v>
      </c>
      <c r="F292" s="0" t="n">
        <v>7</v>
      </c>
      <c r="G292" s="0" t="n">
        <v>53</v>
      </c>
      <c r="H292" s="0" t="n">
        <v>1</v>
      </c>
      <c r="I292" s="0" t="n">
        <v>0</v>
      </c>
      <c r="J292" s="0" t="n">
        <v>15.6</v>
      </c>
      <c r="K292" s="115" t="n">
        <f aca="false">IFERROR((D292/C292)/4.5*0.25*C292,0)</f>
        <v>3.44444444444444</v>
      </c>
      <c r="L292" s="115" t="n">
        <f aca="false">IFERROR((G292/F292)/7.95*0.376*F292,0)</f>
        <v>2.50666666666667</v>
      </c>
      <c r="M292" s="117"/>
      <c r="N292" s="117"/>
      <c r="O292" s="117"/>
      <c r="X292" s="53" t="n">
        <f aca="false">D292+G292</f>
        <v>115</v>
      </c>
      <c r="Y292" s="53" t="n">
        <f aca="false">H292+E292</f>
        <v>1.4</v>
      </c>
      <c r="Z292" s="53" t="n">
        <f aca="false">X292/Y292</f>
        <v>82.1428571428572</v>
      </c>
    </row>
    <row r="293" customFormat="false" ht="14.25" hidden="false" customHeight="true" outlineLevel="0" collapsed="false">
      <c r="B293" s="0" t="s">
        <v>492</v>
      </c>
      <c r="C293" s="0" t="n">
        <v>13</v>
      </c>
      <c r="D293" s="0" t="n">
        <v>47</v>
      </c>
      <c r="E293" s="0" t="n">
        <v>0</v>
      </c>
      <c r="F293" s="0" t="n">
        <v>3.5</v>
      </c>
      <c r="G293" s="0" t="n">
        <v>28.4</v>
      </c>
      <c r="H293" s="0" t="n">
        <v>0.2</v>
      </c>
      <c r="I293" s="0" t="n">
        <v>0.1</v>
      </c>
      <c r="J293" s="0" t="n">
        <v>11.6</v>
      </c>
      <c r="K293" s="115" t="n">
        <f aca="false">IFERROR((D293/C293)/4.5*0.25*C293,0)</f>
        <v>2.61111111111111</v>
      </c>
      <c r="L293" s="115" t="n">
        <f aca="false">IFERROR((G293/F293)/7.95*0.376*F293,0)</f>
        <v>1.34319496855346</v>
      </c>
      <c r="M293" s="117"/>
      <c r="N293" s="117"/>
      <c r="O293" s="117"/>
      <c r="X293" s="53" t="n">
        <f aca="false">D293+G293</f>
        <v>75.4</v>
      </c>
      <c r="Y293" s="53" t="n">
        <f aca="false">H293+E293</f>
        <v>0.2</v>
      </c>
      <c r="Z293" s="53" t="n">
        <f aca="false">X293/Y293</f>
        <v>377</v>
      </c>
    </row>
    <row r="294" customFormat="false" ht="14.25" hidden="false" customHeight="true" outlineLevel="0" collapsed="false">
      <c r="A294" s="0" t="s">
        <v>698</v>
      </c>
      <c r="B294" s="0" t="s">
        <v>554</v>
      </c>
      <c r="C294" s="0" t="n">
        <v>6.6</v>
      </c>
      <c r="D294" s="0" t="n">
        <v>13.8</v>
      </c>
      <c r="E294" s="0" t="n">
        <v>0.6</v>
      </c>
      <c r="F294" s="0" t="n">
        <v>5.1</v>
      </c>
      <c r="G294" s="0" t="n">
        <v>33.3</v>
      </c>
      <c r="H294" s="0" t="n">
        <v>0.6</v>
      </c>
      <c r="I294" s="0" t="n">
        <v>0</v>
      </c>
      <c r="J294" s="0" t="n">
        <v>14</v>
      </c>
      <c r="K294" s="115" t="n">
        <f aca="false">IFERROR((D294/C294)/4.5*0.25*C294,0)</f>
        <v>0.766666666666667</v>
      </c>
      <c r="L294" s="115" t="n">
        <f aca="false">IFERROR((G294/F294)/7.95*0.376*F294,0)</f>
        <v>1.57494339622641</v>
      </c>
      <c r="M294" s="117" t="n">
        <f aca="false">C296*Scoring!$B$32+D296/Scoring!$C$32+E296*Scoring!$D$32+F296*Scoring!$E$32+G296/Scoring!$F$32+H296*Scoring!$G$32+I296*Scoring!$H$32+K296*Scoring!$I$32+RB!L296*Scoring!$J$32+U294</f>
        <v>7.57</v>
      </c>
      <c r="N294" s="117" t="n">
        <f aca="false">C294*Scoring!$B$32+D294/Scoring!$C$32+E294*Scoring!$D$32+F294*Scoring!$E$32+G294/Scoring!$F$32+H294*Scoring!$G$32+I294*Scoring!$H$32+K294*Scoring!$I$32+RB!L294*Scoring!$J$32+U294</f>
        <v>14.46</v>
      </c>
      <c r="O294" s="117" t="n">
        <f aca="false">C295*Scoring!$B$32+D295/Scoring!$C$32+E295*Scoring!$D$32+F295*Scoring!$E$32+G295/Scoring!$F$32+H295*Scoring!$G$32+I295*Scoring!$H$32+K295*Scoring!$I$32+L295*Scoring!$J$32+U294</f>
        <v>20.77</v>
      </c>
      <c r="P294" s="53" t="n">
        <f aca="false">IF(COUNTIF(Rookies!$A:$A,A294)&gt;0,1,0)</f>
        <v>0</v>
      </c>
      <c r="S294" s="53" t="n">
        <f aca="false">V294/17</f>
        <v>0.850588235294118</v>
      </c>
      <c r="T294" s="53" t="n">
        <f aca="false">IF(P294=1,MAX(0,0.258*(14.9-S294)),0)</f>
        <v>0</v>
      </c>
      <c r="U294" s="53" t="n">
        <f aca="false">T294*17</f>
        <v>0</v>
      </c>
      <c r="V294" s="53" t="n">
        <f aca="false">C294*Scoring!$B$32+D294/Scoring!$C$32+E294*Scoring!$D$32+F294*Scoring!$E$32+G294/Scoring!$F$32+H294*Scoring!$G$32+I294*Scoring!$H$32+K294*Scoring!$I$32+RB!L294*Scoring!$J$32</f>
        <v>14.46</v>
      </c>
      <c r="X294" s="53" t="n">
        <f aca="false">D294+G294</f>
        <v>47.1</v>
      </c>
      <c r="Y294" s="53" t="n">
        <f aca="false">H294+E294</f>
        <v>1.2</v>
      </c>
      <c r="Z294" s="53" t="n">
        <f aca="false">X294/Y294</f>
        <v>39.25</v>
      </c>
    </row>
    <row r="295" customFormat="false" ht="14.25" hidden="false" customHeight="true" outlineLevel="0" collapsed="false">
      <c r="B295" s="0" t="s">
        <v>491</v>
      </c>
      <c r="C295" s="0" t="n">
        <v>9</v>
      </c>
      <c r="D295" s="0" t="n">
        <v>17.7</v>
      </c>
      <c r="E295" s="0" t="n">
        <v>1</v>
      </c>
      <c r="F295" s="0" t="n">
        <v>6</v>
      </c>
      <c r="G295" s="0" t="n">
        <v>40</v>
      </c>
      <c r="H295" s="0" t="n">
        <v>1</v>
      </c>
      <c r="I295" s="0" t="n">
        <v>0</v>
      </c>
      <c r="J295" s="0" t="n">
        <v>15.6</v>
      </c>
      <c r="K295" s="115" t="n">
        <f aca="false">IFERROR((D295/C295)/4.5*0.25*C295,0)</f>
        <v>0.983333333333333</v>
      </c>
      <c r="L295" s="115" t="n">
        <f aca="false">IFERROR((G295/F295)/7.95*0.376*F295,0)</f>
        <v>1.89182389937107</v>
      </c>
      <c r="M295" s="117"/>
      <c r="N295" s="117"/>
      <c r="O295" s="117"/>
      <c r="X295" s="53" t="n">
        <f aca="false">D295+G295</f>
        <v>57.7</v>
      </c>
      <c r="Y295" s="53" t="n">
        <f aca="false">H295+E295</f>
        <v>2</v>
      </c>
      <c r="Z295" s="53" t="n">
        <f aca="false">X295/Y295</f>
        <v>28.85</v>
      </c>
    </row>
    <row r="296" customFormat="false" ht="14.25" hidden="false" customHeight="true" outlineLevel="0" collapsed="false">
      <c r="B296" s="0" t="s">
        <v>492</v>
      </c>
      <c r="C296" s="0" t="n">
        <v>4.3</v>
      </c>
      <c r="D296" s="0" t="n">
        <v>10</v>
      </c>
      <c r="E296" s="0" t="n">
        <v>0.1</v>
      </c>
      <c r="F296" s="0" t="n">
        <v>4.2</v>
      </c>
      <c r="G296" s="0" t="n">
        <v>26.7</v>
      </c>
      <c r="H296" s="0" t="n">
        <v>0.2</v>
      </c>
      <c r="I296" s="0" t="n">
        <v>0</v>
      </c>
      <c r="J296" s="0" t="n">
        <v>8.4</v>
      </c>
      <c r="K296" s="115" t="n">
        <f aca="false">IFERROR((D296/C296)/4.5*0.25*C296,0)</f>
        <v>0.555555555555556</v>
      </c>
      <c r="L296" s="115" t="n">
        <f aca="false">IFERROR((G296/F296)/7.95*0.376*F296,0)</f>
        <v>1.26279245283019</v>
      </c>
      <c r="M296" s="117"/>
      <c r="N296" s="117"/>
      <c r="O296" s="117"/>
      <c r="X296" s="53" t="n">
        <f aca="false">D296+G296</f>
        <v>36.7</v>
      </c>
      <c r="Y296" s="53" t="n">
        <f aca="false">H296+E296</f>
        <v>0.3</v>
      </c>
      <c r="Z296" s="53" t="n">
        <f aca="false">X296/Y296</f>
        <v>122.333333333333</v>
      </c>
    </row>
    <row r="297" customFormat="false" ht="14.25" hidden="false" customHeight="true" outlineLevel="0" collapsed="false">
      <c r="A297" s="0" t="s">
        <v>699</v>
      </c>
      <c r="B297" s="0" t="s">
        <v>542</v>
      </c>
      <c r="C297" s="0" t="n">
        <v>0.5</v>
      </c>
      <c r="D297" s="0" t="n">
        <v>4</v>
      </c>
      <c r="E297" s="0" t="n">
        <v>0</v>
      </c>
      <c r="F297" s="0" t="n">
        <v>4.6</v>
      </c>
      <c r="G297" s="0" t="n">
        <v>31.8</v>
      </c>
      <c r="H297" s="0" t="n">
        <v>1.1</v>
      </c>
      <c r="I297" s="0" t="n">
        <v>0</v>
      </c>
      <c r="J297" s="0" t="n">
        <v>12.5</v>
      </c>
      <c r="K297" s="115" t="n">
        <f aca="false">IFERROR((D297/C297)/4.5*0.25*C297,0)</f>
        <v>0.222222222222222</v>
      </c>
      <c r="L297" s="115" t="n">
        <f aca="false">IFERROR((G297/F297)/7.95*0.376*F297,0)</f>
        <v>1.504</v>
      </c>
      <c r="M297" s="117" t="n">
        <f aca="false">C299*Scoring!$B$32+D299/Scoring!$C$32+E299*Scoring!$D$32+F299*Scoring!$E$32+G299/Scoring!$F$32+H299*Scoring!$G$32+I299*Scoring!$H$32+K299*Scoring!$I$32+RB!L299*Scoring!$J$32+U297</f>
        <v>6.15</v>
      </c>
      <c r="N297" s="117" t="n">
        <f aca="false">C297*Scoring!$B$32+D297/Scoring!$C$32+E297*Scoring!$D$32+F297*Scoring!$E$32+G297/Scoring!$F$32+H297*Scoring!$G$32+I297*Scoring!$H$32+K297*Scoring!$I$32+RB!L297*Scoring!$J$32+U297</f>
        <v>12.48</v>
      </c>
      <c r="O297" s="117" t="n">
        <f aca="false">C298*Scoring!$B$32+D298/Scoring!$C$32+E298*Scoring!$D$32+F298*Scoring!$E$32+G298/Scoring!$F$32+H298*Scoring!$G$32+I298*Scoring!$H$32+K298*Scoring!$I$32+L298*Scoring!$J$32+U297</f>
        <v>18.8</v>
      </c>
      <c r="P297" s="53" t="n">
        <f aca="false">IF(COUNTIF(Rookies!$A:$A,A297)&gt;0,1,0)</f>
        <v>0</v>
      </c>
      <c r="S297" s="53" t="n">
        <f aca="false">V297/17</f>
        <v>0.734117647058824</v>
      </c>
      <c r="T297" s="53" t="n">
        <f aca="false">IF(P297=1,MAX(0,0.258*(14.9-S297)),0)</f>
        <v>0</v>
      </c>
      <c r="U297" s="53" t="n">
        <f aca="false">T297*17</f>
        <v>0</v>
      </c>
      <c r="V297" s="53" t="n">
        <f aca="false">C297*Scoring!$B$32+D297/Scoring!$C$32+E297*Scoring!$D$32+F297*Scoring!$E$32+G297/Scoring!$F$32+H297*Scoring!$G$32+I297*Scoring!$H$32+K297*Scoring!$I$32+RB!L297*Scoring!$J$32</f>
        <v>12.48</v>
      </c>
      <c r="X297" s="53" t="n">
        <f aca="false">D297+G297</f>
        <v>35.8</v>
      </c>
      <c r="Y297" s="53" t="n">
        <f aca="false">H297+E297</f>
        <v>1.1</v>
      </c>
      <c r="Z297" s="53" t="n">
        <f aca="false">X297/Y297</f>
        <v>32.5454545454545</v>
      </c>
    </row>
    <row r="298" customFormat="false" ht="14.25" hidden="false" customHeight="true" outlineLevel="0" collapsed="false">
      <c r="B298" s="0" t="s">
        <v>491</v>
      </c>
      <c r="C298" s="0" t="n">
        <v>1</v>
      </c>
      <c r="D298" s="0" t="n">
        <v>8</v>
      </c>
      <c r="E298" s="0" t="n">
        <v>0</v>
      </c>
      <c r="F298" s="0" t="n">
        <v>5</v>
      </c>
      <c r="G298" s="0" t="n">
        <v>35</v>
      </c>
      <c r="H298" s="0" t="n">
        <v>2</v>
      </c>
      <c r="I298" s="0" t="n">
        <v>0</v>
      </c>
      <c r="J298" s="0" t="n">
        <v>15.3</v>
      </c>
      <c r="K298" s="115" t="n">
        <f aca="false">IFERROR((D298/C298)/4.5*0.25*C298,0)</f>
        <v>0.444444444444444</v>
      </c>
      <c r="L298" s="115" t="n">
        <f aca="false">IFERROR((G298/F298)/7.95*0.376*F298,0)</f>
        <v>1.65534591194969</v>
      </c>
      <c r="M298" s="117"/>
      <c r="N298" s="117"/>
      <c r="O298" s="117"/>
      <c r="X298" s="53" t="n">
        <f aca="false">D298+G298</f>
        <v>43</v>
      </c>
      <c r="Y298" s="53" t="n">
        <f aca="false">H298+E298</f>
        <v>2</v>
      </c>
      <c r="Z298" s="53" t="n">
        <f aca="false">X298/Y298</f>
        <v>21.5</v>
      </c>
    </row>
    <row r="299" customFormat="false" ht="14.25" hidden="false" customHeight="true" outlineLevel="0" collapsed="false">
      <c r="B299" s="0" t="s">
        <v>492</v>
      </c>
      <c r="C299" s="0" t="n">
        <v>0</v>
      </c>
      <c r="D299" s="0" t="n">
        <v>0</v>
      </c>
      <c r="E299" s="0" t="n">
        <v>0</v>
      </c>
      <c r="F299" s="0" t="n">
        <v>4.2</v>
      </c>
      <c r="G299" s="0" t="n">
        <v>28.5</v>
      </c>
      <c r="H299" s="0" t="n">
        <v>0.2</v>
      </c>
      <c r="I299" s="0" t="n">
        <v>0</v>
      </c>
      <c r="J299" s="0" t="n">
        <v>6.5</v>
      </c>
      <c r="K299" s="115" t="n">
        <f aca="false">IFERROR((D299/C299)/4.5*0.25*C299,0)</f>
        <v>0</v>
      </c>
      <c r="L299" s="115" t="n">
        <f aca="false">IFERROR((G299/F299)/7.95*0.376*F299,0)</f>
        <v>1.34792452830189</v>
      </c>
      <c r="M299" s="117"/>
      <c r="N299" s="117"/>
      <c r="O299" s="117"/>
      <c r="X299" s="53" t="n">
        <f aca="false">D299+G299</f>
        <v>28.5</v>
      </c>
      <c r="Y299" s="53" t="n">
        <f aca="false">H299+E299</f>
        <v>0.2</v>
      </c>
      <c r="Z299" s="53" t="n">
        <f aca="false">X299/Y299</f>
        <v>142.5</v>
      </c>
    </row>
    <row r="300" customFormat="false" ht="14.25" hidden="false" customHeight="true" outlineLevel="0" collapsed="false">
      <c r="A300" s="0" t="s">
        <v>700</v>
      </c>
      <c r="B300" s="0" t="s">
        <v>516</v>
      </c>
      <c r="C300" s="0" t="n">
        <v>2.1</v>
      </c>
      <c r="D300" s="0" t="n">
        <v>8.6</v>
      </c>
      <c r="E300" s="0" t="n">
        <v>0.1</v>
      </c>
      <c r="F300" s="0" t="n">
        <v>7.9</v>
      </c>
      <c r="G300" s="0" t="n">
        <v>58.7</v>
      </c>
      <c r="H300" s="0" t="n">
        <v>0.2</v>
      </c>
      <c r="I300" s="0" t="n">
        <v>0.1</v>
      </c>
      <c r="J300" s="0" t="n">
        <v>12.4</v>
      </c>
      <c r="K300" s="115" t="n">
        <f aca="false">IFERROR((D300/C300)/4.5*0.25*C300,0)</f>
        <v>0.477777777777778</v>
      </c>
      <c r="L300" s="115" t="n">
        <f aca="false">IFERROR((G300/F300)/7.95*0.376*F300,0)</f>
        <v>2.77625157232704</v>
      </c>
      <c r="M300" s="117" t="n">
        <f aca="false">C302*Scoring!$B$32+D302/Scoring!$C$32+E302*Scoring!$D$32+F302*Scoring!$E$32+G302/Scoring!$F$32+H302*Scoring!$G$32+I302*Scoring!$H$32+K302*Scoring!$I$32+RB!L302*Scoring!$J$32+U300</f>
        <v>12.28</v>
      </c>
      <c r="N300" s="117" t="n">
        <f aca="false">C300*Scoring!$B$32+D300/Scoring!$C$32+E300*Scoring!$D$32+F300*Scoring!$E$32+G300/Scoring!$F$32+H300*Scoring!$G$32+I300*Scoring!$H$32+K300*Scoring!$I$32+RB!L300*Scoring!$J$32+U300</f>
        <v>12.28</v>
      </c>
      <c r="O300" s="117" t="n">
        <f aca="false">C301*Scoring!$B$32+D301/Scoring!$C$32+E301*Scoring!$D$32+F301*Scoring!$E$32+G301/Scoring!$F$32+H301*Scoring!$G$32+I301*Scoring!$H$32+K301*Scoring!$I$32+L301*Scoring!$J$32+U300</f>
        <v>12.28</v>
      </c>
      <c r="P300" s="53" t="n">
        <f aca="false">IF(COUNTIF(Rookies!$A:$A,A300)&gt;0,1,0)</f>
        <v>0</v>
      </c>
      <c r="S300" s="53" t="n">
        <f aca="false">V300/17</f>
        <v>0.722352941176471</v>
      </c>
      <c r="T300" s="53" t="n">
        <f aca="false">IF(P300=1,MAX(0,0.258*(14.9-S300)),0)</f>
        <v>0</v>
      </c>
      <c r="U300" s="53" t="n">
        <f aca="false">T300*17</f>
        <v>0</v>
      </c>
      <c r="V300" s="53" t="n">
        <f aca="false">C300*Scoring!$B$32+D300/Scoring!$C$32+E300*Scoring!$D$32+F300*Scoring!$E$32+G300/Scoring!$F$32+H300*Scoring!$G$32+I300*Scoring!$H$32+K300*Scoring!$I$32+RB!L300*Scoring!$J$32</f>
        <v>12.28</v>
      </c>
      <c r="X300" s="53" t="n">
        <f aca="false">D300+G300</f>
        <v>67.3</v>
      </c>
      <c r="Y300" s="53" t="n">
        <f aca="false">H300+E300</f>
        <v>0.3</v>
      </c>
      <c r="Z300" s="53" t="n">
        <f aca="false">X300/Y300</f>
        <v>224.333333333333</v>
      </c>
    </row>
    <row r="301" customFormat="false" ht="14.25" hidden="false" customHeight="true" outlineLevel="0" collapsed="false">
      <c r="B301" s="0" t="s">
        <v>491</v>
      </c>
      <c r="C301" s="0" t="n">
        <v>2.1</v>
      </c>
      <c r="D301" s="0" t="n">
        <v>8.6</v>
      </c>
      <c r="E301" s="0" t="n">
        <v>0.1</v>
      </c>
      <c r="F301" s="0" t="n">
        <v>7.9</v>
      </c>
      <c r="G301" s="0" t="n">
        <v>58.7</v>
      </c>
      <c r="H301" s="0" t="n">
        <v>0.2</v>
      </c>
      <c r="I301" s="0" t="n">
        <v>0.1</v>
      </c>
      <c r="J301" s="0" t="n">
        <v>12.4</v>
      </c>
      <c r="K301" s="115" t="n">
        <f aca="false">IFERROR((D301/C301)/4.5*0.25*C301,0)</f>
        <v>0.477777777777778</v>
      </c>
      <c r="L301" s="115" t="n">
        <f aca="false">IFERROR((G301/F301)/7.95*0.376*F301,0)</f>
        <v>2.77625157232704</v>
      </c>
      <c r="M301" s="117"/>
      <c r="N301" s="117"/>
      <c r="O301" s="117"/>
      <c r="X301" s="53" t="n">
        <f aca="false">D301+G301</f>
        <v>67.3</v>
      </c>
      <c r="Y301" s="53" t="n">
        <f aca="false">H301+E301</f>
        <v>0.3</v>
      </c>
      <c r="Z301" s="53" t="n">
        <f aca="false">X301/Y301</f>
        <v>224.333333333333</v>
      </c>
    </row>
    <row r="302" customFormat="false" ht="14.25" hidden="false" customHeight="true" outlineLevel="0" collapsed="false">
      <c r="B302" s="0" t="s">
        <v>492</v>
      </c>
      <c r="C302" s="0" t="n">
        <v>2.1</v>
      </c>
      <c r="D302" s="0" t="n">
        <v>8.6</v>
      </c>
      <c r="E302" s="0" t="n">
        <v>0.1</v>
      </c>
      <c r="F302" s="0" t="n">
        <v>7.9</v>
      </c>
      <c r="G302" s="0" t="n">
        <v>58.7</v>
      </c>
      <c r="H302" s="0" t="n">
        <v>0.2</v>
      </c>
      <c r="I302" s="0" t="n">
        <v>0.1</v>
      </c>
      <c r="J302" s="0" t="n">
        <v>12.4</v>
      </c>
      <c r="K302" s="115" t="n">
        <f aca="false">IFERROR((D302/C302)/4.5*0.25*C302,0)</f>
        <v>0.477777777777778</v>
      </c>
      <c r="L302" s="115" t="n">
        <f aca="false">IFERROR((G302/F302)/7.95*0.376*F302,0)</f>
        <v>2.77625157232704</v>
      </c>
      <c r="M302" s="117"/>
      <c r="N302" s="117"/>
      <c r="O302" s="117"/>
      <c r="X302" s="53" t="n">
        <f aca="false">D302+G302</f>
        <v>67.3</v>
      </c>
      <c r="Y302" s="53" t="n">
        <f aca="false">H302+E302</f>
        <v>0.3</v>
      </c>
      <c r="Z302" s="53" t="n">
        <f aca="false">X302/Y302</f>
        <v>224.333333333333</v>
      </c>
    </row>
    <row r="303" customFormat="false" ht="14.25" hidden="false" customHeight="true" outlineLevel="0" collapsed="false">
      <c r="A303" s="0" t="s">
        <v>701</v>
      </c>
      <c r="B303" s="0" t="s">
        <v>506</v>
      </c>
      <c r="C303" s="0" t="n">
        <v>8.8</v>
      </c>
      <c r="D303" s="0" t="n">
        <v>36.5</v>
      </c>
      <c r="E303" s="0" t="n">
        <v>0.5</v>
      </c>
      <c r="F303" s="0" t="n">
        <v>4.4</v>
      </c>
      <c r="G303" s="0" t="n">
        <v>30.5</v>
      </c>
      <c r="H303" s="0" t="n">
        <v>0</v>
      </c>
      <c r="I303" s="0" t="n">
        <v>0</v>
      </c>
      <c r="J303" s="0" t="n">
        <v>12</v>
      </c>
      <c r="K303" s="115" t="n">
        <f aca="false">IFERROR((D303/C303)/4.5*0.25*C303,0)</f>
        <v>2.02777777777778</v>
      </c>
      <c r="L303" s="115" t="n">
        <f aca="false">IFERROR((G303/F303)/7.95*0.376*F303,0)</f>
        <v>1.44251572327044</v>
      </c>
      <c r="M303" s="117" t="n">
        <f aca="false">C305*Scoring!$B$32+D305/Scoring!$C$32+E305*Scoring!$D$32+F305*Scoring!$E$32+G305/Scoring!$F$32+H305*Scoring!$G$32+I305*Scoring!$H$32+K305*Scoring!$I$32+RB!L305*Scoring!$J$32+U303</f>
        <v>1.05</v>
      </c>
      <c r="N303" s="117" t="n">
        <f aca="false">C303*Scoring!$B$32+D303/Scoring!$C$32+E303*Scoring!$D$32+F303*Scoring!$E$32+G303/Scoring!$F$32+H303*Scoring!$G$32+I303*Scoring!$H$32+K303*Scoring!$I$32+RB!L303*Scoring!$J$32+U303</f>
        <v>11.9</v>
      </c>
      <c r="O303" s="117" t="n">
        <f aca="false">C304*Scoring!$B$32+D304/Scoring!$C$32+E304*Scoring!$D$32+F304*Scoring!$E$32+G304/Scoring!$F$32+H304*Scoring!$G$32+I304*Scoring!$H$32+K304*Scoring!$I$32+L304*Scoring!$J$32+U303</f>
        <v>22.7</v>
      </c>
      <c r="P303" s="53" t="n">
        <f aca="false">IF(COUNTIF(Rookies!$A:$A,A303)&gt;0,1,0)</f>
        <v>0</v>
      </c>
      <c r="S303" s="53" t="n">
        <f aca="false">V303/17</f>
        <v>0.7</v>
      </c>
      <c r="T303" s="53" t="n">
        <f aca="false">IF(P303=1,MAX(0,0.258*(14.9-S303)),0)</f>
        <v>0</v>
      </c>
      <c r="U303" s="53" t="n">
        <f aca="false">T303*17</f>
        <v>0</v>
      </c>
      <c r="V303" s="53" t="n">
        <f aca="false">C303*Scoring!$B$32+D303/Scoring!$C$32+E303*Scoring!$D$32+F303*Scoring!$E$32+G303/Scoring!$F$32+H303*Scoring!$G$32+I303*Scoring!$H$32+K303*Scoring!$I$32+RB!L303*Scoring!$J$32</f>
        <v>11.9</v>
      </c>
      <c r="X303" s="53" t="n">
        <f aca="false">D303+G303</f>
        <v>67</v>
      </c>
      <c r="Y303" s="53" t="n">
        <f aca="false">H303+E303</f>
        <v>0.5</v>
      </c>
      <c r="Z303" s="53" t="n">
        <f aca="false">X303/Y303</f>
        <v>134</v>
      </c>
    </row>
    <row r="304" customFormat="false" ht="14.25" hidden="false" customHeight="true" outlineLevel="0" collapsed="false">
      <c r="B304" s="0" t="s">
        <v>491</v>
      </c>
      <c r="C304" s="0" t="n">
        <v>17</v>
      </c>
      <c r="D304" s="0" t="n">
        <v>71</v>
      </c>
      <c r="E304" s="0" t="n">
        <v>1</v>
      </c>
      <c r="F304" s="0" t="n">
        <v>8</v>
      </c>
      <c r="G304" s="0" t="n">
        <v>56</v>
      </c>
      <c r="H304" s="0" t="n">
        <v>0</v>
      </c>
      <c r="I304" s="0" t="n">
        <v>0</v>
      </c>
      <c r="J304" s="0" t="n">
        <v>13.2</v>
      </c>
      <c r="K304" s="115" t="n">
        <f aca="false">IFERROR((D304/C304)/4.5*0.25*C304,0)</f>
        <v>3.94444444444444</v>
      </c>
      <c r="L304" s="115" t="n">
        <f aca="false">IFERROR((G304/F304)/7.95*0.376*F304,0)</f>
        <v>2.6485534591195</v>
      </c>
      <c r="M304" s="117"/>
      <c r="N304" s="117"/>
      <c r="O304" s="117"/>
      <c r="X304" s="53" t="n">
        <f aca="false">D304+G304</f>
        <v>127</v>
      </c>
      <c r="Y304" s="53" t="n">
        <f aca="false">H304+E304</f>
        <v>1</v>
      </c>
      <c r="Z304" s="53" t="n">
        <f aca="false">X304/Y304</f>
        <v>127</v>
      </c>
    </row>
    <row r="305" customFormat="false" ht="14.25" hidden="false" customHeight="true" outlineLevel="0" collapsed="false">
      <c r="B305" s="0" t="s">
        <v>492</v>
      </c>
      <c r="C305" s="0" t="n">
        <v>0.5</v>
      </c>
      <c r="D305" s="0" t="n">
        <v>2</v>
      </c>
      <c r="E305" s="0" t="n">
        <v>0</v>
      </c>
      <c r="F305" s="0" t="n">
        <v>0.7</v>
      </c>
      <c r="G305" s="0" t="n">
        <v>5</v>
      </c>
      <c r="H305" s="0" t="n">
        <v>0</v>
      </c>
      <c r="I305" s="0" t="n">
        <v>0</v>
      </c>
      <c r="J305" s="0" t="n">
        <v>3.1</v>
      </c>
      <c r="K305" s="115" t="n">
        <f aca="false">IFERROR((D305/C305)/4.5*0.25*C305,0)</f>
        <v>0.111111111111111</v>
      </c>
      <c r="L305" s="115" t="n">
        <f aca="false">IFERROR((G305/F305)/7.95*0.376*F305,0)</f>
        <v>0.236477987421384</v>
      </c>
      <c r="M305" s="117"/>
      <c r="N305" s="117"/>
      <c r="O305" s="117"/>
      <c r="X305" s="53" t="n">
        <f aca="false">D305+G305</f>
        <v>7</v>
      </c>
      <c r="Y305" s="53" t="n">
        <f aca="false">H305+E305</f>
        <v>0</v>
      </c>
      <c r="Z305" s="53" t="e">
        <f aca="false">X305/Y305</f>
        <v>#DIV/0!</v>
      </c>
    </row>
    <row r="306" customFormat="false" ht="14.25" hidden="false" customHeight="true" outlineLevel="0" collapsed="false">
      <c r="A306" s="0" t="s">
        <v>702</v>
      </c>
      <c r="B306" s="0" t="s">
        <v>508</v>
      </c>
      <c r="C306" s="0" t="n">
        <v>12.5</v>
      </c>
      <c r="D306" s="0" t="n">
        <v>61</v>
      </c>
      <c r="E306" s="0" t="n">
        <v>0.5</v>
      </c>
      <c r="F306" s="0" t="n">
        <v>1.5</v>
      </c>
      <c r="G306" s="0" t="n">
        <v>14.5</v>
      </c>
      <c r="H306" s="0" t="n">
        <v>0</v>
      </c>
      <c r="I306" s="0" t="n">
        <v>0</v>
      </c>
      <c r="J306" s="0" t="n">
        <v>11.3</v>
      </c>
      <c r="K306" s="115" t="n">
        <f aca="false">IFERROR((D306/C306)/4.5*0.25*C306,0)</f>
        <v>3.38888888888889</v>
      </c>
      <c r="L306" s="115" t="n">
        <f aca="false">IFERROR((G306/F306)/7.95*0.376*F306,0)</f>
        <v>0.685786163522013</v>
      </c>
      <c r="M306" s="117" t="n">
        <f aca="false">C308*Scoring!$B$32+D308/Scoring!$C$32+E308*Scoring!$D$32+F308*Scoring!$E$32+G308/Scoring!$F$32+H308*Scoring!$G$32+I308*Scoring!$H$32+K308*Scoring!$I$32+RB!L308*Scoring!$J$32+U306</f>
        <v>0</v>
      </c>
      <c r="N306" s="117" t="n">
        <f aca="false">C306*Scoring!$B$32+D306/Scoring!$C$32+E306*Scoring!$D$32+F306*Scoring!$E$32+G306/Scoring!$F$32+H306*Scoring!$G$32+I306*Scoring!$H$32+K306*Scoring!$I$32+RB!L306*Scoring!$J$32+U306</f>
        <v>11.3</v>
      </c>
      <c r="O306" s="117" t="n">
        <f aca="false">C307*Scoring!$B$32+D307/Scoring!$C$32+E307*Scoring!$D$32+F307*Scoring!$E$32+G307/Scoring!$F$32+H307*Scoring!$G$32+I307*Scoring!$H$32+K307*Scoring!$I$32+L307*Scoring!$J$32+U306</f>
        <v>22.6</v>
      </c>
      <c r="P306" s="53" t="n">
        <f aca="false">IF(COUNTIF(Rookies!$A:$A,A306)&gt;0,1,0)</f>
        <v>0</v>
      </c>
      <c r="S306" s="53" t="n">
        <f aca="false">V306/17</f>
        <v>0.664705882352941</v>
      </c>
      <c r="T306" s="53" t="n">
        <f aca="false">IF(P306=1,MAX(0,0.258*(14.9-S306)),0)</f>
        <v>0</v>
      </c>
      <c r="U306" s="53" t="n">
        <f aca="false">T306*17</f>
        <v>0</v>
      </c>
      <c r="V306" s="53" t="n">
        <f aca="false">C306*Scoring!$B$32+D306/Scoring!$C$32+E306*Scoring!$D$32+F306*Scoring!$E$32+G306/Scoring!$F$32+H306*Scoring!$G$32+I306*Scoring!$H$32+K306*Scoring!$I$32+RB!L306*Scoring!$J$32</f>
        <v>11.3</v>
      </c>
      <c r="X306" s="53" t="n">
        <f aca="false">D306+G306</f>
        <v>75.5</v>
      </c>
      <c r="Y306" s="53" t="n">
        <f aca="false">H306+E306</f>
        <v>0.5</v>
      </c>
      <c r="Z306" s="53" t="n">
        <f aca="false">X306/Y306</f>
        <v>151</v>
      </c>
    </row>
    <row r="307" customFormat="false" ht="14.25" hidden="false" customHeight="true" outlineLevel="0" collapsed="false">
      <c r="B307" s="0" t="s">
        <v>491</v>
      </c>
      <c r="C307" s="0" t="n">
        <v>25</v>
      </c>
      <c r="D307" s="0" t="n">
        <v>122</v>
      </c>
      <c r="E307" s="0" t="n">
        <v>1</v>
      </c>
      <c r="F307" s="0" t="n">
        <v>3</v>
      </c>
      <c r="G307" s="0" t="n">
        <v>29</v>
      </c>
      <c r="H307" s="0" t="n">
        <v>0</v>
      </c>
      <c r="I307" s="0" t="n">
        <v>0</v>
      </c>
      <c r="J307" s="0" t="n">
        <v>10.8</v>
      </c>
      <c r="K307" s="115" t="n">
        <f aca="false">IFERROR((D307/C307)/4.5*0.25*C307,0)</f>
        <v>6.77777777777778</v>
      </c>
      <c r="L307" s="115" t="n">
        <f aca="false">IFERROR((G307/F307)/7.95*0.376*F307,0)</f>
        <v>1.37157232704403</v>
      </c>
      <c r="M307" s="117"/>
      <c r="N307" s="117"/>
      <c r="O307" s="117"/>
      <c r="X307" s="53" t="n">
        <f aca="false">D307+G307</f>
        <v>151</v>
      </c>
      <c r="Y307" s="53" t="n">
        <f aca="false">H307+E307</f>
        <v>1</v>
      </c>
      <c r="Z307" s="53" t="n">
        <f aca="false">X307/Y307</f>
        <v>151</v>
      </c>
    </row>
    <row r="308" customFormat="false" ht="14.25" hidden="false" customHeight="true" outlineLevel="0" collapsed="false">
      <c r="B308" s="0" t="s">
        <v>492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0.8</v>
      </c>
      <c r="K308" s="115" t="n">
        <f aca="false">IFERROR((D308/C308)/4.5*0.25*C308,0)</f>
        <v>0</v>
      </c>
      <c r="L308" s="115" t="n">
        <f aca="false">IFERROR((G308/F308)/7.95*0.376*F308,0)</f>
        <v>0</v>
      </c>
      <c r="M308" s="117"/>
      <c r="N308" s="117"/>
      <c r="O308" s="117"/>
      <c r="X308" s="53" t="n">
        <f aca="false">D308+G308</f>
        <v>0</v>
      </c>
      <c r="Y308" s="53" t="n">
        <f aca="false">H308+E308</f>
        <v>0</v>
      </c>
      <c r="Z308" s="53" t="e">
        <f aca="false">X308/Y308</f>
        <v>#DIV/0!</v>
      </c>
    </row>
    <row r="309" customFormat="false" ht="14.25" hidden="false" customHeight="true" outlineLevel="0" collapsed="false">
      <c r="A309" s="0" t="s">
        <v>703</v>
      </c>
      <c r="B309" s="0" t="s">
        <v>504</v>
      </c>
      <c r="C309" s="0" t="n">
        <v>17.5</v>
      </c>
      <c r="D309" s="0" t="n">
        <v>65</v>
      </c>
      <c r="E309" s="0" t="n">
        <v>0.5</v>
      </c>
      <c r="F309" s="0" t="n">
        <v>0.5</v>
      </c>
      <c r="G309" s="0" t="n">
        <v>5</v>
      </c>
      <c r="H309" s="0" t="n">
        <v>0</v>
      </c>
      <c r="I309" s="0" t="n">
        <v>0</v>
      </c>
      <c r="J309" s="0" t="n">
        <v>10.3</v>
      </c>
      <c r="K309" s="115" t="n">
        <f aca="false">IFERROR((D309/C309)/4.5*0.25*C309,0)</f>
        <v>3.61111111111111</v>
      </c>
      <c r="L309" s="115" t="n">
        <f aca="false">IFERROR((G309/F309)/7.95*0.376*F309,0)</f>
        <v>0.236477987421384</v>
      </c>
      <c r="M309" s="117" t="n">
        <f aca="false">C311*Scoring!$B$32+D311/Scoring!$C$32+E311*Scoring!$D$32+F311*Scoring!$E$32+G311/Scoring!$F$32+H311*Scoring!$G$32+I311*Scoring!$H$32+K311*Scoring!$I$32+RB!L311*Scoring!$J$32+U309</f>
        <v>0</v>
      </c>
      <c r="N309" s="117" t="n">
        <f aca="false">C309*Scoring!$B$32+D309/Scoring!$C$32+E309*Scoring!$D$32+F309*Scoring!$E$32+G309/Scoring!$F$32+H309*Scoring!$G$32+I309*Scoring!$H$32+K309*Scoring!$I$32+RB!L309*Scoring!$J$32+U309</f>
        <v>10.25</v>
      </c>
      <c r="O309" s="117" t="n">
        <f aca="false">C310*Scoring!$B$32+D310/Scoring!$C$32+E310*Scoring!$D$32+F310*Scoring!$E$32+G310/Scoring!$F$32+H310*Scoring!$G$32+I310*Scoring!$H$32+K310*Scoring!$I$32+L310*Scoring!$J$32+U309</f>
        <v>20.5</v>
      </c>
      <c r="P309" s="53" t="n">
        <f aca="false">IF(COUNTIF(Rookies!$A:$A,A309)&gt;0,1,0)</f>
        <v>0</v>
      </c>
      <c r="S309" s="53" t="n">
        <f aca="false">V309/17</f>
        <v>0.602941176470588</v>
      </c>
      <c r="T309" s="53" t="n">
        <f aca="false">IF(P309=1,MAX(0,0.258*(14.9-S309)),0)</f>
        <v>0</v>
      </c>
      <c r="U309" s="53" t="n">
        <f aca="false">T309*17</f>
        <v>0</v>
      </c>
      <c r="V309" s="53" t="n">
        <f aca="false">C309*Scoring!$B$32+D309/Scoring!$C$32+E309*Scoring!$D$32+F309*Scoring!$E$32+G309/Scoring!$F$32+H309*Scoring!$G$32+I309*Scoring!$H$32+K309*Scoring!$I$32+RB!L309*Scoring!$J$32</f>
        <v>10.25</v>
      </c>
      <c r="X309" s="53" t="n">
        <f aca="false">D309+G309</f>
        <v>70</v>
      </c>
      <c r="Y309" s="53" t="n">
        <f aca="false">H309+E309</f>
        <v>0.5</v>
      </c>
      <c r="Z309" s="53" t="n">
        <f aca="false">X309/Y309</f>
        <v>140</v>
      </c>
    </row>
    <row r="310" customFormat="false" ht="14.25" hidden="false" customHeight="true" outlineLevel="0" collapsed="false">
      <c r="B310" s="0" t="s">
        <v>491</v>
      </c>
      <c r="C310" s="0" t="n">
        <v>35</v>
      </c>
      <c r="D310" s="0" t="n">
        <v>130</v>
      </c>
      <c r="E310" s="0" t="n">
        <v>1</v>
      </c>
      <c r="F310" s="0" t="n">
        <v>1</v>
      </c>
      <c r="G310" s="0" t="n">
        <v>10</v>
      </c>
      <c r="H310" s="0" t="n">
        <v>0</v>
      </c>
      <c r="I310" s="0" t="n">
        <v>0</v>
      </c>
      <c r="J310" s="0" t="n">
        <v>11.3</v>
      </c>
      <c r="K310" s="115" t="n">
        <f aca="false">IFERROR((D310/C310)/4.5*0.25*C310,0)</f>
        <v>7.22222222222222</v>
      </c>
      <c r="L310" s="115" t="n">
        <f aca="false">IFERROR((G310/F310)/7.95*0.376*F310,0)</f>
        <v>0.472955974842767</v>
      </c>
      <c r="M310" s="117"/>
      <c r="N310" s="117"/>
      <c r="O310" s="117"/>
      <c r="X310" s="53" t="n">
        <f aca="false">D310+G310</f>
        <v>140</v>
      </c>
      <c r="Y310" s="53" t="n">
        <f aca="false">H310+E310</f>
        <v>1</v>
      </c>
      <c r="Z310" s="53" t="n">
        <f aca="false">X310/Y310</f>
        <v>140</v>
      </c>
    </row>
    <row r="311" customFormat="false" ht="14.25" hidden="false" customHeight="true" outlineLevel="0" collapsed="false">
      <c r="B311" s="0" t="s">
        <v>492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0.3</v>
      </c>
      <c r="K311" s="115" t="n">
        <f aca="false">IFERROR((D311/C311)/4.5*0.25*C311,0)</f>
        <v>0</v>
      </c>
      <c r="L311" s="115" t="n">
        <f aca="false">IFERROR((G311/F311)/7.95*0.376*F311,0)</f>
        <v>0</v>
      </c>
      <c r="M311" s="117"/>
      <c r="N311" s="117"/>
      <c r="O311" s="117"/>
      <c r="X311" s="53" t="n">
        <f aca="false">D311+G311</f>
        <v>0</v>
      </c>
      <c r="Y311" s="53" t="n">
        <f aca="false">H311+E311</f>
        <v>0</v>
      </c>
      <c r="Z311" s="53" t="e">
        <f aca="false">X311/Y311</f>
        <v>#DIV/0!</v>
      </c>
    </row>
    <row r="312" customFormat="false" ht="14.25" hidden="false" customHeight="true" outlineLevel="0" collapsed="false">
      <c r="A312" s="0" t="s">
        <v>704</v>
      </c>
      <c r="B312" s="0" t="s">
        <v>542</v>
      </c>
      <c r="C312" s="0" t="n">
        <v>15.5</v>
      </c>
      <c r="D312" s="0" t="n">
        <v>66</v>
      </c>
      <c r="E312" s="0" t="n">
        <v>0.5</v>
      </c>
      <c r="F312" s="0" t="n">
        <v>0</v>
      </c>
      <c r="G312" s="0" t="n">
        <v>2</v>
      </c>
      <c r="H312" s="0" t="n">
        <v>0</v>
      </c>
      <c r="I312" s="0" t="n">
        <v>0</v>
      </c>
      <c r="J312" s="0" t="n">
        <v>9.8</v>
      </c>
      <c r="K312" s="115" t="n">
        <f aca="false">IFERROR((D312/C312)/4.5*0.25*C312,0)</f>
        <v>3.66666666666667</v>
      </c>
      <c r="L312" s="115" t="n">
        <f aca="false">IFERROR((G312/F312)/7.95*0.376*F312,0)</f>
        <v>0</v>
      </c>
      <c r="M312" s="117" t="n">
        <f aca="false">C314*Scoring!$B$32+D314/Scoring!$C$32+E314*Scoring!$D$32+F314*Scoring!$E$32+G314/Scoring!$F$32+H314*Scoring!$G$32+I314*Scoring!$H$32+K314*Scoring!$I$32+RB!L314*Scoring!$J$32+U312</f>
        <v>0</v>
      </c>
      <c r="N312" s="117" t="n">
        <f aca="false">C312*Scoring!$B$32+D312/Scoring!$C$32+E312*Scoring!$D$32+F312*Scoring!$E$32+G312/Scoring!$F$32+H312*Scoring!$G$32+I312*Scoring!$H$32+K312*Scoring!$I$32+RB!L312*Scoring!$J$32+U312</f>
        <v>9.8</v>
      </c>
      <c r="O312" s="117" t="n">
        <f aca="false">C313*Scoring!$B$32+D313/Scoring!$C$32+E313*Scoring!$D$32+F313*Scoring!$E$32+G313/Scoring!$F$32+H313*Scoring!$G$32+I313*Scoring!$H$32+K313*Scoring!$I$32+L313*Scoring!$J$32+U312</f>
        <v>19.6</v>
      </c>
      <c r="P312" s="53" t="n">
        <f aca="false">IF(COUNTIF(Rookies!$A:$A,A312)&gt;0,1,0)</f>
        <v>0</v>
      </c>
      <c r="S312" s="53" t="n">
        <f aca="false">V312/17</f>
        <v>0.576470588235294</v>
      </c>
      <c r="T312" s="53" t="n">
        <f aca="false">IF(P312=1,MAX(0,0.258*(14.9-S312)),0)</f>
        <v>0</v>
      </c>
      <c r="U312" s="53" t="n">
        <f aca="false">T312*17</f>
        <v>0</v>
      </c>
      <c r="V312" s="53" t="n">
        <f aca="false">C312*Scoring!$B$32+D312/Scoring!$C$32+E312*Scoring!$D$32+F312*Scoring!$E$32+G312/Scoring!$F$32+H312*Scoring!$G$32+I312*Scoring!$H$32+K312*Scoring!$I$32+RB!L312*Scoring!$J$32</f>
        <v>9.8</v>
      </c>
      <c r="X312" s="53" t="n">
        <f aca="false">D312+G312</f>
        <v>68</v>
      </c>
      <c r="Y312" s="53" t="n">
        <f aca="false">H312+E312</f>
        <v>0.5</v>
      </c>
      <c r="Z312" s="53" t="n">
        <f aca="false">X312/Y312</f>
        <v>136</v>
      </c>
    </row>
    <row r="313" customFormat="false" ht="14.25" hidden="false" customHeight="true" outlineLevel="0" collapsed="false">
      <c r="B313" s="0" t="s">
        <v>491</v>
      </c>
      <c r="C313" s="0" t="n">
        <v>31</v>
      </c>
      <c r="D313" s="0" t="n">
        <v>132</v>
      </c>
      <c r="E313" s="0" t="n">
        <v>1</v>
      </c>
      <c r="F313" s="0" t="n">
        <v>0</v>
      </c>
      <c r="G313" s="0" t="n">
        <v>4</v>
      </c>
      <c r="H313" s="0" t="n">
        <v>0</v>
      </c>
      <c r="I313" s="0" t="n">
        <v>0</v>
      </c>
      <c r="J313" s="0" t="n">
        <v>11</v>
      </c>
      <c r="K313" s="115" t="n">
        <f aca="false">IFERROR((D313/C313)/4.5*0.25*C313,0)</f>
        <v>7.33333333333333</v>
      </c>
      <c r="L313" s="115" t="n">
        <f aca="false">IFERROR((G313/F313)/7.95*0.376*F313,0)</f>
        <v>0</v>
      </c>
      <c r="M313" s="117"/>
      <c r="N313" s="117"/>
      <c r="O313" s="117"/>
      <c r="X313" s="53" t="n">
        <f aca="false">D313+G313</f>
        <v>136</v>
      </c>
      <c r="Y313" s="53" t="n">
        <f aca="false">H313+E313</f>
        <v>1</v>
      </c>
      <c r="Z313" s="53" t="n">
        <f aca="false">X313/Y313</f>
        <v>136</v>
      </c>
    </row>
    <row r="314" customFormat="false" ht="14.25" hidden="false" customHeight="true" outlineLevel="0" collapsed="false">
      <c r="B314" s="0" t="s">
        <v>492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2.3</v>
      </c>
      <c r="K314" s="115" t="n">
        <f aca="false">IFERROR((D314/C314)/4.5*0.25*C314,0)</f>
        <v>0</v>
      </c>
      <c r="L314" s="115" t="n">
        <f aca="false">IFERROR((G314/F314)/7.95*0.376*F314,0)</f>
        <v>0</v>
      </c>
      <c r="M314" s="117"/>
      <c r="N314" s="117"/>
      <c r="O314" s="117"/>
      <c r="X314" s="53" t="n">
        <f aca="false">D314+G314</f>
        <v>0</v>
      </c>
      <c r="Y314" s="53" t="n">
        <f aca="false">H314+E314</f>
        <v>0</v>
      </c>
      <c r="Z314" s="53" t="e">
        <f aca="false">X314/Y314</f>
        <v>#DIV/0!</v>
      </c>
    </row>
    <row r="315" customFormat="false" ht="14.25" hidden="false" customHeight="true" outlineLevel="0" collapsed="false">
      <c r="A315" s="0" t="s">
        <v>705</v>
      </c>
      <c r="B315" s="0" t="s">
        <v>546</v>
      </c>
      <c r="C315" s="0" t="n">
        <v>13</v>
      </c>
      <c r="D315" s="0" t="n">
        <v>43</v>
      </c>
      <c r="E315" s="0" t="n">
        <v>0.5</v>
      </c>
      <c r="F315" s="0" t="n">
        <v>1.5</v>
      </c>
      <c r="G315" s="0" t="n">
        <v>10</v>
      </c>
      <c r="H315" s="0" t="n">
        <v>0</v>
      </c>
      <c r="I315" s="0" t="n">
        <v>0</v>
      </c>
      <c r="J315" s="0" t="n">
        <v>9.1</v>
      </c>
      <c r="K315" s="115" t="n">
        <f aca="false">IFERROR((D315/C315)/4.5*0.25*C315,0)</f>
        <v>2.38888888888889</v>
      </c>
      <c r="L315" s="115" t="n">
        <f aca="false">IFERROR((G315/F315)/7.95*0.376*F315,0)</f>
        <v>0.472955974842767</v>
      </c>
      <c r="M315" s="117" t="n">
        <f aca="false">C317*Scoring!$B$32+D317/Scoring!$C$32+E317*Scoring!$D$32+F317*Scoring!$E$32+G317/Scoring!$F$32+H317*Scoring!$G$32+I317*Scoring!$H$32+K317*Scoring!$I$32+RB!L317*Scoring!$J$32+U315</f>
        <v>0</v>
      </c>
      <c r="N315" s="117" t="n">
        <f aca="false">C315*Scoring!$B$32+D315/Scoring!$C$32+E315*Scoring!$D$32+F315*Scoring!$E$32+G315/Scoring!$F$32+H315*Scoring!$G$32+I315*Scoring!$H$32+K315*Scoring!$I$32+RB!L315*Scoring!$J$32+U315</f>
        <v>9.05</v>
      </c>
      <c r="O315" s="117" t="n">
        <f aca="false">C316*Scoring!$B$32+D316/Scoring!$C$32+E316*Scoring!$D$32+F316*Scoring!$E$32+G316/Scoring!$F$32+H316*Scoring!$G$32+I316*Scoring!$H$32+K316*Scoring!$I$32+L316*Scoring!$J$32+U315</f>
        <v>18.1</v>
      </c>
      <c r="P315" s="53" t="n">
        <f aca="false">IF(COUNTIF(Rookies!$A:$A,A315)&gt;0,1,0)</f>
        <v>0</v>
      </c>
      <c r="S315" s="53" t="n">
        <f aca="false">V315/17</f>
        <v>0.532352941176471</v>
      </c>
      <c r="T315" s="53" t="n">
        <f aca="false">IF(P315=1,MAX(0,0.258*(14.9-S315)),0)</f>
        <v>0</v>
      </c>
      <c r="U315" s="53" t="n">
        <f aca="false">T315*17</f>
        <v>0</v>
      </c>
      <c r="V315" s="53" t="n">
        <f aca="false">C315*Scoring!$B$32+D315/Scoring!$C$32+E315*Scoring!$D$32+F315*Scoring!$E$32+G315/Scoring!$F$32+H315*Scoring!$G$32+I315*Scoring!$H$32+K315*Scoring!$I$32+RB!L315*Scoring!$J$32</f>
        <v>9.05</v>
      </c>
      <c r="X315" s="53" t="n">
        <f aca="false">D315+G315</f>
        <v>53</v>
      </c>
      <c r="Y315" s="53" t="n">
        <f aca="false">H315+E315</f>
        <v>0.5</v>
      </c>
      <c r="Z315" s="53" t="n">
        <f aca="false">X315/Y315</f>
        <v>106</v>
      </c>
    </row>
    <row r="316" customFormat="false" ht="14.25" hidden="false" customHeight="true" outlineLevel="0" collapsed="false">
      <c r="B316" s="0" t="s">
        <v>491</v>
      </c>
      <c r="C316" s="0" t="n">
        <v>26</v>
      </c>
      <c r="D316" s="0" t="n">
        <v>86</v>
      </c>
      <c r="E316" s="0" t="n">
        <v>1</v>
      </c>
      <c r="F316" s="0" t="n">
        <v>3</v>
      </c>
      <c r="G316" s="0" t="n">
        <v>20</v>
      </c>
      <c r="H316" s="0" t="n">
        <v>0</v>
      </c>
      <c r="I316" s="0" t="n">
        <v>0</v>
      </c>
      <c r="J316" s="0" t="n">
        <v>11.8</v>
      </c>
      <c r="K316" s="115" t="n">
        <f aca="false">IFERROR((D316/C316)/4.5*0.25*C316,0)</f>
        <v>4.77777777777778</v>
      </c>
      <c r="L316" s="115" t="n">
        <f aca="false">IFERROR((G316/F316)/7.95*0.376*F316,0)</f>
        <v>0.945911949685535</v>
      </c>
      <c r="M316" s="117"/>
      <c r="N316" s="117"/>
      <c r="O316" s="117"/>
      <c r="X316" s="53" t="n">
        <f aca="false">D316+G316</f>
        <v>106</v>
      </c>
      <c r="Y316" s="53" t="n">
        <f aca="false">H316+E316</f>
        <v>1</v>
      </c>
      <c r="Z316" s="53" t="n">
        <f aca="false">X316/Y316</f>
        <v>106</v>
      </c>
    </row>
    <row r="317" customFormat="false" ht="14.25" hidden="false" customHeight="true" outlineLevel="0" collapsed="false">
      <c r="B317" s="0" t="s">
        <v>492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1.6</v>
      </c>
      <c r="K317" s="115" t="n">
        <f aca="false">IFERROR((D317/C317)/4.5*0.25*C317,0)</f>
        <v>0</v>
      </c>
      <c r="L317" s="115" t="n">
        <f aca="false">IFERROR((G317/F317)/7.95*0.376*F317,0)</f>
        <v>0</v>
      </c>
      <c r="M317" s="117"/>
      <c r="N317" s="117"/>
      <c r="O317" s="117"/>
      <c r="X317" s="53" t="n">
        <f aca="false">D317+G317</f>
        <v>0</v>
      </c>
      <c r="Y317" s="53" t="n">
        <f aca="false">H317+E317</f>
        <v>0</v>
      </c>
      <c r="Z317" s="53" t="e">
        <f aca="false">X317/Y317</f>
        <v>#DIV/0!</v>
      </c>
    </row>
    <row r="318" customFormat="false" ht="14.25" hidden="false" customHeight="true" outlineLevel="0" collapsed="false">
      <c r="A318" s="0" t="s">
        <v>706</v>
      </c>
      <c r="B318" s="0" t="s">
        <v>518</v>
      </c>
      <c r="C318" s="0" t="n">
        <v>4.1</v>
      </c>
      <c r="D318" s="0" t="n">
        <v>17.4</v>
      </c>
      <c r="E318" s="0" t="n">
        <v>0.1</v>
      </c>
      <c r="F318" s="0" t="n">
        <v>4.1</v>
      </c>
      <c r="G318" s="0" t="n">
        <v>29.8</v>
      </c>
      <c r="H318" s="0" t="n">
        <v>0.2</v>
      </c>
      <c r="I318" s="0" t="n">
        <v>0</v>
      </c>
      <c r="J318" s="0" t="n">
        <v>8.4</v>
      </c>
      <c r="K318" s="115" t="n">
        <f aca="false">IFERROR((D318/C318)/4.5*0.25*C318,0)</f>
        <v>0.966666666666667</v>
      </c>
      <c r="L318" s="115" t="n">
        <f aca="false">IFERROR((G318/F318)/7.95*0.376*F318,0)</f>
        <v>1.40940880503145</v>
      </c>
      <c r="M318" s="117" t="n">
        <f aca="false">C320*Scoring!$B$32+D320/Scoring!$C$32+E320*Scoring!$D$32+F320*Scoring!$E$32+G320/Scoring!$F$32+H320*Scoring!$G$32+I320*Scoring!$H$32+K320*Scoring!$I$32+RB!L320*Scoring!$J$32+U318</f>
        <v>8.57</v>
      </c>
      <c r="N318" s="117" t="n">
        <f aca="false">C318*Scoring!$B$32+D318/Scoring!$C$32+E318*Scoring!$D$32+F318*Scoring!$E$32+G318/Scoring!$F$32+H318*Scoring!$G$32+I318*Scoring!$H$32+K318*Scoring!$I$32+RB!L318*Scoring!$J$32+U318</f>
        <v>8.57</v>
      </c>
      <c r="O318" s="117" t="n">
        <f aca="false">C319*Scoring!$B$32+D319/Scoring!$C$32+E319*Scoring!$D$32+F319*Scoring!$E$32+G319/Scoring!$F$32+H319*Scoring!$G$32+I319*Scoring!$H$32+K319*Scoring!$I$32+L319*Scoring!$J$32+U318</f>
        <v>8.57</v>
      </c>
      <c r="P318" s="53" t="n">
        <f aca="false">IF(COUNTIF(Rookies!$A:$A,A318)&gt;0,1,0)</f>
        <v>0</v>
      </c>
      <c r="S318" s="53" t="n">
        <f aca="false">V318/17</f>
        <v>0.504117647058824</v>
      </c>
      <c r="T318" s="53" t="n">
        <f aca="false">IF(P318=1,MAX(0,0.258*(14.9-S318)),0)</f>
        <v>0</v>
      </c>
      <c r="U318" s="53" t="n">
        <f aca="false">T318*17</f>
        <v>0</v>
      </c>
      <c r="V318" s="53" t="n">
        <f aca="false">C318*Scoring!$B$32+D318/Scoring!$C$32+E318*Scoring!$D$32+F318*Scoring!$E$32+G318/Scoring!$F$32+H318*Scoring!$G$32+I318*Scoring!$H$32+K318*Scoring!$I$32+RB!L318*Scoring!$J$32</f>
        <v>8.57</v>
      </c>
      <c r="X318" s="53" t="n">
        <f aca="false">D318+G318</f>
        <v>47.2</v>
      </c>
      <c r="Y318" s="53" t="n">
        <f aca="false">H318+E318</f>
        <v>0.3</v>
      </c>
      <c r="Z318" s="53" t="n">
        <f aca="false">X318/Y318</f>
        <v>157.333333333333</v>
      </c>
    </row>
    <row r="319" customFormat="false" ht="14.25" hidden="false" customHeight="true" outlineLevel="0" collapsed="false">
      <c r="B319" s="0" t="s">
        <v>491</v>
      </c>
      <c r="C319" s="0" t="n">
        <v>4.1</v>
      </c>
      <c r="D319" s="0" t="n">
        <v>17.4</v>
      </c>
      <c r="E319" s="0" t="n">
        <v>0.1</v>
      </c>
      <c r="F319" s="0" t="n">
        <v>4.1</v>
      </c>
      <c r="G319" s="0" t="n">
        <v>29.8</v>
      </c>
      <c r="H319" s="0" t="n">
        <v>0.2</v>
      </c>
      <c r="I319" s="0" t="n">
        <v>0</v>
      </c>
      <c r="J319" s="0" t="n">
        <v>8.4</v>
      </c>
      <c r="K319" s="115" t="n">
        <f aca="false">IFERROR((D319/C319)/4.5*0.25*C319,0)</f>
        <v>0.966666666666667</v>
      </c>
      <c r="L319" s="115" t="n">
        <f aca="false">IFERROR((G319/F319)/7.95*0.376*F319,0)</f>
        <v>1.40940880503145</v>
      </c>
      <c r="M319" s="117"/>
      <c r="N319" s="117"/>
      <c r="O319" s="117"/>
      <c r="X319" s="53" t="n">
        <f aca="false">D319+G319</f>
        <v>47.2</v>
      </c>
      <c r="Y319" s="53" t="n">
        <f aca="false">H319+E319</f>
        <v>0.3</v>
      </c>
      <c r="Z319" s="53" t="n">
        <f aca="false">X319/Y319</f>
        <v>157.333333333333</v>
      </c>
    </row>
    <row r="320" customFormat="false" ht="14.25" hidden="false" customHeight="true" outlineLevel="0" collapsed="false">
      <c r="B320" s="0" t="s">
        <v>492</v>
      </c>
      <c r="C320" s="0" t="n">
        <v>4.1</v>
      </c>
      <c r="D320" s="0" t="n">
        <v>17.4</v>
      </c>
      <c r="E320" s="0" t="n">
        <v>0.1</v>
      </c>
      <c r="F320" s="0" t="n">
        <v>4.1</v>
      </c>
      <c r="G320" s="0" t="n">
        <v>29.8</v>
      </c>
      <c r="H320" s="0" t="n">
        <v>0.2</v>
      </c>
      <c r="I320" s="0" t="n">
        <v>0</v>
      </c>
      <c r="J320" s="0" t="n">
        <v>8.4</v>
      </c>
      <c r="K320" s="115" t="n">
        <f aca="false">IFERROR((D320/C320)/4.5*0.25*C320,0)</f>
        <v>0.966666666666667</v>
      </c>
      <c r="L320" s="115" t="n">
        <f aca="false">IFERROR((G320/F320)/7.95*0.376*F320,0)</f>
        <v>1.40940880503145</v>
      </c>
      <c r="M320" s="117"/>
      <c r="N320" s="117"/>
      <c r="O320" s="117"/>
      <c r="X320" s="53" t="n">
        <f aca="false">D320+G320</f>
        <v>47.2</v>
      </c>
      <c r="Y320" s="53" t="n">
        <f aca="false">H320+E320</f>
        <v>0.3</v>
      </c>
      <c r="Z320" s="53" t="n">
        <f aca="false">X320/Y320</f>
        <v>157.333333333333</v>
      </c>
    </row>
    <row r="321" customFormat="false" ht="14.25" hidden="false" customHeight="true" outlineLevel="0" collapsed="false">
      <c r="A321" s="0" t="s">
        <v>707</v>
      </c>
      <c r="B321" s="0" t="s">
        <v>550</v>
      </c>
      <c r="C321" s="0" t="n">
        <v>4.2</v>
      </c>
      <c r="D321" s="0" t="n">
        <v>17.4</v>
      </c>
      <c r="E321" s="0" t="n">
        <v>0.1</v>
      </c>
      <c r="F321" s="0" t="n">
        <v>4</v>
      </c>
      <c r="G321" s="0" t="n">
        <v>29</v>
      </c>
      <c r="H321" s="0" t="n">
        <v>0.2</v>
      </c>
      <c r="I321" s="0" t="n">
        <v>0</v>
      </c>
      <c r="J321" s="0" t="n">
        <v>8.2</v>
      </c>
      <c r="K321" s="115" t="n">
        <f aca="false">IFERROR((D321/C321)/4.5*0.25*C321,0)</f>
        <v>0.966666666666667</v>
      </c>
      <c r="L321" s="115" t="n">
        <f aca="false">IFERROR((G321/F321)/7.95*0.376*F321,0)</f>
        <v>1.37157232704403</v>
      </c>
      <c r="M321" s="117" t="n">
        <f aca="false">C323*Scoring!$B$32+D323/Scoring!$C$32+E323*Scoring!$D$32+F323*Scoring!$E$32+G323/Scoring!$F$32+H323*Scoring!$G$32+I323*Scoring!$H$32+K323*Scoring!$I$32+RB!L323*Scoring!$J$32+U321</f>
        <v>8.44</v>
      </c>
      <c r="N321" s="117" t="n">
        <f aca="false">C321*Scoring!$B$32+D321/Scoring!$C$32+E321*Scoring!$D$32+F321*Scoring!$E$32+G321/Scoring!$F$32+H321*Scoring!$G$32+I321*Scoring!$H$32+K321*Scoring!$I$32+RB!L321*Scoring!$J$32+U321</f>
        <v>8.44</v>
      </c>
      <c r="O321" s="117" t="n">
        <f aca="false">C322*Scoring!$B$32+D322/Scoring!$C$32+E322*Scoring!$D$32+F322*Scoring!$E$32+G322/Scoring!$F$32+H322*Scoring!$G$32+I322*Scoring!$H$32+K322*Scoring!$I$32+L322*Scoring!$J$32+U321</f>
        <v>8.44</v>
      </c>
      <c r="P321" s="53" t="n">
        <f aca="false">IF(COUNTIF(Rookies!$A:$A,A321)&gt;0,1,0)</f>
        <v>0</v>
      </c>
      <c r="S321" s="53" t="n">
        <f aca="false">V321/17</f>
        <v>0.496470588235294</v>
      </c>
      <c r="T321" s="53" t="n">
        <f aca="false">IF(P321=1,MAX(0,0.258*(14.9-S321)),0)</f>
        <v>0</v>
      </c>
      <c r="U321" s="53" t="n">
        <f aca="false">T321*17</f>
        <v>0</v>
      </c>
      <c r="V321" s="53" t="n">
        <f aca="false">C321*Scoring!$B$32+D321/Scoring!$C$32+E321*Scoring!$D$32+F321*Scoring!$E$32+G321/Scoring!$F$32+H321*Scoring!$G$32+I321*Scoring!$H$32+K321*Scoring!$I$32+RB!L321*Scoring!$J$32</f>
        <v>8.44</v>
      </c>
      <c r="X321" s="53" t="n">
        <f aca="false">D321+G321</f>
        <v>46.4</v>
      </c>
      <c r="Y321" s="53" t="n">
        <f aca="false">H321+E321</f>
        <v>0.3</v>
      </c>
      <c r="Z321" s="53" t="n">
        <f aca="false">X321/Y321</f>
        <v>154.666666666667</v>
      </c>
    </row>
    <row r="322" customFormat="false" ht="14.25" hidden="false" customHeight="true" outlineLevel="0" collapsed="false">
      <c r="B322" s="0" t="s">
        <v>491</v>
      </c>
      <c r="C322" s="0" t="n">
        <v>4.2</v>
      </c>
      <c r="D322" s="0" t="n">
        <v>17.4</v>
      </c>
      <c r="E322" s="0" t="n">
        <v>0.1</v>
      </c>
      <c r="F322" s="0" t="n">
        <v>4</v>
      </c>
      <c r="G322" s="0" t="n">
        <v>29</v>
      </c>
      <c r="H322" s="0" t="n">
        <v>0.2</v>
      </c>
      <c r="I322" s="0" t="n">
        <v>0</v>
      </c>
      <c r="J322" s="0" t="n">
        <v>8.3</v>
      </c>
      <c r="K322" s="115" t="n">
        <f aca="false">IFERROR((D322/C322)/4.5*0.25*C322,0)</f>
        <v>0.966666666666667</v>
      </c>
      <c r="L322" s="115" t="n">
        <f aca="false">IFERROR((G322/F322)/7.95*0.376*F322,0)</f>
        <v>1.37157232704403</v>
      </c>
      <c r="M322" s="117"/>
      <c r="N322" s="117"/>
      <c r="O322" s="117"/>
      <c r="X322" s="53" t="n">
        <f aca="false">D322+G322</f>
        <v>46.4</v>
      </c>
      <c r="Y322" s="53" t="n">
        <f aca="false">H322+E322</f>
        <v>0.3</v>
      </c>
      <c r="Z322" s="53" t="n">
        <f aca="false">X322/Y322</f>
        <v>154.666666666667</v>
      </c>
    </row>
    <row r="323" customFormat="false" ht="14.25" hidden="false" customHeight="true" outlineLevel="0" collapsed="false">
      <c r="B323" s="0" t="s">
        <v>492</v>
      </c>
      <c r="C323" s="0" t="n">
        <v>4.2</v>
      </c>
      <c r="D323" s="0" t="n">
        <v>17.4</v>
      </c>
      <c r="E323" s="0" t="n">
        <v>0.1</v>
      </c>
      <c r="F323" s="0" t="n">
        <v>4</v>
      </c>
      <c r="G323" s="0" t="n">
        <v>29</v>
      </c>
      <c r="H323" s="0" t="n">
        <v>0.2</v>
      </c>
      <c r="I323" s="0" t="n">
        <v>0</v>
      </c>
      <c r="J323" s="0" t="n">
        <v>8.3</v>
      </c>
      <c r="K323" s="115" t="n">
        <f aca="false">IFERROR((D323/C323)/4.5*0.25*C323,0)</f>
        <v>0.966666666666667</v>
      </c>
      <c r="L323" s="115" t="n">
        <f aca="false">IFERROR((G323/F323)/7.95*0.376*F323,0)</f>
        <v>1.37157232704403</v>
      </c>
      <c r="M323" s="117"/>
      <c r="N323" s="117"/>
      <c r="O323" s="117"/>
      <c r="X323" s="53" t="n">
        <f aca="false">D323+G323</f>
        <v>46.4</v>
      </c>
      <c r="Y323" s="53" t="n">
        <f aca="false">H323+E323</f>
        <v>0.3</v>
      </c>
      <c r="Z323" s="53" t="n">
        <f aca="false">X323/Y323</f>
        <v>154.666666666667</v>
      </c>
    </row>
    <row r="324" customFormat="false" ht="14.25" hidden="false" customHeight="true" outlineLevel="0" collapsed="false">
      <c r="A324" s="0" t="s">
        <v>708</v>
      </c>
      <c r="B324" s="0" t="s">
        <v>522</v>
      </c>
      <c r="C324" s="0" t="n">
        <v>2</v>
      </c>
      <c r="D324" s="0" t="n">
        <v>8.5</v>
      </c>
      <c r="E324" s="0" t="n">
        <v>0.1</v>
      </c>
      <c r="F324" s="0" t="n">
        <v>4.5</v>
      </c>
      <c r="G324" s="0" t="n">
        <v>29.5</v>
      </c>
      <c r="H324" s="0" t="n">
        <v>0.2</v>
      </c>
      <c r="I324" s="0" t="n">
        <v>0</v>
      </c>
      <c r="J324" s="0" t="n">
        <v>7.4</v>
      </c>
      <c r="K324" s="115" t="n">
        <f aca="false">IFERROR((D324/C324)/4.5*0.25*C324,0)</f>
        <v>0.472222222222222</v>
      </c>
      <c r="L324" s="115" t="n">
        <f aca="false">IFERROR((G324/F324)/7.95*0.376*F324,0)</f>
        <v>1.39522012578616</v>
      </c>
      <c r="M324" s="117" t="n">
        <f aca="false">C326*Scoring!$B$32+D326/Scoring!$C$32+E326*Scoring!$D$32+F326*Scoring!$E$32+G326/Scoring!$F$32+H326*Scoring!$G$32+I326*Scoring!$H$32+K326*Scoring!$I$32+RB!L326*Scoring!$J$32+U324</f>
        <v>71.1761</v>
      </c>
      <c r="N324" s="117" t="n">
        <f aca="false">C324*Scoring!$B$32+D324/Scoring!$C$32+E324*Scoring!$D$32+F324*Scoring!$E$32+G324/Scoring!$F$32+H324*Scoring!$G$32+I324*Scoring!$H$32+K324*Scoring!$I$32+RB!L324*Scoring!$J$32+U324</f>
        <v>71.1761</v>
      </c>
      <c r="O324" s="117" t="n">
        <f aca="false">C325*Scoring!$B$32+D325/Scoring!$C$32+E325*Scoring!$D$32+F325*Scoring!$E$32+G325/Scoring!$F$32+H325*Scoring!$G$32+I325*Scoring!$H$32+K325*Scoring!$I$32+L325*Scoring!$J$32+U324</f>
        <v>71.1761</v>
      </c>
      <c r="P324" s="53" t="n">
        <f aca="false">IF(COUNTIF(Rookies!$A:$A,A324)&gt;0,1,0)</f>
        <v>1</v>
      </c>
      <c r="S324" s="53" t="n">
        <f aca="false">V324/17</f>
        <v>0.461764705882353</v>
      </c>
      <c r="T324" s="53" t="n">
        <f aca="false">IF(P324=1,MAX(0,0.258*(14.9-S324)),0)</f>
        <v>3.72506470588235</v>
      </c>
      <c r="U324" s="53" t="n">
        <f aca="false">T324*17</f>
        <v>63.3261</v>
      </c>
      <c r="V324" s="53" t="n">
        <f aca="false">C324*Scoring!$B$32+D324/Scoring!$C$32+E324*Scoring!$D$32+F324*Scoring!$E$32+G324/Scoring!$F$32+H324*Scoring!$G$32+I324*Scoring!$H$32+K324*Scoring!$I$32+RB!L324*Scoring!$J$32</f>
        <v>7.85</v>
      </c>
      <c r="X324" s="53" t="n">
        <f aca="false">D324+G324</f>
        <v>38</v>
      </c>
      <c r="Y324" s="53" t="n">
        <f aca="false">H324+E324</f>
        <v>0.3</v>
      </c>
      <c r="Z324" s="53" t="n">
        <f aca="false">X324/Y324</f>
        <v>126.666666666667</v>
      </c>
    </row>
    <row r="325" customFormat="false" ht="14.25" hidden="false" customHeight="true" outlineLevel="0" collapsed="false">
      <c r="B325" s="0" t="s">
        <v>491</v>
      </c>
      <c r="C325" s="0" t="n">
        <v>2</v>
      </c>
      <c r="D325" s="0" t="n">
        <v>8.5</v>
      </c>
      <c r="E325" s="0" t="n">
        <v>0.1</v>
      </c>
      <c r="F325" s="0" t="n">
        <v>4.5</v>
      </c>
      <c r="G325" s="0" t="n">
        <v>29.5</v>
      </c>
      <c r="H325" s="0" t="n">
        <v>0.2</v>
      </c>
      <c r="I325" s="0" t="n">
        <v>0</v>
      </c>
      <c r="J325" s="0" t="n">
        <v>7.4</v>
      </c>
      <c r="K325" s="115" t="n">
        <f aca="false">IFERROR((D325/C325)/4.5*0.25*C325,0)</f>
        <v>0.472222222222222</v>
      </c>
      <c r="L325" s="115" t="n">
        <f aca="false">IFERROR((G325/F325)/7.95*0.376*F325,0)</f>
        <v>1.39522012578616</v>
      </c>
      <c r="M325" s="117"/>
      <c r="N325" s="117"/>
      <c r="O325" s="117"/>
      <c r="X325" s="53" t="n">
        <f aca="false">D325+G325</f>
        <v>38</v>
      </c>
      <c r="Y325" s="53" t="n">
        <f aca="false">H325+E325</f>
        <v>0.3</v>
      </c>
      <c r="Z325" s="53" t="n">
        <f aca="false">X325/Y325</f>
        <v>126.666666666667</v>
      </c>
    </row>
    <row r="326" customFormat="false" ht="14.25" hidden="false" customHeight="true" outlineLevel="0" collapsed="false">
      <c r="B326" s="0" t="s">
        <v>492</v>
      </c>
      <c r="C326" s="0" t="n">
        <v>2</v>
      </c>
      <c r="D326" s="0" t="n">
        <v>8.5</v>
      </c>
      <c r="E326" s="0" t="n">
        <v>0.1</v>
      </c>
      <c r="F326" s="0" t="n">
        <v>4.5</v>
      </c>
      <c r="G326" s="0" t="n">
        <v>29.5</v>
      </c>
      <c r="H326" s="0" t="n">
        <v>0.2</v>
      </c>
      <c r="I326" s="0" t="n">
        <v>0</v>
      </c>
      <c r="J326" s="0" t="n">
        <v>7.4</v>
      </c>
      <c r="K326" s="115" t="n">
        <f aca="false">IFERROR((D326/C326)/4.5*0.25*C326,0)</f>
        <v>0.472222222222222</v>
      </c>
      <c r="L326" s="115" t="n">
        <f aca="false">IFERROR((G326/F326)/7.95*0.376*F326,0)</f>
        <v>1.39522012578616</v>
      </c>
      <c r="M326" s="117"/>
      <c r="N326" s="117"/>
      <c r="O326" s="117"/>
      <c r="X326" s="53" t="n">
        <f aca="false">D326+G326</f>
        <v>38</v>
      </c>
      <c r="Y326" s="53" t="n">
        <f aca="false">H326+E326</f>
        <v>0.3</v>
      </c>
      <c r="Z326" s="53" t="n">
        <f aca="false">X326/Y326</f>
        <v>126.666666666667</v>
      </c>
    </row>
    <row r="327" customFormat="false" ht="14.25" hidden="false" customHeight="true" outlineLevel="0" collapsed="false">
      <c r="A327" s="0" t="s">
        <v>709</v>
      </c>
      <c r="B327" s="0" t="s">
        <v>530</v>
      </c>
      <c r="C327" s="0" t="n">
        <v>7.8</v>
      </c>
      <c r="D327" s="0" t="n">
        <v>33.2</v>
      </c>
      <c r="E327" s="0" t="n">
        <v>0.3</v>
      </c>
      <c r="F327" s="0" t="n">
        <v>1.4</v>
      </c>
      <c r="G327" s="0" t="n">
        <v>10.3</v>
      </c>
      <c r="H327" s="0" t="n">
        <v>0.1</v>
      </c>
      <c r="I327" s="0" t="n">
        <v>0</v>
      </c>
      <c r="J327" s="0" t="n">
        <v>7.2</v>
      </c>
      <c r="K327" s="115" t="n">
        <f aca="false">IFERROR((D327/C327)/4.5*0.25*C327,0)</f>
        <v>1.84444444444444</v>
      </c>
      <c r="L327" s="115" t="n">
        <f aca="false">IFERROR((G327/F327)/7.95*0.376*F327,0)</f>
        <v>0.48714465408805</v>
      </c>
      <c r="M327" s="117" t="n">
        <f aca="false">C329*Scoring!$B$32+D329/Scoring!$C$32+E329*Scoring!$D$32+F329*Scoring!$E$32+G329/Scoring!$F$32+H329*Scoring!$G$32+I329*Scoring!$H$32+K329*Scoring!$I$32+RB!L329*Scoring!$J$32+U327</f>
        <v>7.45</v>
      </c>
      <c r="N327" s="117" t="n">
        <f aca="false">C327*Scoring!$B$32+D327/Scoring!$C$32+E327*Scoring!$D$32+F327*Scoring!$E$32+G327/Scoring!$F$32+H327*Scoring!$G$32+I327*Scoring!$H$32+K327*Scoring!$I$32+RB!L327*Scoring!$J$32+U327</f>
        <v>7.45</v>
      </c>
      <c r="O327" s="117" t="n">
        <f aca="false">C328*Scoring!$B$32+D328/Scoring!$C$32+E328*Scoring!$D$32+F328*Scoring!$E$32+G328/Scoring!$F$32+H328*Scoring!$G$32+I328*Scoring!$H$32+K328*Scoring!$I$32+L328*Scoring!$J$32+U327</f>
        <v>7.45</v>
      </c>
      <c r="P327" s="53" t="n">
        <f aca="false">IF(COUNTIF(Rookies!$A:$A,A327)&gt;0,1,0)</f>
        <v>0</v>
      </c>
      <c r="S327" s="53" t="n">
        <f aca="false">V327/17</f>
        <v>0.438235294117647</v>
      </c>
      <c r="T327" s="53" t="n">
        <f aca="false">IF(P327=1,MAX(0,0.258*(14.9-S327)),0)</f>
        <v>0</v>
      </c>
      <c r="U327" s="53" t="n">
        <f aca="false">T327*17</f>
        <v>0</v>
      </c>
      <c r="V327" s="53" t="n">
        <f aca="false">C327*Scoring!$B$32+D327/Scoring!$C$32+E327*Scoring!$D$32+F327*Scoring!$E$32+G327/Scoring!$F$32+H327*Scoring!$G$32+I327*Scoring!$H$32+K327*Scoring!$I$32+RB!L327*Scoring!$J$32</f>
        <v>7.45</v>
      </c>
      <c r="X327" s="53" t="n">
        <f aca="false">D327+G327</f>
        <v>43.5</v>
      </c>
      <c r="Y327" s="53" t="n">
        <f aca="false">H327+E327</f>
        <v>0.4</v>
      </c>
      <c r="Z327" s="53" t="n">
        <f aca="false">X327/Y327</f>
        <v>108.75</v>
      </c>
    </row>
    <row r="328" customFormat="false" ht="14.25" hidden="false" customHeight="true" outlineLevel="0" collapsed="false">
      <c r="B328" s="0" t="s">
        <v>491</v>
      </c>
      <c r="C328" s="0" t="n">
        <v>7.8</v>
      </c>
      <c r="D328" s="0" t="n">
        <v>33.2</v>
      </c>
      <c r="E328" s="0" t="n">
        <v>0.3</v>
      </c>
      <c r="F328" s="0" t="n">
        <v>1.4</v>
      </c>
      <c r="G328" s="0" t="n">
        <v>10.3</v>
      </c>
      <c r="H328" s="0" t="n">
        <v>0.1</v>
      </c>
      <c r="I328" s="0" t="n">
        <v>0</v>
      </c>
      <c r="J328" s="0" t="n">
        <v>7.2</v>
      </c>
      <c r="K328" s="115" t="n">
        <f aca="false">IFERROR((D328/C328)/4.5*0.25*C328,0)</f>
        <v>1.84444444444444</v>
      </c>
      <c r="L328" s="115" t="n">
        <f aca="false">IFERROR((G328/F328)/7.95*0.376*F328,0)</f>
        <v>0.48714465408805</v>
      </c>
      <c r="M328" s="117"/>
      <c r="N328" s="117"/>
      <c r="O328" s="117"/>
      <c r="X328" s="53" t="n">
        <f aca="false">D328+G328</f>
        <v>43.5</v>
      </c>
      <c r="Y328" s="53" t="n">
        <f aca="false">H328+E328</f>
        <v>0.4</v>
      </c>
      <c r="Z328" s="53" t="n">
        <f aca="false">X328/Y328</f>
        <v>108.75</v>
      </c>
    </row>
    <row r="329" customFormat="false" ht="14.25" hidden="false" customHeight="true" outlineLevel="0" collapsed="false">
      <c r="B329" s="0" t="s">
        <v>492</v>
      </c>
      <c r="C329" s="0" t="n">
        <v>7.8</v>
      </c>
      <c r="D329" s="0" t="n">
        <v>33.2</v>
      </c>
      <c r="E329" s="0" t="n">
        <v>0.3</v>
      </c>
      <c r="F329" s="0" t="n">
        <v>1.4</v>
      </c>
      <c r="G329" s="0" t="n">
        <v>10.3</v>
      </c>
      <c r="H329" s="0" t="n">
        <v>0.1</v>
      </c>
      <c r="I329" s="0" t="n">
        <v>0</v>
      </c>
      <c r="J329" s="0" t="n">
        <v>7.2</v>
      </c>
      <c r="K329" s="115" t="n">
        <f aca="false">IFERROR((D329/C329)/4.5*0.25*C329,0)</f>
        <v>1.84444444444444</v>
      </c>
      <c r="L329" s="115" t="n">
        <f aca="false">IFERROR((G329/F329)/7.95*0.376*F329,0)</f>
        <v>0.48714465408805</v>
      </c>
      <c r="M329" s="117"/>
      <c r="N329" s="117"/>
      <c r="O329" s="117"/>
      <c r="X329" s="53" t="n">
        <f aca="false">D329+G329</f>
        <v>43.5</v>
      </c>
      <c r="Y329" s="53" t="n">
        <f aca="false">H329+E329</f>
        <v>0.4</v>
      </c>
      <c r="Z329" s="53" t="n">
        <f aca="false">X329/Y329</f>
        <v>108.75</v>
      </c>
    </row>
    <row r="330" customFormat="false" ht="14.25" hidden="false" customHeight="true" outlineLevel="0" collapsed="false">
      <c r="A330" s="0" t="s">
        <v>710</v>
      </c>
      <c r="B330" s="0" t="s">
        <v>548</v>
      </c>
      <c r="C330" s="0" t="n">
        <v>0</v>
      </c>
      <c r="D330" s="0" t="n">
        <v>0</v>
      </c>
      <c r="E330" s="0" t="n">
        <v>0</v>
      </c>
      <c r="F330" s="0" t="n">
        <v>4.3</v>
      </c>
      <c r="G330" s="0" t="n">
        <v>29.2</v>
      </c>
      <c r="H330" s="0" t="n">
        <v>0.2</v>
      </c>
      <c r="I330" s="0" t="n">
        <v>0</v>
      </c>
      <c r="J330" s="0" t="n">
        <v>6</v>
      </c>
      <c r="K330" s="115" t="n">
        <f aca="false">IFERROR((D330/C330)/4.5*0.25*C330,0)</f>
        <v>0</v>
      </c>
      <c r="L330" s="115" t="n">
        <f aca="false">IFERROR((G330/F330)/7.95*0.376*F330,0)</f>
        <v>1.38103144654088</v>
      </c>
      <c r="M330" s="117" t="n">
        <f aca="false">C332*Scoring!$B$32+D332/Scoring!$C$32+E332*Scoring!$D$32+F332*Scoring!$E$32+G332/Scoring!$F$32+H332*Scoring!$G$32+I332*Scoring!$H$32+K332*Scoring!$I$32+RB!L332*Scoring!$J$32+U330</f>
        <v>70.00374</v>
      </c>
      <c r="N330" s="117" t="n">
        <f aca="false">C330*Scoring!$B$32+D330/Scoring!$C$32+E330*Scoring!$D$32+F330*Scoring!$E$32+G330/Scoring!$F$32+H330*Scoring!$G$32+I330*Scoring!$H$32+K330*Scoring!$I$32+RB!L330*Scoring!$J$32+U330</f>
        <v>70.00374</v>
      </c>
      <c r="O330" s="117" t="n">
        <f aca="false">C331*Scoring!$B$32+D331/Scoring!$C$32+E331*Scoring!$D$32+F331*Scoring!$E$32+G331/Scoring!$F$32+H331*Scoring!$G$32+I331*Scoring!$H$32+K331*Scoring!$I$32+L331*Scoring!$J$32+U330</f>
        <v>70.00374</v>
      </c>
      <c r="P330" s="53" t="n">
        <f aca="false">IF(COUNTIF(Rookies!$A:$A,A330)&gt;0,1,0)</f>
        <v>1</v>
      </c>
      <c r="S330" s="53" t="n">
        <f aca="false">V330/17</f>
        <v>0.368823529411765</v>
      </c>
      <c r="T330" s="53" t="n">
        <f aca="false">IF(P330=1,MAX(0,0.258*(14.9-S330)),0)</f>
        <v>3.74904352941177</v>
      </c>
      <c r="U330" s="53" t="n">
        <f aca="false">T330*17</f>
        <v>63.73374</v>
      </c>
      <c r="V330" s="53" t="n">
        <f aca="false">C330*Scoring!$B$32+D330/Scoring!$C$32+E330*Scoring!$D$32+F330*Scoring!$E$32+G330/Scoring!$F$32+H330*Scoring!$G$32+I330*Scoring!$H$32+K330*Scoring!$I$32+RB!L330*Scoring!$J$32</f>
        <v>6.27</v>
      </c>
      <c r="X330" s="53" t="n">
        <f aca="false">D330+G330</f>
        <v>29.2</v>
      </c>
      <c r="Y330" s="53" t="n">
        <f aca="false">H330+E330</f>
        <v>0.2</v>
      </c>
      <c r="Z330" s="53" t="n">
        <f aca="false">X330/Y330</f>
        <v>146</v>
      </c>
    </row>
    <row r="331" customFormat="false" ht="14.25" hidden="false" customHeight="true" outlineLevel="0" collapsed="false">
      <c r="B331" s="0" t="s">
        <v>491</v>
      </c>
      <c r="C331" s="0" t="n">
        <v>0</v>
      </c>
      <c r="D331" s="0" t="n">
        <v>0</v>
      </c>
      <c r="E331" s="0" t="n">
        <v>0</v>
      </c>
      <c r="F331" s="0" t="n">
        <v>4.3</v>
      </c>
      <c r="G331" s="0" t="n">
        <v>29.2</v>
      </c>
      <c r="H331" s="0" t="n">
        <v>0.2</v>
      </c>
      <c r="I331" s="0" t="n">
        <v>0</v>
      </c>
      <c r="J331" s="0" t="n">
        <v>6</v>
      </c>
      <c r="K331" s="115" t="n">
        <f aca="false">IFERROR((D331/C331)/4.5*0.25*C331,0)</f>
        <v>0</v>
      </c>
      <c r="L331" s="115" t="n">
        <f aca="false">IFERROR((G331/F331)/7.95*0.376*F331,0)</f>
        <v>1.38103144654088</v>
      </c>
      <c r="M331" s="117"/>
      <c r="N331" s="117"/>
      <c r="O331" s="117"/>
      <c r="X331" s="53" t="n">
        <f aca="false">D331+G331</f>
        <v>29.2</v>
      </c>
      <c r="Y331" s="53" t="n">
        <f aca="false">H331+E331</f>
        <v>0.2</v>
      </c>
      <c r="Z331" s="53" t="n">
        <f aca="false">X331/Y331</f>
        <v>146</v>
      </c>
    </row>
    <row r="332" customFormat="false" ht="14.25" hidden="false" customHeight="true" outlineLevel="0" collapsed="false">
      <c r="B332" s="0" t="s">
        <v>492</v>
      </c>
      <c r="C332" s="0" t="n">
        <v>0</v>
      </c>
      <c r="D332" s="0" t="n">
        <v>0</v>
      </c>
      <c r="E332" s="0" t="n">
        <v>0</v>
      </c>
      <c r="F332" s="0" t="n">
        <v>4.3</v>
      </c>
      <c r="G332" s="0" t="n">
        <v>29.2</v>
      </c>
      <c r="H332" s="0" t="n">
        <v>0.2</v>
      </c>
      <c r="I332" s="0" t="n">
        <v>0</v>
      </c>
      <c r="J332" s="0" t="n">
        <v>6</v>
      </c>
      <c r="K332" s="115" t="n">
        <f aca="false">IFERROR((D332/C332)/4.5*0.25*C332,0)</f>
        <v>0</v>
      </c>
      <c r="L332" s="115" t="n">
        <f aca="false">IFERROR((G332/F332)/7.95*0.376*F332,0)</f>
        <v>1.38103144654088</v>
      </c>
      <c r="M332" s="117"/>
      <c r="N332" s="117"/>
      <c r="O332" s="117"/>
      <c r="X332" s="53" t="n">
        <f aca="false">D332+G332</f>
        <v>29.2</v>
      </c>
      <c r="Y332" s="53" t="n">
        <f aca="false">H332+E332</f>
        <v>0.2</v>
      </c>
      <c r="Z332" s="53" t="n">
        <f aca="false">X332/Y332</f>
        <v>146</v>
      </c>
    </row>
    <row r="333" customFormat="false" ht="14.25" hidden="false" customHeight="true" outlineLevel="0" collapsed="false">
      <c r="A333" s="0" t="s">
        <v>711</v>
      </c>
      <c r="B333" s="0" t="s">
        <v>498</v>
      </c>
      <c r="C333" s="0" t="n">
        <v>0</v>
      </c>
      <c r="D333" s="0" t="n">
        <v>0</v>
      </c>
      <c r="E333" s="0" t="n">
        <v>0</v>
      </c>
      <c r="F333" s="0" t="n">
        <v>4.1</v>
      </c>
      <c r="G333" s="0" t="n">
        <v>29.9</v>
      </c>
      <c r="H333" s="0" t="n">
        <v>0.2</v>
      </c>
      <c r="I333" s="0" t="n">
        <v>0</v>
      </c>
      <c r="J333" s="0" t="n">
        <v>5.9</v>
      </c>
      <c r="K333" s="115" t="n">
        <f aca="false">IFERROR((D333/C333)/4.5*0.25*C333,0)</f>
        <v>0</v>
      </c>
      <c r="L333" s="115" t="n">
        <f aca="false">IFERROR((G333/F333)/7.95*0.376*F333,0)</f>
        <v>1.41413836477987</v>
      </c>
      <c r="M333" s="117" t="n">
        <f aca="false">C335*Scoring!$B$32+D335/Scoring!$C$32+E335*Scoring!$D$32+F335*Scoring!$E$32+G335/Scoring!$F$32+H335*Scoring!$G$32+I335*Scoring!$H$32+K335*Scoring!$I$32+RB!L335*Scoring!$J$32+U333</f>
        <v>6.24</v>
      </c>
      <c r="N333" s="117" t="n">
        <f aca="false">C333*Scoring!$B$32+D333/Scoring!$C$32+E333*Scoring!$D$32+F333*Scoring!$E$32+G333/Scoring!$F$32+H333*Scoring!$G$32+I333*Scoring!$H$32+K333*Scoring!$I$32+RB!L333*Scoring!$J$32+U333</f>
        <v>6.24</v>
      </c>
      <c r="O333" s="117" t="n">
        <f aca="false">C334*Scoring!$B$32+D334/Scoring!$C$32+E334*Scoring!$D$32+F334*Scoring!$E$32+G334/Scoring!$F$32+H334*Scoring!$G$32+I334*Scoring!$H$32+K334*Scoring!$I$32+L334*Scoring!$J$32+U333</f>
        <v>6.24</v>
      </c>
      <c r="P333" s="53" t="n">
        <f aca="false">IF(COUNTIF(Rookies!$A:$A,A333)&gt;0,1,0)</f>
        <v>0</v>
      </c>
      <c r="S333" s="53" t="n">
        <f aca="false">V333/17</f>
        <v>0.367058823529412</v>
      </c>
      <c r="T333" s="53" t="n">
        <f aca="false">IF(P333=1,MAX(0,0.258*(14.9-S333)),0)</f>
        <v>0</v>
      </c>
      <c r="U333" s="53" t="n">
        <f aca="false">T333*17</f>
        <v>0</v>
      </c>
      <c r="V333" s="53" t="n">
        <f aca="false">C333*Scoring!$B$32+D333/Scoring!$C$32+E333*Scoring!$D$32+F333*Scoring!$E$32+G333/Scoring!$F$32+H333*Scoring!$G$32+I333*Scoring!$H$32+K333*Scoring!$I$32+RB!L333*Scoring!$J$32</f>
        <v>6.24</v>
      </c>
      <c r="X333" s="53" t="n">
        <f aca="false">D333+G333</f>
        <v>29.9</v>
      </c>
      <c r="Y333" s="53" t="n">
        <f aca="false">H333+E333</f>
        <v>0.2</v>
      </c>
      <c r="Z333" s="53" t="n">
        <f aca="false">X333/Y333</f>
        <v>149.5</v>
      </c>
    </row>
    <row r="334" customFormat="false" ht="14.25" hidden="false" customHeight="true" outlineLevel="0" collapsed="false">
      <c r="B334" s="0" t="s">
        <v>491</v>
      </c>
      <c r="C334" s="0" t="n">
        <v>0</v>
      </c>
      <c r="D334" s="0" t="n">
        <v>0</v>
      </c>
      <c r="E334" s="0" t="n">
        <v>0</v>
      </c>
      <c r="F334" s="0" t="n">
        <v>4.1</v>
      </c>
      <c r="G334" s="0" t="n">
        <v>29.9</v>
      </c>
      <c r="H334" s="0" t="n">
        <v>0.2</v>
      </c>
      <c r="I334" s="0" t="n">
        <v>0</v>
      </c>
      <c r="J334" s="0" t="n">
        <v>5.9</v>
      </c>
      <c r="K334" s="115" t="n">
        <f aca="false">IFERROR((D334/C334)/4.5*0.25*C334,0)</f>
        <v>0</v>
      </c>
      <c r="L334" s="115" t="n">
        <f aca="false">IFERROR((G334/F334)/7.95*0.376*F334,0)</f>
        <v>1.41413836477987</v>
      </c>
      <c r="M334" s="117"/>
      <c r="N334" s="117"/>
      <c r="O334" s="117"/>
      <c r="X334" s="53" t="n">
        <f aca="false">D334+G334</f>
        <v>29.9</v>
      </c>
      <c r="Y334" s="53" t="n">
        <f aca="false">H334+E334</f>
        <v>0.2</v>
      </c>
      <c r="Z334" s="53" t="n">
        <f aca="false">X334/Y334</f>
        <v>149.5</v>
      </c>
    </row>
    <row r="335" customFormat="false" ht="14.25" hidden="false" customHeight="true" outlineLevel="0" collapsed="false">
      <c r="B335" s="0" t="s">
        <v>492</v>
      </c>
      <c r="C335" s="0" t="n">
        <v>0</v>
      </c>
      <c r="D335" s="0" t="n">
        <v>0</v>
      </c>
      <c r="E335" s="0" t="n">
        <v>0</v>
      </c>
      <c r="F335" s="0" t="n">
        <v>4.1</v>
      </c>
      <c r="G335" s="0" t="n">
        <v>29.9</v>
      </c>
      <c r="H335" s="0" t="n">
        <v>0.2</v>
      </c>
      <c r="I335" s="0" t="n">
        <v>0</v>
      </c>
      <c r="J335" s="0" t="n">
        <v>5.9</v>
      </c>
      <c r="K335" s="115" t="n">
        <f aca="false">IFERROR((D335/C335)/4.5*0.25*C335,0)</f>
        <v>0</v>
      </c>
      <c r="L335" s="115" t="n">
        <f aca="false">IFERROR((G335/F335)/7.95*0.376*F335,0)</f>
        <v>1.41413836477987</v>
      </c>
      <c r="M335" s="117"/>
      <c r="N335" s="117"/>
      <c r="O335" s="117"/>
      <c r="X335" s="53" t="n">
        <f aca="false">D335+G335</f>
        <v>29.9</v>
      </c>
      <c r="Y335" s="53" t="n">
        <f aca="false">H335+E335</f>
        <v>0.2</v>
      </c>
      <c r="Z335" s="53" t="n">
        <f aca="false">X335/Y335</f>
        <v>149.5</v>
      </c>
    </row>
    <row r="336" customFormat="false" ht="14.25" hidden="false" customHeight="true" outlineLevel="0" collapsed="false">
      <c r="A336" s="0" t="s">
        <v>712</v>
      </c>
      <c r="B336" s="0" t="s">
        <v>524</v>
      </c>
      <c r="C336" s="0" t="n">
        <v>6.9</v>
      </c>
      <c r="D336" s="0" t="n">
        <v>27.5</v>
      </c>
      <c r="E336" s="0" t="n">
        <v>0.2</v>
      </c>
      <c r="F336" s="0" t="n">
        <v>1.2</v>
      </c>
      <c r="G336" s="0" t="n">
        <v>8.7</v>
      </c>
      <c r="H336" s="0" t="n">
        <v>0.1</v>
      </c>
      <c r="I336" s="0" t="n">
        <v>0</v>
      </c>
      <c r="J336" s="0" t="n">
        <v>5.7</v>
      </c>
      <c r="K336" s="115" t="n">
        <f aca="false">IFERROR((D336/C336)/4.5*0.25*C336,0)</f>
        <v>1.52777777777778</v>
      </c>
      <c r="L336" s="115" t="n">
        <f aca="false">IFERROR((G336/F336)/7.95*0.376*F336,0)</f>
        <v>0.411471698113208</v>
      </c>
      <c r="M336" s="117" t="n">
        <f aca="false">C338*Scoring!$B$32+D338/Scoring!$C$32+E338*Scoring!$D$32+F338*Scoring!$E$32+G338/Scoring!$F$32+H338*Scoring!$G$32+I338*Scoring!$H$32+K338*Scoring!$I$32+RB!L338*Scoring!$J$32+U336</f>
        <v>6.02</v>
      </c>
      <c r="N336" s="117" t="n">
        <f aca="false">C336*Scoring!$B$32+D336/Scoring!$C$32+E336*Scoring!$D$32+F336*Scoring!$E$32+G336/Scoring!$F$32+H336*Scoring!$G$32+I336*Scoring!$H$32+K336*Scoring!$I$32+RB!L336*Scoring!$J$32+U336</f>
        <v>6.02</v>
      </c>
      <c r="O336" s="117" t="n">
        <f aca="false">C337*Scoring!$B$32+D337/Scoring!$C$32+E337*Scoring!$D$32+F337*Scoring!$E$32+G337/Scoring!$F$32+H337*Scoring!$G$32+I337*Scoring!$H$32+K337*Scoring!$I$32+L337*Scoring!$J$32+U336</f>
        <v>6.02</v>
      </c>
      <c r="P336" s="53" t="n">
        <f aca="false">IF(COUNTIF(Rookies!$A:$A,A336)&gt;0,1,0)</f>
        <v>0</v>
      </c>
      <c r="S336" s="53" t="n">
        <f aca="false">V336/17</f>
        <v>0.354117647058824</v>
      </c>
      <c r="T336" s="53" t="n">
        <f aca="false">IF(P336=1,MAX(0,0.258*(14.9-S336)),0)</f>
        <v>0</v>
      </c>
      <c r="U336" s="53" t="n">
        <f aca="false">T336*17</f>
        <v>0</v>
      </c>
      <c r="V336" s="53" t="n">
        <f aca="false">C336*Scoring!$B$32+D336/Scoring!$C$32+E336*Scoring!$D$32+F336*Scoring!$E$32+G336/Scoring!$F$32+H336*Scoring!$G$32+I336*Scoring!$H$32+K336*Scoring!$I$32+RB!L336*Scoring!$J$32</f>
        <v>6.02</v>
      </c>
      <c r="X336" s="53" t="n">
        <f aca="false">D336+G336</f>
        <v>36.2</v>
      </c>
      <c r="Y336" s="53" t="n">
        <f aca="false">H336+E336</f>
        <v>0.3</v>
      </c>
      <c r="Z336" s="53" t="n">
        <f aca="false">X336/Y336</f>
        <v>120.666666666667</v>
      </c>
    </row>
    <row r="337" customFormat="false" ht="14.25" hidden="false" customHeight="true" outlineLevel="0" collapsed="false">
      <c r="B337" s="0" t="s">
        <v>491</v>
      </c>
      <c r="C337" s="0" t="n">
        <v>6.9</v>
      </c>
      <c r="D337" s="0" t="n">
        <v>27.5</v>
      </c>
      <c r="E337" s="0" t="n">
        <v>0.2</v>
      </c>
      <c r="F337" s="0" t="n">
        <v>1.2</v>
      </c>
      <c r="G337" s="0" t="n">
        <v>8.7</v>
      </c>
      <c r="H337" s="0" t="n">
        <v>0.1</v>
      </c>
      <c r="I337" s="0" t="n">
        <v>0</v>
      </c>
      <c r="J337" s="0" t="n">
        <v>6.4</v>
      </c>
      <c r="K337" s="115" t="n">
        <f aca="false">IFERROR((D337/C337)/4.5*0.25*C337,0)</f>
        <v>1.52777777777778</v>
      </c>
      <c r="L337" s="115" t="n">
        <f aca="false">IFERROR((G337/F337)/7.95*0.376*F337,0)</f>
        <v>0.411471698113208</v>
      </c>
      <c r="M337" s="117"/>
      <c r="N337" s="117"/>
      <c r="O337" s="117"/>
      <c r="X337" s="53" t="n">
        <f aca="false">D337+G337</f>
        <v>36.2</v>
      </c>
      <c r="Y337" s="53" t="n">
        <f aca="false">H337+E337</f>
        <v>0.3</v>
      </c>
      <c r="Z337" s="53" t="n">
        <f aca="false">X337/Y337</f>
        <v>120.666666666667</v>
      </c>
    </row>
    <row r="338" customFormat="false" ht="14.25" hidden="false" customHeight="true" outlineLevel="0" collapsed="false">
      <c r="B338" s="0" t="s">
        <v>492</v>
      </c>
      <c r="C338" s="0" t="n">
        <v>6.9</v>
      </c>
      <c r="D338" s="0" t="n">
        <v>27.5</v>
      </c>
      <c r="E338" s="0" t="n">
        <v>0.2</v>
      </c>
      <c r="F338" s="0" t="n">
        <v>1.2</v>
      </c>
      <c r="G338" s="0" t="n">
        <v>8.7</v>
      </c>
      <c r="H338" s="0" t="n">
        <v>0.1</v>
      </c>
      <c r="I338" s="0" t="n">
        <v>0</v>
      </c>
      <c r="J338" s="0" t="n">
        <v>6.4</v>
      </c>
      <c r="K338" s="115" t="n">
        <f aca="false">IFERROR((D338/C338)/4.5*0.25*C338,0)</f>
        <v>1.52777777777778</v>
      </c>
      <c r="L338" s="115" t="n">
        <f aca="false">IFERROR((G338/F338)/7.95*0.376*F338,0)</f>
        <v>0.411471698113208</v>
      </c>
      <c r="M338" s="117"/>
      <c r="N338" s="117"/>
      <c r="O338" s="117"/>
      <c r="X338" s="53" t="n">
        <f aca="false">D338+G338</f>
        <v>36.2</v>
      </c>
      <c r="Y338" s="53" t="n">
        <f aca="false">H338+E338</f>
        <v>0.3</v>
      </c>
      <c r="Z338" s="53" t="n">
        <f aca="false">X338/Y338</f>
        <v>120.666666666667</v>
      </c>
    </row>
    <row r="339" customFormat="false" ht="14.25" hidden="false" customHeight="true" outlineLevel="0" collapsed="false">
      <c r="A339" s="0" t="s">
        <v>713</v>
      </c>
      <c r="B339" s="0" t="s">
        <v>504</v>
      </c>
      <c r="C339" s="0" t="n">
        <v>0</v>
      </c>
      <c r="D339" s="0" t="n">
        <v>0</v>
      </c>
      <c r="E339" s="0" t="n">
        <v>0</v>
      </c>
      <c r="F339" s="0" t="n">
        <v>3.9</v>
      </c>
      <c r="G339" s="0" t="n">
        <v>26.8</v>
      </c>
      <c r="H339" s="0" t="n">
        <v>0.1</v>
      </c>
      <c r="I339" s="0" t="n">
        <v>0</v>
      </c>
      <c r="J339" s="0" t="n">
        <v>5.4</v>
      </c>
      <c r="K339" s="115" t="n">
        <f aca="false">IFERROR((D339/C339)/4.5*0.25*C339,0)</f>
        <v>0</v>
      </c>
      <c r="L339" s="115" t="n">
        <f aca="false">IFERROR((G339/F339)/7.95*0.376*F339,0)</f>
        <v>1.26752201257862</v>
      </c>
      <c r="M339" s="117" t="n">
        <f aca="false">C341*Scoring!$B$32+D341/Scoring!$C$32+E341*Scoring!$D$32+F341*Scoring!$E$32+G341/Scoring!$F$32+H341*Scoring!$G$32+I341*Scoring!$H$32+K341*Scoring!$I$32+RB!L341*Scoring!$J$32+U339</f>
        <v>5.23</v>
      </c>
      <c r="N339" s="117" t="n">
        <f aca="false">C339*Scoring!$B$32+D339/Scoring!$C$32+E339*Scoring!$D$32+F339*Scoring!$E$32+G339/Scoring!$F$32+H339*Scoring!$G$32+I339*Scoring!$H$32+K339*Scoring!$I$32+RB!L339*Scoring!$J$32+U339</f>
        <v>5.23</v>
      </c>
      <c r="O339" s="117" t="n">
        <f aca="false">C340*Scoring!$B$32+D340/Scoring!$C$32+E340*Scoring!$D$32+F340*Scoring!$E$32+G340/Scoring!$F$32+H340*Scoring!$G$32+I340*Scoring!$H$32+K340*Scoring!$I$32+L340*Scoring!$J$32+U339</f>
        <v>5.23</v>
      </c>
      <c r="P339" s="53" t="n">
        <f aca="false">IF(COUNTIF(Rookies!$A:$A,A339)&gt;0,1,0)</f>
        <v>0</v>
      </c>
      <c r="S339" s="53" t="n">
        <f aca="false">V339/17</f>
        <v>0.307647058823529</v>
      </c>
      <c r="T339" s="53" t="n">
        <f aca="false">IF(P339=1,MAX(0,0.258*(14.9-S339)),0)</f>
        <v>0</v>
      </c>
      <c r="U339" s="53" t="n">
        <f aca="false">T339*17</f>
        <v>0</v>
      </c>
      <c r="V339" s="53" t="n">
        <f aca="false">C339*Scoring!$B$32+D339/Scoring!$C$32+E339*Scoring!$D$32+F339*Scoring!$E$32+G339/Scoring!$F$32+H339*Scoring!$G$32+I339*Scoring!$H$32+K339*Scoring!$I$32+RB!L339*Scoring!$J$32</f>
        <v>5.23</v>
      </c>
      <c r="X339" s="53" t="n">
        <f aca="false">D339+G339</f>
        <v>26.8</v>
      </c>
      <c r="Y339" s="53" t="n">
        <f aca="false">H339+E339</f>
        <v>0.1</v>
      </c>
      <c r="Z339" s="53" t="n">
        <f aca="false">X339/Y339</f>
        <v>268</v>
      </c>
    </row>
    <row r="340" customFormat="false" ht="14.25" hidden="false" customHeight="true" outlineLevel="0" collapsed="false">
      <c r="B340" s="0" t="s">
        <v>491</v>
      </c>
      <c r="C340" s="0" t="n">
        <v>0</v>
      </c>
      <c r="D340" s="0" t="n">
        <v>0</v>
      </c>
      <c r="E340" s="0" t="n">
        <v>0</v>
      </c>
      <c r="F340" s="0" t="n">
        <v>3.9</v>
      </c>
      <c r="G340" s="0" t="n">
        <v>26.8</v>
      </c>
      <c r="H340" s="0" t="n">
        <v>0.1</v>
      </c>
      <c r="I340" s="0" t="n">
        <v>0</v>
      </c>
      <c r="J340" s="0" t="n">
        <v>5.4</v>
      </c>
      <c r="K340" s="115" t="n">
        <f aca="false">IFERROR((D340/C340)/4.5*0.25*C340,0)</f>
        <v>0</v>
      </c>
      <c r="L340" s="115" t="n">
        <f aca="false">IFERROR((G340/F340)/7.95*0.376*F340,0)</f>
        <v>1.26752201257862</v>
      </c>
      <c r="M340" s="117"/>
      <c r="N340" s="117"/>
      <c r="O340" s="117"/>
      <c r="X340" s="53" t="n">
        <f aca="false">D340+G340</f>
        <v>26.8</v>
      </c>
      <c r="Y340" s="53" t="n">
        <f aca="false">H340+E340</f>
        <v>0.1</v>
      </c>
      <c r="Z340" s="53" t="n">
        <f aca="false">X340/Y340</f>
        <v>268</v>
      </c>
    </row>
    <row r="341" customFormat="false" ht="14.25" hidden="false" customHeight="true" outlineLevel="0" collapsed="false">
      <c r="B341" s="0" t="s">
        <v>492</v>
      </c>
      <c r="C341" s="0" t="n">
        <v>0</v>
      </c>
      <c r="D341" s="0" t="n">
        <v>0</v>
      </c>
      <c r="E341" s="0" t="n">
        <v>0</v>
      </c>
      <c r="F341" s="0" t="n">
        <v>3.9</v>
      </c>
      <c r="G341" s="0" t="n">
        <v>26.8</v>
      </c>
      <c r="H341" s="0" t="n">
        <v>0.1</v>
      </c>
      <c r="I341" s="0" t="n">
        <v>0</v>
      </c>
      <c r="J341" s="0" t="n">
        <v>5.4</v>
      </c>
      <c r="K341" s="115" t="n">
        <f aca="false">IFERROR((D341/C341)/4.5*0.25*C341,0)</f>
        <v>0</v>
      </c>
      <c r="L341" s="115" t="n">
        <f aca="false">IFERROR((G341/F341)/7.95*0.376*F341,0)</f>
        <v>1.26752201257862</v>
      </c>
      <c r="M341" s="117"/>
      <c r="N341" s="117"/>
      <c r="O341" s="117"/>
      <c r="X341" s="53" t="n">
        <f aca="false">D341+G341</f>
        <v>26.8</v>
      </c>
      <c r="Y341" s="53" t="n">
        <f aca="false">H341+E341</f>
        <v>0.1</v>
      </c>
      <c r="Z341" s="53" t="n">
        <f aca="false">X341/Y341</f>
        <v>268</v>
      </c>
    </row>
    <row r="342" customFormat="false" ht="14.25" hidden="false" customHeight="true" outlineLevel="0" collapsed="false">
      <c r="A342" s="0" t="s">
        <v>714</v>
      </c>
      <c r="B342" s="0" t="s">
        <v>538</v>
      </c>
      <c r="C342" s="0" t="n">
        <v>4.2</v>
      </c>
      <c r="D342" s="0" t="n">
        <v>18</v>
      </c>
      <c r="E342" s="0" t="n">
        <v>0.1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2.4</v>
      </c>
      <c r="K342" s="115" t="n">
        <f aca="false">IFERROR((D342/C342)/4.5*0.25*C342,0)</f>
        <v>1</v>
      </c>
      <c r="L342" s="115" t="n">
        <f aca="false">IFERROR((G342/F342)/7.95*0.376*F342,0)</f>
        <v>0</v>
      </c>
      <c r="M342" s="117" t="n">
        <f aca="false">C344*Scoring!$B$32+D344/Scoring!$C$32+E344*Scoring!$D$32+F344*Scoring!$E$32+G344/Scoring!$F$32+H344*Scoring!$G$32+I344*Scoring!$H$32+K344*Scoring!$I$32+RB!L344*Scoring!$J$32+U342</f>
        <v>2.4</v>
      </c>
      <c r="N342" s="117" t="n">
        <f aca="false">C342*Scoring!$B$32+D342/Scoring!$C$32+E342*Scoring!$D$32+F342*Scoring!$E$32+G342/Scoring!$F$32+H342*Scoring!$G$32+I342*Scoring!$H$32+K342*Scoring!$I$32+RB!L342*Scoring!$J$32+U342</f>
        <v>2.4</v>
      </c>
      <c r="O342" s="117" t="n">
        <f aca="false">C343*Scoring!$B$32+D343/Scoring!$C$32+E343*Scoring!$D$32+F343*Scoring!$E$32+G343/Scoring!$F$32+H343*Scoring!$G$32+I343*Scoring!$H$32+K343*Scoring!$I$32+L343*Scoring!$J$32+U342</f>
        <v>2.4</v>
      </c>
      <c r="P342" s="53" t="n">
        <f aca="false">IF(COUNTIF(Rookies!$A:$A,A342)&gt;0,1,0)</f>
        <v>0</v>
      </c>
      <c r="S342" s="53" t="n">
        <f aca="false">V342/17</f>
        <v>0.141176470588235</v>
      </c>
      <c r="T342" s="53" t="n">
        <f aca="false">IF(P342=1,MAX(0,0.258*(14.9-S342)),0)</f>
        <v>0</v>
      </c>
      <c r="U342" s="53" t="n">
        <f aca="false">T342*17</f>
        <v>0</v>
      </c>
      <c r="V342" s="53" t="n">
        <f aca="false">C342*Scoring!$B$32+D342/Scoring!$C$32+E342*Scoring!$D$32+F342*Scoring!$E$32+G342/Scoring!$F$32+H342*Scoring!$G$32+I342*Scoring!$H$32+K342*Scoring!$I$32+RB!L342*Scoring!$J$32</f>
        <v>2.4</v>
      </c>
      <c r="X342" s="53" t="n">
        <f aca="false">D342+G342</f>
        <v>18</v>
      </c>
      <c r="Y342" s="53" t="n">
        <f aca="false">H342+E342</f>
        <v>0.1</v>
      </c>
      <c r="Z342" s="53" t="n">
        <f aca="false">X342/Y342</f>
        <v>180</v>
      </c>
    </row>
    <row r="343" customFormat="false" ht="14.25" hidden="false" customHeight="true" outlineLevel="0" collapsed="false">
      <c r="B343" s="0" t="s">
        <v>491</v>
      </c>
      <c r="C343" s="0" t="n">
        <v>4.2</v>
      </c>
      <c r="D343" s="0" t="n">
        <v>18</v>
      </c>
      <c r="E343" s="0" t="n">
        <v>0.1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2.4</v>
      </c>
      <c r="K343" s="115" t="n">
        <f aca="false">IFERROR((D343/C343)/4.5*0.25*C343,0)</f>
        <v>1</v>
      </c>
      <c r="L343" s="115" t="n">
        <f aca="false">IFERROR((G343/F343)/7.95*0.376*F343,0)</f>
        <v>0</v>
      </c>
      <c r="M343" s="117"/>
      <c r="N343" s="117"/>
      <c r="O343" s="117"/>
      <c r="X343" s="53" t="n">
        <f aca="false">D343+G343</f>
        <v>18</v>
      </c>
      <c r="Y343" s="53" t="n">
        <f aca="false">H343+E343</f>
        <v>0.1</v>
      </c>
      <c r="Z343" s="53" t="n">
        <f aca="false">X343/Y343</f>
        <v>180</v>
      </c>
    </row>
    <row r="344" customFormat="false" ht="14.25" hidden="false" customHeight="true" outlineLevel="0" collapsed="false">
      <c r="B344" s="0" t="s">
        <v>492</v>
      </c>
      <c r="C344" s="0" t="n">
        <v>4.2</v>
      </c>
      <c r="D344" s="0" t="n">
        <v>18</v>
      </c>
      <c r="E344" s="0" t="n">
        <v>0.1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2.4</v>
      </c>
      <c r="K344" s="115" t="n">
        <f aca="false">IFERROR((D344/C344)/4.5*0.25*C344,0)</f>
        <v>1</v>
      </c>
      <c r="L344" s="115" t="n">
        <f aca="false">IFERROR((G344/F344)/7.95*0.376*F344,0)</f>
        <v>0</v>
      </c>
      <c r="M344" s="117"/>
      <c r="N344" s="117"/>
      <c r="O344" s="117"/>
      <c r="X344" s="53" t="n">
        <f aca="false">D344+G344</f>
        <v>18</v>
      </c>
      <c r="Y344" s="53" t="n">
        <f aca="false">H344+E344</f>
        <v>0.1</v>
      </c>
      <c r="Z344" s="53" t="n">
        <f aca="false">X344/Y344</f>
        <v>180</v>
      </c>
    </row>
    <row r="345" customFormat="false" ht="14.25" hidden="false" customHeight="true" outlineLevel="0" collapsed="false">
      <c r="A345" s="0" t="s">
        <v>715</v>
      </c>
      <c r="B345" s="0" t="s">
        <v>522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115" t="n">
        <f aca="false">IFERROR((D345/C345)/4.5*0.25*C345,0)</f>
        <v>0</v>
      </c>
      <c r="L345" s="115" t="n">
        <f aca="false">IFERROR((G345/F345)/7.95*0.376*F345,0)</f>
        <v>0</v>
      </c>
      <c r="M345" s="117" t="n">
        <f aca="false">C347*Scoring!$B$32+D347/Scoring!$C$32+E347*Scoring!$D$32+F347*Scoring!$E$32+G347/Scoring!$F$32+H347*Scoring!$G$32+I347*Scoring!$H$32+K347*Scoring!$I$32+RB!L347*Scoring!$J$32+U345</f>
        <v>0</v>
      </c>
      <c r="N345" s="117" t="n">
        <f aca="false">C345*Scoring!$B$32+D345/Scoring!$C$32+E345*Scoring!$D$32+F345*Scoring!$E$32+G345/Scoring!$F$32+H345*Scoring!$G$32+I345*Scoring!$H$32+K345*Scoring!$I$32+RB!L345*Scoring!$J$32+U345</f>
        <v>0</v>
      </c>
      <c r="O345" s="117" t="n">
        <f aca="false">C346*Scoring!$B$32+D346/Scoring!$C$32+E346*Scoring!$D$32+F346*Scoring!$E$32+G346/Scoring!$F$32+H346*Scoring!$G$32+I346*Scoring!$H$32+K346*Scoring!$I$32+L346*Scoring!$J$32+U345</f>
        <v>0</v>
      </c>
      <c r="P345" s="53" t="n">
        <f aca="false">IF(COUNTIF(Rookies!$A:$A,A345)&gt;0,1,0)</f>
        <v>0</v>
      </c>
      <c r="S345" s="53" t="n">
        <f aca="false">V345/17</f>
        <v>0</v>
      </c>
      <c r="T345" s="53" t="n">
        <f aca="false">IF(P345=1,MAX(0,0.258*(14.9-S345)),0)</f>
        <v>0</v>
      </c>
      <c r="U345" s="53" t="n">
        <f aca="false">T345*17</f>
        <v>0</v>
      </c>
      <c r="V345" s="53" t="n">
        <f aca="false">C345*Scoring!$B$32+D345/Scoring!$C$32+E345*Scoring!$D$32+F345*Scoring!$E$32+G345/Scoring!$F$32+H345*Scoring!$G$32+I345*Scoring!$H$32+K345*Scoring!$I$32+RB!L345*Scoring!$J$32</f>
        <v>0</v>
      </c>
      <c r="X345" s="53" t="n">
        <f aca="false">D345+G345</f>
        <v>0</v>
      </c>
      <c r="Y345" s="53" t="n">
        <f aca="false">H345+E345</f>
        <v>0</v>
      </c>
      <c r="Z345" s="53" t="e">
        <f aca="false">X345/Y345</f>
        <v>#DIV/0!</v>
      </c>
    </row>
    <row r="346" customFormat="false" ht="14.25" hidden="false" customHeight="true" outlineLevel="0" collapsed="false">
      <c r="B346" s="0" t="s">
        <v>491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115" t="n">
        <f aca="false">IFERROR((D346/C346)/4.5*0.25*C346,0)</f>
        <v>0</v>
      </c>
      <c r="L346" s="115" t="n">
        <f aca="false">IFERROR((G346/F346)/7.95*0.376*F346,0)</f>
        <v>0</v>
      </c>
      <c r="M346" s="117"/>
      <c r="N346" s="117"/>
      <c r="O346" s="117"/>
      <c r="X346" s="53" t="n">
        <f aca="false">D346+G346</f>
        <v>0</v>
      </c>
      <c r="Y346" s="53" t="n">
        <f aca="false">H346+E346</f>
        <v>0</v>
      </c>
      <c r="Z346" s="53" t="e">
        <f aca="false">X346/Y346</f>
        <v>#DIV/0!</v>
      </c>
    </row>
    <row r="347" customFormat="false" ht="14.25" hidden="false" customHeight="true" outlineLevel="0" collapsed="false">
      <c r="B347" s="0" t="s">
        <v>492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115" t="n">
        <f aca="false">IFERROR((D347/C347)/4.5*0.25*C347,0)</f>
        <v>0</v>
      </c>
      <c r="L347" s="115" t="n">
        <f aca="false">IFERROR((G347/F347)/7.95*0.376*F347,0)</f>
        <v>0</v>
      </c>
      <c r="M347" s="117"/>
      <c r="N347" s="117"/>
      <c r="O347" s="117"/>
      <c r="X347" s="53" t="n">
        <f aca="false">D347+G347</f>
        <v>0</v>
      </c>
      <c r="Y347" s="53" t="n">
        <f aca="false">H347+E347</f>
        <v>0</v>
      </c>
      <c r="Z347" s="53" t="e">
        <f aca="false">X347/Y347</f>
        <v>#DIV/0!</v>
      </c>
    </row>
    <row r="348" customFormat="false" ht="14.25" hidden="false" customHeight="true" outlineLevel="0" collapsed="false">
      <c r="A348" s="0" t="s">
        <v>716</v>
      </c>
      <c r="B348" s="0" t="s">
        <v>496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115" t="n">
        <f aca="false">IFERROR((D348/C348)/4.5*0.25*C348,0)</f>
        <v>0</v>
      </c>
      <c r="L348" s="115" t="n">
        <f aca="false">IFERROR((G348/F348)/7.95*0.376*F348,0)</f>
        <v>0</v>
      </c>
      <c r="M348" s="117" t="n">
        <f aca="false">C350*Scoring!$B$32+D350/Scoring!$C$32+E350*Scoring!$D$32+F350*Scoring!$E$32+G350/Scoring!$F$32+H350*Scoring!$G$32+I350*Scoring!$H$32+K350*Scoring!$I$32+RB!L350*Scoring!$J$32+U348</f>
        <v>0</v>
      </c>
      <c r="N348" s="117" t="n">
        <f aca="false">C348*Scoring!$B$32+D348/Scoring!$C$32+E348*Scoring!$D$32+F348*Scoring!$E$32+G348/Scoring!$F$32+H348*Scoring!$G$32+I348*Scoring!$H$32+K348*Scoring!$I$32+RB!L348*Scoring!$J$32+U348</f>
        <v>0</v>
      </c>
      <c r="O348" s="117" t="n">
        <f aca="false">C349*Scoring!$B$32+D349/Scoring!$C$32+E349*Scoring!$D$32+F349*Scoring!$E$32+G349/Scoring!$F$32+H349*Scoring!$G$32+I349*Scoring!$H$32+K349*Scoring!$I$32+L349*Scoring!$J$32+U348</f>
        <v>0</v>
      </c>
      <c r="P348" s="53" t="n">
        <f aca="false">IF(COUNTIF(Rookies!$A:$A,A348)&gt;0,1,0)</f>
        <v>0</v>
      </c>
      <c r="S348" s="53" t="n">
        <f aca="false">V348/17</f>
        <v>0</v>
      </c>
      <c r="T348" s="53" t="n">
        <f aca="false">IF(P348=1,MAX(0,0.258*(14.9-S348)),0)</f>
        <v>0</v>
      </c>
      <c r="U348" s="53" t="n">
        <f aca="false">T348*17</f>
        <v>0</v>
      </c>
      <c r="V348" s="53" t="n">
        <f aca="false">C348*Scoring!$B$32+D348/Scoring!$C$32+E348*Scoring!$D$32+F348*Scoring!$E$32+G348/Scoring!$F$32+H348*Scoring!$G$32+I348*Scoring!$H$32+K348*Scoring!$I$32+RB!L348*Scoring!$J$32</f>
        <v>0</v>
      </c>
      <c r="X348" s="53" t="n">
        <f aca="false">D348+G348</f>
        <v>0</v>
      </c>
      <c r="Y348" s="53" t="n">
        <f aca="false">H348+E348</f>
        <v>0</v>
      </c>
      <c r="Z348" s="53" t="e">
        <f aca="false">X348/Y348</f>
        <v>#DIV/0!</v>
      </c>
    </row>
    <row r="349" customFormat="false" ht="14.25" hidden="false" customHeight="true" outlineLevel="0" collapsed="false">
      <c r="B349" s="0" t="s">
        <v>491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115" t="n">
        <f aca="false">IFERROR((D349/C349)/4.5*0.25*C349,0)</f>
        <v>0</v>
      </c>
      <c r="L349" s="115" t="n">
        <f aca="false">IFERROR((G349/F349)/7.95*0.376*F349,0)</f>
        <v>0</v>
      </c>
      <c r="M349" s="117"/>
      <c r="N349" s="117"/>
      <c r="O349" s="117"/>
      <c r="X349" s="53" t="n">
        <f aca="false">D349+G349</f>
        <v>0</v>
      </c>
      <c r="Y349" s="53" t="n">
        <f aca="false">H349+E349</f>
        <v>0</v>
      </c>
      <c r="Z349" s="53" t="e">
        <f aca="false">X349/Y349</f>
        <v>#DIV/0!</v>
      </c>
    </row>
    <row r="350" customFormat="false" ht="14.25" hidden="false" customHeight="true" outlineLevel="0" collapsed="false">
      <c r="B350" s="0" t="s">
        <v>492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115" t="n">
        <f aca="false">IFERROR((D350/C350)/4.5*0.25*C350,0)</f>
        <v>0</v>
      </c>
      <c r="L350" s="115" t="n">
        <f aca="false">IFERROR((G350/F350)/7.95*0.376*F350,0)</f>
        <v>0</v>
      </c>
      <c r="M350" s="117"/>
      <c r="N350" s="117"/>
      <c r="O350" s="117"/>
      <c r="X350" s="53" t="n">
        <f aca="false">D350+G350</f>
        <v>0</v>
      </c>
      <c r="Y350" s="53" t="n">
        <f aca="false">H350+E350</f>
        <v>0</v>
      </c>
      <c r="Z350" s="53" t="e">
        <f aca="false">X350/Y350</f>
        <v>#DIV/0!</v>
      </c>
    </row>
    <row r="351" customFormat="false" ht="14.25" hidden="false" customHeight="true" outlineLevel="0" collapsed="false">
      <c r="A351" s="0" t="s">
        <v>717</v>
      </c>
      <c r="B351" s="0" t="s">
        <v>518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115" t="n">
        <f aca="false">IFERROR((D351/C351)/4.5*0.25*C351,0)</f>
        <v>0</v>
      </c>
      <c r="L351" s="115" t="n">
        <f aca="false">IFERROR((G351/F351)/7.95*0.376*F351,0)</f>
        <v>0</v>
      </c>
      <c r="M351" s="117" t="n">
        <f aca="false">C353*Scoring!$B$32+D353/Scoring!$C$32+E353*Scoring!$D$32+F353*Scoring!$E$32+G353/Scoring!$F$32+H353*Scoring!$G$32+I353*Scoring!$H$32+K353*Scoring!$I$32+RB!L353*Scoring!$J$32+U351</f>
        <v>0</v>
      </c>
      <c r="N351" s="117" t="n">
        <f aca="false">C351*Scoring!$B$32+D351/Scoring!$C$32+E351*Scoring!$D$32+F351*Scoring!$E$32+G351/Scoring!$F$32+H351*Scoring!$G$32+I351*Scoring!$H$32+K351*Scoring!$I$32+RB!L351*Scoring!$J$32+U351</f>
        <v>0</v>
      </c>
      <c r="O351" s="117" t="n">
        <f aca="false">C352*Scoring!$B$32+D352/Scoring!$C$32+E352*Scoring!$D$32+F352*Scoring!$E$32+G352/Scoring!$F$32+H352*Scoring!$G$32+I352*Scoring!$H$32+K352*Scoring!$I$32+L352*Scoring!$J$32+U351</f>
        <v>0</v>
      </c>
      <c r="P351" s="53" t="n">
        <f aca="false">IF(COUNTIF(Rookies!$A:$A,A351)&gt;0,1,0)</f>
        <v>0</v>
      </c>
      <c r="S351" s="53" t="n">
        <f aca="false">V351/17</f>
        <v>0</v>
      </c>
      <c r="T351" s="53" t="n">
        <f aca="false">IF(P351=1,MAX(0,0.258*(14.9-S351)),0)</f>
        <v>0</v>
      </c>
      <c r="U351" s="53" t="n">
        <f aca="false">T351*17</f>
        <v>0</v>
      </c>
      <c r="V351" s="53" t="n">
        <f aca="false">C351*Scoring!$B$32+D351/Scoring!$C$32+E351*Scoring!$D$32+F351*Scoring!$E$32+G351/Scoring!$F$32+H351*Scoring!$G$32+I351*Scoring!$H$32+K351*Scoring!$I$32+RB!L351*Scoring!$J$32</f>
        <v>0</v>
      </c>
      <c r="X351" s="53" t="n">
        <f aca="false">D351+G351</f>
        <v>0</v>
      </c>
      <c r="Y351" s="53" t="n">
        <f aca="false">H351+E351</f>
        <v>0</v>
      </c>
      <c r="Z351" s="53" t="e">
        <f aca="false">X351/Y351</f>
        <v>#DIV/0!</v>
      </c>
    </row>
    <row r="352" customFormat="false" ht="14.25" hidden="false" customHeight="true" outlineLevel="0" collapsed="false">
      <c r="B352" s="0" t="s">
        <v>491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0.4</v>
      </c>
      <c r="K352" s="115" t="n">
        <f aca="false">IFERROR((D352/C352)/4.5*0.25*C352,0)</f>
        <v>0</v>
      </c>
      <c r="L352" s="115" t="n">
        <f aca="false">IFERROR((G352/F352)/7.95*0.376*F352,0)</f>
        <v>0</v>
      </c>
      <c r="M352" s="117"/>
      <c r="N352" s="117"/>
      <c r="O352" s="117"/>
      <c r="X352" s="53" t="n">
        <f aca="false">D352+G352</f>
        <v>0</v>
      </c>
      <c r="Y352" s="53" t="n">
        <f aca="false">H352+E352</f>
        <v>0</v>
      </c>
      <c r="Z352" s="53" t="e">
        <f aca="false">X352/Y352</f>
        <v>#DIV/0!</v>
      </c>
    </row>
    <row r="353" customFormat="false" ht="14.25" hidden="false" customHeight="true" outlineLevel="0" collapsed="false">
      <c r="B353" s="0" t="s">
        <v>492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0.4</v>
      </c>
      <c r="K353" s="115" t="n">
        <f aca="false">IFERROR((D353/C353)/4.5*0.25*C353,0)</f>
        <v>0</v>
      </c>
      <c r="L353" s="115" t="n">
        <f aca="false">IFERROR((G353/F353)/7.95*0.376*F353,0)</f>
        <v>0</v>
      </c>
      <c r="M353" s="117"/>
      <c r="N353" s="117"/>
      <c r="O353" s="117"/>
      <c r="X353" s="53" t="n">
        <f aca="false">D353+G353</f>
        <v>0</v>
      </c>
      <c r="Y353" s="53" t="n">
        <f aca="false">H353+E353</f>
        <v>0</v>
      </c>
      <c r="Z353" s="53" t="e">
        <f aca="false">X353/Y353</f>
        <v>#DIV/0!</v>
      </c>
    </row>
    <row r="354" customFormat="false" ht="14.25" hidden="false" customHeight="true" outlineLevel="0" collapsed="false">
      <c r="A354" s="0" t="s">
        <v>718</v>
      </c>
      <c r="B354" s="0" t="s">
        <v>546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115" t="n">
        <f aca="false">IFERROR((D354/C354)/4.5*0.25*C354,0)</f>
        <v>0</v>
      </c>
      <c r="L354" s="115" t="n">
        <f aca="false">IFERROR((G354/F354)/7.95*0.376*F354,0)</f>
        <v>0</v>
      </c>
      <c r="M354" s="117" t="n">
        <f aca="false">C356*Scoring!$B$32+D356/Scoring!$C$32+E356*Scoring!$D$32+F356*Scoring!$E$32+G356/Scoring!$F$32+H356*Scoring!$G$32+I356*Scoring!$H$32+K356*Scoring!$I$32+RB!L356*Scoring!$J$32+U354</f>
        <v>0</v>
      </c>
      <c r="N354" s="117" t="n">
        <f aca="false">C354*Scoring!$B$32+D354/Scoring!$C$32+E354*Scoring!$D$32+F354*Scoring!$E$32+G354/Scoring!$F$32+H354*Scoring!$G$32+I354*Scoring!$H$32+K354*Scoring!$I$32+RB!L354*Scoring!$J$32+U354</f>
        <v>0</v>
      </c>
      <c r="O354" s="117" t="n">
        <f aca="false">C355*Scoring!$B$32+D355/Scoring!$C$32+E355*Scoring!$D$32+F355*Scoring!$E$32+G355/Scoring!$F$32+H355*Scoring!$G$32+I355*Scoring!$H$32+K355*Scoring!$I$32+L355*Scoring!$J$32+U354</f>
        <v>0</v>
      </c>
      <c r="P354" s="53" t="n">
        <f aca="false">IF(COUNTIF(Rookies!$A:$A,A354)&gt;0,1,0)</f>
        <v>0</v>
      </c>
      <c r="S354" s="53" t="n">
        <f aca="false">V354/17</f>
        <v>0</v>
      </c>
      <c r="T354" s="53" t="n">
        <f aca="false">IF(P354=1,MAX(0,0.258*(14.9-S354)),0)</f>
        <v>0</v>
      </c>
      <c r="U354" s="53" t="n">
        <f aca="false">T354*17</f>
        <v>0</v>
      </c>
      <c r="V354" s="53" t="n">
        <f aca="false">C354*Scoring!$B$32+D354/Scoring!$C$32+E354*Scoring!$D$32+F354*Scoring!$E$32+G354/Scoring!$F$32+H354*Scoring!$G$32+I354*Scoring!$H$32+K354*Scoring!$I$32+RB!L354*Scoring!$J$32</f>
        <v>0</v>
      </c>
      <c r="X354" s="53" t="n">
        <f aca="false">D354+G354</f>
        <v>0</v>
      </c>
      <c r="Y354" s="53" t="n">
        <f aca="false">H354+E354</f>
        <v>0</v>
      </c>
      <c r="Z354" s="53" t="e">
        <f aca="false">X354/Y354</f>
        <v>#DIV/0!</v>
      </c>
    </row>
    <row r="355" customFormat="false" ht="14.25" hidden="false" customHeight="true" outlineLevel="0" collapsed="false">
      <c r="B355" s="0" t="s">
        <v>491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115" t="n">
        <f aca="false">IFERROR((D355/C355)/4.5*0.25*C355,0)</f>
        <v>0</v>
      </c>
      <c r="L355" s="115" t="n">
        <f aca="false">IFERROR((G355/F355)/7.95*0.376*F355,0)</f>
        <v>0</v>
      </c>
      <c r="M355" s="117"/>
      <c r="N355" s="117"/>
      <c r="O355" s="117"/>
      <c r="X355" s="53" t="n">
        <f aca="false">D355+G355</f>
        <v>0</v>
      </c>
      <c r="Y355" s="53" t="n">
        <f aca="false">H355+E355</f>
        <v>0</v>
      </c>
      <c r="Z355" s="53" t="e">
        <f aca="false">X355/Y355</f>
        <v>#DIV/0!</v>
      </c>
    </row>
    <row r="356" customFormat="false" ht="14.25" hidden="false" customHeight="true" outlineLevel="0" collapsed="false">
      <c r="B356" s="0" t="s">
        <v>492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115" t="n">
        <f aca="false">IFERROR((D356/C356)/4.5*0.25*C356,0)</f>
        <v>0</v>
      </c>
      <c r="L356" s="115" t="n">
        <f aca="false">IFERROR((G356/F356)/7.95*0.376*F356,0)</f>
        <v>0</v>
      </c>
      <c r="M356" s="117"/>
      <c r="N356" s="117"/>
      <c r="O356" s="117"/>
      <c r="X356" s="53" t="n">
        <f aca="false">D356+G356</f>
        <v>0</v>
      </c>
      <c r="Y356" s="53" t="n">
        <f aca="false">H356+E356</f>
        <v>0</v>
      </c>
      <c r="Z356" s="53" t="e">
        <f aca="false">X356/Y356</f>
        <v>#DIV/0!</v>
      </c>
    </row>
    <row r="357" customFormat="false" ht="14.25" hidden="false" customHeight="true" outlineLevel="0" collapsed="false">
      <c r="A357" s="0" t="s">
        <v>719</v>
      </c>
      <c r="B357" s="0" t="s">
        <v>540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115" t="n">
        <f aca="false">IFERROR((D357/C357)/4.5*0.25*C357,0)</f>
        <v>0</v>
      </c>
      <c r="L357" s="115" t="n">
        <f aca="false">IFERROR((G357/F357)/7.95*0.376*F357,0)</f>
        <v>0</v>
      </c>
      <c r="M357" s="117" t="n">
        <f aca="false">C359*Scoring!$B$32+D359/Scoring!$C$32+E359*Scoring!$D$32+F359*Scoring!$E$32+G359/Scoring!$F$32+H359*Scoring!$G$32+I359*Scoring!$H$32+K359*Scoring!$I$32+RB!L359*Scoring!$J$32+U357</f>
        <v>0</v>
      </c>
      <c r="N357" s="117" t="n">
        <f aca="false">C357*Scoring!$B$32+D357/Scoring!$C$32+E357*Scoring!$D$32+F357*Scoring!$E$32+G357/Scoring!$F$32+H357*Scoring!$G$32+I357*Scoring!$H$32+K357*Scoring!$I$32+RB!L357*Scoring!$J$32+U357</f>
        <v>0</v>
      </c>
      <c r="O357" s="117" t="n">
        <f aca="false">C358*Scoring!$B$32+D358/Scoring!$C$32+E358*Scoring!$D$32+F358*Scoring!$E$32+G358/Scoring!$F$32+H358*Scoring!$G$32+I358*Scoring!$H$32+K358*Scoring!$I$32+L358*Scoring!$J$32+U357</f>
        <v>0</v>
      </c>
      <c r="P357" s="53" t="n">
        <f aca="false">IF(COUNTIF(Rookies!$A:$A,A357)&gt;0,1,0)</f>
        <v>0</v>
      </c>
      <c r="S357" s="53" t="n">
        <f aca="false">V357/17</f>
        <v>0</v>
      </c>
      <c r="T357" s="53" t="n">
        <f aca="false">IF(P357=1,MAX(0,0.258*(14.9-S357)),0)</f>
        <v>0</v>
      </c>
      <c r="U357" s="53" t="n">
        <f aca="false">T357*17</f>
        <v>0</v>
      </c>
      <c r="V357" s="53" t="n">
        <f aca="false">C357*Scoring!$B$32+D357/Scoring!$C$32+E357*Scoring!$D$32+F357*Scoring!$E$32+G357/Scoring!$F$32+H357*Scoring!$G$32+I357*Scoring!$H$32+K357*Scoring!$I$32+RB!L357*Scoring!$J$32</f>
        <v>0</v>
      </c>
      <c r="X357" s="53" t="n">
        <f aca="false">D357+G357</f>
        <v>0</v>
      </c>
      <c r="Y357" s="53" t="n">
        <f aca="false">H357+E357</f>
        <v>0</v>
      </c>
      <c r="Z357" s="53" t="e">
        <f aca="false">X357/Y357</f>
        <v>#DIV/0!</v>
      </c>
    </row>
    <row r="358" customFormat="false" ht="14.25" hidden="false" customHeight="true" outlineLevel="0" collapsed="false">
      <c r="B358" s="0" t="s">
        <v>491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115" t="n">
        <f aca="false">IFERROR((D358/C358)/4.5*0.25*C358,0)</f>
        <v>0</v>
      </c>
      <c r="L358" s="115" t="n">
        <f aca="false">IFERROR((G358/F358)/7.95*0.376*F358,0)</f>
        <v>0</v>
      </c>
      <c r="M358" s="117"/>
      <c r="N358" s="117"/>
      <c r="O358" s="117"/>
      <c r="X358" s="53" t="n">
        <f aca="false">D358+G358</f>
        <v>0</v>
      </c>
      <c r="Y358" s="53" t="n">
        <f aca="false">H358+E358</f>
        <v>0</v>
      </c>
      <c r="Z358" s="53" t="e">
        <f aca="false">X358/Y358</f>
        <v>#DIV/0!</v>
      </c>
    </row>
    <row r="359" customFormat="false" ht="14.25" hidden="false" customHeight="true" outlineLevel="0" collapsed="false">
      <c r="B359" s="0" t="s">
        <v>492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115" t="n">
        <f aca="false">IFERROR((D359/C359)/4.5*0.25*C359,0)</f>
        <v>0</v>
      </c>
      <c r="L359" s="115" t="n">
        <f aca="false">IFERROR((G359/F359)/7.95*0.376*F359,0)</f>
        <v>0</v>
      </c>
      <c r="M359" s="117"/>
      <c r="N359" s="117"/>
      <c r="O359" s="117"/>
      <c r="X359" s="53" t="n">
        <f aca="false">D359+G359</f>
        <v>0</v>
      </c>
      <c r="Y359" s="53" t="n">
        <f aca="false">H359+E359</f>
        <v>0</v>
      </c>
      <c r="Z359" s="53" t="e">
        <f aca="false">X359/Y359</f>
        <v>#DIV/0!</v>
      </c>
    </row>
    <row r="360" customFormat="false" ht="14.25" hidden="false" customHeight="true" outlineLevel="0" collapsed="false">
      <c r="A360" s="0" t="s">
        <v>720</v>
      </c>
      <c r="B360" s="0" t="s">
        <v>550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115" t="n">
        <f aca="false">IFERROR((D360/C360)/4.5*0.25*C360,0)</f>
        <v>0</v>
      </c>
      <c r="L360" s="115" t="n">
        <f aca="false">IFERROR((G360/F360)/7.95*0.376*F360,0)</f>
        <v>0</v>
      </c>
      <c r="M360" s="117" t="n">
        <f aca="false">C362*Scoring!$B$32+D362/Scoring!$C$32+E362*Scoring!$D$32+F362*Scoring!$E$32+G362/Scoring!$F$32+H362*Scoring!$G$32+I362*Scoring!$H$32+K362*Scoring!$I$32+RB!L362*Scoring!$J$32+U360</f>
        <v>0</v>
      </c>
      <c r="N360" s="117" t="n">
        <f aca="false">C360*Scoring!$B$32+D360/Scoring!$C$32+E360*Scoring!$D$32+F360*Scoring!$E$32+G360/Scoring!$F$32+H360*Scoring!$G$32+I360*Scoring!$H$32+K360*Scoring!$I$32+RB!L360*Scoring!$J$32+U360</f>
        <v>0</v>
      </c>
      <c r="O360" s="117" t="n">
        <f aca="false">C361*Scoring!$B$32+D361/Scoring!$C$32+E361*Scoring!$D$32+F361*Scoring!$E$32+G361/Scoring!$F$32+H361*Scoring!$G$32+I361*Scoring!$H$32+K361*Scoring!$I$32+L361*Scoring!$J$32+U360</f>
        <v>0</v>
      </c>
      <c r="P360" s="53" t="n">
        <f aca="false">IF(COUNTIF(Rookies!$A:$A,A360)&gt;0,1,0)</f>
        <v>0</v>
      </c>
      <c r="S360" s="53" t="n">
        <f aca="false">V360/17</f>
        <v>0</v>
      </c>
      <c r="T360" s="53" t="n">
        <f aca="false">IF(P360=1,MAX(0,0.258*(14.9-S360)),0)</f>
        <v>0</v>
      </c>
      <c r="U360" s="53" t="n">
        <f aca="false">T360*17</f>
        <v>0</v>
      </c>
      <c r="V360" s="53" t="n">
        <f aca="false">C360*Scoring!$B$32+D360/Scoring!$C$32+E360*Scoring!$D$32+F360*Scoring!$E$32+G360/Scoring!$F$32+H360*Scoring!$G$32+I360*Scoring!$H$32+K360*Scoring!$I$32+RB!L360*Scoring!$J$32</f>
        <v>0</v>
      </c>
      <c r="X360" s="53" t="n">
        <f aca="false">D360+G360</f>
        <v>0</v>
      </c>
      <c r="Y360" s="53" t="n">
        <f aca="false">H360+E360</f>
        <v>0</v>
      </c>
      <c r="Z360" s="53" t="e">
        <f aca="false">X360/Y360</f>
        <v>#DIV/0!</v>
      </c>
    </row>
    <row r="361" customFormat="false" ht="14.25" hidden="false" customHeight="true" outlineLevel="0" collapsed="false">
      <c r="B361" s="0" t="s">
        <v>491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0.7</v>
      </c>
      <c r="K361" s="115" t="n">
        <f aca="false">IFERROR((D361/C361)/4.5*0.25*C361,0)</f>
        <v>0</v>
      </c>
      <c r="L361" s="115" t="n">
        <f aca="false">IFERROR((G361/F361)/7.95*0.376*F361,0)</f>
        <v>0</v>
      </c>
      <c r="M361" s="117"/>
      <c r="N361" s="117"/>
      <c r="O361" s="117"/>
      <c r="X361" s="53" t="n">
        <f aca="false">D361+G361</f>
        <v>0</v>
      </c>
      <c r="Y361" s="53" t="n">
        <f aca="false">H361+E361</f>
        <v>0</v>
      </c>
      <c r="Z361" s="53" t="e">
        <f aca="false">X361/Y361</f>
        <v>#DIV/0!</v>
      </c>
    </row>
    <row r="362" customFormat="false" ht="14.25" hidden="false" customHeight="true" outlineLevel="0" collapsed="false">
      <c r="B362" s="0" t="s">
        <v>492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0.7</v>
      </c>
      <c r="K362" s="115" t="n">
        <f aca="false">IFERROR((D362/C362)/4.5*0.25*C362,0)</f>
        <v>0</v>
      </c>
      <c r="L362" s="115" t="n">
        <f aca="false">IFERROR((G362/F362)/7.95*0.376*F362,0)</f>
        <v>0</v>
      </c>
      <c r="M362" s="117"/>
      <c r="N362" s="117"/>
      <c r="O362" s="117"/>
      <c r="X362" s="53" t="n">
        <f aca="false">D362+G362</f>
        <v>0</v>
      </c>
      <c r="Y362" s="53" t="n">
        <f aca="false">H362+E362</f>
        <v>0</v>
      </c>
      <c r="Z362" s="53" t="e">
        <f aca="false">X362/Y362</f>
        <v>#DIV/0!</v>
      </c>
    </row>
    <row r="363" customFormat="false" ht="14.25" hidden="false" customHeight="true" outlineLevel="0" collapsed="false">
      <c r="A363" s="0" t="s">
        <v>721</v>
      </c>
      <c r="B363" s="0" t="s">
        <v>550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115" t="n">
        <f aca="false">IFERROR((D363/C363)/4.5*0.25*C363,0)</f>
        <v>0</v>
      </c>
      <c r="L363" s="115" t="n">
        <f aca="false">IFERROR((G363/F363)/7.95*0.376*F363,0)</f>
        <v>0</v>
      </c>
      <c r="M363" s="117" t="n">
        <f aca="false">C365*Scoring!$B$32+D365/Scoring!$C$32+E365*Scoring!$D$32+F365*Scoring!$E$32+G365/Scoring!$F$32+H365*Scoring!$G$32+I365*Scoring!$H$32+K365*Scoring!$I$32+RB!L365*Scoring!$J$32+U363</f>
        <v>0</v>
      </c>
      <c r="N363" s="117" t="n">
        <f aca="false">C363*Scoring!$B$32+D363/Scoring!$C$32+E363*Scoring!$D$32+F363*Scoring!$E$32+G363/Scoring!$F$32+H363*Scoring!$G$32+I363*Scoring!$H$32+K363*Scoring!$I$32+RB!L363*Scoring!$J$32+U363</f>
        <v>0</v>
      </c>
      <c r="O363" s="117" t="n">
        <f aca="false">C364*Scoring!$B$32+D364/Scoring!$C$32+E364*Scoring!$D$32+F364*Scoring!$E$32+G364/Scoring!$F$32+H364*Scoring!$G$32+I364*Scoring!$H$32+K364*Scoring!$I$32+L364*Scoring!$J$32+U363</f>
        <v>0</v>
      </c>
      <c r="P363" s="53" t="n">
        <f aca="false">IF(COUNTIF(Rookies!$A:$A,A363)&gt;0,1,0)</f>
        <v>0</v>
      </c>
      <c r="S363" s="53" t="n">
        <f aca="false">V363/17</f>
        <v>0</v>
      </c>
      <c r="T363" s="53" t="n">
        <f aca="false">IF(P363=1,MAX(0,0.258*(14.9-S363)),0)</f>
        <v>0</v>
      </c>
      <c r="U363" s="53" t="n">
        <f aca="false">T363*17</f>
        <v>0</v>
      </c>
      <c r="V363" s="53" t="n">
        <f aca="false">C363*Scoring!$B$32+D363/Scoring!$C$32+E363*Scoring!$D$32+F363*Scoring!$E$32+G363/Scoring!$F$32+H363*Scoring!$G$32+I363*Scoring!$H$32+K363*Scoring!$I$32+RB!L363*Scoring!$J$32</f>
        <v>0</v>
      </c>
      <c r="X363" s="53" t="n">
        <f aca="false">D363+G363</f>
        <v>0</v>
      </c>
      <c r="Y363" s="53" t="n">
        <f aca="false">H363+E363</f>
        <v>0</v>
      </c>
      <c r="Z363" s="53" t="e">
        <f aca="false">X363/Y363</f>
        <v>#DIV/0!</v>
      </c>
    </row>
    <row r="364" customFormat="false" ht="14.25" hidden="false" customHeight="true" outlineLevel="0" collapsed="false">
      <c r="B364" s="0" t="s">
        <v>491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115" t="n">
        <f aca="false">IFERROR((D364/C364)/4.5*0.25*C364,0)</f>
        <v>0</v>
      </c>
      <c r="L364" s="115" t="n">
        <f aca="false">IFERROR((G364/F364)/7.95*0.376*F364,0)</f>
        <v>0</v>
      </c>
      <c r="M364" s="117"/>
      <c r="N364" s="117"/>
      <c r="O364" s="117"/>
      <c r="X364" s="53" t="n">
        <f aca="false">D364+G364</f>
        <v>0</v>
      </c>
      <c r="Y364" s="53" t="n">
        <f aca="false">H364+E364</f>
        <v>0</v>
      </c>
      <c r="Z364" s="53" t="e">
        <f aca="false">X364/Y364</f>
        <v>#DIV/0!</v>
      </c>
    </row>
    <row r="365" customFormat="false" ht="14.25" hidden="false" customHeight="true" outlineLevel="0" collapsed="false">
      <c r="B365" s="0" t="s">
        <v>492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115" t="n">
        <f aca="false">IFERROR((D365/C365)/4.5*0.25*C365,0)</f>
        <v>0</v>
      </c>
      <c r="L365" s="115" t="n">
        <f aca="false">IFERROR((G365/F365)/7.95*0.376*F365,0)</f>
        <v>0</v>
      </c>
      <c r="M365" s="117"/>
      <c r="N365" s="117"/>
      <c r="O365" s="117"/>
      <c r="X365" s="53" t="n">
        <f aca="false">D365+G365</f>
        <v>0</v>
      </c>
      <c r="Y365" s="53" t="n">
        <f aca="false">H365+E365</f>
        <v>0</v>
      </c>
      <c r="Z365" s="53" t="e">
        <f aca="false">X365/Y365</f>
        <v>#DIV/0!</v>
      </c>
    </row>
    <row r="366" customFormat="false" ht="14.25" hidden="false" customHeight="true" outlineLevel="0" collapsed="false">
      <c r="K366" s="115" t="n">
        <f aca="false">IFERROR((D366/C366)/4.5*0.25*C366,0)</f>
        <v>0</v>
      </c>
      <c r="L366" s="115" t="n">
        <f aca="false">IFERROR((G366/F366)/7.95*0.376*F366,0)</f>
        <v>0</v>
      </c>
      <c r="M366" s="117" t="n">
        <f aca="false">C368*Scoring!$B$32+D368/Scoring!$C$32+E368*Scoring!$D$32+F368*Scoring!$E$32+G368/Scoring!$F$32+H368*Scoring!$G$32+I368*Scoring!$H$32+K368*Scoring!$I$32+RB!L368*Scoring!$J$32+U366</f>
        <v>0</v>
      </c>
      <c r="N366" s="117" t="n">
        <f aca="false">C366*Scoring!$B$32+D366/Scoring!$C$32+E366*Scoring!$D$32+F366*Scoring!$E$32+G366/Scoring!$F$32+H366*Scoring!$G$32+I366*Scoring!$H$32+K366*Scoring!$I$32+RB!L366*Scoring!$J$32+U366</f>
        <v>0</v>
      </c>
      <c r="O366" s="117" t="n">
        <f aca="false">C367*Scoring!$B$32+D367/Scoring!$C$32+E367*Scoring!$D$32+F367*Scoring!$E$32+G367/Scoring!$F$32+H367*Scoring!$G$32+I367*Scoring!$H$32+K367*Scoring!$I$32+L367*Scoring!$J$32+U366</f>
        <v>0</v>
      </c>
      <c r="P366" s="53" t="n">
        <f aca="false">IF(COUNTIF(Rookies!$A:$A,A366)&gt;0,1,0)</f>
        <v>0</v>
      </c>
      <c r="S366" s="53" t="n">
        <f aca="false">V366/17</f>
        <v>0</v>
      </c>
      <c r="T366" s="53" t="n">
        <f aca="false">IF(P366=1,MAX(0,0.258*(14.9-S366)),0)</f>
        <v>0</v>
      </c>
      <c r="U366" s="53" t="n">
        <f aca="false">T366*17</f>
        <v>0</v>
      </c>
      <c r="V366" s="53" t="n">
        <f aca="false">C366*Scoring!$B$32+D366/Scoring!$C$32+E366*Scoring!$D$32+F366*Scoring!$E$32+G366/Scoring!$F$32+H366*Scoring!$G$32+I366*Scoring!$H$32+K366*Scoring!$I$32+RB!L366*Scoring!$J$32</f>
        <v>0</v>
      </c>
      <c r="X366" s="53" t="n">
        <f aca="false">D366+G366</f>
        <v>0</v>
      </c>
      <c r="Y366" s="53" t="n">
        <f aca="false">H366+E366</f>
        <v>0</v>
      </c>
      <c r="Z366" s="53" t="e">
        <f aca="false">X366/Y366</f>
        <v>#DIV/0!</v>
      </c>
    </row>
    <row r="367" customFormat="false" ht="14.25" hidden="false" customHeight="true" outlineLevel="0" collapsed="false">
      <c r="K367" s="115" t="n">
        <f aca="false">IFERROR((D367/C367)/4.5*0.25*C367,0)</f>
        <v>0</v>
      </c>
      <c r="L367" s="115" t="n">
        <f aca="false">IFERROR((G367/F367)/7.95*0.376*F367,0)</f>
        <v>0</v>
      </c>
      <c r="M367" s="117"/>
      <c r="N367" s="117"/>
      <c r="O367" s="117"/>
      <c r="X367" s="53" t="n">
        <f aca="false">D367+G367</f>
        <v>0</v>
      </c>
      <c r="Y367" s="53" t="n">
        <f aca="false">H367+E367</f>
        <v>0</v>
      </c>
      <c r="Z367" s="53" t="e">
        <f aca="false">X367/Y367</f>
        <v>#DIV/0!</v>
      </c>
    </row>
    <row r="368" customFormat="false" ht="14.25" hidden="false" customHeight="true" outlineLevel="0" collapsed="false">
      <c r="K368" s="115" t="n">
        <f aca="false">IFERROR((D368/C368)/4.5*0.25*C368,0)</f>
        <v>0</v>
      </c>
      <c r="L368" s="115" t="n">
        <f aca="false">IFERROR((G368/F368)/7.95*0.376*F368,0)</f>
        <v>0</v>
      </c>
      <c r="M368" s="117"/>
      <c r="N368" s="117"/>
      <c r="O368" s="117"/>
      <c r="X368" s="53" t="n">
        <f aca="false">D368+G368</f>
        <v>0</v>
      </c>
      <c r="Y368" s="53" t="n">
        <f aca="false">H368+E368</f>
        <v>0</v>
      </c>
      <c r="Z368" s="53" t="e">
        <f aca="false">X368/Y368</f>
        <v>#DIV/0!</v>
      </c>
    </row>
    <row r="369" customFormat="false" ht="14.25" hidden="false" customHeight="true" outlineLevel="0" collapsed="false">
      <c r="K369" s="115" t="n">
        <f aca="false">IFERROR((D369/C369)/4.5*0.25*C369,0)</f>
        <v>0</v>
      </c>
      <c r="L369" s="115" t="n">
        <f aca="false">IFERROR((G369/F369)/7.95*0.376*F369,0)</f>
        <v>0</v>
      </c>
      <c r="M369" s="117" t="n">
        <f aca="false">C371*Scoring!$B$32+D371/Scoring!$C$32+E371*Scoring!$D$32+F371*Scoring!$E$32+G371/Scoring!$F$32+H371*Scoring!$G$32+I371*Scoring!$H$32+K371*Scoring!$I$32+RB!L371*Scoring!$J$32+U369</f>
        <v>0</v>
      </c>
      <c r="N369" s="117" t="n">
        <f aca="false">C369*Scoring!$B$32+D369/Scoring!$C$32+E369*Scoring!$D$32+F369*Scoring!$E$32+G369/Scoring!$F$32+H369*Scoring!$G$32+I369*Scoring!$H$32+K369*Scoring!$I$32+RB!L369*Scoring!$J$32+U369</f>
        <v>0</v>
      </c>
      <c r="O369" s="117" t="n">
        <f aca="false">C370*Scoring!$B$32+D370/Scoring!$C$32+E370*Scoring!$D$32+F370*Scoring!$E$32+G370/Scoring!$F$32+H370*Scoring!$G$32+I370*Scoring!$H$32+K370*Scoring!$I$32+L370*Scoring!$J$32+U369</f>
        <v>0</v>
      </c>
      <c r="P369" s="53" t="n">
        <f aca="false">IF(COUNTIF(Rookies!$A:$A,A369)&gt;0,1,0)</f>
        <v>0</v>
      </c>
      <c r="S369" s="53" t="n">
        <f aca="false">V369/17</f>
        <v>0</v>
      </c>
      <c r="T369" s="53" t="n">
        <f aca="false">IF(P369=1,MAX(0,0.258*(14.9-S369)),0)</f>
        <v>0</v>
      </c>
      <c r="U369" s="53" t="n">
        <f aca="false">T369*17</f>
        <v>0</v>
      </c>
      <c r="V369" s="53" t="n">
        <f aca="false">C369*Scoring!$B$32+D369/Scoring!$C$32+E369*Scoring!$D$32+F369*Scoring!$E$32+G369/Scoring!$F$32+H369*Scoring!$G$32+I369*Scoring!$H$32+K369*Scoring!$I$32+RB!L369*Scoring!$J$32</f>
        <v>0</v>
      </c>
      <c r="X369" s="53" t="n">
        <f aca="false">D369+G369</f>
        <v>0</v>
      </c>
      <c r="Y369" s="53" t="n">
        <f aca="false">H369+E369</f>
        <v>0</v>
      </c>
      <c r="Z369" s="53" t="e">
        <f aca="false">X369/Y369</f>
        <v>#DIV/0!</v>
      </c>
    </row>
    <row r="370" customFormat="false" ht="14.25" hidden="false" customHeight="true" outlineLevel="0" collapsed="false">
      <c r="K370" s="115" t="n">
        <f aca="false">IFERROR((D370/C370)/4.5*0.25*C370,0)</f>
        <v>0</v>
      </c>
      <c r="L370" s="115" t="n">
        <f aca="false">IFERROR((G370/F370)/7.95*0.376*F370,0)</f>
        <v>0</v>
      </c>
      <c r="M370" s="117"/>
      <c r="N370" s="117"/>
      <c r="O370" s="117"/>
      <c r="X370" s="53" t="n">
        <f aca="false">D370+G370</f>
        <v>0</v>
      </c>
      <c r="Y370" s="53" t="n">
        <f aca="false">H370+E370</f>
        <v>0</v>
      </c>
      <c r="Z370" s="53" t="e">
        <f aca="false">X370/Y370</f>
        <v>#DIV/0!</v>
      </c>
    </row>
    <row r="371" customFormat="false" ht="14.25" hidden="false" customHeight="true" outlineLevel="0" collapsed="false">
      <c r="K371" s="115" t="n">
        <f aca="false">IFERROR((D371/C371)/4.5*0.25*C371,0)</f>
        <v>0</v>
      </c>
      <c r="L371" s="115" t="n">
        <f aca="false">IFERROR((G371/F371)/7.95*0.376*F371,0)</f>
        <v>0</v>
      </c>
      <c r="M371" s="117"/>
      <c r="N371" s="117"/>
      <c r="O371" s="117"/>
      <c r="X371" s="53" t="n">
        <f aca="false">D371+G371</f>
        <v>0</v>
      </c>
      <c r="Y371" s="53" t="n">
        <f aca="false">H371+E371</f>
        <v>0</v>
      </c>
      <c r="Z371" s="53" t="e">
        <f aca="false">X371/Y371</f>
        <v>#DIV/0!</v>
      </c>
    </row>
    <row r="372" customFormat="false" ht="14.25" hidden="false" customHeight="true" outlineLevel="0" collapsed="false">
      <c r="K372" s="115" t="n">
        <f aca="false">IFERROR((D372/C372)/4.5*0.25*C372,0)</f>
        <v>0</v>
      </c>
      <c r="L372" s="115" t="n">
        <f aca="false">IFERROR((G372/F372)/7.95*0.376*F372,0)</f>
        <v>0</v>
      </c>
      <c r="M372" s="117" t="n">
        <f aca="false">C374*Scoring!$B$32+D374/Scoring!$C$32+E374*Scoring!$D$32+F374*Scoring!$E$32+G374/Scoring!$F$32+H374*Scoring!$G$32+I374*Scoring!$H$32+K374*Scoring!$I$32+RB!L374*Scoring!$J$32+U372</f>
        <v>0</v>
      </c>
      <c r="N372" s="117" t="n">
        <f aca="false">C372*Scoring!$B$32+D372/Scoring!$C$32+E372*Scoring!$D$32+F372*Scoring!$E$32+G372/Scoring!$F$32+H372*Scoring!$G$32+I372*Scoring!$H$32+K372*Scoring!$I$32+RB!L372*Scoring!$J$32+U372</f>
        <v>0</v>
      </c>
      <c r="O372" s="117" t="n">
        <f aca="false">C373*Scoring!$B$32+D373/Scoring!$C$32+E373*Scoring!$D$32+F373*Scoring!$E$32+G373/Scoring!$F$32+H373*Scoring!$G$32+I373*Scoring!$H$32+K373*Scoring!$I$32+L373*Scoring!$J$32+U372</f>
        <v>0</v>
      </c>
      <c r="P372" s="53" t="n">
        <f aca="false">IF(COUNTIF(Rookies!$A:$A,A372)&gt;0,1,0)</f>
        <v>0</v>
      </c>
      <c r="S372" s="53" t="n">
        <f aca="false">V372/17</f>
        <v>0</v>
      </c>
      <c r="T372" s="53" t="n">
        <f aca="false">IF(P372=1,MAX(0,0.258*(14.9-S372)),0)</f>
        <v>0</v>
      </c>
      <c r="U372" s="53" t="n">
        <f aca="false">T372*17</f>
        <v>0</v>
      </c>
      <c r="V372" s="53" t="n">
        <f aca="false">C372*Scoring!$B$32+D372/Scoring!$C$32+E372*Scoring!$D$32+F372*Scoring!$E$32+G372/Scoring!$F$32+H372*Scoring!$G$32+I372*Scoring!$H$32+K372*Scoring!$I$32+RB!L372*Scoring!$J$32</f>
        <v>0</v>
      </c>
      <c r="X372" s="53" t="n">
        <f aca="false">D372+G372</f>
        <v>0</v>
      </c>
      <c r="Y372" s="53" t="n">
        <f aca="false">H372+E372</f>
        <v>0</v>
      </c>
      <c r="Z372" s="53" t="e">
        <f aca="false">X372/Y372</f>
        <v>#DIV/0!</v>
      </c>
    </row>
    <row r="373" customFormat="false" ht="14.25" hidden="false" customHeight="true" outlineLevel="0" collapsed="false">
      <c r="K373" s="115" t="n">
        <f aca="false">IFERROR((D373/C373)/4.5*0.25*C373,0)</f>
        <v>0</v>
      </c>
      <c r="L373" s="115" t="n">
        <f aca="false">IFERROR((G373/F373)/7.95*0.376*F373,0)</f>
        <v>0</v>
      </c>
      <c r="M373" s="117"/>
      <c r="N373" s="117"/>
      <c r="O373" s="117"/>
      <c r="X373" s="53" t="n">
        <f aca="false">D373+G373</f>
        <v>0</v>
      </c>
      <c r="Y373" s="53" t="n">
        <f aca="false">H373+E373</f>
        <v>0</v>
      </c>
      <c r="Z373" s="53" t="e">
        <f aca="false">X373/Y373</f>
        <v>#DIV/0!</v>
      </c>
    </row>
    <row r="374" customFormat="false" ht="14.25" hidden="false" customHeight="true" outlineLevel="0" collapsed="false">
      <c r="K374" s="115" t="n">
        <f aca="false">IFERROR((D374/C374)/4.5*0.25*C374,0)</f>
        <v>0</v>
      </c>
      <c r="L374" s="115" t="n">
        <f aca="false">IFERROR((G374/F374)/7.95*0.376*F374,0)</f>
        <v>0</v>
      </c>
      <c r="M374" s="117"/>
      <c r="N374" s="117"/>
      <c r="O374" s="117"/>
      <c r="X374" s="53" t="n">
        <f aca="false">D374+G374</f>
        <v>0</v>
      </c>
      <c r="Y374" s="53" t="n">
        <f aca="false">H374+E374</f>
        <v>0</v>
      </c>
      <c r="Z374" s="53" t="e">
        <f aca="false">X374/Y374</f>
        <v>#DIV/0!</v>
      </c>
    </row>
    <row r="375" customFormat="false" ht="14.25" hidden="false" customHeight="true" outlineLevel="0" collapsed="false">
      <c r="K375" s="115" t="n">
        <f aca="false">IFERROR((D375/C375)/4.5*0.25*C375,0)</f>
        <v>0</v>
      </c>
      <c r="L375" s="115" t="n">
        <f aca="false">IFERROR((G375/F375)/7.95*0.376*F375,0)</f>
        <v>0</v>
      </c>
      <c r="M375" s="117" t="n">
        <f aca="false">C377*Scoring!$B$32+D377/Scoring!$C$32+E377*Scoring!$D$32+F377*Scoring!$E$32+G377/Scoring!$F$32+H377*Scoring!$G$32+I377*Scoring!$H$32+K377*Scoring!$I$32+RB!L377*Scoring!$J$32+U375</f>
        <v>0</v>
      </c>
      <c r="N375" s="117" t="n">
        <f aca="false">C375*Scoring!$B$32+D375/Scoring!$C$32+E375*Scoring!$D$32+F375*Scoring!$E$32+G375/Scoring!$F$32+H375*Scoring!$G$32+I375*Scoring!$H$32+K375*Scoring!$I$32+RB!L375*Scoring!$J$32+U375</f>
        <v>0</v>
      </c>
      <c r="O375" s="117" t="n">
        <f aca="false">C376*Scoring!$B$32+D376/Scoring!$C$32+E376*Scoring!$D$32+F376*Scoring!$E$32+G376/Scoring!$F$32+H376*Scoring!$G$32+I376*Scoring!$H$32+K376*Scoring!$I$32+L376*Scoring!$J$32+U375</f>
        <v>0</v>
      </c>
      <c r="P375" s="53" t="n">
        <f aca="false">IF(COUNTIF(Rookies!$A:$A,A375)&gt;0,1,0)</f>
        <v>0</v>
      </c>
      <c r="S375" s="53" t="n">
        <f aca="false">V375/17</f>
        <v>0</v>
      </c>
      <c r="T375" s="53" t="n">
        <f aca="false">IF(P375=1,MAX(0,0.258*(14.9-S375)),0)</f>
        <v>0</v>
      </c>
      <c r="U375" s="53" t="n">
        <f aca="false">T375*17</f>
        <v>0</v>
      </c>
      <c r="V375" s="53" t="n">
        <f aca="false">C375*Scoring!$B$32+D375/Scoring!$C$32+E375*Scoring!$D$32+F375*Scoring!$E$32+G375/Scoring!$F$32+H375*Scoring!$G$32+I375*Scoring!$H$32+K375*Scoring!$I$32+RB!L375*Scoring!$J$32</f>
        <v>0</v>
      </c>
      <c r="X375" s="53" t="n">
        <f aca="false">D375+G375</f>
        <v>0</v>
      </c>
      <c r="Y375" s="53" t="n">
        <f aca="false">H375+E375</f>
        <v>0</v>
      </c>
      <c r="Z375" s="53" t="e">
        <f aca="false">X375/Y375</f>
        <v>#DIV/0!</v>
      </c>
    </row>
    <row r="376" customFormat="false" ht="14.25" hidden="false" customHeight="true" outlineLevel="0" collapsed="false">
      <c r="K376" s="115" t="n">
        <f aca="false">IFERROR((D376/C376)/4.5*0.25*C376,0)</f>
        <v>0</v>
      </c>
      <c r="L376" s="115" t="n">
        <f aca="false">IFERROR((G376/F376)/7.95*0.376*F376,0)</f>
        <v>0</v>
      </c>
      <c r="M376" s="117"/>
      <c r="N376" s="117"/>
      <c r="O376" s="117"/>
      <c r="X376" s="53" t="n">
        <f aca="false">D376+G376</f>
        <v>0</v>
      </c>
      <c r="Y376" s="53" t="n">
        <f aca="false">H376+E376</f>
        <v>0</v>
      </c>
      <c r="Z376" s="53" t="e">
        <f aca="false">X376/Y376</f>
        <v>#DIV/0!</v>
      </c>
    </row>
    <row r="377" customFormat="false" ht="14.25" hidden="false" customHeight="true" outlineLevel="0" collapsed="false">
      <c r="K377" s="115" t="n">
        <f aca="false">IFERROR((D377/C377)/4.5*0.25*C377,0)</f>
        <v>0</v>
      </c>
      <c r="L377" s="115" t="n">
        <f aca="false">IFERROR((G377/F377)/7.95*0.376*F377,0)</f>
        <v>0</v>
      </c>
      <c r="M377" s="117"/>
      <c r="N377" s="117"/>
      <c r="O377" s="117"/>
      <c r="X377" s="53" t="n">
        <f aca="false">D377+G377</f>
        <v>0</v>
      </c>
      <c r="Y377" s="53" t="n">
        <f aca="false">H377+E377</f>
        <v>0</v>
      </c>
      <c r="Z377" s="53" t="e">
        <f aca="false">X377/Y377</f>
        <v>#DIV/0!</v>
      </c>
    </row>
    <row r="378" customFormat="false" ht="14.25" hidden="false" customHeight="true" outlineLevel="0" collapsed="false">
      <c r="K378" s="115" t="n">
        <f aca="false">IFERROR((D378/C378)/4.5*0.25*C378,0)</f>
        <v>0</v>
      </c>
      <c r="L378" s="115" t="n">
        <f aca="false">IFERROR((G378/F378)/7.95*0.376*F378,0)</f>
        <v>0</v>
      </c>
      <c r="M378" s="117" t="n">
        <f aca="false">C380*Scoring!$B$32+D380/Scoring!$C$32+E380*Scoring!$D$32+F380*Scoring!$E$32+G380/Scoring!$F$32+H380*Scoring!$G$32+I380*Scoring!$H$32+K380*Scoring!$I$32+RB!L380*Scoring!$J$32+U378</f>
        <v>0</v>
      </c>
      <c r="N378" s="117" t="n">
        <f aca="false">C378*Scoring!$B$32+D378/Scoring!$C$32+E378*Scoring!$D$32+F378*Scoring!$E$32+G378/Scoring!$F$32+H378*Scoring!$G$32+I378*Scoring!$H$32+K378*Scoring!$I$32+RB!L378*Scoring!$J$32+U378</f>
        <v>0</v>
      </c>
      <c r="O378" s="117" t="n">
        <f aca="false">C379*Scoring!$B$32+D379/Scoring!$C$32+E379*Scoring!$D$32+F379*Scoring!$E$32+G379/Scoring!$F$32+H379*Scoring!$G$32+I379*Scoring!$H$32+K379*Scoring!$I$32+L379*Scoring!$J$32+U378</f>
        <v>0</v>
      </c>
      <c r="P378" s="53" t="n">
        <f aca="false">IF(COUNTIF(Rookies!$A:$A,A378)&gt;0,1,0)</f>
        <v>0</v>
      </c>
      <c r="S378" s="53" t="n">
        <f aca="false">V378/17</f>
        <v>0</v>
      </c>
      <c r="T378" s="53" t="n">
        <f aca="false">IF(P378=1,MAX(0,0.258*(14.9-S378)),0)</f>
        <v>0</v>
      </c>
      <c r="U378" s="53" t="n">
        <f aca="false">T378*17</f>
        <v>0</v>
      </c>
      <c r="V378" s="53" t="n">
        <f aca="false">C378*Scoring!$B$32+D378/Scoring!$C$32+E378*Scoring!$D$32+F378*Scoring!$E$32+G378/Scoring!$F$32+H378*Scoring!$G$32+I378*Scoring!$H$32+K378*Scoring!$I$32+RB!L378*Scoring!$J$32</f>
        <v>0</v>
      </c>
      <c r="X378" s="53" t="n">
        <f aca="false">D378+G378</f>
        <v>0</v>
      </c>
      <c r="Y378" s="53" t="n">
        <f aca="false">H378+E378</f>
        <v>0</v>
      </c>
      <c r="Z378" s="53" t="e">
        <f aca="false">X378/Y378</f>
        <v>#DIV/0!</v>
      </c>
    </row>
    <row r="379" customFormat="false" ht="14.25" hidden="false" customHeight="true" outlineLevel="0" collapsed="false">
      <c r="K379" s="115" t="n">
        <f aca="false">IFERROR((D379/C379)/4.5*0.25*C379,0)</f>
        <v>0</v>
      </c>
      <c r="L379" s="115" t="n">
        <f aca="false">IFERROR((G379/F379)/7.95*0.376*F379,0)</f>
        <v>0</v>
      </c>
      <c r="M379" s="117"/>
      <c r="N379" s="117"/>
      <c r="O379" s="117"/>
      <c r="X379" s="53" t="n">
        <f aca="false">D379+G379</f>
        <v>0</v>
      </c>
      <c r="Y379" s="53" t="n">
        <f aca="false">H379+E379</f>
        <v>0</v>
      </c>
      <c r="Z379" s="53" t="e">
        <f aca="false">X379/Y379</f>
        <v>#DIV/0!</v>
      </c>
    </row>
    <row r="380" customFormat="false" ht="14.25" hidden="false" customHeight="true" outlineLevel="0" collapsed="false">
      <c r="K380" s="115" t="n">
        <f aca="false">IFERROR((D380/C380)/4.5*0.25*C380,0)</f>
        <v>0</v>
      </c>
      <c r="L380" s="115" t="n">
        <f aca="false">IFERROR((G380/F380)/7.95*0.376*F380,0)</f>
        <v>0</v>
      </c>
      <c r="M380" s="117"/>
      <c r="N380" s="117"/>
      <c r="O380" s="117"/>
      <c r="X380" s="53" t="n">
        <f aca="false">D380+G380</f>
        <v>0</v>
      </c>
      <c r="Y380" s="53" t="n">
        <f aca="false">H380+E380</f>
        <v>0</v>
      </c>
      <c r="Z380" s="53" t="e">
        <f aca="false">X380/Y380</f>
        <v>#DIV/0!</v>
      </c>
    </row>
    <row r="381" customFormat="false" ht="14.25" hidden="false" customHeight="true" outlineLevel="0" collapsed="false">
      <c r="K381" s="115" t="n">
        <f aca="false">IFERROR((D381/C381)/4.5*0.25*C381,0)</f>
        <v>0</v>
      </c>
      <c r="L381" s="115" t="n">
        <f aca="false">IFERROR((G381/F381)/7.95*0.376*F381,0)</f>
        <v>0</v>
      </c>
      <c r="M381" s="117" t="n">
        <f aca="false">C383*Scoring!$B$32+D383/Scoring!$C$32+E383*Scoring!$D$32+F383*Scoring!$E$32+G383/Scoring!$F$32+H383*Scoring!$G$32+I383*Scoring!$H$32+K383*Scoring!$I$32+RB!L383*Scoring!$J$32+U381</f>
        <v>0</v>
      </c>
      <c r="N381" s="117" t="n">
        <f aca="false">C381*Scoring!$B$32+D381/Scoring!$C$32+E381*Scoring!$D$32+F381*Scoring!$E$32+G381/Scoring!$F$32+H381*Scoring!$G$32+I381*Scoring!$H$32+K381*Scoring!$I$32+RB!L381*Scoring!$J$32+U381</f>
        <v>0</v>
      </c>
      <c r="O381" s="117" t="n">
        <f aca="false">C382*Scoring!$B$32+D382/Scoring!$C$32+E382*Scoring!$D$32+F382*Scoring!$E$32+G382/Scoring!$F$32+H382*Scoring!$G$32+I382*Scoring!$H$32+K382*Scoring!$I$32+L382*Scoring!$J$32+U381</f>
        <v>0</v>
      </c>
      <c r="P381" s="53" t="n">
        <f aca="false">IF(COUNTIF(Rookies!$A:$A,A381)&gt;0,1,0)</f>
        <v>0</v>
      </c>
      <c r="S381" s="53" t="n">
        <f aca="false">V381/17</f>
        <v>0</v>
      </c>
      <c r="T381" s="53" t="n">
        <f aca="false">IF(P381=1,MAX(0,0.258*(14.9-S381)),0)</f>
        <v>0</v>
      </c>
      <c r="U381" s="53" t="n">
        <f aca="false">T381*17</f>
        <v>0</v>
      </c>
      <c r="V381" s="53" t="n">
        <f aca="false">C381*Scoring!$B$32+D381/Scoring!$C$32+E381*Scoring!$D$32+F381*Scoring!$E$32+G381/Scoring!$F$32+H381*Scoring!$G$32+I381*Scoring!$H$32+K381*Scoring!$I$32+RB!L381*Scoring!$J$32</f>
        <v>0</v>
      </c>
      <c r="X381" s="53" t="n">
        <f aca="false">D381+G381</f>
        <v>0</v>
      </c>
      <c r="Y381" s="53" t="n">
        <f aca="false">H381+E381</f>
        <v>0</v>
      </c>
      <c r="Z381" s="53" t="e">
        <f aca="false">X381/Y381</f>
        <v>#DIV/0!</v>
      </c>
    </row>
    <row r="382" customFormat="false" ht="14.25" hidden="false" customHeight="true" outlineLevel="0" collapsed="false">
      <c r="K382" s="115" t="n">
        <f aca="false">IFERROR((D382/C382)/4.5*0.25*C382,0)</f>
        <v>0</v>
      </c>
      <c r="L382" s="115" t="n">
        <f aca="false">IFERROR((G382/F382)/7.95*0.376*F382,0)</f>
        <v>0</v>
      </c>
      <c r="M382" s="117"/>
      <c r="N382" s="117"/>
      <c r="O382" s="117"/>
      <c r="X382" s="53" t="n">
        <f aca="false">D382+G382</f>
        <v>0</v>
      </c>
      <c r="Y382" s="53" t="n">
        <f aca="false">H382+E382</f>
        <v>0</v>
      </c>
      <c r="Z382" s="53" t="e">
        <f aca="false">X382/Y382</f>
        <v>#DIV/0!</v>
      </c>
    </row>
    <row r="383" customFormat="false" ht="14.25" hidden="false" customHeight="true" outlineLevel="0" collapsed="false">
      <c r="K383" s="115" t="n">
        <f aca="false">IFERROR((D383/C383)/4.5*0.25*C383,0)</f>
        <v>0</v>
      </c>
      <c r="L383" s="115" t="n">
        <f aca="false">IFERROR((G383/F383)/7.95*0.376*F383,0)</f>
        <v>0</v>
      </c>
      <c r="M383" s="117"/>
      <c r="N383" s="117"/>
      <c r="O383" s="117"/>
      <c r="X383" s="53" t="n">
        <f aca="false">D383+G383</f>
        <v>0</v>
      </c>
      <c r="Y383" s="53" t="n">
        <f aca="false">H383+E383</f>
        <v>0</v>
      </c>
      <c r="Z383" s="53" t="e">
        <f aca="false">X383/Y383</f>
        <v>#DIV/0!</v>
      </c>
    </row>
    <row r="384" customFormat="false" ht="14.25" hidden="false" customHeight="true" outlineLevel="0" collapsed="false">
      <c r="K384" s="115" t="n">
        <f aca="false">IFERROR((D384/C384)/4.5*0.25*C384,0)</f>
        <v>0</v>
      </c>
      <c r="L384" s="115" t="n">
        <f aca="false">IFERROR((G384/F384)/7.95*0.376*F384,0)</f>
        <v>0</v>
      </c>
      <c r="M384" s="117" t="n">
        <f aca="false">C386*Scoring!$B$32+D386/Scoring!$C$32+E386*Scoring!$D$32+F386*Scoring!$E$32+G386/Scoring!$F$32+H386*Scoring!$G$32+I386*Scoring!$H$32+K386*Scoring!$I$32+RB!L386*Scoring!$J$32+U384</f>
        <v>0</v>
      </c>
      <c r="N384" s="117" t="n">
        <f aca="false">C384*Scoring!$B$32+D384/Scoring!$C$32+E384*Scoring!$D$32+F384*Scoring!$E$32+G384/Scoring!$F$32+H384*Scoring!$G$32+I384*Scoring!$H$32+K384*Scoring!$I$32+RB!L384*Scoring!$J$32+U384</f>
        <v>0</v>
      </c>
      <c r="O384" s="117" t="n">
        <f aca="false">C385*Scoring!$B$32+D385/Scoring!$C$32+E385*Scoring!$D$32+F385*Scoring!$E$32+G385/Scoring!$F$32+H385*Scoring!$G$32+I385*Scoring!$H$32+K385*Scoring!$I$32+L385*Scoring!$J$32+U384</f>
        <v>0</v>
      </c>
      <c r="P384" s="53" t="n">
        <f aca="false">IF(COUNTIF(Rookies!$A:$A,A384)&gt;0,1,0)</f>
        <v>0</v>
      </c>
      <c r="S384" s="53" t="n">
        <f aca="false">V384/17</f>
        <v>0</v>
      </c>
      <c r="T384" s="53" t="n">
        <f aca="false">IF(P384=1,MAX(0,0.258*(14.9-S384)),0)</f>
        <v>0</v>
      </c>
      <c r="U384" s="53" t="n">
        <f aca="false">T384*17</f>
        <v>0</v>
      </c>
      <c r="V384" s="53" t="n">
        <f aca="false">C384*Scoring!$B$32+D384/Scoring!$C$32+E384*Scoring!$D$32+F384*Scoring!$E$32+G384/Scoring!$F$32+H384*Scoring!$G$32+I384*Scoring!$H$32+K384*Scoring!$I$32+RB!L384*Scoring!$J$32</f>
        <v>0</v>
      </c>
      <c r="X384" s="53" t="n">
        <f aca="false">D384+G384</f>
        <v>0</v>
      </c>
      <c r="Y384" s="53" t="n">
        <f aca="false">H384+E384</f>
        <v>0</v>
      </c>
      <c r="Z384" s="53" t="e">
        <f aca="false">X384/Y384</f>
        <v>#DIV/0!</v>
      </c>
    </row>
    <row r="385" customFormat="false" ht="14.25" hidden="false" customHeight="true" outlineLevel="0" collapsed="false">
      <c r="K385" s="115" t="n">
        <f aca="false">IFERROR((D385/C385)/4.5*0.25*C385,0)</f>
        <v>0</v>
      </c>
      <c r="L385" s="115" t="n">
        <f aca="false">IFERROR((G385/F385)/7.95*0.376*F385,0)</f>
        <v>0</v>
      </c>
      <c r="M385" s="117"/>
      <c r="N385" s="117"/>
      <c r="O385" s="117"/>
      <c r="X385" s="53" t="n">
        <f aca="false">D385+G385</f>
        <v>0</v>
      </c>
      <c r="Y385" s="53" t="n">
        <f aca="false">H385+E385</f>
        <v>0</v>
      </c>
      <c r="Z385" s="53" t="e">
        <f aca="false">X385/Y385</f>
        <v>#DIV/0!</v>
      </c>
    </row>
    <row r="386" customFormat="false" ht="14.25" hidden="false" customHeight="true" outlineLevel="0" collapsed="false">
      <c r="K386" s="115" t="n">
        <f aca="false">IFERROR((D386/C386)/4.5*0.25*C386,0)</f>
        <v>0</v>
      </c>
      <c r="L386" s="115" t="n">
        <f aca="false">IFERROR((G386/F386)/7.95*0.376*F386,0)</f>
        <v>0</v>
      </c>
      <c r="M386" s="117"/>
      <c r="N386" s="117"/>
      <c r="O386" s="117"/>
      <c r="X386" s="53" t="n">
        <f aca="false">D386+G386</f>
        <v>0</v>
      </c>
      <c r="Y386" s="53" t="n">
        <f aca="false">H386+E386</f>
        <v>0</v>
      </c>
      <c r="Z386" s="53" t="e">
        <f aca="false">X386/Y386</f>
        <v>#DIV/0!</v>
      </c>
    </row>
    <row r="387" customFormat="false" ht="14.25" hidden="false" customHeight="true" outlineLevel="0" collapsed="false">
      <c r="K387" s="115" t="n">
        <f aca="false">IFERROR((D387/C387)/4.5*0.25*C387,0)</f>
        <v>0</v>
      </c>
      <c r="L387" s="115" t="n">
        <f aca="false">IFERROR((G387/F387)/7.95*0.376*F387,0)</f>
        <v>0</v>
      </c>
      <c r="M387" s="117" t="n">
        <f aca="false">C389*Scoring!$B$32+D389/Scoring!$C$32+E389*Scoring!$D$32+F389*Scoring!$E$32+G389/Scoring!$F$32+H389*Scoring!$G$32+I389*Scoring!$H$32+K389*Scoring!$I$32+RB!L389*Scoring!$J$32+U387</f>
        <v>0</v>
      </c>
      <c r="N387" s="117" t="n">
        <f aca="false">C387*Scoring!$B$32+D387/Scoring!$C$32+E387*Scoring!$D$32+F387*Scoring!$E$32+G387/Scoring!$F$32+H387*Scoring!$G$32+I387*Scoring!$H$32+K387*Scoring!$I$32+RB!L387*Scoring!$J$32+U387</f>
        <v>0</v>
      </c>
      <c r="O387" s="117" t="n">
        <f aca="false">C388*Scoring!$B$32+D388/Scoring!$C$32+E388*Scoring!$D$32+F388*Scoring!$E$32+G388/Scoring!$F$32+H388*Scoring!$G$32+I388*Scoring!$H$32+K388*Scoring!$I$32+L388*Scoring!$J$32+U387</f>
        <v>0</v>
      </c>
      <c r="P387" s="53" t="n">
        <f aca="false">IF(COUNTIF(Rookies!$A:$A,A387)&gt;0,1,0)</f>
        <v>0</v>
      </c>
      <c r="S387" s="53" t="n">
        <f aca="false">V387/17</f>
        <v>0</v>
      </c>
      <c r="T387" s="53" t="n">
        <f aca="false">IF(P387=1,MAX(0,0.258*(14.9-S387)),0)</f>
        <v>0</v>
      </c>
      <c r="U387" s="53" t="n">
        <f aca="false">T387*17</f>
        <v>0</v>
      </c>
      <c r="V387" s="53" t="n">
        <f aca="false">C387*Scoring!$B$32+D387/Scoring!$C$32+E387*Scoring!$D$32+F387*Scoring!$E$32+G387/Scoring!$F$32+H387*Scoring!$G$32+I387*Scoring!$H$32+K387*Scoring!$I$32+RB!L387*Scoring!$J$32</f>
        <v>0</v>
      </c>
      <c r="X387" s="53" t="n">
        <f aca="false">D387+G387</f>
        <v>0</v>
      </c>
      <c r="Y387" s="53" t="n">
        <f aca="false">H387+E387</f>
        <v>0</v>
      </c>
      <c r="Z387" s="53" t="e">
        <f aca="false">X387/Y387</f>
        <v>#DIV/0!</v>
      </c>
    </row>
    <row r="388" customFormat="false" ht="14.25" hidden="false" customHeight="true" outlineLevel="0" collapsed="false">
      <c r="K388" s="115" t="n">
        <f aca="false">IFERROR((D388/C388)/4.5*0.25*C388,0)</f>
        <v>0</v>
      </c>
      <c r="L388" s="115" t="n">
        <f aca="false">IFERROR((G388/F388)/7.95*0.376*F388,0)</f>
        <v>0</v>
      </c>
      <c r="M388" s="117"/>
      <c r="N388" s="117"/>
      <c r="O388" s="117"/>
      <c r="X388" s="53" t="n">
        <f aca="false">D388+G388</f>
        <v>0</v>
      </c>
      <c r="Y388" s="53" t="n">
        <f aca="false">H388+E388</f>
        <v>0</v>
      </c>
      <c r="Z388" s="53" t="e">
        <f aca="false">X388/Y388</f>
        <v>#DIV/0!</v>
      </c>
    </row>
    <row r="389" customFormat="false" ht="14.25" hidden="false" customHeight="true" outlineLevel="0" collapsed="false">
      <c r="K389" s="115" t="n">
        <f aca="false">IFERROR((D389/C389)/4.5*0.25*C389,0)</f>
        <v>0</v>
      </c>
      <c r="L389" s="115" t="n">
        <f aca="false">IFERROR((G389/F389)/7.95*0.376*F389,0)</f>
        <v>0</v>
      </c>
      <c r="M389" s="117"/>
      <c r="N389" s="117"/>
      <c r="O389" s="117"/>
      <c r="X389" s="53" t="n">
        <f aca="false">D389+G389</f>
        <v>0</v>
      </c>
      <c r="Y389" s="53" t="n">
        <f aca="false">H389+E389</f>
        <v>0</v>
      </c>
      <c r="Z389" s="53" t="e">
        <f aca="false">X389/Y389</f>
        <v>#DIV/0!</v>
      </c>
    </row>
    <row r="390" customFormat="false" ht="14.25" hidden="false" customHeight="true" outlineLevel="0" collapsed="false">
      <c r="K390" s="115" t="n">
        <f aca="false">IFERROR((D390/C390)/4.5*0.25*C390,0)</f>
        <v>0</v>
      </c>
      <c r="L390" s="115" t="n">
        <f aca="false">IFERROR((G390/F390)/7.95*0.376*F390,0)</f>
        <v>0</v>
      </c>
      <c r="M390" s="117" t="n">
        <f aca="false">C392*Scoring!$B$32+D392/Scoring!$C$32+E392*Scoring!$D$32+F392*Scoring!$E$32+G392/Scoring!$F$32+H392*Scoring!$G$32+I392*Scoring!$H$32+K392*Scoring!$I$32+RB!L392*Scoring!$J$32+U390</f>
        <v>0</v>
      </c>
      <c r="N390" s="117" t="n">
        <f aca="false">C390*Scoring!$B$32+D390/Scoring!$C$32+E390*Scoring!$D$32+F390*Scoring!$E$32+G390/Scoring!$F$32+H390*Scoring!$G$32+I390*Scoring!$H$32+K390*Scoring!$I$32+RB!L390*Scoring!$J$32+U390</f>
        <v>0</v>
      </c>
      <c r="O390" s="117" t="n">
        <f aca="false">C391*Scoring!$B$32+D391/Scoring!$C$32+E391*Scoring!$D$32+F391*Scoring!$E$32+G391/Scoring!$F$32+H391*Scoring!$G$32+I391*Scoring!$H$32+K391*Scoring!$I$32+L391*Scoring!$J$32+U390</f>
        <v>0</v>
      </c>
      <c r="P390" s="53" t="n">
        <f aca="false">IF(COUNTIF(Rookies!$A:$A,A390)&gt;0,1,0)</f>
        <v>0</v>
      </c>
      <c r="S390" s="53" t="n">
        <f aca="false">V390/17</f>
        <v>0</v>
      </c>
      <c r="T390" s="53" t="n">
        <f aca="false">IF(P390=1,MAX(0,0.258*(14.9-S390)),0)</f>
        <v>0</v>
      </c>
      <c r="U390" s="53" t="n">
        <f aca="false">T390*17</f>
        <v>0</v>
      </c>
      <c r="V390" s="53" t="n">
        <f aca="false">C390*Scoring!$B$32+D390/Scoring!$C$32+E390*Scoring!$D$32+F390*Scoring!$E$32+G390/Scoring!$F$32+H390*Scoring!$G$32+I390*Scoring!$H$32+K390*Scoring!$I$32+RB!L390*Scoring!$J$32</f>
        <v>0</v>
      </c>
      <c r="X390" s="53" t="n">
        <f aca="false">D390+G390</f>
        <v>0</v>
      </c>
      <c r="Y390" s="53" t="n">
        <f aca="false">H390+E390</f>
        <v>0</v>
      </c>
      <c r="Z390" s="53" t="e">
        <f aca="false">X390/Y390</f>
        <v>#DIV/0!</v>
      </c>
    </row>
    <row r="391" customFormat="false" ht="14.25" hidden="false" customHeight="true" outlineLevel="0" collapsed="false">
      <c r="K391" s="115" t="n">
        <f aca="false">IFERROR((D391/C391)/4.5*0.25*C391,0)</f>
        <v>0</v>
      </c>
      <c r="L391" s="115" t="n">
        <f aca="false">IFERROR((G391/F391)/7.95*0.376*F391,0)</f>
        <v>0</v>
      </c>
      <c r="M391" s="117"/>
      <c r="N391" s="117"/>
      <c r="O391" s="117"/>
      <c r="X391" s="53" t="n">
        <f aca="false">D391+G391</f>
        <v>0</v>
      </c>
      <c r="Y391" s="53" t="n">
        <f aca="false">H391+E391</f>
        <v>0</v>
      </c>
      <c r="Z391" s="53" t="e">
        <f aca="false">X391/Y391</f>
        <v>#DIV/0!</v>
      </c>
    </row>
    <row r="392" customFormat="false" ht="14.25" hidden="false" customHeight="true" outlineLevel="0" collapsed="false">
      <c r="K392" s="115" t="n">
        <f aca="false">IFERROR((D392/C392)/4.5*0.25*C392,0)</f>
        <v>0</v>
      </c>
      <c r="L392" s="115" t="n">
        <f aca="false">IFERROR((G392/F392)/7.95*0.376*F392,0)</f>
        <v>0</v>
      </c>
      <c r="M392" s="117"/>
      <c r="N392" s="117"/>
      <c r="O392" s="117"/>
      <c r="X392" s="53" t="n">
        <f aca="false">D392+G392</f>
        <v>0</v>
      </c>
      <c r="Y392" s="53" t="n">
        <f aca="false">H392+E392</f>
        <v>0</v>
      </c>
      <c r="Z392" s="53" t="e">
        <f aca="false">X392/Y392</f>
        <v>#DIV/0!</v>
      </c>
    </row>
    <row r="393" customFormat="false" ht="14.25" hidden="false" customHeight="true" outlineLevel="0" collapsed="false">
      <c r="K393" s="115" t="n">
        <f aca="false">IFERROR((D393/C393)/4.5*0.25*C393,0)</f>
        <v>0</v>
      </c>
      <c r="L393" s="115" t="n">
        <f aca="false">IFERROR((G393/F393)/7.95*0.376*F393,0)</f>
        <v>0</v>
      </c>
      <c r="M393" s="117" t="n">
        <f aca="false">C395*Scoring!$B$32+D395/Scoring!$C$32+E395*Scoring!$D$32+F395*Scoring!$E$32+G395/Scoring!$F$32+H395*Scoring!$G$32+I395*Scoring!$H$32+K395*Scoring!$I$32+RB!L395*Scoring!$J$32+U393</f>
        <v>0</v>
      </c>
      <c r="N393" s="117" t="n">
        <f aca="false">C393*Scoring!$B$32+D393/Scoring!$C$32+E393*Scoring!$D$32+F393*Scoring!$E$32+G393/Scoring!$F$32+H393*Scoring!$G$32+I393*Scoring!$H$32+K393*Scoring!$I$32+RB!L393*Scoring!$J$32+U393</f>
        <v>0</v>
      </c>
      <c r="O393" s="117" t="n">
        <f aca="false">C394*Scoring!$B$32+D394/Scoring!$C$32+E394*Scoring!$D$32+F394*Scoring!$E$32+G394/Scoring!$F$32+H394*Scoring!$G$32+I394*Scoring!$H$32+K394*Scoring!$I$32+L394*Scoring!$J$32+U393</f>
        <v>0</v>
      </c>
      <c r="P393" s="53" t="n">
        <f aca="false">IF(COUNTIF(Rookies!$A:$A,A393)&gt;0,1,0)</f>
        <v>0</v>
      </c>
      <c r="S393" s="53" t="n">
        <f aca="false">V393/17</f>
        <v>0</v>
      </c>
      <c r="T393" s="53" t="n">
        <f aca="false">IF(P393=1,MAX(0,0.258*(14.9-S393)),0)</f>
        <v>0</v>
      </c>
      <c r="U393" s="53" t="n">
        <f aca="false">T393*17</f>
        <v>0</v>
      </c>
      <c r="V393" s="53" t="n">
        <f aca="false">C393*Scoring!$B$32+D393/Scoring!$C$32+E393*Scoring!$D$32+F393*Scoring!$E$32+G393/Scoring!$F$32+H393*Scoring!$G$32+I393*Scoring!$H$32+K393*Scoring!$I$32+RB!L393*Scoring!$J$32</f>
        <v>0</v>
      </c>
      <c r="X393" s="53" t="n">
        <f aca="false">D393+G393</f>
        <v>0</v>
      </c>
      <c r="Y393" s="53" t="n">
        <f aca="false">H393+E393</f>
        <v>0</v>
      </c>
      <c r="Z393" s="53" t="e">
        <f aca="false">X393/Y393</f>
        <v>#DIV/0!</v>
      </c>
    </row>
    <row r="394" customFormat="false" ht="14.25" hidden="false" customHeight="true" outlineLevel="0" collapsed="false">
      <c r="K394" s="115" t="n">
        <f aca="false">IFERROR((D394/C394)/4.5*0.25*C394,0)</f>
        <v>0</v>
      </c>
      <c r="L394" s="115" t="n">
        <f aca="false">IFERROR((G394/F394)/7.95*0.376*F394,0)</f>
        <v>0</v>
      </c>
      <c r="M394" s="117"/>
      <c r="N394" s="117"/>
      <c r="O394" s="117"/>
      <c r="X394" s="53" t="n">
        <f aca="false">D394+G394</f>
        <v>0</v>
      </c>
      <c r="Y394" s="53" t="n">
        <f aca="false">H394+E394</f>
        <v>0</v>
      </c>
      <c r="Z394" s="53" t="e">
        <f aca="false">X394/Y394</f>
        <v>#DIV/0!</v>
      </c>
    </row>
    <row r="395" customFormat="false" ht="14.25" hidden="false" customHeight="true" outlineLevel="0" collapsed="false">
      <c r="K395" s="115" t="n">
        <f aca="false">IFERROR((D395/C395)/4.5*0.25*C395,0)</f>
        <v>0</v>
      </c>
      <c r="L395" s="115" t="n">
        <f aca="false">IFERROR((G395/F395)/7.95*0.376*F395,0)</f>
        <v>0</v>
      </c>
      <c r="M395" s="117"/>
      <c r="N395" s="117"/>
      <c r="O395" s="117"/>
      <c r="X395" s="53" t="n">
        <f aca="false">D395+G395</f>
        <v>0</v>
      </c>
      <c r="Y395" s="53" t="n">
        <f aca="false">H395+E395</f>
        <v>0</v>
      </c>
      <c r="Z395" s="53" t="e">
        <f aca="false">X395/Y395</f>
        <v>#DIV/0!</v>
      </c>
    </row>
    <row r="396" customFormat="false" ht="14.25" hidden="false" customHeight="true" outlineLevel="0" collapsed="false">
      <c r="K396" s="115" t="n">
        <f aca="false">IFERROR((D396/C396)/4.5*0.25*C396,0)</f>
        <v>0</v>
      </c>
      <c r="L396" s="115" t="n">
        <f aca="false">IFERROR((G396/F396)/7.95*0.376*F396,0)</f>
        <v>0</v>
      </c>
      <c r="M396" s="117" t="n">
        <f aca="false">C398*Scoring!$B$32+D398/Scoring!$C$32+E398*Scoring!$D$32+F398*Scoring!$E$32+G398/Scoring!$F$32+H398*Scoring!$G$32+I398*Scoring!$H$32+K398*Scoring!$I$32+RB!L398*Scoring!$J$32+U396</f>
        <v>0</v>
      </c>
      <c r="N396" s="117" t="n">
        <f aca="false">C396*Scoring!$B$32+D396/Scoring!$C$32+E396*Scoring!$D$32+F396*Scoring!$E$32+G396/Scoring!$F$32+H396*Scoring!$G$32+I396*Scoring!$H$32+K396*Scoring!$I$32+RB!L396*Scoring!$J$32+U396</f>
        <v>0</v>
      </c>
      <c r="O396" s="117" t="n">
        <f aca="false">C397*Scoring!$B$32+D397/Scoring!$C$32+E397*Scoring!$D$32+F397*Scoring!$E$32+G397/Scoring!$F$32+H397*Scoring!$G$32+I397*Scoring!$H$32+K397*Scoring!$I$32+L397*Scoring!$J$32+U396</f>
        <v>0</v>
      </c>
      <c r="P396" s="53" t="n">
        <f aca="false">IF(COUNTIF(Rookies!$A:$A,A396)&gt;0,1,0)</f>
        <v>0</v>
      </c>
      <c r="S396" s="53" t="n">
        <f aca="false">V396/17</f>
        <v>0</v>
      </c>
      <c r="T396" s="53" t="n">
        <f aca="false">IF(P396=1,MAX(0,0.258*(14.9-S396)),0)</f>
        <v>0</v>
      </c>
      <c r="U396" s="53" t="n">
        <f aca="false">T396*17</f>
        <v>0</v>
      </c>
      <c r="V396" s="53" t="n">
        <f aca="false">C396*Scoring!$B$32+D396/Scoring!$C$32+E396*Scoring!$D$32+F396*Scoring!$E$32+G396/Scoring!$F$32+H396*Scoring!$G$32+I396*Scoring!$H$32+K396*Scoring!$I$32+RB!L396*Scoring!$J$32</f>
        <v>0</v>
      </c>
      <c r="X396" s="53" t="n">
        <f aca="false">D396+G396</f>
        <v>0</v>
      </c>
      <c r="Y396" s="53" t="n">
        <f aca="false">H396+E396</f>
        <v>0</v>
      </c>
      <c r="Z396" s="53" t="e">
        <f aca="false">X396/Y396</f>
        <v>#DIV/0!</v>
      </c>
    </row>
    <row r="397" customFormat="false" ht="14.25" hidden="false" customHeight="true" outlineLevel="0" collapsed="false">
      <c r="K397" s="115" t="n">
        <f aca="false">IFERROR((D397/C397)/4.5*0.25*C397,0)</f>
        <v>0</v>
      </c>
      <c r="L397" s="115" t="n">
        <f aca="false">IFERROR((G397/F397)/7.95*0.376*F397,0)</f>
        <v>0</v>
      </c>
      <c r="M397" s="117"/>
      <c r="N397" s="117"/>
      <c r="O397" s="117"/>
      <c r="X397" s="53" t="n">
        <f aca="false">D397+G397</f>
        <v>0</v>
      </c>
      <c r="Y397" s="53" t="n">
        <f aca="false">H397+E397</f>
        <v>0</v>
      </c>
      <c r="Z397" s="53" t="e">
        <f aca="false">X397/Y397</f>
        <v>#DIV/0!</v>
      </c>
    </row>
    <row r="398" customFormat="false" ht="14.25" hidden="false" customHeight="true" outlineLevel="0" collapsed="false">
      <c r="K398" s="115" t="n">
        <f aca="false">IFERROR((D398/C398)/4.5*0.25*C398,0)</f>
        <v>0</v>
      </c>
      <c r="L398" s="115" t="n">
        <f aca="false">IFERROR((G398/F398)/7.95*0.376*F398,0)</f>
        <v>0</v>
      </c>
      <c r="M398" s="117"/>
      <c r="N398" s="117"/>
      <c r="O398" s="117"/>
      <c r="X398" s="53" t="n">
        <f aca="false">D398+G398</f>
        <v>0</v>
      </c>
      <c r="Y398" s="53" t="n">
        <f aca="false">H398+E398</f>
        <v>0</v>
      </c>
      <c r="Z398" s="53" t="e">
        <f aca="false">X398/Y398</f>
        <v>#DIV/0!</v>
      </c>
    </row>
    <row r="399" customFormat="false" ht="14.25" hidden="false" customHeight="true" outlineLevel="0" collapsed="false">
      <c r="K399" s="115" t="n">
        <f aca="false">IFERROR((D399/C399)/4.5*0.25*C399,0)</f>
        <v>0</v>
      </c>
      <c r="L399" s="115" t="n">
        <f aca="false">IFERROR((G399/F399)/7.95*0.376*F399,0)</f>
        <v>0</v>
      </c>
      <c r="M399" s="117" t="n">
        <f aca="false">C401*Scoring!$B$32+D401/Scoring!$C$32+E401*Scoring!$D$32+F401*Scoring!$E$32+G401/Scoring!$F$32+H401*Scoring!$G$32+I401*Scoring!$H$32+K401*Scoring!$I$32+RB!L401*Scoring!$J$32+U399</f>
        <v>0</v>
      </c>
      <c r="N399" s="117" t="n">
        <f aca="false">C399*Scoring!$B$32+D399/Scoring!$C$32+E399*Scoring!$D$32+F399*Scoring!$E$32+G399/Scoring!$F$32+H399*Scoring!$G$32+I399*Scoring!$H$32+K399*Scoring!$I$32+RB!L399*Scoring!$J$32+U399</f>
        <v>0</v>
      </c>
      <c r="O399" s="117" t="n">
        <f aca="false">C400*Scoring!$B$32+D400/Scoring!$C$32+E400*Scoring!$D$32+F400*Scoring!$E$32+G400/Scoring!$F$32+H400*Scoring!$G$32+I400*Scoring!$H$32+K400*Scoring!$I$32+L400*Scoring!$J$32+U399</f>
        <v>0</v>
      </c>
      <c r="P399" s="53" t="n">
        <f aca="false">IF(COUNTIF(Rookies!$A:$A,A399)&gt;0,1,0)</f>
        <v>0</v>
      </c>
      <c r="S399" s="53" t="n">
        <f aca="false">V399/17</f>
        <v>0</v>
      </c>
      <c r="T399" s="53" t="n">
        <f aca="false">IF(P399=1,MAX(0,0.258*(14.9-S399)),0)</f>
        <v>0</v>
      </c>
      <c r="U399" s="53" t="n">
        <f aca="false">T399*17</f>
        <v>0</v>
      </c>
      <c r="V399" s="53" t="n">
        <f aca="false">C399*Scoring!$B$32+D399/Scoring!$C$32+E399*Scoring!$D$32+F399*Scoring!$E$32+G399/Scoring!$F$32+H399*Scoring!$G$32+I399*Scoring!$H$32+K399*Scoring!$I$32+RB!L399*Scoring!$J$32</f>
        <v>0</v>
      </c>
      <c r="X399" s="53" t="n">
        <f aca="false">D399+G399</f>
        <v>0</v>
      </c>
      <c r="Y399" s="53" t="n">
        <f aca="false">H399+E399</f>
        <v>0</v>
      </c>
      <c r="Z399" s="53" t="e">
        <f aca="false">X399/Y399</f>
        <v>#DIV/0!</v>
      </c>
    </row>
    <row r="400" customFormat="false" ht="14.25" hidden="false" customHeight="true" outlineLevel="0" collapsed="false">
      <c r="K400" s="115" t="n">
        <f aca="false">IFERROR((D400/C400)/4.5*0.25*C400,0)</f>
        <v>0</v>
      </c>
      <c r="L400" s="115" t="n">
        <f aca="false">IFERROR((G400/F400)/7.95*0.376*F400,0)</f>
        <v>0</v>
      </c>
      <c r="M400" s="117"/>
      <c r="N400" s="117"/>
      <c r="O400" s="117"/>
      <c r="X400" s="53" t="n">
        <f aca="false">D400+G400</f>
        <v>0</v>
      </c>
      <c r="Y400" s="53" t="n">
        <f aca="false">H400+E400</f>
        <v>0</v>
      </c>
      <c r="Z400" s="53" t="e">
        <f aca="false">X400/Y400</f>
        <v>#DIV/0!</v>
      </c>
    </row>
    <row r="401" customFormat="false" ht="14.25" hidden="false" customHeight="true" outlineLevel="0" collapsed="false">
      <c r="K401" s="115" t="n">
        <f aca="false">IFERROR((D401/C401)/4.5*0.25*C401,0)</f>
        <v>0</v>
      </c>
      <c r="L401" s="115" t="n">
        <f aca="false">IFERROR((G401/F401)/7.95*0.376*F401,0)</f>
        <v>0</v>
      </c>
      <c r="M401" s="117"/>
      <c r="N401" s="117"/>
      <c r="O401" s="117"/>
      <c r="X401" s="53" t="n">
        <f aca="false">D401+G401</f>
        <v>0</v>
      </c>
      <c r="Y401" s="53" t="n">
        <f aca="false">H401+E401</f>
        <v>0</v>
      </c>
      <c r="Z401" s="53" t="e">
        <f aca="false">X401/Y401</f>
        <v>#DIV/0!</v>
      </c>
    </row>
    <row r="402" customFormat="false" ht="14.25" hidden="false" customHeight="true" outlineLevel="0" collapsed="false">
      <c r="K402" s="115" t="n">
        <f aca="false">IFERROR((D402/C402)/4.5*0.25*C402,0)</f>
        <v>0</v>
      </c>
      <c r="L402" s="115" t="n">
        <f aca="false">IFERROR((G402/F402)/7.95*0.376*F402,0)</f>
        <v>0</v>
      </c>
      <c r="M402" s="117" t="n">
        <f aca="false">C404*Scoring!$B$32+D404/Scoring!$C$32+E404*Scoring!$D$32+F404*Scoring!$E$32+G404/Scoring!$F$32+H404*Scoring!$G$32+I404*Scoring!$H$32+K404*Scoring!$I$32+RB!L404*Scoring!$J$32+U402</f>
        <v>0</v>
      </c>
      <c r="N402" s="117" t="n">
        <f aca="false">C402*Scoring!$B$32+D402/Scoring!$C$32+E402*Scoring!$D$32+F402*Scoring!$E$32+G402/Scoring!$F$32+H402*Scoring!$G$32+I402*Scoring!$H$32+K402*Scoring!$I$32+RB!L402*Scoring!$J$32+U402</f>
        <v>0</v>
      </c>
      <c r="O402" s="117" t="n">
        <f aca="false">C403*Scoring!$B$32+D403/Scoring!$C$32+E403*Scoring!$D$32+F403*Scoring!$E$32+G403/Scoring!$F$32+H403*Scoring!$G$32+I403*Scoring!$H$32+K403*Scoring!$I$32+L403*Scoring!$J$32+U402</f>
        <v>0</v>
      </c>
      <c r="P402" s="53" t="n">
        <f aca="false">IF(COUNTIF(Rookies!$A:$A,A402)&gt;0,1,0)</f>
        <v>0</v>
      </c>
      <c r="S402" s="53" t="n">
        <f aca="false">V402/17</f>
        <v>0</v>
      </c>
      <c r="T402" s="53" t="n">
        <f aca="false">IF(P402=1,MAX(0,0.258*(14.9-S402)),0)</f>
        <v>0</v>
      </c>
      <c r="U402" s="53" t="n">
        <f aca="false">T402*17</f>
        <v>0</v>
      </c>
      <c r="V402" s="53" t="n">
        <f aca="false">C402*Scoring!$B$32+D402/Scoring!$C$32+E402*Scoring!$D$32+F402*Scoring!$E$32+G402/Scoring!$F$32+H402*Scoring!$G$32+I402*Scoring!$H$32+K402*Scoring!$I$32+RB!L402*Scoring!$J$32</f>
        <v>0</v>
      </c>
      <c r="X402" s="53" t="n">
        <f aca="false">D402+G402</f>
        <v>0</v>
      </c>
      <c r="Y402" s="53" t="n">
        <f aca="false">H402+E402</f>
        <v>0</v>
      </c>
      <c r="Z402" s="53" t="e">
        <f aca="false">X402/Y402</f>
        <v>#DIV/0!</v>
      </c>
    </row>
    <row r="403" customFormat="false" ht="14.25" hidden="false" customHeight="true" outlineLevel="0" collapsed="false">
      <c r="K403" s="115" t="n">
        <f aca="false">IFERROR((D403/C403)/4.5*0.25*C403,0)</f>
        <v>0</v>
      </c>
      <c r="L403" s="115" t="n">
        <f aca="false">IFERROR((G403/F403)/7.95*0.376*F403,0)</f>
        <v>0</v>
      </c>
      <c r="M403" s="117"/>
      <c r="N403" s="117"/>
      <c r="O403" s="117"/>
      <c r="X403" s="53" t="n">
        <f aca="false">D403+G403</f>
        <v>0</v>
      </c>
      <c r="Y403" s="53" t="n">
        <f aca="false">H403+E403</f>
        <v>0</v>
      </c>
      <c r="Z403" s="53" t="e">
        <f aca="false">X403/Y403</f>
        <v>#DIV/0!</v>
      </c>
    </row>
    <row r="404" customFormat="false" ht="14.25" hidden="false" customHeight="true" outlineLevel="0" collapsed="false">
      <c r="K404" s="115" t="n">
        <f aca="false">IFERROR((D404/C404)/4.5*0.25*C404,0)</f>
        <v>0</v>
      </c>
      <c r="L404" s="115" t="n">
        <f aca="false">IFERROR((G404/F404)/7.95*0.376*F404,0)</f>
        <v>0</v>
      </c>
      <c r="M404" s="117"/>
      <c r="N404" s="117"/>
      <c r="O404" s="117"/>
      <c r="X404" s="53" t="n">
        <f aca="false">D404+G404</f>
        <v>0</v>
      </c>
      <c r="Y404" s="53" t="n">
        <f aca="false">H404+E404</f>
        <v>0</v>
      </c>
      <c r="Z404" s="53" t="e">
        <f aca="false">X404/Y404</f>
        <v>#DIV/0!</v>
      </c>
    </row>
    <row r="405" customFormat="false" ht="14.25" hidden="false" customHeight="true" outlineLevel="0" collapsed="false">
      <c r="K405" s="115" t="n">
        <f aca="false">IFERROR((D405/C405)/4.5*0.25*C405,0)</f>
        <v>0</v>
      </c>
      <c r="L405" s="115" t="n">
        <f aca="false">IFERROR((G405/F405)/7.95*0.376*F405,0)</f>
        <v>0</v>
      </c>
      <c r="M405" s="117" t="n">
        <f aca="false">C407*Scoring!$B$32+D407/Scoring!$C$32+E407*Scoring!$D$32+F407*Scoring!$E$32+G407/Scoring!$F$32+H407*Scoring!$G$32+I407*Scoring!$H$32+K407*Scoring!$I$32+RB!L407*Scoring!$J$32+U405</f>
        <v>0</v>
      </c>
      <c r="N405" s="117" t="n">
        <f aca="false">C405*Scoring!$B$32+D405/Scoring!$C$32+E405*Scoring!$D$32+F405*Scoring!$E$32+G405/Scoring!$F$32+H405*Scoring!$G$32+I405*Scoring!$H$32+K405*Scoring!$I$32+RB!L405*Scoring!$J$32+U405</f>
        <v>0</v>
      </c>
      <c r="O405" s="117" t="n">
        <f aca="false">C406*Scoring!$B$32+D406/Scoring!$C$32+E406*Scoring!$D$32+F406*Scoring!$E$32+G406/Scoring!$F$32+H406*Scoring!$G$32+I406*Scoring!$H$32+K406*Scoring!$I$32+L406*Scoring!$J$32+U405</f>
        <v>0</v>
      </c>
      <c r="P405" s="53" t="n">
        <f aca="false">IF(COUNTIF(Rookies!$A:$A,A405)&gt;0,1,0)</f>
        <v>0</v>
      </c>
      <c r="S405" s="53" t="n">
        <f aca="false">V405/17</f>
        <v>0</v>
      </c>
      <c r="T405" s="53" t="n">
        <f aca="false">IF(P405=1,MAX(0,0.258*(14.9-S405)),0)</f>
        <v>0</v>
      </c>
      <c r="U405" s="53" t="n">
        <f aca="false">T405*17</f>
        <v>0</v>
      </c>
      <c r="V405" s="53" t="n">
        <f aca="false">C405*Scoring!$B$32+D405/Scoring!$C$32+E405*Scoring!$D$32+F405*Scoring!$E$32+G405/Scoring!$F$32+H405*Scoring!$G$32+I405*Scoring!$H$32+K405*Scoring!$I$32+RB!L405*Scoring!$J$32</f>
        <v>0</v>
      </c>
      <c r="X405" s="53" t="n">
        <f aca="false">D405+G405</f>
        <v>0</v>
      </c>
      <c r="Y405" s="53" t="n">
        <f aca="false">H405+E405</f>
        <v>0</v>
      </c>
      <c r="Z405" s="53" t="e">
        <f aca="false">X405/Y405</f>
        <v>#DIV/0!</v>
      </c>
    </row>
    <row r="406" customFormat="false" ht="14.25" hidden="false" customHeight="true" outlineLevel="0" collapsed="false">
      <c r="K406" s="115" t="n">
        <f aca="false">IFERROR((D406/C406)/4.5*0.25*C406,0)</f>
        <v>0</v>
      </c>
      <c r="L406" s="115" t="n">
        <f aca="false">IFERROR((G406/F406)/7.95*0.376*F406,0)</f>
        <v>0</v>
      </c>
      <c r="M406" s="117"/>
      <c r="N406" s="117"/>
      <c r="O406" s="117"/>
      <c r="X406" s="53" t="n">
        <f aca="false">D406+G406</f>
        <v>0</v>
      </c>
      <c r="Y406" s="53" t="n">
        <f aca="false">H406+E406</f>
        <v>0</v>
      </c>
      <c r="Z406" s="53" t="e">
        <f aca="false">X406/Y406</f>
        <v>#DIV/0!</v>
      </c>
    </row>
    <row r="407" customFormat="false" ht="14.25" hidden="false" customHeight="true" outlineLevel="0" collapsed="false">
      <c r="K407" s="115" t="n">
        <f aca="false">IFERROR((D407/C407)/4.5*0.25*C407,0)</f>
        <v>0</v>
      </c>
      <c r="L407" s="115" t="n">
        <f aca="false">IFERROR((G407/F407)/7.95*0.376*F407,0)</f>
        <v>0</v>
      </c>
      <c r="M407" s="117"/>
      <c r="N407" s="117"/>
      <c r="O407" s="117"/>
      <c r="X407" s="53" t="n">
        <f aca="false">D407+G407</f>
        <v>0</v>
      </c>
      <c r="Y407" s="53" t="n">
        <f aca="false">H407+E407</f>
        <v>0</v>
      </c>
      <c r="Z407" s="53" t="e">
        <f aca="false">X407/Y407</f>
        <v>#DIV/0!</v>
      </c>
    </row>
    <row r="408" customFormat="false" ht="14.25" hidden="false" customHeight="true" outlineLevel="0" collapsed="false">
      <c r="K408" s="115" t="n">
        <f aca="false">IFERROR((D408/C408)/4.5*0.25*C408,0)</f>
        <v>0</v>
      </c>
      <c r="L408" s="115" t="n">
        <f aca="false">IFERROR((G408/F408)/7.95*0.376*F408,0)</f>
        <v>0</v>
      </c>
      <c r="M408" s="117" t="n">
        <f aca="false">C410*Scoring!$B$32+D410/Scoring!$C$32+E410*Scoring!$D$32+F410*Scoring!$E$32+G410/Scoring!$F$32+H410*Scoring!$G$32+I410*Scoring!$H$32+K410*Scoring!$I$32+RB!L410*Scoring!$J$32+U408</f>
        <v>0</v>
      </c>
      <c r="N408" s="117" t="n">
        <f aca="false">C408*Scoring!$B$32+D408/Scoring!$C$32+E408*Scoring!$D$32+F408*Scoring!$E$32+G408/Scoring!$F$32+H408*Scoring!$G$32+I408*Scoring!$H$32+K408*Scoring!$I$32+RB!L408*Scoring!$J$32+U408</f>
        <v>0</v>
      </c>
      <c r="O408" s="117" t="n">
        <f aca="false">C409*Scoring!$B$32+D409/Scoring!$C$32+E409*Scoring!$D$32+F409*Scoring!$E$32+G409/Scoring!$F$32+H409*Scoring!$G$32+I409*Scoring!$H$32+K409*Scoring!$I$32+L409*Scoring!$J$32+U408</f>
        <v>0</v>
      </c>
      <c r="P408" s="53" t="n">
        <f aca="false">IF(COUNTIF(Rookies!$A:$A,A408)&gt;0,1,0)</f>
        <v>0</v>
      </c>
      <c r="S408" s="53" t="n">
        <f aca="false">V408/17</f>
        <v>0</v>
      </c>
      <c r="T408" s="53" t="n">
        <f aca="false">IF(P408=1,MAX(0,0.258*(14.9-S408)),0)</f>
        <v>0</v>
      </c>
      <c r="U408" s="53" t="n">
        <f aca="false">T408*17</f>
        <v>0</v>
      </c>
      <c r="V408" s="53" t="n">
        <f aca="false">C408*Scoring!$B$32+D408/Scoring!$C$32+E408*Scoring!$D$32+F408*Scoring!$E$32+G408/Scoring!$F$32+H408*Scoring!$G$32+I408*Scoring!$H$32+K408*Scoring!$I$32+RB!L408*Scoring!$J$32</f>
        <v>0</v>
      </c>
      <c r="X408" s="53" t="n">
        <f aca="false">D408+G408</f>
        <v>0</v>
      </c>
      <c r="Y408" s="53" t="n">
        <f aca="false">H408+E408</f>
        <v>0</v>
      </c>
      <c r="Z408" s="53" t="e">
        <f aca="false">X408/Y408</f>
        <v>#DIV/0!</v>
      </c>
    </row>
    <row r="409" customFormat="false" ht="14.25" hidden="false" customHeight="true" outlineLevel="0" collapsed="false">
      <c r="K409" s="115" t="n">
        <f aca="false">IFERROR((D409/C409)/4.5*0.25*C409,0)</f>
        <v>0</v>
      </c>
      <c r="L409" s="115" t="n">
        <f aca="false">IFERROR((G409/F409)/7.95*0.376*F409,0)</f>
        <v>0</v>
      </c>
      <c r="M409" s="117"/>
      <c r="N409" s="117"/>
      <c r="O409" s="117"/>
      <c r="X409" s="53" t="n">
        <f aca="false">D409+G409</f>
        <v>0</v>
      </c>
      <c r="Y409" s="53" t="n">
        <f aca="false">H409+E409</f>
        <v>0</v>
      </c>
      <c r="Z409" s="53" t="e">
        <f aca="false">X409/Y409</f>
        <v>#DIV/0!</v>
      </c>
    </row>
    <row r="410" customFormat="false" ht="14.25" hidden="false" customHeight="true" outlineLevel="0" collapsed="false">
      <c r="K410" s="115" t="n">
        <f aca="false">IFERROR((D410/C410)/4.5*0.25*C410,0)</f>
        <v>0</v>
      </c>
      <c r="L410" s="115" t="n">
        <f aca="false">IFERROR((G410/F410)/7.95*0.376*F410,0)</f>
        <v>0</v>
      </c>
      <c r="M410" s="117"/>
      <c r="N410" s="117"/>
      <c r="O410" s="117"/>
      <c r="X410" s="53" t="n">
        <f aca="false">D410+G410</f>
        <v>0</v>
      </c>
      <c r="Y410" s="53" t="n">
        <f aca="false">H410+E410</f>
        <v>0</v>
      </c>
      <c r="Z410" s="53" t="e">
        <f aca="false">X410/Y410</f>
        <v>#DIV/0!</v>
      </c>
    </row>
    <row r="411" customFormat="false" ht="14.25" hidden="false" customHeight="true" outlineLevel="0" collapsed="false">
      <c r="K411" s="115" t="n">
        <f aca="false">IFERROR((D411/C411)/4.5*0.25*C411,0)</f>
        <v>0</v>
      </c>
      <c r="L411" s="115" t="n">
        <f aca="false">IFERROR((G411/F411)/7.95*0.376*F411,0)</f>
        <v>0</v>
      </c>
      <c r="M411" s="117" t="n">
        <f aca="false">C413*Scoring!$B$32+D413/Scoring!$C$32+E413*Scoring!$D$32+F413*Scoring!$E$32+G413/Scoring!$F$32+H413*Scoring!$G$32+I413*Scoring!$H$32+K413*Scoring!$I$32+RB!L413*Scoring!$J$32+U411</f>
        <v>0</v>
      </c>
      <c r="N411" s="117" t="n">
        <f aca="false">C411*Scoring!$B$32+D411/Scoring!$C$32+E411*Scoring!$D$32+F411*Scoring!$E$32+G411/Scoring!$F$32+H411*Scoring!$G$32+I411*Scoring!$H$32+K411*Scoring!$I$32+RB!L411*Scoring!$J$32+U411</f>
        <v>0</v>
      </c>
      <c r="O411" s="117" t="n">
        <f aca="false">C412*Scoring!$B$32+D412/Scoring!$C$32+E412*Scoring!$D$32+F412*Scoring!$E$32+G412/Scoring!$F$32+H412*Scoring!$G$32+I412*Scoring!$H$32+K412*Scoring!$I$32+L412*Scoring!$J$32+U411</f>
        <v>0</v>
      </c>
      <c r="P411" s="53" t="n">
        <f aca="false">IF(COUNTIF(Rookies!$A:$A,A411)&gt;0,1,0)</f>
        <v>0</v>
      </c>
      <c r="S411" s="53" t="n">
        <f aca="false">V411/17</f>
        <v>0</v>
      </c>
      <c r="T411" s="53" t="n">
        <f aca="false">IF(P411=1,MAX(0,0.258*(14.9-S411)),0)</f>
        <v>0</v>
      </c>
      <c r="U411" s="53" t="n">
        <f aca="false">T411*17</f>
        <v>0</v>
      </c>
      <c r="V411" s="53" t="n">
        <f aca="false">C411*Scoring!$B$32+D411/Scoring!$C$32+E411*Scoring!$D$32+F411*Scoring!$E$32+G411/Scoring!$F$32+H411*Scoring!$G$32+I411*Scoring!$H$32+K411*Scoring!$I$32+RB!L411*Scoring!$J$32</f>
        <v>0</v>
      </c>
      <c r="X411" s="53" t="n">
        <f aca="false">D411+G411</f>
        <v>0</v>
      </c>
      <c r="Y411" s="53" t="n">
        <f aca="false">H411+E411</f>
        <v>0</v>
      </c>
      <c r="Z411" s="53" t="e">
        <f aca="false">X411/Y411</f>
        <v>#DIV/0!</v>
      </c>
    </row>
    <row r="412" customFormat="false" ht="14.25" hidden="false" customHeight="true" outlineLevel="0" collapsed="false">
      <c r="K412" s="115" t="n">
        <f aca="false">IFERROR((D412/C412)/4.5*0.25*C412,0)</f>
        <v>0</v>
      </c>
      <c r="L412" s="115" t="n">
        <f aca="false">IFERROR((G412/F412)/7.95*0.376*F412,0)</f>
        <v>0</v>
      </c>
      <c r="M412" s="117"/>
      <c r="N412" s="117"/>
      <c r="O412" s="117"/>
      <c r="X412" s="53" t="n">
        <f aca="false">D412+G412</f>
        <v>0</v>
      </c>
      <c r="Y412" s="53" t="n">
        <f aca="false">H412+E412</f>
        <v>0</v>
      </c>
      <c r="Z412" s="53" t="e">
        <f aca="false">X412/Y412</f>
        <v>#DIV/0!</v>
      </c>
    </row>
    <row r="413" customFormat="false" ht="14.25" hidden="false" customHeight="true" outlineLevel="0" collapsed="false">
      <c r="K413" s="115" t="n">
        <f aca="false">IFERROR((D413/C413)/4.5*0.25*C413,0)</f>
        <v>0</v>
      </c>
      <c r="L413" s="115" t="n">
        <f aca="false">IFERROR((G413/F413)/7.95*0.376*F413,0)</f>
        <v>0</v>
      </c>
      <c r="M413" s="117"/>
      <c r="N413" s="117"/>
      <c r="O413" s="117"/>
      <c r="X413" s="53" t="n">
        <f aca="false">D413+G413</f>
        <v>0</v>
      </c>
      <c r="Y413" s="53" t="n">
        <f aca="false">H413+E413</f>
        <v>0</v>
      </c>
      <c r="Z413" s="53" t="e">
        <f aca="false">X413/Y413</f>
        <v>#DIV/0!</v>
      </c>
    </row>
    <row r="414" customFormat="false" ht="14.25" hidden="false" customHeight="true" outlineLevel="0" collapsed="false">
      <c r="K414" s="115" t="n">
        <f aca="false">IFERROR((D414/C414)/4.5*0.25*C414,0)</f>
        <v>0</v>
      </c>
      <c r="L414" s="115" t="n">
        <f aca="false">IFERROR((G414/F414)/7.95*0.376*F414,0)</f>
        <v>0</v>
      </c>
      <c r="M414" s="117" t="n">
        <f aca="false">C416*Scoring!$B$32+D416/Scoring!$C$32+E416*Scoring!$D$32+F416*Scoring!$E$32+G416/Scoring!$F$32+H416*Scoring!$G$32+I416*Scoring!$H$32+K416*Scoring!$I$32+RB!L416*Scoring!$J$32+U414</f>
        <v>0</v>
      </c>
      <c r="N414" s="117" t="n">
        <f aca="false">C414*Scoring!$B$32+D414/Scoring!$C$32+E414*Scoring!$D$32+F414*Scoring!$E$32+G414/Scoring!$F$32+H414*Scoring!$G$32+I414*Scoring!$H$32+K414*Scoring!$I$32+RB!L414*Scoring!$J$32+U414</f>
        <v>0</v>
      </c>
      <c r="O414" s="117" t="n">
        <f aca="false">C415*Scoring!$B$32+D415/Scoring!$C$32+E415*Scoring!$D$32+F415*Scoring!$E$32+G415/Scoring!$F$32+H415*Scoring!$G$32+I415*Scoring!$H$32+K415*Scoring!$I$32+L415*Scoring!$J$32+U414</f>
        <v>0</v>
      </c>
      <c r="P414" s="53" t="n">
        <f aca="false">IF(COUNTIF(Rookies!$A:$A,A414)&gt;0,1,0)</f>
        <v>0</v>
      </c>
      <c r="S414" s="53" t="n">
        <f aca="false">V414/17</f>
        <v>0</v>
      </c>
      <c r="T414" s="53" t="n">
        <f aca="false">IF(P414=1,MAX(0,0.258*(14.9-S414)),0)</f>
        <v>0</v>
      </c>
      <c r="U414" s="53" t="n">
        <f aca="false">T414*17</f>
        <v>0</v>
      </c>
      <c r="V414" s="53" t="n">
        <f aca="false">C414*Scoring!$B$32+D414/Scoring!$C$32+E414*Scoring!$D$32+F414*Scoring!$E$32+G414/Scoring!$F$32+H414*Scoring!$G$32+I414*Scoring!$H$32+K414*Scoring!$I$32+RB!L414*Scoring!$J$32</f>
        <v>0</v>
      </c>
      <c r="X414" s="53" t="n">
        <f aca="false">D414+G414</f>
        <v>0</v>
      </c>
      <c r="Y414" s="53" t="n">
        <f aca="false">H414+E414</f>
        <v>0</v>
      </c>
      <c r="Z414" s="53" t="e">
        <f aca="false">X414/Y414</f>
        <v>#DIV/0!</v>
      </c>
    </row>
    <row r="415" customFormat="false" ht="14.25" hidden="false" customHeight="true" outlineLevel="0" collapsed="false">
      <c r="K415" s="115" t="n">
        <f aca="false">IFERROR((D415/C415)/4.5*0.25*C415,0)</f>
        <v>0</v>
      </c>
      <c r="L415" s="115" t="n">
        <f aca="false">IFERROR((G415/F415)/7.95*0.376*F415,0)</f>
        <v>0</v>
      </c>
      <c r="M415" s="117"/>
      <c r="N415" s="117"/>
      <c r="O415" s="117"/>
      <c r="X415" s="53" t="n">
        <f aca="false">D415+G415</f>
        <v>0</v>
      </c>
      <c r="Y415" s="53" t="n">
        <f aca="false">H415+E415</f>
        <v>0</v>
      </c>
      <c r="Z415" s="53" t="e">
        <f aca="false">X415/Y415</f>
        <v>#DIV/0!</v>
      </c>
    </row>
    <row r="416" customFormat="false" ht="14.25" hidden="false" customHeight="true" outlineLevel="0" collapsed="false">
      <c r="K416" s="115" t="n">
        <f aca="false">IFERROR((D416/C416)/4.5*0.25*C416,0)</f>
        <v>0</v>
      </c>
      <c r="L416" s="115" t="n">
        <f aca="false">IFERROR((G416/F416)/7.95*0.376*F416,0)</f>
        <v>0</v>
      </c>
      <c r="M416" s="117"/>
      <c r="N416" s="117"/>
      <c r="O416" s="117"/>
      <c r="X416" s="53" t="n">
        <f aca="false">D416+G416</f>
        <v>0</v>
      </c>
      <c r="Y416" s="53" t="n">
        <f aca="false">H416+E416</f>
        <v>0</v>
      </c>
      <c r="Z416" s="53" t="e">
        <f aca="false">X416/Y416</f>
        <v>#DIV/0!</v>
      </c>
    </row>
    <row r="417" customFormat="false" ht="14.25" hidden="false" customHeight="true" outlineLevel="0" collapsed="false">
      <c r="K417" s="115" t="n">
        <f aca="false">IFERROR((D417/C417)/4.5*0.25*C417,0)</f>
        <v>0</v>
      </c>
      <c r="L417" s="115" t="n">
        <f aca="false">IFERROR((G417/F417)/7.95*0.376*F417,0)</f>
        <v>0</v>
      </c>
      <c r="M417" s="117" t="n">
        <f aca="false">C419*Scoring!$B$32+D419/Scoring!$C$32+E419*Scoring!$D$32+F419*Scoring!$E$32+G419/Scoring!$F$32+H419*Scoring!$G$32+I419*Scoring!$H$32+K419*Scoring!$I$32+RB!L419*Scoring!$J$32+U417</f>
        <v>0</v>
      </c>
      <c r="N417" s="117" t="n">
        <f aca="false">C417*Scoring!$B$32+D417/Scoring!$C$32+E417*Scoring!$D$32+F417*Scoring!$E$32+G417/Scoring!$F$32+H417*Scoring!$G$32+I417*Scoring!$H$32+K417*Scoring!$I$32+RB!L417*Scoring!$J$32+U417</f>
        <v>0</v>
      </c>
      <c r="O417" s="117" t="n">
        <f aca="false">C418*Scoring!$B$32+D418/Scoring!$C$32+E418*Scoring!$D$32+F418*Scoring!$E$32+G418/Scoring!$F$32+H418*Scoring!$G$32+I418*Scoring!$H$32+K418*Scoring!$I$32+L418*Scoring!$J$32+U417</f>
        <v>0</v>
      </c>
      <c r="P417" s="53" t="n">
        <f aca="false">IF(COUNTIF(Rookies!$A:$A,A417)&gt;0,1,0)</f>
        <v>0</v>
      </c>
      <c r="S417" s="53" t="n">
        <f aca="false">V417/17</f>
        <v>0</v>
      </c>
      <c r="T417" s="53" t="n">
        <f aca="false">IF(P417=1,MAX(0,0.258*(14.9-S417)),0)</f>
        <v>0</v>
      </c>
      <c r="U417" s="53" t="n">
        <f aca="false">T417*17</f>
        <v>0</v>
      </c>
      <c r="V417" s="53" t="n">
        <f aca="false">C417*Scoring!$B$32+D417/Scoring!$C$32+E417*Scoring!$D$32+F417*Scoring!$E$32+G417/Scoring!$F$32+H417*Scoring!$G$32+I417*Scoring!$H$32+K417*Scoring!$I$32+RB!L417*Scoring!$J$32</f>
        <v>0</v>
      </c>
      <c r="X417" s="53" t="n">
        <f aca="false">D417+G417</f>
        <v>0</v>
      </c>
      <c r="Y417" s="53" t="n">
        <f aca="false">H417+E417</f>
        <v>0</v>
      </c>
      <c r="Z417" s="53" t="e">
        <f aca="false">X417/Y417</f>
        <v>#DIV/0!</v>
      </c>
    </row>
    <row r="418" customFormat="false" ht="14.25" hidden="false" customHeight="true" outlineLevel="0" collapsed="false">
      <c r="K418" s="115" t="n">
        <f aca="false">IFERROR((D418/C418)/4.5*0.25*C418,0)</f>
        <v>0</v>
      </c>
      <c r="L418" s="115" t="n">
        <f aca="false">IFERROR((G418/F418)/7.95*0.376*F418,0)</f>
        <v>0</v>
      </c>
      <c r="M418" s="117"/>
      <c r="N418" s="117"/>
      <c r="O418" s="117"/>
      <c r="X418" s="53" t="n">
        <f aca="false">D418+G418</f>
        <v>0</v>
      </c>
      <c r="Y418" s="53" t="n">
        <f aca="false">H418+E418</f>
        <v>0</v>
      </c>
      <c r="Z418" s="53" t="e">
        <f aca="false">X418/Y418</f>
        <v>#DIV/0!</v>
      </c>
    </row>
    <row r="419" customFormat="false" ht="14.25" hidden="false" customHeight="true" outlineLevel="0" collapsed="false">
      <c r="K419" s="115" t="n">
        <f aca="false">IFERROR((D419/C419)/4.5*0.25*C419,0)</f>
        <v>0</v>
      </c>
      <c r="L419" s="115" t="n">
        <f aca="false">IFERROR((G419/F419)/7.95*0.376*F419,0)</f>
        <v>0</v>
      </c>
      <c r="M419" s="117"/>
      <c r="N419" s="117"/>
      <c r="O419" s="117"/>
      <c r="X419" s="53" t="n">
        <f aca="false">D419+G419</f>
        <v>0</v>
      </c>
      <c r="Y419" s="53" t="n">
        <f aca="false">H419+E419</f>
        <v>0</v>
      </c>
      <c r="Z419" s="53" t="e">
        <f aca="false">X419/Y419</f>
        <v>#DIV/0!</v>
      </c>
    </row>
    <row r="420" customFormat="false" ht="14.25" hidden="false" customHeight="true" outlineLevel="0" collapsed="false">
      <c r="K420" s="115" t="n">
        <f aca="false">IFERROR((D420/C420)/4.5*0.25*C420,0)</f>
        <v>0</v>
      </c>
      <c r="L420" s="115" t="n">
        <f aca="false">IFERROR((G420/F420)/7.95*0.376*F420,0)</f>
        <v>0</v>
      </c>
      <c r="M420" s="117" t="n">
        <f aca="false">C422*Scoring!$B$32+D422/Scoring!$C$32+E422*Scoring!$D$32+F422*Scoring!$E$32+G422/Scoring!$F$32+H422*Scoring!$G$32+I422*Scoring!$H$32+K422*Scoring!$I$32+RB!L422*Scoring!$J$32+U420</f>
        <v>0</v>
      </c>
      <c r="N420" s="117" t="n">
        <f aca="false">C420*Scoring!$B$32+D420/Scoring!$C$32+E420*Scoring!$D$32+F420*Scoring!$E$32+G420/Scoring!$F$32+H420*Scoring!$G$32+I420*Scoring!$H$32+K420*Scoring!$I$32+RB!L420*Scoring!$J$32+U420</f>
        <v>0</v>
      </c>
      <c r="O420" s="117" t="n">
        <f aca="false">C421*Scoring!$B$32+D421/Scoring!$C$32+E421*Scoring!$D$32+F421*Scoring!$E$32+G421/Scoring!$F$32+H421*Scoring!$G$32+I421*Scoring!$H$32+K421*Scoring!$I$32+L421*Scoring!$J$32+U420</f>
        <v>0</v>
      </c>
      <c r="P420" s="53" t="n">
        <f aca="false">IF(COUNTIF(Rookies!$A:$A,A420)&gt;0,1,0)</f>
        <v>0</v>
      </c>
      <c r="S420" s="53" t="n">
        <f aca="false">V420/17</f>
        <v>0</v>
      </c>
      <c r="T420" s="53" t="n">
        <f aca="false">IF(P420=1,MAX(0,0.258*(14.9-S420)),0)</f>
        <v>0</v>
      </c>
      <c r="U420" s="53" t="n">
        <f aca="false">T420*17</f>
        <v>0</v>
      </c>
      <c r="V420" s="53" t="n">
        <f aca="false">C420*Scoring!$B$32+D420/Scoring!$C$32+E420*Scoring!$D$32+F420*Scoring!$E$32+G420/Scoring!$F$32+H420*Scoring!$G$32+I420*Scoring!$H$32+K420*Scoring!$I$32+RB!L420*Scoring!$J$32</f>
        <v>0</v>
      </c>
      <c r="X420" s="53" t="n">
        <f aca="false">D420+G420</f>
        <v>0</v>
      </c>
      <c r="Y420" s="53" t="n">
        <f aca="false">H420+E420</f>
        <v>0</v>
      </c>
      <c r="Z420" s="53" t="e">
        <f aca="false">X420/Y420</f>
        <v>#DIV/0!</v>
      </c>
    </row>
    <row r="421" customFormat="false" ht="14.25" hidden="false" customHeight="true" outlineLevel="0" collapsed="false">
      <c r="K421" s="115" t="n">
        <f aca="false">IFERROR((D421/C421)/4.5*0.25*C421,0)</f>
        <v>0</v>
      </c>
      <c r="L421" s="115" t="n">
        <f aca="false">IFERROR((G421/F421)/7.95*0.376*F421,0)</f>
        <v>0</v>
      </c>
      <c r="M421" s="117"/>
      <c r="N421" s="117"/>
      <c r="O421" s="117"/>
      <c r="X421" s="53" t="n">
        <f aca="false">D421+G421</f>
        <v>0</v>
      </c>
      <c r="Y421" s="53" t="n">
        <f aca="false">H421+E421</f>
        <v>0</v>
      </c>
      <c r="Z421" s="53" t="e">
        <f aca="false">X421/Y421</f>
        <v>#DIV/0!</v>
      </c>
    </row>
    <row r="422" customFormat="false" ht="14.25" hidden="false" customHeight="true" outlineLevel="0" collapsed="false">
      <c r="K422" s="115" t="n">
        <f aca="false">IFERROR((D422/C422)/4.5*0.25*C422,0)</f>
        <v>0</v>
      </c>
      <c r="L422" s="115" t="n">
        <f aca="false">IFERROR((G422/F422)/7.95*0.376*F422,0)</f>
        <v>0</v>
      </c>
      <c r="M422" s="117"/>
      <c r="N422" s="117"/>
      <c r="O422" s="117"/>
      <c r="X422" s="53" t="n">
        <f aca="false">D422+G422</f>
        <v>0</v>
      </c>
      <c r="Y422" s="53" t="n">
        <f aca="false">H422+E422</f>
        <v>0</v>
      </c>
      <c r="Z422" s="53" t="e">
        <f aca="false">X422/Y422</f>
        <v>#DIV/0!</v>
      </c>
    </row>
    <row r="423" customFormat="false" ht="14.25" hidden="false" customHeight="true" outlineLevel="0" collapsed="false">
      <c r="K423" s="115" t="n">
        <f aca="false">IFERROR((D423/C423)/4.5*0.25*C423,0)</f>
        <v>0</v>
      </c>
      <c r="L423" s="115" t="n">
        <f aca="false">IFERROR((G423/F423)/7.95*0.376*F423,0)</f>
        <v>0</v>
      </c>
      <c r="M423" s="117" t="n">
        <f aca="false">C425*Scoring!$B$32+D425/Scoring!$C$32+E425*Scoring!$D$32+F425*Scoring!$E$32+G425/Scoring!$F$32+H425*Scoring!$G$32+I425*Scoring!$H$32+K425*Scoring!$I$32+RB!L425*Scoring!$J$32+U423</f>
        <v>0</v>
      </c>
      <c r="N423" s="117" t="n">
        <f aca="false">C423*Scoring!$B$32+D423/Scoring!$C$32+E423*Scoring!$D$32+F423*Scoring!$E$32+G423/Scoring!$F$32+H423*Scoring!$G$32+I423*Scoring!$H$32+K423*Scoring!$I$32+RB!L423*Scoring!$J$32+U423</f>
        <v>0</v>
      </c>
      <c r="O423" s="117" t="n">
        <f aca="false">C424*Scoring!$B$32+D424/Scoring!$C$32+E424*Scoring!$D$32+F424*Scoring!$E$32+G424/Scoring!$F$32+H424*Scoring!$G$32+I424*Scoring!$H$32+K424*Scoring!$I$32+L424*Scoring!$J$32+U423</f>
        <v>0</v>
      </c>
      <c r="P423" s="53" t="n">
        <f aca="false">IF(COUNTIF(Rookies!$A:$A,A423)&gt;0,1,0)</f>
        <v>0</v>
      </c>
      <c r="S423" s="53" t="n">
        <f aca="false">V423/17</f>
        <v>0</v>
      </c>
      <c r="T423" s="53" t="n">
        <f aca="false">IF(P423=1,MAX(0,0.258*(14.9-S423)),0)</f>
        <v>0</v>
      </c>
      <c r="U423" s="53" t="n">
        <f aca="false">T423*17</f>
        <v>0</v>
      </c>
      <c r="V423" s="53" t="n">
        <f aca="false">C423*Scoring!$B$32+D423/Scoring!$C$32+E423*Scoring!$D$32+F423*Scoring!$E$32+G423/Scoring!$F$32+H423*Scoring!$G$32+I423*Scoring!$H$32+K423*Scoring!$I$32+RB!L423*Scoring!$J$32</f>
        <v>0</v>
      </c>
      <c r="X423" s="53" t="n">
        <f aca="false">D423+G423</f>
        <v>0</v>
      </c>
      <c r="Y423" s="53" t="n">
        <f aca="false">H423+E423</f>
        <v>0</v>
      </c>
      <c r="Z423" s="53" t="e">
        <f aca="false">X423/Y423</f>
        <v>#DIV/0!</v>
      </c>
    </row>
    <row r="424" customFormat="false" ht="14.25" hidden="false" customHeight="true" outlineLevel="0" collapsed="false">
      <c r="K424" s="115" t="n">
        <f aca="false">IFERROR((D424/C424)/4.5*0.25*C424,0)</f>
        <v>0</v>
      </c>
      <c r="L424" s="115" t="n">
        <f aca="false">IFERROR((G424/F424)/7.95*0.376*F424,0)</f>
        <v>0</v>
      </c>
      <c r="M424" s="117"/>
      <c r="N424" s="117"/>
      <c r="O424" s="117"/>
      <c r="X424" s="53" t="n">
        <f aca="false">D424+G424</f>
        <v>0</v>
      </c>
      <c r="Y424" s="53" t="n">
        <f aca="false">H424+E424</f>
        <v>0</v>
      </c>
      <c r="Z424" s="53" t="e">
        <f aca="false">X424/Y424</f>
        <v>#DIV/0!</v>
      </c>
    </row>
    <row r="425" customFormat="false" ht="14.25" hidden="false" customHeight="true" outlineLevel="0" collapsed="false">
      <c r="K425" s="115" t="n">
        <f aca="false">IFERROR((D425/C425)/4.5*0.25*C425,0)</f>
        <v>0</v>
      </c>
      <c r="L425" s="115" t="n">
        <f aca="false">IFERROR((G425/F425)/7.95*0.376*F425,0)</f>
        <v>0</v>
      </c>
      <c r="M425" s="117"/>
      <c r="N425" s="117"/>
      <c r="O425" s="117"/>
      <c r="X425" s="53" t="n">
        <f aca="false">D425+G425</f>
        <v>0</v>
      </c>
      <c r="Y425" s="53" t="n">
        <f aca="false">H425+E425</f>
        <v>0</v>
      </c>
      <c r="Z425" s="53" t="e">
        <f aca="false">X425/Y425</f>
        <v>#DIV/0!</v>
      </c>
    </row>
    <row r="426" customFormat="false" ht="14.25" hidden="false" customHeight="true" outlineLevel="0" collapsed="false">
      <c r="K426" s="115" t="n">
        <f aca="false">IFERROR((D426/C426)/4.5*0.25*C426,0)</f>
        <v>0</v>
      </c>
      <c r="L426" s="115" t="n">
        <f aca="false">IFERROR((G426/F426)/7.95*0.376*F426,0)</f>
        <v>0</v>
      </c>
      <c r="M426" s="117" t="n">
        <f aca="false">C428*Scoring!$B$32+D428/Scoring!$C$32+E428*Scoring!$D$32+F428*Scoring!$E$32+G428/Scoring!$F$32+H428*Scoring!$G$32+I428*Scoring!$H$32+K428*Scoring!$I$32+RB!L428*Scoring!$J$32+U426</f>
        <v>0</v>
      </c>
      <c r="N426" s="117" t="n">
        <f aca="false">C426*Scoring!$B$32+D426/Scoring!$C$32+E426*Scoring!$D$32+F426*Scoring!$E$32+G426/Scoring!$F$32+H426*Scoring!$G$32+I426*Scoring!$H$32+K426*Scoring!$I$32+RB!L426*Scoring!$J$32+U426</f>
        <v>0</v>
      </c>
      <c r="O426" s="117" t="n">
        <f aca="false">C427*Scoring!$B$32+D427/Scoring!$C$32+E427*Scoring!$D$32+F427*Scoring!$E$32+G427/Scoring!$F$32+H427*Scoring!$G$32+I427*Scoring!$H$32+K427*Scoring!$I$32+L427*Scoring!$J$32+U426</f>
        <v>0</v>
      </c>
      <c r="P426" s="53" t="n">
        <f aca="false">IF(COUNTIF(Rookies!$A:$A,A426)&gt;0,1,0)</f>
        <v>0</v>
      </c>
      <c r="S426" s="53" t="n">
        <f aca="false">V426/17</f>
        <v>0</v>
      </c>
      <c r="T426" s="53" t="n">
        <f aca="false">IF(P426=1,MAX(0,0.258*(14.9-S426)),0)</f>
        <v>0</v>
      </c>
      <c r="U426" s="53" t="n">
        <f aca="false">T426*17</f>
        <v>0</v>
      </c>
      <c r="V426" s="53" t="n">
        <f aca="false">C426*Scoring!$B$32+D426/Scoring!$C$32+E426*Scoring!$D$32+F426*Scoring!$E$32+G426/Scoring!$F$32+H426*Scoring!$G$32+I426*Scoring!$H$32+K426*Scoring!$I$32+RB!L426*Scoring!$J$32</f>
        <v>0</v>
      </c>
      <c r="X426" s="53" t="n">
        <f aca="false">D426+G426</f>
        <v>0</v>
      </c>
      <c r="Y426" s="53" t="n">
        <f aca="false">H426+E426</f>
        <v>0</v>
      </c>
      <c r="Z426" s="53" t="e">
        <f aca="false">X426/Y426</f>
        <v>#DIV/0!</v>
      </c>
    </row>
    <row r="427" customFormat="false" ht="14.25" hidden="false" customHeight="true" outlineLevel="0" collapsed="false">
      <c r="K427" s="115" t="n">
        <f aca="false">IFERROR((D427/C427)/4.5*0.25*C427,0)</f>
        <v>0</v>
      </c>
      <c r="L427" s="115" t="n">
        <f aca="false">IFERROR((G427/F427)/7.95*0.376*F427,0)</f>
        <v>0</v>
      </c>
      <c r="M427" s="117"/>
      <c r="N427" s="117"/>
      <c r="O427" s="117"/>
      <c r="X427" s="53" t="n">
        <f aca="false">D427+G427</f>
        <v>0</v>
      </c>
      <c r="Y427" s="53" t="n">
        <f aca="false">H427+E427</f>
        <v>0</v>
      </c>
      <c r="Z427" s="53" t="e">
        <f aca="false">X427/Y427</f>
        <v>#DIV/0!</v>
      </c>
    </row>
    <row r="428" customFormat="false" ht="14.25" hidden="false" customHeight="true" outlineLevel="0" collapsed="false">
      <c r="K428" s="115" t="n">
        <f aca="false">IFERROR((D428/C428)/4.5*0.25*C428,0)</f>
        <v>0</v>
      </c>
      <c r="L428" s="115" t="n">
        <f aca="false">IFERROR((G428/F428)/7.95*0.376*F428,0)</f>
        <v>0</v>
      </c>
      <c r="M428" s="117"/>
      <c r="N428" s="117"/>
      <c r="O428" s="117"/>
      <c r="X428" s="53" t="n">
        <f aca="false">D428+G428</f>
        <v>0</v>
      </c>
      <c r="Y428" s="53" t="n">
        <f aca="false">H428+E428</f>
        <v>0</v>
      </c>
      <c r="Z428" s="53" t="e">
        <f aca="false">X428/Y428</f>
        <v>#DIV/0!</v>
      </c>
    </row>
    <row r="429" customFormat="false" ht="14.25" hidden="false" customHeight="true" outlineLevel="0" collapsed="false">
      <c r="K429" s="115" t="n">
        <f aca="false">IFERROR((D429/C429)/4.5*0.25*C429,0)</f>
        <v>0</v>
      </c>
      <c r="L429" s="115" t="n">
        <f aca="false">IFERROR((G429/F429)/7.95*0.376*F429,0)</f>
        <v>0</v>
      </c>
      <c r="M429" s="117" t="n">
        <f aca="false">C431*Scoring!$B$32+D431/Scoring!$C$32+E431*Scoring!$D$32+F431*Scoring!$E$32+G431/Scoring!$F$32+H431*Scoring!$G$32+I431*Scoring!$H$32+K431*Scoring!$I$32+RB!L431*Scoring!$J$32+U429</f>
        <v>0</v>
      </c>
      <c r="N429" s="117" t="n">
        <f aca="false">C429*Scoring!$B$32+D429/Scoring!$C$32+E429*Scoring!$D$32+F429*Scoring!$E$32+G429/Scoring!$F$32+H429*Scoring!$G$32+I429*Scoring!$H$32+K429*Scoring!$I$32+RB!L429*Scoring!$J$32+U429</f>
        <v>0</v>
      </c>
      <c r="O429" s="117" t="n">
        <f aca="false">C430*Scoring!$B$32+D430/Scoring!$C$32+E430*Scoring!$D$32+F430*Scoring!$E$32+G430/Scoring!$F$32+H430*Scoring!$G$32+I430*Scoring!$H$32+K430*Scoring!$I$32+L430*Scoring!$J$32+U429</f>
        <v>0</v>
      </c>
      <c r="P429" s="53" t="n">
        <f aca="false">IF(COUNTIF(Rookies!$A:$A,A429)&gt;0,1,0)</f>
        <v>0</v>
      </c>
      <c r="S429" s="53" t="n">
        <f aca="false">V429/17</f>
        <v>0</v>
      </c>
      <c r="T429" s="53" t="n">
        <f aca="false">IF(P429=1,MAX(0,0.258*(14.9-S429)),0)</f>
        <v>0</v>
      </c>
      <c r="U429" s="53" t="n">
        <f aca="false">T429*17</f>
        <v>0</v>
      </c>
      <c r="V429" s="53" t="n">
        <f aca="false">C429*Scoring!$B$32+D429/Scoring!$C$32+E429*Scoring!$D$32+F429*Scoring!$E$32+G429/Scoring!$F$32+H429*Scoring!$G$32+I429*Scoring!$H$32+K429*Scoring!$I$32+RB!L429*Scoring!$J$32</f>
        <v>0</v>
      </c>
      <c r="X429" s="53" t="n">
        <f aca="false">D429+G429</f>
        <v>0</v>
      </c>
      <c r="Y429" s="53" t="n">
        <f aca="false">H429+E429</f>
        <v>0</v>
      </c>
      <c r="Z429" s="53" t="e">
        <f aca="false">X429/Y429</f>
        <v>#DIV/0!</v>
      </c>
    </row>
    <row r="430" customFormat="false" ht="14.25" hidden="false" customHeight="true" outlineLevel="0" collapsed="false">
      <c r="K430" s="115" t="n">
        <f aca="false">IFERROR((D430/C430)/4.5*0.25*C430,0)</f>
        <v>0</v>
      </c>
      <c r="L430" s="115" t="n">
        <f aca="false">IFERROR((G430/F430)/7.95*0.376*F430,0)</f>
        <v>0</v>
      </c>
      <c r="M430" s="117"/>
      <c r="N430" s="117"/>
      <c r="O430" s="117"/>
      <c r="X430" s="53" t="n">
        <f aca="false">D430+G430</f>
        <v>0</v>
      </c>
      <c r="Y430" s="53" t="n">
        <f aca="false">H430+E430</f>
        <v>0</v>
      </c>
      <c r="Z430" s="53" t="e">
        <f aca="false">X430/Y430</f>
        <v>#DIV/0!</v>
      </c>
    </row>
    <row r="431" customFormat="false" ht="14.25" hidden="false" customHeight="true" outlineLevel="0" collapsed="false">
      <c r="K431" s="115" t="n">
        <f aca="false">IFERROR((D431/C431)/4.5*0.25*C431,0)</f>
        <v>0</v>
      </c>
      <c r="L431" s="115" t="n">
        <f aca="false">IFERROR((G431/F431)/7.95*0.376*F431,0)</f>
        <v>0</v>
      </c>
      <c r="M431" s="117"/>
      <c r="N431" s="117"/>
      <c r="O431" s="117"/>
      <c r="X431" s="53" t="n">
        <f aca="false">D431+G431</f>
        <v>0</v>
      </c>
      <c r="Y431" s="53" t="n">
        <f aca="false">H431+E431</f>
        <v>0</v>
      </c>
      <c r="Z431" s="53" t="e">
        <f aca="false">X431/Y431</f>
        <v>#DIV/0!</v>
      </c>
    </row>
    <row r="432" customFormat="false" ht="14.25" hidden="false" customHeight="true" outlineLevel="0" collapsed="false">
      <c r="K432" s="115" t="n">
        <f aca="false">IFERROR((D432/C432)/4.5*0.25*C432,0)</f>
        <v>0</v>
      </c>
      <c r="L432" s="115" t="n">
        <f aca="false">IFERROR((G432/F432)/7.95*0.376*F432,0)</f>
        <v>0</v>
      </c>
      <c r="M432" s="117" t="n">
        <f aca="false">C434*Scoring!$B$32+D434/Scoring!$C$32+E434*Scoring!$D$32+F434*Scoring!$E$32+G434/Scoring!$F$32+H434*Scoring!$G$32+I434*Scoring!$H$32+K434*Scoring!$I$32+RB!L434*Scoring!$J$32+U432</f>
        <v>0</v>
      </c>
      <c r="N432" s="117" t="n">
        <f aca="false">C432*Scoring!$B$32+D432/Scoring!$C$32+E432*Scoring!$D$32+F432*Scoring!$E$32+G432/Scoring!$F$32+H432*Scoring!$G$32+I432*Scoring!$H$32+K432*Scoring!$I$32+RB!L432*Scoring!$J$32+U432</f>
        <v>0</v>
      </c>
      <c r="O432" s="117" t="n">
        <f aca="false">C433*Scoring!$B$32+D433/Scoring!$C$32+E433*Scoring!$D$32+F433*Scoring!$E$32+G433/Scoring!$F$32+H433*Scoring!$G$32+I433*Scoring!$H$32+K433*Scoring!$I$32+L433*Scoring!$J$32+U432</f>
        <v>0</v>
      </c>
      <c r="P432" s="53" t="n">
        <f aca="false">IF(COUNTIF(Rookies!$A:$A,A432)&gt;0,1,0)</f>
        <v>0</v>
      </c>
      <c r="S432" s="53" t="n">
        <f aca="false">V432/17</f>
        <v>0</v>
      </c>
      <c r="T432" s="53" t="n">
        <f aca="false">IF(P432=1,MAX(0,0.258*(14.9-S432)),0)</f>
        <v>0</v>
      </c>
      <c r="U432" s="53" t="n">
        <f aca="false">T432*17</f>
        <v>0</v>
      </c>
      <c r="V432" s="53" t="n">
        <f aca="false">C432*Scoring!$B$32+D432/Scoring!$C$32+E432*Scoring!$D$32+F432*Scoring!$E$32+G432/Scoring!$F$32+H432*Scoring!$G$32+I432*Scoring!$H$32+K432*Scoring!$I$32+RB!L432*Scoring!$J$32</f>
        <v>0</v>
      </c>
      <c r="X432" s="53" t="n">
        <f aca="false">D432+G432</f>
        <v>0</v>
      </c>
      <c r="Y432" s="53" t="n">
        <f aca="false">H432+E432</f>
        <v>0</v>
      </c>
      <c r="Z432" s="53" t="e">
        <f aca="false">X432/Y432</f>
        <v>#DIV/0!</v>
      </c>
    </row>
    <row r="433" customFormat="false" ht="14.25" hidden="false" customHeight="true" outlineLevel="0" collapsed="false">
      <c r="K433" s="115" t="n">
        <f aca="false">IFERROR((D433/C433)/4.5*0.25*C433,0)</f>
        <v>0</v>
      </c>
      <c r="L433" s="115" t="n">
        <f aca="false">IFERROR((G433/F433)/7.95*0.376*F433,0)</f>
        <v>0</v>
      </c>
      <c r="M433" s="117"/>
      <c r="N433" s="117"/>
      <c r="O433" s="117"/>
      <c r="X433" s="53" t="n">
        <f aca="false">D433+G433</f>
        <v>0</v>
      </c>
      <c r="Y433" s="53" t="n">
        <f aca="false">H433+E433</f>
        <v>0</v>
      </c>
      <c r="Z433" s="53" t="e">
        <f aca="false">X433/Y433</f>
        <v>#DIV/0!</v>
      </c>
    </row>
    <row r="434" customFormat="false" ht="14.25" hidden="false" customHeight="true" outlineLevel="0" collapsed="false">
      <c r="K434" s="115" t="n">
        <f aca="false">IFERROR((D434/C434)/4.5*0.25*C434,0)</f>
        <v>0</v>
      </c>
      <c r="L434" s="115" t="n">
        <f aca="false">IFERROR((G434/F434)/7.95*0.376*F434,0)</f>
        <v>0</v>
      </c>
      <c r="M434" s="117"/>
      <c r="N434" s="117"/>
      <c r="O434" s="117"/>
      <c r="X434" s="53" t="n">
        <f aca="false">D434+G434</f>
        <v>0</v>
      </c>
      <c r="Y434" s="53" t="n">
        <f aca="false">H434+E434</f>
        <v>0</v>
      </c>
      <c r="Z434" s="53" t="e">
        <f aca="false">X434/Y434</f>
        <v>#DIV/0!</v>
      </c>
    </row>
    <row r="435" customFormat="false" ht="14.25" hidden="false" customHeight="true" outlineLevel="0" collapsed="false">
      <c r="K435" s="115" t="n">
        <f aca="false">IFERROR((D435/C435)/4.5*0.25*C435,0)</f>
        <v>0</v>
      </c>
      <c r="L435" s="115" t="n">
        <f aca="false">IFERROR((G435/F435)/7.95*0.376*F435,0)</f>
        <v>0</v>
      </c>
      <c r="M435" s="117" t="n">
        <f aca="false">C437*Scoring!$B$32+D437/Scoring!$C$32+E437*Scoring!$D$32+F437*Scoring!$E$32+G437/Scoring!$F$32+H437*Scoring!$G$32+I437*Scoring!$H$32+K437*Scoring!$I$32+RB!L437*Scoring!$J$32+U435</f>
        <v>0</v>
      </c>
      <c r="N435" s="117" t="n">
        <f aca="false">C435*Scoring!$B$32+D435/Scoring!$C$32+E435*Scoring!$D$32+F435*Scoring!$E$32+G435/Scoring!$F$32+H435*Scoring!$G$32+I435*Scoring!$H$32+K435*Scoring!$I$32+RB!L435*Scoring!$J$32+U435</f>
        <v>0</v>
      </c>
      <c r="O435" s="117" t="n">
        <f aca="false">C436*Scoring!$B$32+D436/Scoring!$C$32+E436*Scoring!$D$32+F436*Scoring!$E$32+G436/Scoring!$F$32+H436*Scoring!$G$32+I436*Scoring!$H$32+K436*Scoring!$I$32+L436*Scoring!$J$32+U435</f>
        <v>0</v>
      </c>
      <c r="P435" s="53" t="n">
        <f aca="false">IF(COUNTIF(Rookies!$A:$A,A435)&gt;0,1,0)</f>
        <v>0</v>
      </c>
      <c r="S435" s="53" t="n">
        <f aca="false">V435/17</f>
        <v>0</v>
      </c>
      <c r="T435" s="53" t="n">
        <f aca="false">IF(P435=1,MAX(0,0.258*(14.9-S435)),0)</f>
        <v>0</v>
      </c>
      <c r="U435" s="53" t="n">
        <f aca="false">T435*17</f>
        <v>0</v>
      </c>
      <c r="V435" s="53" t="n">
        <f aca="false">C435*Scoring!$B$32+D435/Scoring!$C$32+E435*Scoring!$D$32+F435*Scoring!$E$32+G435/Scoring!$F$32+H435*Scoring!$G$32+I435*Scoring!$H$32+K435*Scoring!$I$32+RB!L435*Scoring!$J$32</f>
        <v>0</v>
      </c>
      <c r="X435" s="53" t="n">
        <f aca="false">D435+G435</f>
        <v>0</v>
      </c>
      <c r="Y435" s="53" t="n">
        <f aca="false">H435+E435</f>
        <v>0</v>
      </c>
      <c r="Z435" s="53" t="e">
        <f aca="false">X435/Y435</f>
        <v>#DIV/0!</v>
      </c>
    </row>
    <row r="436" customFormat="false" ht="14.25" hidden="false" customHeight="true" outlineLevel="0" collapsed="false">
      <c r="K436" s="115" t="n">
        <f aca="false">IFERROR((D436/C436)/4.5*0.25*C436,0)</f>
        <v>0</v>
      </c>
      <c r="L436" s="115" t="n">
        <f aca="false">IFERROR((G436/F436)/7.95*0.376*F436,0)</f>
        <v>0</v>
      </c>
      <c r="M436" s="117"/>
      <c r="N436" s="117"/>
      <c r="O436" s="117"/>
      <c r="X436" s="53" t="n">
        <f aca="false">D436+G436</f>
        <v>0</v>
      </c>
      <c r="Y436" s="53" t="n">
        <f aca="false">H436+E436</f>
        <v>0</v>
      </c>
      <c r="Z436" s="53" t="e">
        <f aca="false">X436/Y436</f>
        <v>#DIV/0!</v>
      </c>
    </row>
    <row r="437" customFormat="false" ht="14.25" hidden="false" customHeight="true" outlineLevel="0" collapsed="false">
      <c r="K437" s="115" t="n">
        <f aca="false">IFERROR((D437/C437)/4.5*0.25*C437,0)</f>
        <v>0</v>
      </c>
      <c r="L437" s="115" t="n">
        <f aca="false">IFERROR((G437/F437)/7.95*0.376*F437,0)</f>
        <v>0</v>
      </c>
      <c r="M437" s="117"/>
      <c r="N437" s="117"/>
      <c r="O437" s="117"/>
      <c r="X437" s="53" t="n">
        <f aca="false">D437+G437</f>
        <v>0</v>
      </c>
      <c r="Y437" s="53" t="n">
        <f aca="false">H437+E437</f>
        <v>0</v>
      </c>
      <c r="Z437" s="53" t="e">
        <f aca="false">X437/Y437</f>
        <v>#DIV/0!</v>
      </c>
    </row>
    <row r="438" customFormat="false" ht="14.25" hidden="false" customHeight="true" outlineLevel="0" collapsed="false">
      <c r="K438" s="115" t="n">
        <f aca="false">IFERROR((D438/C438)/4.5*0.25*C438,0)</f>
        <v>0</v>
      </c>
      <c r="L438" s="115" t="n">
        <f aca="false">IFERROR((G438/F438)/7.95*0.376*F438,0)</f>
        <v>0</v>
      </c>
      <c r="M438" s="117" t="n">
        <f aca="false">C440*Scoring!$B$32+D440/Scoring!$C$32+E440*Scoring!$D$32+F440*Scoring!$E$32+G440/Scoring!$F$32+H440*Scoring!$G$32+I440*Scoring!$H$32+K440*Scoring!$I$32+RB!L440*Scoring!$J$32+U438</f>
        <v>0</v>
      </c>
      <c r="N438" s="117" t="n">
        <f aca="false">C438*Scoring!$B$32+D438/Scoring!$C$32+E438*Scoring!$D$32+F438*Scoring!$E$32+G438/Scoring!$F$32+H438*Scoring!$G$32+I438*Scoring!$H$32+K438*Scoring!$I$32+RB!L438*Scoring!$J$32+U438</f>
        <v>0</v>
      </c>
      <c r="O438" s="117" t="n">
        <f aca="false">C439*Scoring!$B$32+D439/Scoring!$C$32+E439*Scoring!$D$32+F439*Scoring!$E$32+G439/Scoring!$F$32+H439*Scoring!$G$32+I439*Scoring!$H$32+K439*Scoring!$I$32+L439*Scoring!$J$32+U438</f>
        <v>0</v>
      </c>
      <c r="P438" s="53" t="n">
        <f aca="false">IF(COUNTIF(Rookies!$A:$A,A438)&gt;0,1,0)</f>
        <v>0</v>
      </c>
      <c r="S438" s="53" t="n">
        <f aca="false">V438/17</f>
        <v>0</v>
      </c>
      <c r="T438" s="53" t="n">
        <f aca="false">IF(P438=1,MAX(0,0.258*(14.9-S438)),0)</f>
        <v>0</v>
      </c>
      <c r="U438" s="53" t="n">
        <f aca="false">T438*17</f>
        <v>0</v>
      </c>
      <c r="V438" s="53" t="n">
        <f aca="false">C438*Scoring!$B$32+D438/Scoring!$C$32+E438*Scoring!$D$32+F438*Scoring!$E$32+G438/Scoring!$F$32+H438*Scoring!$G$32+I438*Scoring!$H$32+K438*Scoring!$I$32+RB!L438*Scoring!$J$32</f>
        <v>0</v>
      </c>
      <c r="X438" s="53" t="n">
        <f aca="false">D438+G438</f>
        <v>0</v>
      </c>
      <c r="Y438" s="53" t="n">
        <f aca="false">H438+E438</f>
        <v>0</v>
      </c>
      <c r="Z438" s="53" t="e">
        <f aca="false">X438/Y438</f>
        <v>#DIV/0!</v>
      </c>
    </row>
    <row r="439" customFormat="false" ht="14.25" hidden="false" customHeight="true" outlineLevel="0" collapsed="false">
      <c r="K439" s="115" t="n">
        <f aca="false">IFERROR((D439/C439)/4.5*0.25*C439,0)</f>
        <v>0</v>
      </c>
      <c r="L439" s="115" t="n">
        <f aca="false">IFERROR((G439/F439)/7.95*0.376*F439,0)</f>
        <v>0</v>
      </c>
      <c r="M439" s="117"/>
      <c r="N439" s="117"/>
      <c r="O439" s="117"/>
      <c r="X439" s="53" t="n">
        <f aca="false">D439+G439</f>
        <v>0</v>
      </c>
      <c r="Y439" s="53" t="n">
        <f aca="false">H439+E439</f>
        <v>0</v>
      </c>
      <c r="Z439" s="53" t="e">
        <f aca="false">X439/Y439</f>
        <v>#DIV/0!</v>
      </c>
    </row>
    <row r="440" customFormat="false" ht="14.25" hidden="false" customHeight="true" outlineLevel="0" collapsed="false">
      <c r="K440" s="115" t="n">
        <f aca="false">IFERROR((D440/C440)/4.5*0.25*C440,0)</f>
        <v>0</v>
      </c>
      <c r="L440" s="115" t="n">
        <f aca="false">IFERROR((G440/F440)/7.95*0.376*F440,0)</f>
        <v>0</v>
      </c>
      <c r="M440" s="117"/>
      <c r="N440" s="117"/>
      <c r="O440" s="117"/>
      <c r="X440" s="53" t="n">
        <f aca="false">D440+G440</f>
        <v>0</v>
      </c>
      <c r="Y440" s="53" t="n">
        <f aca="false">H440+E440</f>
        <v>0</v>
      </c>
      <c r="Z440" s="53" t="e">
        <f aca="false">X440/Y440</f>
        <v>#DIV/0!</v>
      </c>
    </row>
    <row r="441" customFormat="false" ht="14.25" hidden="false" customHeight="true" outlineLevel="0" collapsed="false">
      <c r="K441" s="115" t="n">
        <f aca="false">IFERROR((D441/C441)/4.5*0.25*C441,0)</f>
        <v>0</v>
      </c>
      <c r="L441" s="115" t="n">
        <f aca="false">IFERROR((G441/F441)/7.95*0.376*F441,0)</f>
        <v>0</v>
      </c>
      <c r="M441" s="117" t="n">
        <f aca="false">C443*Scoring!$B$32+D443/Scoring!$C$32+E443*Scoring!$D$32+F443*Scoring!$E$32+G443/Scoring!$F$32+H443*Scoring!$G$32+I443*Scoring!$H$32+K443*Scoring!$I$32+RB!L443*Scoring!$J$32+U441</f>
        <v>0</v>
      </c>
      <c r="N441" s="117" t="n">
        <f aca="false">C441*Scoring!$B$32+D441/Scoring!$C$32+E441*Scoring!$D$32+F441*Scoring!$E$32+G441/Scoring!$F$32+H441*Scoring!$G$32+I441*Scoring!$H$32+K441*Scoring!$I$32+RB!L441*Scoring!$J$32+U441</f>
        <v>0</v>
      </c>
      <c r="O441" s="117" t="n">
        <f aca="false">C442*Scoring!$B$32+D442/Scoring!$C$32+E442*Scoring!$D$32+F442*Scoring!$E$32+G442/Scoring!$F$32+H442*Scoring!$G$32+I442*Scoring!$H$32+K442*Scoring!$I$32+L442*Scoring!$J$32+U441</f>
        <v>0</v>
      </c>
      <c r="P441" s="53" t="n">
        <f aca="false">IF(COUNTIF(Rookies!$A:$A,A441)&gt;0,1,0)</f>
        <v>0</v>
      </c>
      <c r="S441" s="53" t="n">
        <f aca="false">V441/17</f>
        <v>0</v>
      </c>
      <c r="T441" s="53" t="n">
        <f aca="false">IF(P441=1,MAX(0,0.258*(14.9-S441)),0)</f>
        <v>0</v>
      </c>
      <c r="U441" s="53" t="n">
        <f aca="false">T441*17</f>
        <v>0</v>
      </c>
      <c r="V441" s="53" t="n">
        <f aca="false">C441*Scoring!$B$32+D441/Scoring!$C$32+E441*Scoring!$D$32+F441*Scoring!$E$32+G441/Scoring!$F$32+H441*Scoring!$G$32+I441*Scoring!$H$32+K441*Scoring!$I$32+RB!L441*Scoring!$J$32</f>
        <v>0</v>
      </c>
      <c r="X441" s="53" t="n">
        <f aca="false">D441+G441</f>
        <v>0</v>
      </c>
      <c r="Y441" s="53" t="n">
        <f aca="false">H441+E441</f>
        <v>0</v>
      </c>
      <c r="Z441" s="53" t="e">
        <f aca="false">X441/Y441</f>
        <v>#DIV/0!</v>
      </c>
    </row>
    <row r="442" customFormat="false" ht="14.25" hidden="false" customHeight="true" outlineLevel="0" collapsed="false">
      <c r="K442" s="115" t="n">
        <f aca="false">IFERROR((D442/C442)/4.5*0.25*C442,0)</f>
        <v>0</v>
      </c>
      <c r="L442" s="115" t="n">
        <f aca="false">IFERROR((G442/F442)/7.95*0.376*F442,0)</f>
        <v>0</v>
      </c>
      <c r="M442" s="117"/>
      <c r="N442" s="117"/>
      <c r="O442" s="117"/>
      <c r="X442" s="53" t="n">
        <f aca="false">D442+G442</f>
        <v>0</v>
      </c>
      <c r="Y442" s="53" t="n">
        <f aca="false">H442+E442</f>
        <v>0</v>
      </c>
      <c r="Z442" s="53" t="e">
        <f aca="false">X442/Y442</f>
        <v>#DIV/0!</v>
      </c>
    </row>
    <row r="443" customFormat="false" ht="14.25" hidden="false" customHeight="true" outlineLevel="0" collapsed="false">
      <c r="K443" s="115" t="n">
        <f aca="false">IFERROR((D443/C443)/4.5*0.25*C443,0)</f>
        <v>0</v>
      </c>
      <c r="L443" s="115" t="n">
        <f aca="false">IFERROR((G443/F443)/7.95*0.376*F443,0)</f>
        <v>0</v>
      </c>
      <c r="M443" s="117"/>
      <c r="N443" s="117"/>
      <c r="O443" s="117"/>
      <c r="X443" s="53" t="n">
        <f aca="false">D443+G443</f>
        <v>0</v>
      </c>
      <c r="Y443" s="53" t="n">
        <f aca="false">H443+E443</f>
        <v>0</v>
      </c>
      <c r="Z443" s="53" t="e">
        <f aca="false">X443/Y443</f>
        <v>#DIV/0!</v>
      </c>
    </row>
    <row r="444" customFormat="false" ht="14.25" hidden="false" customHeight="true" outlineLevel="0" collapsed="false">
      <c r="K444" s="115" t="n">
        <f aca="false">IFERROR((D444/C444)/4.5*0.25*C444,0)</f>
        <v>0</v>
      </c>
      <c r="L444" s="115" t="n">
        <f aca="false">IFERROR((G444/F444)/7.95*0.376*F444,0)</f>
        <v>0</v>
      </c>
      <c r="M444" s="117" t="n">
        <f aca="false">C446*Scoring!$B$32+D446/Scoring!$C$32+E446*Scoring!$D$32+F446*Scoring!$E$32+G446/Scoring!$F$32+H446*Scoring!$G$32+I446*Scoring!$H$32+K446*Scoring!$I$32+RB!L446*Scoring!$J$32+U444</f>
        <v>0</v>
      </c>
      <c r="N444" s="117" t="n">
        <f aca="false">C444*Scoring!$B$32+D444/Scoring!$C$32+E444*Scoring!$D$32+F444*Scoring!$E$32+G444/Scoring!$F$32+H444*Scoring!$G$32+I444*Scoring!$H$32+K444*Scoring!$I$32+RB!L444*Scoring!$J$32+U444</f>
        <v>0</v>
      </c>
      <c r="O444" s="117" t="n">
        <f aca="false">C445*Scoring!$B$32+D445/Scoring!$C$32+E445*Scoring!$D$32+F445*Scoring!$E$32+G445/Scoring!$F$32+H445*Scoring!$G$32+I445*Scoring!$H$32+K445*Scoring!$I$32+L445*Scoring!$J$32+U444</f>
        <v>0</v>
      </c>
      <c r="P444" s="53" t="n">
        <f aca="false">IF(COUNTIF(Rookies!$A:$A,A444)&gt;0,1,0)</f>
        <v>0</v>
      </c>
      <c r="S444" s="53" t="n">
        <f aca="false">V444/17</f>
        <v>0</v>
      </c>
      <c r="T444" s="53" t="n">
        <f aca="false">IF(P444=1,MAX(0,0.258*(14.9-S444)),0)</f>
        <v>0</v>
      </c>
      <c r="U444" s="53" t="n">
        <f aca="false">T444*17</f>
        <v>0</v>
      </c>
      <c r="V444" s="53" t="n">
        <f aca="false">C444*Scoring!$B$32+D444/Scoring!$C$32+E444*Scoring!$D$32+F444*Scoring!$E$32+G444/Scoring!$F$32+H444*Scoring!$G$32+I444*Scoring!$H$32+K444*Scoring!$I$32+RB!L444*Scoring!$J$32</f>
        <v>0</v>
      </c>
      <c r="X444" s="53" t="n">
        <f aca="false">D444+G444</f>
        <v>0</v>
      </c>
      <c r="Y444" s="53" t="n">
        <f aca="false">H444+E444</f>
        <v>0</v>
      </c>
      <c r="Z444" s="53" t="e">
        <f aca="false">X444/Y444</f>
        <v>#DIV/0!</v>
      </c>
    </row>
    <row r="445" customFormat="false" ht="14.25" hidden="false" customHeight="true" outlineLevel="0" collapsed="false">
      <c r="K445" s="115" t="n">
        <f aca="false">IFERROR((D445/C445)/4.5*0.25*C445,0)</f>
        <v>0</v>
      </c>
      <c r="L445" s="115" t="n">
        <f aca="false">IFERROR((G445/F445)/7.95*0.376*F445,0)</f>
        <v>0</v>
      </c>
      <c r="M445" s="117"/>
      <c r="N445" s="117"/>
      <c r="O445" s="117"/>
      <c r="X445" s="53" t="n">
        <f aca="false">D445+G445</f>
        <v>0</v>
      </c>
      <c r="Y445" s="53" t="n">
        <f aca="false">H445+E445</f>
        <v>0</v>
      </c>
      <c r="Z445" s="53" t="e">
        <f aca="false">X445/Y445</f>
        <v>#DIV/0!</v>
      </c>
    </row>
    <row r="446" customFormat="false" ht="14.25" hidden="false" customHeight="true" outlineLevel="0" collapsed="false">
      <c r="K446" s="115" t="n">
        <f aca="false">IFERROR((D446/C446)/4.5*0.25*C446,0)</f>
        <v>0</v>
      </c>
      <c r="L446" s="115" t="n">
        <f aca="false">IFERROR((G446/F446)/7.95*0.376*F446,0)</f>
        <v>0</v>
      </c>
      <c r="M446" s="117"/>
      <c r="N446" s="117"/>
      <c r="O446" s="117"/>
      <c r="X446" s="53" t="n">
        <f aca="false">D446+G446</f>
        <v>0</v>
      </c>
      <c r="Y446" s="53" t="n">
        <f aca="false">H446+E446</f>
        <v>0</v>
      </c>
      <c r="Z446" s="53" t="e">
        <f aca="false">X446/Y446</f>
        <v>#DIV/0!</v>
      </c>
    </row>
    <row r="447" customFormat="false" ht="14.25" hidden="false" customHeight="true" outlineLevel="0" collapsed="false">
      <c r="K447" s="115" t="n">
        <f aca="false">IFERROR((D447/C447)/4.5*0.25*C447,0)</f>
        <v>0</v>
      </c>
      <c r="L447" s="115" t="n">
        <f aca="false">IFERROR((G447/F447)/7.95*0.376*F447,0)</f>
        <v>0</v>
      </c>
      <c r="M447" s="117" t="n">
        <f aca="false">C449*Scoring!$B$32+D449/Scoring!$C$32+E449*Scoring!$D$32+F449*Scoring!$E$32+G449/Scoring!$F$32+H449*Scoring!$G$32+I449*Scoring!$H$32+K449*Scoring!$I$32+RB!L449*Scoring!$J$32+U447</f>
        <v>0</v>
      </c>
      <c r="N447" s="117" t="n">
        <f aca="false">C447*Scoring!$B$32+D447/Scoring!$C$32+E447*Scoring!$D$32+F447*Scoring!$E$32+G447/Scoring!$F$32+H447*Scoring!$G$32+I447*Scoring!$H$32+K447*Scoring!$I$32+RB!L447*Scoring!$J$32+U447</f>
        <v>0</v>
      </c>
      <c r="O447" s="117" t="n">
        <f aca="false">C448*Scoring!$B$32+D448/Scoring!$C$32+E448*Scoring!$D$32+F448*Scoring!$E$32+G448/Scoring!$F$32+H448*Scoring!$G$32+I448*Scoring!$H$32+K448*Scoring!$I$32+L448*Scoring!$J$32+U447</f>
        <v>0</v>
      </c>
      <c r="P447" s="53" t="n">
        <f aca="false">IF(COUNTIF(Rookies!$A:$A,A447)&gt;0,1,0)</f>
        <v>0</v>
      </c>
      <c r="S447" s="53" t="n">
        <f aca="false">V447/17</f>
        <v>0</v>
      </c>
      <c r="T447" s="53" t="n">
        <f aca="false">IF(P447=1,MAX(0,0.258*(14.9-S447)),0)</f>
        <v>0</v>
      </c>
      <c r="U447" s="53" t="n">
        <f aca="false">T447*17</f>
        <v>0</v>
      </c>
      <c r="V447" s="53" t="n">
        <f aca="false">C447*Scoring!$B$32+D447/Scoring!$C$32+E447*Scoring!$D$32+F447*Scoring!$E$32+G447/Scoring!$F$32+H447*Scoring!$G$32+I447*Scoring!$H$32+K447*Scoring!$I$32+RB!L447*Scoring!$J$32</f>
        <v>0</v>
      </c>
      <c r="X447" s="53" t="n">
        <f aca="false">D447+G447</f>
        <v>0</v>
      </c>
      <c r="Y447" s="53" t="n">
        <f aca="false">H447+E447</f>
        <v>0</v>
      </c>
      <c r="Z447" s="53" t="e">
        <f aca="false">X447/Y447</f>
        <v>#DIV/0!</v>
      </c>
    </row>
    <row r="448" customFormat="false" ht="14.25" hidden="false" customHeight="true" outlineLevel="0" collapsed="false">
      <c r="K448" s="115" t="n">
        <f aca="false">IFERROR((D448/C448)/4.5*0.25*C448,0)</f>
        <v>0</v>
      </c>
      <c r="L448" s="115" t="n">
        <f aca="false">IFERROR((G448/F448)/7.95*0.376*F448,0)</f>
        <v>0</v>
      </c>
      <c r="M448" s="117"/>
      <c r="N448" s="117"/>
      <c r="O448" s="117"/>
      <c r="X448" s="53" t="n">
        <f aca="false">D448+G448</f>
        <v>0</v>
      </c>
      <c r="Y448" s="53" t="n">
        <f aca="false">H448+E448</f>
        <v>0</v>
      </c>
      <c r="Z448" s="53" t="e">
        <f aca="false">X448/Y448</f>
        <v>#DIV/0!</v>
      </c>
    </row>
    <row r="449" customFormat="false" ht="14.25" hidden="false" customHeight="true" outlineLevel="0" collapsed="false">
      <c r="K449" s="115" t="n">
        <f aca="false">IFERROR((D449/C449)/4.5*0.25*C449,0)</f>
        <v>0</v>
      </c>
      <c r="L449" s="115" t="n">
        <f aca="false">IFERROR((G449/F449)/7.95*0.376*F449,0)</f>
        <v>0</v>
      </c>
      <c r="M449" s="117"/>
      <c r="N449" s="117"/>
      <c r="O449" s="117"/>
      <c r="X449" s="53" t="n">
        <f aca="false">D449+G449</f>
        <v>0</v>
      </c>
      <c r="Y449" s="53" t="n">
        <f aca="false">H449+E449</f>
        <v>0</v>
      </c>
      <c r="Z449" s="53" t="e">
        <f aca="false">X449/Y449</f>
        <v>#DIV/0!</v>
      </c>
    </row>
    <row r="450" customFormat="false" ht="14.25" hidden="false" customHeight="true" outlineLevel="0" collapsed="false">
      <c r="K450" s="115" t="n">
        <f aca="false">IFERROR((D450/C450)/4.5*0.25*C450,0)</f>
        <v>0</v>
      </c>
      <c r="L450" s="115" t="n">
        <f aca="false">IFERROR((G450/F450)/7.95*0.376*F450,0)</f>
        <v>0</v>
      </c>
      <c r="M450" s="117" t="n">
        <f aca="false">C452*Scoring!$B$32+D452/Scoring!$C$32+E452*Scoring!$D$32+F452*Scoring!$E$32+G452/Scoring!$F$32+H452*Scoring!$G$32+I452*Scoring!$H$32+K452*Scoring!$I$32+RB!L452*Scoring!$J$32+U450</f>
        <v>0</v>
      </c>
      <c r="N450" s="117" t="n">
        <f aca="false">C450*Scoring!$B$32+D450/Scoring!$C$32+E450*Scoring!$D$32+F450*Scoring!$E$32+G450/Scoring!$F$32+H450*Scoring!$G$32+I450*Scoring!$H$32+K450*Scoring!$I$32+RB!L450*Scoring!$J$32+U450</f>
        <v>0</v>
      </c>
      <c r="O450" s="117" t="n">
        <f aca="false">C451*Scoring!$B$32+D451/Scoring!$C$32+E451*Scoring!$D$32+F451*Scoring!$E$32+G451/Scoring!$F$32+H451*Scoring!$G$32+I451*Scoring!$H$32+K451*Scoring!$I$32+L451*Scoring!$J$32+U450</f>
        <v>0</v>
      </c>
      <c r="P450" s="53" t="n">
        <f aca="false">IF(COUNTIF(Rookies!$A:$A,A450)&gt;0,1,0)</f>
        <v>0</v>
      </c>
      <c r="S450" s="53" t="n">
        <f aca="false">V450/17</f>
        <v>0</v>
      </c>
      <c r="T450" s="53" t="n">
        <f aca="false">IF(P450=1,MAX(0,0.258*(14.9-S450)),0)</f>
        <v>0</v>
      </c>
      <c r="U450" s="53" t="n">
        <f aca="false">T450*17</f>
        <v>0</v>
      </c>
      <c r="V450" s="53" t="n">
        <f aca="false">C450*Scoring!$B$32+D450/Scoring!$C$32+E450*Scoring!$D$32+F450*Scoring!$E$32+G450/Scoring!$F$32+H450*Scoring!$G$32+I450*Scoring!$H$32+K450*Scoring!$I$32+RB!L450*Scoring!$J$32</f>
        <v>0</v>
      </c>
      <c r="X450" s="53" t="n">
        <f aca="false">D450+G450</f>
        <v>0</v>
      </c>
      <c r="Y450" s="53" t="n">
        <f aca="false">H450+E450</f>
        <v>0</v>
      </c>
      <c r="Z450" s="53" t="e">
        <f aca="false">X450/Y450</f>
        <v>#DIV/0!</v>
      </c>
    </row>
    <row r="451" customFormat="false" ht="14.25" hidden="false" customHeight="true" outlineLevel="0" collapsed="false">
      <c r="K451" s="115" t="n">
        <f aca="false">IFERROR((D451/C451)/4.5*0.25*C451,0)</f>
        <v>0</v>
      </c>
      <c r="L451" s="115" t="n">
        <f aca="false">IFERROR((G451/F451)/7.95*0.376*F451,0)</f>
        <v>0</v>
      </c>
      <c r="M451" s="117"/>
      <c r="N451" s="117"/>
      <c r="O451" s="117"/>
      <c r="X451" s="53" t="n">
        <f aca="false">D451+G451</f>
        <v>0</v>
      </c>
      <c r="Y451" s="53" t="n">
        <f aca="false">H451+E451</f>
        <v>0</v>
      </c>
      <c r="Z451" s="53" t="e">
        <f aca="false">X451/Y451</f>
        <v>#DIV/0!</v>
      </c>
    </row>
    <row r="452" customFormat="false" ht="14.25" hidden="false" customHeight="true" outlineLevel="0" collapsed="false">
      <c r="K452" s="115" t="n">
        <f aca="false">IFERROR((D452/C452)/4.5*0.25*C452,0)</f>
        <v>0</v>
      </c>
      <c r="L452" s="115" t="n">
        <f aca="false">IFERROR((G452/F452)/7.95*0.376*F452,0)</f>
        <v>0</v>
      </c>
      <c r="M452" s="117"/>
      <c r="N452" s="117"/>
      <c r="O452" s="117"/>
      <c r="X452" s="53" t="n">
        <f aca="false">D452+G452</f>
        <v>0</v>
      </c>
      <c r="Y452" s="53" t="n">
        <f aca="false">H452+E452</f>
        <v>0</v>
      </c>
      <c r="Z452" s="53" t="e">
        <f aca="false">X452/Y452</f>
        <v>#DIV/0!</v>
      </c>
    </row>
    <row r="453" customFormat="false" ht="14.25" hidden="false" customHeight="true" outlineLevel="0" collapsed="false">
      <c r="K453" s="115" t="n">
        <f aca="false">IFERROR((D453/C453)/4.5*0.25*C453,0)</f>
        <v>0</v>
      </c>
      <c r="L453" s="115" t="n">
        <f aca="false">IFERROR((G453/F453)/7.95*0.376*F453,0)</f>
        <v>0</v>
      </c>
      <c r="M453" s="117" t="n">
        <f aca="false">C455*Scoring!$B$32+D455/Scoring!$C$32+E455*Scoring!$D$32+F455*Scoring!$E$32+G455/Scoring!$F$32+H455*Scoring!$G$32+I455*Scoring!$H$32+K455*Scoring!$I$32+RB!L455*Scoring!$J$32+U453</f>
        <v>0</v>
      </c>
      <c r="N453" s="117" t="n">
        <f aca="false">C453*Scoring!$B$32+D453/Scoring!$C$32+E453*Scoring!$D$32+F453*Scoring!$E$32+G453/Scoring!$F$32+H453*Scoring!$G$32+I453*Scoring!$H$32+K453*Scoring!$I$32+RB!L453*Scoring!$J$32+U453</f>
        <v>0</v>
      </c>
      <c r="O453" s="117" t="n">
        <f aca="false">C454*Scoring!$B$32+D454/Scoring!$C$32+E454*Scoring!$D$32+F454*Scoring!$E$32+G454/Scoring!$F$32+H454*Scoring!$G$32+I454*Scoring!$H$32+K454*Scoring!$I$32+L454*Scoring!$J$32+U453</f>
        <v>0</v>
      </c>
      <c r="P453" s="53" t="n">
        <f aca="false">IF(COUNTIF(Rookies!$A:$A,A453)&gt;0,1,0)</f>
        <v>0</v>
      </c>
      <c r="S453" s="53" t="n">
        <f aca="false">V453/17</f>
        <v>0</v>
      </c>
      <c r="T453" s="53" t="n">
        <f aca="false">IF(P453=1,MAX(0,0.258*(14.9-S453)),0)</f>
        <v>0</v>
      </c>
      <c r="U453" s="53" t="n">
        <f aca="false">T453*17</f>
        <v>0</v>
      </c>
      <c r="V453" s="53" t="n">
        <f aca="false">C453*Scoring!$B$32+D453/Scoring!$C$32+E453*Scoring!$D$32+F453*Scoring!$E$32+G453/Scoring!$F$32+H453*Scoring!$G$32+I453*Scoring!$H$32+K453*Scoring!$I$32+RB!L453*Scoring!$J$32</f>
        <v>0</v>
      </c>
      <c r="X453" s="53" t="n">
        <f aca="false">D453+G453</f>
        <v>0</v>
      </c>
      <c r="Y453" s="53" t="n">
        <f aca="false">H453+E453</f>
        <v>0</v>
      </c>
      <c r="Z453" s="53" t="e">
        <f aca="false">X453/Y453</f>
        <v>#DIV/0!</v>
      </c>
    </row>
    <row r="454" customFormat="false" ht="14.25" hidden="false" customHeight="true" outlineLevel="0" collapsed="false">
      <c r="K454" s="115" t="n">
        <f aca="false">IFERROR((D454/C454)/4.5*0.25*C454,0)</f>
        <v>0</v>
      </c>
      <c r="L454" s="115" t="n">
        <f aca="false">IFERROR((G454/F454)/7.95*0.376*F454,0)</f>
        <v>0</v>
      </c>
      <c r="M454" s="117"/>
      <c r="N454" s="117"/>
      <c r="O454" s="117"/>
      <c r="X454" s="53" t="n">
        <f aca="false">D454+G454</f>
        <v>0</v>
      </c>
      <c r="Y454" s="53" t="n">
        <f aca="false">H454+E454</f>
        <v>0</v>
      </c>
      <c r="Z454" s="53" t="e">
        <f aca="false">X454/Y454</f>
        <v>#DIV/0!</v>
      </c>
    </row>
    <row r="455" customFormat="false" ht="14.25" hidden="false" customHeight="true" outlineLevel="0" collapsed="false">
      <c r="K455" s="115" t="n">
        <f aca="false">IFERROR((D455/C455)/4.5*0.25*C455,0)</f>
        <v>0</v>
      </c>
      <c r="L455" s="115" t="n">
        <f aca="false">IFERROR((G455/F455)/7.95*0.376*F455,0)</f>
        <v>0</v>
      </c>
      <c r="M455" s="117"/>
      <c r="N455" s="117"/>
      <c r="O455" s="117"/>
      <c r="X455" s="53" t="n">
        <f aca="false">D455+G455</f>
        <v>0</v>
      </c>
      <c r="Y455" s="53" t="n">
        <f aca="false">H455+E455</f>
        <v>0</v>
      </c>
      <c r="Z455" s="53" t="e">
        <f aca="false">X455/Y455</f>
        <v>#DIV/0!</v>
      </c>
    </row>
    <row r="456" customFormat="false" ht="14.25" hidden="false" customHeight="true" outlineLevel="0" collapsed="false">
      <c r="K456" s="115" t="n">
        <f aca="false">IFERROR((D456/C456)/4.5*0.25*C456,0)</f>
        <v>0</v>
      </c>
      <c r="L456" s="115" t="n">
        <f aca="false">IFERROR((G456/F456)/7.95*0.376*F456,0)</f>
        <v>0</v>
      </c>
      <c r="M456" s="117" t="n">
        <f aca="false">C458*Scoring!$B$32+D458/Scoring!$C$32+E458*Scoring!$D$32+F458*Scoring!$E$32+G458/Scoring!$F$32+H458*Scoring!$G$32+I458*Scoring!$H$32+K458*Scoring!$I$32+RB!L458*Scoring!$J$32+U456</f>
        <v>0</v>
      </c>
      <c r="N456" s="117" t="n">
        <f aca="false">C456*Scoring!$B$32+D456/Scoring!$C$32+E456*Scoring!$D$32+F456*Scoring!$E$32+G456/Scoring!$F$32+H456*Scoring!$G$32+I456*Scoring!$H$32+K456*Scoring!$I$32+RB!L456*Scoring!$J$32+U456</f>
        <v>0</v>
      </c>
      <c r="O456" s="117" t="n">
        <f aca="false">C457*Scoring!$B$32+D457/Scoring!$C$32+E457*Scoring!$D$32+F457*Scoring!$E$32+G457/Scoring!$F$32+H457*Scoring!$G$32+I457*Scoring!$H$32+K457*Scoring!$I$32+L457*Scoring!$J$32+U456</f>
        <v>0</v>
      </c>
      <c r="P456" s="53" t="n">
        <f aca="false">IF(COUNTIF(Rookies!$A:$A,A456)&gt;0,1,0)</f>
        <v>0</v>
      </c>
      <c r="S456" s="53" t="n">
        <f aca="false">V456/17</f>
        <v>0</v>
      </c>
      <c r="T456" s="53" t="n">
        <f aca="false">IF(P456=1,MAX(0,0.258*(14.9-S456)),0)</f>
        <v>0</v>
      </c>
      <c r="U456" s="53" t="n">
        <f aca="false">T456*17</f>
        <v>0</v>
      </c>
      <c r="V456" s="53" t="n">
        <f aca="false">C456*Scoring!$B$32+D456/Scoring!$C$32+E456*Scoring!$D$32+F456*Scoring!$E$32+G456/Scoring!$F$32+H456*Scoring!$G$32+I456*Scoring!$H$32+K456*Scoring!$I$32+RB!L456*Scoring!$J$32</f>
        <v>0</v>
      </c>
      <c r="X456" s="53" t="n">
        <f aca="false">D456+G456</f>
        <v>0</v>
      </c>
      <c r="Y456" s="53" t="n">
        <f aca="false">H456+E456</f>
        <v>0</v>
      </c>
      <c r="Z456" s="53" t="e">
        <f aca="false">X456/Y456</f>
        <v>#DIV/0!</v>
      </c>
    </row>
    <row r="457" customFormat="false" ht="14.25" hidden="false" customHeight="true" outlineLevel="0" collapsed="false">
      <c r="K457" s="115" t="n">
        <f aca="false">IFERROR((D457/C457)/4.5*0.25*C457,0)</f>
        <v>0</v>
      </c>
      <c r="L457" s="115" t="n">
        <f aca="false">IFERROR((G457/F457)/7.95*0.376*F457,0)</f>
        <v>0</v>
      </c>
      <c r="M457" s="117"/>
      <c r="N457" s="117"/>
      <c r="O457" s="117"/>
      <c r="X457" s="53" t="n">
        <f aca="false">D457+G457</f>
        <v>0</v>
      </c>
      <c r="Y457" s="53" t="n">
        <f aca="false">H457+E457</f>
        <v>0</v>
      </c>
      <c r="Z457" s="53" t="e">
        <f aca="false">X457/Y457</f>
        <v>#DIV/0!</v>
      </c>
    </row>
    <row r="458" customFormat="false" ht="14.25" hidden="false" customHeight="true" outlineLevel="0" collapsed="false">
      <c r="K458" s="115" t="n">
        <f aca="false">IFERROR((D458/C458)/4.5*0.25*C458,0)</f>
        <v>0</v>
      </c>
      <c r="L458" s="115" t="n">
        <f aca="false">IFERROR((G458/F458)/7.95*0.376*F458,0)</f>
        <v>0</v>
      </c>
      <c r="M458" s="117"/>
      <c r="N458" s="117"/>
      <c r="O458" s="117"/>
      <c r="X458" s="53" t="n">
        <f aca="false">D458+G458</f>
        <v>0</v>
      </c>
      <c r="Y458" s="53" t="n">
        <f aca="false">H458+E458</f>
        <v>0</v>
      </c>
      <c r="Z458" s="53" t="e">
        <f aca="false">X458/Y458</f>
        <v>#DIV/0!</v>
      </c>
    </row>
    <row r="459" customFormat="false" ht="14.25" hidden="false" customHeight="true" outlineLevel="0" collapsed="false">
      <c r="K459" s="115" t="n">
        <f aca="false">IFERROR((D459/C459)/4.5*0.25*C459,0)</f>
        <v>0</v>
      </c>
      <c r="L459" s="115" t="n">
        <f aca="false">IFERROR((G459/F459)/7.95*0.376*F459,0)</f>
        <v>0</v>
      </c>
      <c r="M459" s="117" t="n">
        <f aca="false">C461*Scoring!$B$32+D461/Scoring!$C$32+E461*Scoring!$D$32+F461*Scoring!$E$32+G461/Scoring!$F$32+H461*Scoring!$G$32+I461*Scoring!$H$32+K461*Scoring!$I$32+RB!L461*Scoring!$J$32+U459</f>
        <v>0</v>
      </c>
      <c r="N459" s="117" t="n">
        <f aca="false">C459*Scoring!$B$32+D459/Scoring!$C$32+E459*Scoring!$D$32+F459*Scoring!$E$32+G459/Scoring!$F$32+H459*Scoring!$G$32+I459*Scoring!$H$32+K459*Scoring!$I$32+RB!L459*Scoring!$J$32+U459</f>
        <v>0</v>
      </c>
      <c r="O459" s="117" t="n">
        <f aca="false">C460*Scoring!$B$32+D460/Scoring!$C$32+E460*Scoring!$D$32+F460*Scoring!$E$32+G460/Scoring!$F$32+H460*Scoring!$G$32+I460*Scoring!$H$32+K460*Scoring!$I$32+L460*Scoring!$J$32+U459</f>
        <v>0</v>
      </c>
      <c r="P459" s="53" t="n">
        <f aca="false">IF(COUNTIF(Rookies!$A:$A,A459)&gt;0,1,0)</f>
        <v>0</v>
      </c>
      <c r="S459" s="53" t="n">
        <f aca="false">V459/17</f>
        <v>0</v>
      </c>
      <c r="T459" s="53" t="n">
        <f aca="false">IF(P459=1,MAX(0,0.258*(14.9-S459)),0)</f>
        <v>0</v>
      </c>
      <c r="U459" s="53" t="n">
        <f aca="false">T459*17</f>
        <v>0</v>
      </c>
      <c r="V459" s="53" t="n">
        <f aca="false">C459*Scoring!$B$32+D459/Scoring!$C$32+E459*Scoring!$D$32+F459*Scoring!$E$32+G459/Scoring!$F$32+H459*Scoring!$G$32+I459*Scoring!$H$32+K459*Scoring!$I$32+RB!L459*Scoring!$J$32</f>
        <v>0</v>
      </c>
      <c r="X459" s="53" t="n">
        <f aca="false">D459+G459</f>
        <v>0</v>
      </c>
      <c r="Y459" s="53" t="n">
        <f aca="false">H459+E459</f>
        <v>0</v>
      </c>
      <c r="Z459" s="53" t="e">
        <f aca="false">X459/Y459</f>
        <v>#DIV/0!</v>
      </c>
    </row>
    <row r="460" customFormat="false" ht="14.25" hidden="false" customHeight="true" outlineLevel="0" collapsed="false">
      <c r="K460" s="115" t="n">
        <f aca="false">IFERROR((D460/C460)/4.5*0.25*C460,0)</f>
        <v>0</v>
      </c>
      <c r="L460" s="115" t="n">
        <f aca="false">IFERROR((G460/F460)/7.95*0.376*F460,0)</f>
        <v>0</v>
      </c>
      <c r="M460" s="117"/>
      <c r="N460" s="117"/>
      <c r="O460" s="117"/>
      <c r="X460" s="53" t="n">
        <f aca="false">D460+G460</f>
        <v>0</v>
      </c>
      <c r="Y460" s="53" t="n">
        <f aca="false">H460+E460</f>
        <v>0</v>
      </c>
      <c r="Z460" s="53" t="e">
        <f aca="false">X460/Y460</f>
        <v>#DIV/0!</v>
      </c>
    </row>
    <row r="461" customFormat="false" ht="14.25" hidden="false" customHeight="true" outlineLevel="0" collapsed="false">
      <c r="K461" s="115" t="n">
        <f aca="false">IFERROR((D461/C461)/4.5*0.25*C461,0)</f>
        <v>0</v>
      </c>
      <c r="L461" s="115" t="n">
        <f aca="false">IFERROR((G461/F461)/7.95*0.376*F461,0)</f>
        <v>0</v>
      </c>
      <c r="M461" s="117"/>
      <c r="N461" s="117"/>
      <c r="O461" s="117"/>
      <c r="X461" s="53" t="n">
        <f aca="false">D461+G461</f>
        <v>0</v>
      </c>
      <c r="Y461" s="53" t="n">
        <f aca="false">H461+E461</f>
        <v>0</v>
      </c>
      <c r="Z461" s="53" t="e">
        <f aca="false">X461/Y461</f>
        <v>#DIV/0!</v>
      </c>
    </row>
    <row r="462" customFormat="false" ht="14.25" hidden="false" customHeight="true" outlineLevel="0" collapsed="false">
      <c r="K462" s="115" t="n">
        <f aca="false">IFERROR((D462/C462)/4.5*0.25*C462,0)</f>
        <v>0</v>
      </c>
      <c r="L462" s="115" t="n">
        <f aca="false">IFERROR((G462/F462)/7.95*0.376*F462,0)</f>
        <v>0</v>
      </c>
      <c r="M462" s="117" t="n">
        <f aca="false">C464*Scoring!$B$32+D464/Scoring!$C$32+E464*Scoring!$D$32+F464*Scoring!$E$32+G464/Scoring!$F$32+H464*Scoring!$G$32+I464*Scoring!$H$32+K464*Scoring!$I$32+RB!L464*Scoring!$J$32+U462</f>
        <v>0</v>
      </c>
      <c r="N462" s="117" t="n">
        <f aca="false">C462*Scoring!$B$32+D462/Scoring!$C$32+E462*Scoring!$D$32+F462*Scoring!$E$32+G462/Scoring!$F$32+H462*Scoring!$G$32+I462*Scoring!$H$32+K462*Scoring!$I$32+RB!L462*Scoring!$J$32+U462</f>
        <v>0</v>
      </c>
      <c r="O462" s="117" t="n">
        <f aca="false">C463*Scoring!$B$32+D463/Scoring!$C$32+E463*Scoring!$D$32+F463*Scoring!$E$32+G463/Scoring!$F$32+H463*Scoring!$G$32+I463*Scoring!$H$32+K463*Scoring!$I$32+L463*Scoring!$J$32+U462</f>
        <v>0</v>
      </c>
      <c r="P462" s="53" t="n">
        <f aca="false">IF(COUNTIF(Rookies!$A:$A,A462)&gt;0,1,0)</f>
        <v>0</v>
      </c>
      <c r="S462" s="53" t="n">
        <f aca="false">V462/17</f>
        <v>0</v>
      </c>
      <c r="T462" s="53" t="n">
        <f aca="false">IF(P462=1,MAX(0,0.258*(14.9-S462)),0)</f>
        <v>0</v>
      </c>
      <c r="U462" s="53" t="n">
        <f aca="false">T462*17</f>
        <v>0</v>
      </c>
      <c r="V462" s="53" t="n">
        <f aca="false">C462*Scoring!$B$32+D462/Scoring!$C$32+E462*Scoring!$D$32+F462*Scoring!$E$32+G462/Scoring!$F$32+H462*Scoring!$G$32+I462*Scoring!$H$32+K462*Scoring!$I$32+RB!L462*Scoring!$J$32</f>
        <v>0</v>
      </c>
    </row>
    <row r="463" customFormat="false" ht="14.25" hidden="false" customHeight="true" outlineLevel="0" collapsed="false">
      <c r="K463" s="115" t="n">
        <f aca="false">IFERROR((D463/C463)/4.5*0.25*C463,0)</f>
        <v>0</v>
      </c>
      <c r="L463" s="115" t="n">
        <f aca="false">IFERROR((G463/F463)/7.95*0.376*F463,0)</f>
        <v>0</v>
      </c>
      <c r="M463" s="117"/>
      <c r="N463" s="117"/>
      <c r="O463" s="117"/>
    </row>
    <row r="464" customFormat="false" ht="14.25" hidden="false" customHeight="true" outlineLevel="0" collapsed="false">
      <c r="K464" s="115" t="n">
        <f aca="false">IFERROR((D464/C464)/4.5*0.25*C464,0)</f>
        <v>0</v>
      </c>
      <c r="L464" s="115" t="n">
        <f aca="false">IFERROR((G464/F464)/7.95*0.376*F464,0)</f>
        <v>0</v>
      </c>
      <c r="M464" s="117"/>
      <c r="N464" s="117"/>
      <c r="O464" s="117"/>
    </row>
    <row r="465" customFormat="false" ht="14.25" hidden="false" customHeight="true" outlineLevel="0" collapsed="false">
      <c r="K465" s="115" t="n">
        <f aca="false">IFERROR((D465/C465)/4.5*0.25*C465,0)</f>
        <v>0</v>
      </c>
      <c r="L465" s="115" t="n">
        <f aca="false">IFERROR((G465/F465)/7.95*0.376*F465,0)</f>
        <v>0</v>
      </c>
      <c r="M465" s="117" t="n">
        <f aca="false">C467*Scoring!$B$32+D467/Scoring!$C$32+E467*Scoring!$D$32+F467*Scoring!$E$32+G467/Scoring!$F$32+H467*Scoring!$G$32+I467*Scoring!$H$32+K467*Scoring!$I$32+RB!L467*Scoring!$J$32+U465</f>
        <v>0</v>
      </c>
      <c r="N465" s="117" t="n">
        <f aca="false">C465*Scoring!$B$32+D465/Scoring!$C$32+E465*Scoring!$D$32+F465*Scoring!$E$32+G465/Scoring!$F$32+H465*Scoring!$G$32+I465*Scoring!$H$32+K465*Scoring!$I$32+RB!L465*Scoring!$J$32+U465</f>
        <v>0</v>
      </c>
      <c r="O465" s="117" t="n">
        <f aca="false">C466*Scoring!$B$32+D466/Scoring!$C$32+E466*Scoring!$D$32+F466*Scoring!$E$32+G466/Scoring!$F$32+H466*Scoring!$G$32+I466*Scoring!$H$32+K466*Scoring!$I$32+L466*Scoring!$J$32+U465</f>
        <v>0</v>
      </c>
      <c r="P465" s="53" t="n">
        <f aca="false">IF(COUNTIF(Rookies!$A:$A,A465)&gt;0,1,0)</f>
        <v>0</v>
      </c>
      <c r="S465" s="53" t="n">
        <f aca="false">V465/17</f>
        <v>0</v>
      </c>
      <c r="T465" s="53" t="n">
        <f aca="false">IF(P465=1,MAX(0,0.258*(14.9-S465)),0)</f>
        <v>0</v>
      </c>
      <c r="U465" s="53" t="n">
        <f aca="false">T465*17</f>
        <v>0</v>
      </c>
      <c r="V465" s="53" t="n">
        <f aca="false">C465*Scoring!$B$32+D465/Scoring!$C$32+E465*Scoring!$D$32+F465*Scoring!$E$32+G465/Scoring!$F$32+H465*Scoring!$G$32+I465*Scoring!$H$32+K465*Scoring!$I$32+RB!L465*Scoring!$J$32</f>
        <v>0</v>
      </c>
    </row>
    <row r="466" customFormat="false" ht="14.25" hidden="false" customHeight="true" outlineLevel="0" collapsed="false">
      <c r="K466" s="115" t="n">
        <f aca="false">IFERROR((D466/C466)/4.5*0.25*C466,0)</f>
        <v>0</v>
      </c>
      <c r="L466" s="115" t="n">
        <f aca="false">IFERROR((G466/F466)/7.95*0.376*F466,0)</f>
        <v>0</v>
      </c>
      <c r="M466" s="117"/>
      <c r="N466" s="117"/>
      <c r="O466" s="117"/>
    </row>
    <row r="467" customFormat="false" ht="14.25" hidden="false" customHeight="true" outlineLevel="0" collapsed="false">
      <c r="K467" s="115" t="n">
        <f aca="false">IFERROR((D467/C467)/4.5*0.25*C467,0)</f>
        <v>0</v>
      </c>
      <c r="L467" s="115" t="n">
        <f aca="false">IFERROR((G467/F467)/7.95*0.376*F467,0)</f>
        <v>0</v>
      </c>
      <c r="M467" s="117"/>
      <c r="N467" s="117"/>
      <c r="O467" s="117"/>
    </row>
    <row r="468" customFormat="false" ht="14.25" hidden="false" customHeight="true" outlineLevel="0" collapsed="false">
      <c r="K468" s="115" t="n">
        <f aca="false">IFERROR((D468/C468)/4.5*0.25*C468,0)</f>
        <v>0</v>
      </c>
      <c r="L468" s="115" t="n">
        <f aca="false">IFERROR((G468/F468)/7.95*0.376*F468,0)</f>
        <v>0</v>
      </c>
      <c r="M468" s="117" t="n">
        <f aca="false">C470*Scoring!$B$32+D470/Scoring!$C$32+E470*Scoring!$D$32+F470*Scoring!$E$32+G470/Scoring!$F$32+H470*Scoring!$G$32+I470*Scoring!$H$32+K470*Scoring!$I$32+RB!L470*Scoring!$J$32+U468</f>
        <v>0</v>
      </c>
      <c r="N468" s="117" t="n">
        <f aca="false">C468*Scoring!$B$32+D468/Scoring!$C$32+E468*Scoring!$D$32+F468*Scoring!$E$32+G468/Scoring!$F$32+H468*Scoring!$G$32+I468*Scoring!$H$32+K468*Scoring!$I$32+RB!L468*Scoring!$J$32+U468</f>
        <v>0</v>
      </c>
      <c r="O468" s="117" t="n">
        <f aca="false">C469*Scoring!$B$32+D469/Scoring!$C$32+E469*Scoring!$D$32+F469*Scoring!$E$32+G469/Scoring!$F$32+H469*Scoring!$G$32+I469*Scoring!$H$32+K469*Scoring!$I$32+L469*Scoring!$J$32+U468</f>
        <v>0</v>
      </c>
      <c r="P468" s="53" t="n">
        <f aca="false">IF(COUNTIF(Rookies!$A:$A,A468)&gt;0,1,0)</f>
        <v>0</v>
      </c>
      <c r="S468" s="53" t="n">
        <f aca="false">V468/17</f>
        <v>0</v>
      </c>
      <c r="T468" s="53" t="n">
        <f aca="false">IF(P468=1,MAX(0,0.258*(14.9-S468)),0)</f>
        <v>0</v>
      </c>
      <c r="U468" s="53" t="n">
        <f aca="false">T468*17</f>
        <v>0</v>
      </c>
      <c r="V468" s="53" t="n">
        <f aca="false">C468*Scoring!$B$32+D468/Scoring!$C$32+E468*Scoring!$D$32+F468*Scoring!$E$32+G468/Scoring!$F$32+H468*Scoring!$G$32+I468*Scoring!$H$32+K468*Scoring!$I$32+RB!L468*Scoring!$J$32</f>
        <v>0</v>
      </c>
    </row>
    <row r="469" customFormat="false" ht="14.25" hidden="false" customHeight="true" outlineLevel="0" collapsed="false">
      <c r="K469" s="115" t="n">
        <f aca="false">IFERROR((D469/C469)/4.5*0.25*C469,0)</f>
        <v>0</v>
      </c>
      <c r="L469" s="115" t="n">
        <f aca="false">IFERROR((G469/F469)/7.95*0.376*F469,0)</f>
        <v>0</v>
      </c>
      <c r="M469" s="117"/>
      <c r="N469" s="117"/>
      <c r="O469" s="117"/>
    </row>
    <row r="470" customFormat="false" ht="14.25" hidden="false" customHeight="true" outlineLevel="0" collapsed="false">
      <c r="K470" s="115" t="n">
        <f aca="false">IFERROR((D470/C470)/4.5*0.25*C470,0)</f>
        <v>0</v>
      </c>
      <c r="L470" s="115" t="n">
        <f aca="false">IFERROR((G470/F470)/7.95*0.376*F470,0)</f>
        <v>0</v>
      </c>
      <c r="M470" s="117"/>
      <c r="N470" s="117"/>
      <c r="O470" s="117"/>
    </row>
    <row r="471" customFormat="false" ht="14.25" hidden="false" customHeight="true" outlineLevel="0" collapsed="false">
      <c r="K471" s="115" t="n">
        <f aca="false">IFERROR((D471/C471)/4.5*0.25*C471,0)</f>
        <v>0</v>
      </c>
      <c r="L471" s="115" t="n">
        <f aca="false">IFERROR((G471/F471)/7.95*0.376*F471,0)</f>
        <v>0</v>
      </c>
      <c r="M471" s="117" t="n">
        <f aca="false">C473*Scoring!$B$32+D473/Scoring!$C$32+E473*Scoring!$D$32+F473*Scoring!$E$32+G473/Scoring!$F$32+H473*Scoring!$G$32+I473*Scoring!$H$32+K473*Scoring!$I$32+RB!L473*Scoring!$J$32+U471</f>
        <v>0</v>
      </c>
      <c r="N471" s="117" t="n">
        <f aca="false">C471*Scoring!$B$32+D471/Scoring!$C$32+E471*Scoring!$D$32+F471*Scoring!$E$32+G471/Scoring!$F$32+H471*Scoring!$G$32+I471*Scoring!$H$32+K471*Scoring!$I$32+RB!L471*Scoring!$J$32+U471</f>
        <v>0</v>
      </c>
      <c r="O471" s="117" t="n">
        <f aca="false">C472*Scoring!$B$32+D472/Scoring!$C$32+E472*Scoring!$D$32+F472*Scoring!$E$32+G472/Scoring!$F$32+H472*Scoring!$G$32+I472*Scoring!$H$32+K472*Scoring!$I$32+L472*Scoring!$J$32+U471</f>
        <v>0</v>
      </c>
      <c r="P471" s="53" t="n">
        <f aca="false">IF(COUNTIF(Rookies!$A:$A,A471)&gt;0,1,0)</f>
        <v>0</v>
      </c>
      <c r="S471" s="53" t="n">
        <f aca="false">V471/17</f>
        <v>0</v>
      </c>
      <c r="T471" s="53" t="n">
        <f aca="false">IF(P471=1,MAX(0,0.258*(14.9-S471)),0)</f>
        <v>0</v>
      </c>
      <c r="U471" s="53" t="n">
        <f aca="false">T471*17</f>
        <v>0</v>
      </c>
      <c r="V471" s="53" t="n">
        <f aca="false">C471*Scoring!$B$32+D471/Scoring!$C$32+E471*Scoring!$D$32+F471*Scoring!$E$32+G471/Scoring!$F$32+H471*Scoring!$G$32+I471*Scoring!$H$32+K471*Scoring!$I$32+RB!L471*Scoring!$J$32</f>
        <v>0</v>
      </c>
    </row>
    <row r="472" customFormat="false" ht="14.25" hidden="false" customHeight="true" outlineLevel="0" collapsed="false">
      <c r="K472" s="115" t="n">
        <f aca="false">IFERROR((D472/C472)/4.5*0.25*C472,0)</f>
        <v>0</v>
      </c>
      <c r="L472" s="115" t="n">
        <f aca="false">IFERROR((G472/F472)/7.95*0.376*F472,0)</f>
        <v>0</v>
      </c>
      <c r="M472" s="117"/>
      <c r="N472" s="117"/>
      <c r="O472" s="117"/>
    </row>
    <row r="473" customFormat="false" ht="14.25" hidden="false" customHeight="true" outlineLevel="0" collapsed="false">
      <c r="K473" s="115" t="n">
        <f aca="false">IFERROR((D473/C473)/4.5*0.25*C473,0)</f>
        <v>0</v>
      </c>
      <c r="L473" s="115" t="n">
        <f aca="false">IFERROR((G473/F473)/7.95*0.376*F473,0)</f>
        <v>0</v>
      </c>
      <c r="M473" s="117"/>
      <c r="N473" s="117"/>
      <c r="O473" s="117"/>
    </row>
    <row r="474" customFormat="false" ht="14.25" hidden="false" customHeight="true" outlineLevel="0" collapsed="false">
      <c r="K474" s="115" t="n">
        <f aca="false">IFERROR((D474/C474)/4.5*0.25*C474,0)</f>
        <v>0</v>
      </c>
      <c r="L474" s="115" t="n">
        <f aca="false">IFERROR((G474/F474)/7.95*0.376*F474,0)</f>
        <v>0</v>
      </c>
      <c r="M474" s="117" t="n">
        <f aca="false">C476*Scoring!$B$32+D476/Scoring!$C$32+E476*Scoring!$D$32+F476*Scoring!$E$32+G476/Scoring!$F$32+H476*Scoring!$G$32+I476*Scoring!$H$32+K476*Scoring!$I$32+RB!L476*Scoring!$J$32+U474</f>
        <v>0</v>
      </c>
      <c r="N474" s="117" t="n">
        <f aca="false">C474*Scoring!$B$32+D474/Scoring!$C$32+E474*Scoring!$D$32+F474*Scoring!$E$32+G474/Scoring!$F$32+H474*Scoring!$G$32+I474*Scoring!$H$32+K474*Scoring!$I$32+RB!L474*Scoring!$J$32+U474</f>
        <v>0</v>
      </c>
      <c r="O474" s="117" t="n">
        <f aca="false">C475*Scoring!$B$32+D475/Scoring!$C$32+E475*Scoring!$D$32+F475*Scoring!$E$32+G475/Scoring!$F$32+H475*Scoring!$G$32+I475*Scoring!$H$32+K475*Scoring!$I$32+L475*Scoring!$J$32+U474</f>
        <v>0</v>
      </c>
    </row>
    <row r="475" customFormat="false" ht="14.25" hidden="false" customHeight="true" outlineLevel="0" collapsed="false">
      <c r="K475" s="115" t="n">
        <f aca="false">IFERROR((D475/C475)/4.5*0.25*C475,0)</f>
        <v>0</v>
      </c>
      <c r="L475" s="115" t="n">
        <f aca="false">IFERROR((G475/F475)/7.95*0.376*F475,0)</f>
        <v>0</v>
      </c>
      <c r="M475" s="117"/>
      <c r="N475" s="117"/>
      <c r="O475" s="117"/>
    </row>
    <row r="476" customFormat="false" ht="14.25" hidden="false" customHeight="true" outlineLevel="0" collapsed="false">
      <c r="K476" s="115" t="n">
        <f aca="false">IFERROR((D476/C476)/4.5*0.25*C476,0)</f>
        <v>0</v>
      </c>
      <c r="L476" s="115" t="n">
        <f aca="false">IFERROR((G476/F476)/7.95*0.376*F476,0)</f>
        <v>0</v>
      </c>
      <c r="M476" s="117"/>
      <c r="N476" s="117"/>
      <c r="O476" s="117"/>
    </row>
    <row r="477" customFormat="false" ht="14.25" hidden="false" customHeight="true" outlineLevel="0" collapsed="false">
      <c r="K477" s="115" t="n">
        <f aca="false">IFERROR((D477/C477)/4.5*0.25*C477,0)</f>
        <v>0</v>
      </c>
      <c r="L477" s="115" t="n">
        <f aca="false">IFERROR((G477/F477)/7.95*0.376*F477,0)</f>
        <v>0</v>
      </c>
      <c r="M477" s="117" t="n">
        <f aca="false">C479*Scoring!$B$32+D479/Scoring!$C$32+E479*Scoring!$D$32+F479*Scoring!$E$32+G479/Scoring!$F$32+H479*Scoring!$G$32+I479*Scoring!$H$32+K479*Scoring!$I$32+RB!L479*Scoring!$J$32+U477</f>
        <v>0</v>
      </c>
      <c r="N477" s="117" t="n">
        <f aca="false">C477*Scoring!$B$32+D477/Scoring!$C$32+E477*Scoring!$D$32+F477*Scoring!$E$32+G477/Scoring!$F$32+H477*Scoring!$G$32+I477*Scoring!$H$32+K477*Scoring!$I$32+RB!L477*Scoring!$J$32+U477</f>
        <v>0</v>
      </c>
      <c r="O477" s="117" t="n">
        <f aca="false">C478*Scoring!$B$32+D478/Scoring!$C$32+E478*Scoring!$D$32+F478*Scoring!$E$32+G478/Scoring!$F$32+H478*Scoring!$G$32+I478*Scoring!$H$32+K478*Scoring!$I$32+L478*Scoring!$J$32+U477</f>
        <v>0</v>
      </c>
    </row>
    <row r="478" customFormat="false" ht="14.25" hidden="false" customHeight="true" outlineLevel="0" collapsed="false">
      <c r="K478" s="115" t="n">
        <f aca="false">IFERROR((D478/C478)/4.5*0.25*C478,0)</f>
        <v>0</v>
      </c>
      <c r="L478" s="115" t="n">
        <f aca="false">IFERROR((G478/F478)/7.95*0.376*F478,0)</f>
        <v>0</v>
      </c>
      <c r="M478" s="117"/>
      <c r="N478" s="117"/>
      <c r="O478" s="117"/>
    </row>
    <row r="479" customFormat="false" ht="14.25" hidden="false" customHeight="true" outlineLevel="0" collapsed="false">
      <c r="K479" s="115" t="n">
        <f aca="false">IFERROR((D479/C479)/4.5*0.25*C479,0)</f>
        <v>0</v>
      </c>
      <c r="L479" s="115" t="n">
        <f aca="false">IFERROR((G479/F479)/7.95*0.376*F479,0)</f>
        <v>0</v>
      </c>
      <c r="M479" s="117"/>
      <c r="N479" s="117"/>
      <c r="O479" s="117"/>
    </row>
    <row r="480" customFormat="false" ht="14.25" hidden="false" customHeight="true" outlineLevel="0" collapsed="false">
      <c r="K480" s="115" t="n">
        <f aca="false">IFERROR((D480/C480)/4.5*0.25*C480,0)</f>
        <v>0</v>
      </c>
      <c r="L480" s="115" t="n">
        <f aca="false">IFERROR((G480/F480)/7.95*0.376*F480,0)</f>
        <v>0</v>
      </c>
      <c r="M480" s="117" t="n">
        <f aca="false">C482*Scoring!$B$32+D482/Scoring!$C$32+E482*Scoring!$D$32+F482*Scoring!$E$32+G482/Scoring!$F$32+H482*Scoring!$G$32+I482*Scoring!$H$32+K482*Scoring!$I$32+RB!L482*Scoring!$J$32+U480</f>
        <v>0</v>
      </c>
      <c r="N480" s="117" t="n">
        <f aca="false">C480*Scoring!$B$32+D480/Scoring!$C$32+E480*Scoring!$D$32+F480*Scoring!$E$32+G480/Scoring!$F$32+H480*Scoring!$G$32+I480*Scoring!$H$32+K480*Scoring!$I$32+RB!L480*Scoring!$J$32+U480</f>
        <v>0</v>
      </c>
      <c r="O480" s="117" t="n">
        <f aca="false">C481*Scoring!$B$32+D481/Scoring!$C$32+E481*Scoring!$D$32+F481*Scoring!$E$32+G481/Scoring!$F$32+H481*Scoring!$G$32+I481*Scoring!$H$32+K481*Scoring!$I$32+L481*Scoring!$J$32+U480</f>
        <v>0</v>
      </c>
    </row>
    <row r="481" customFormat="false" ht="14.25" hidden="false" customHeight="true" outlineLevel="0" collapsed="false">
      <c r="K481" s="115" t="n">
        <f aca="false">IFERROR((D481/C481)/4.5*0.25*C481,0)</f>
        <v>0</v>
      </c>
      <c r="L481" s="115" t="n">
        <f aca="false">IFERROR((G481/F481)/7.95*0.376*F481,0)</f>
        <v>0</v>
      </c>
      <c r="M481" s="117"/>
      <c r="N481" s="117"/>
      <c r="O481" s="117"/>
    </row>
    <row r="482" customFormat="false" ht="14.25" hidden="false" customHeight="true" outlineLevel="0" collapsed="false">
      <c r="K482" s="115" t="n">
        <f aca="false">IFERROR((D482/C482)/4.5*0.25*C482,0)</f>
        <v>0</v>
      </c>
      <c r="L482" s="115" t="n">
        <f aca="false">IFERROR((G482/F482)/7.95*0.376*F482,0)</f>
        <v>0</v>
      </c>
      <c r="M482" s="117"/>
      <c r="N482" s="117"/>
      <c r="O482" s="117"/>
    </row>
    <row r="483" customFormat="false" ht="14.25" hidden="false" customHeight="true" outlineLevel="0" collapsed="false">
      <c r="K483" s="115" t="n">
        <f aca="false">IFERROR((D483/C483)/4.5*0.25*C483,0)</f>
        <v>0</v>
      </c>
      <c r="L483" s="115" t="n">
        <f aca="false">IFERROR((G483/F483)/7.95*0.376*F483,0)</f>
        <v>0</v>
      </c>
      <c r="M483" s="117" t="n">
        <f aca="false">C485*Scoring!$B$32+D485/Scoring!$C$32+E485*Scoring!$D$32+F485*Scoring!$E$32+G485/Scoring!$F$32+H485*Scoring!$G$32+I485*Scoring!$H$32+K485*Scoring!$I$32+RB!L485*Scoring!$J$32+U483</f>
        <v>0</v>
      </c>
      <c r="N483" s="117" t="n">
        <f aca="false">C483*Scoring!$B$32+D483/Scoring!$C$32+E483*Scoring!$D$32+F483*Scoring!$E$32+G483/Scoring!$F$32+H483*Scoring!$G$32+I483*Scoring!$H$32+K483*Scoring!$I$32+RB!L483*Scoring!$J$32+U483</f>
        <v>0</v>
      </c>
      <c r="O483" s="117" t="n">
        <f aca="false">C484*Scoring!$B$32+D484/Scoring!$C$32+E484*Scoring!$D$32+F484*Scoring!$E$32+G484/Scoring!$F$32+H484*Scoring!$G$32+I484*Scoring!$H$32+K484*Scoring!$I$32+L484*Scoring!$J$32+U483</f>
        <v>0</v>
      </c>
    </row>
    <row r="484" customFormat="false" ht="14.25" hidden="false" customHeight="true" outlineLevel="0" collapsed="false">
      <c r="K484" s="115" t="n">
        <f aca="false">IFERROR((D484/C484)/4.5*0.25*C484,0)</f>
        <v>0</v>
      </c>
      <c r="L484" s="115" t="n">
        <f aca="false">IFERROR((G484/F484)/7.95*0.376*F484,0)</f>
        <v>0</v>
      </c>
      <c r="M484" s="117"/>
      <c r="N484" s="117"/>
      <c r="O484" s="117"/>
    </row>
    <row r="485" customFormat="false" ht="14.25" hidden="false" customHeight="true" outlineLevel="0" collapsed="false">
      <c r="K485" s="115" t="n">
        <f aca="false">IFERROR((D485/C485)/4.5*0.25*C485,0)</f>
        <v>0</v>
      </c>
      <c r="L485" s="115" t="n">
        <f aca="false">IFERROR((G485/F485)/7.95*0.376*F485,0)</f>
        <v>0</v>
      </c>
      <c r="M485" s="117"/>
      <c r="N485" s="117"/>
      <c r="O485" s="117"/>
    </row>
    <row r="486" customFormat="false" ht="14.25" hidden="false" customHeight="true" outlineLevel="0" collapsed="false">
      <c r="K486" s="115" t="n">
        <f aca="false">IFERROR((D486/C486)/4.5*0.25*C486,0)</f>
        <v>0</v>
      </c>
      <c r="L486" s="115" t="n">
        <f aca="false">IFERROR((G486/F486)/7.95*0.376*F486,0)</f>
        <v>0</v>
      </c>
      <c r="M486" s="117" t="n">
        <f aca="false">C488*Scoring!$B$32+D488/Scoring!$C$32+E488*Scoring!$D$32+F488*Scoring!$E$32+G488/Scoring!$F$32+H488*Scoring!$G$32+I488*Scoring!$H$32+K488*Scoring!$I$32+RB!L488*Scoring!$J$32+U486</f>
        <v>0</v>
      </c>
      <c r="N486" s="117" t="n">
        <f aca="false">C486*Scoring!$B$32+D486/Scoring!$C$32+E486*Scoring!$D$32+F486*Scoring!$E$32+G486/Scoring!$F$32+H486*Scoring!$G$32+I486*Scoring!$H$32+K486*Scoring!$I$32+RB!L486*Scoring!$J$32+U486</f>
        <v>0</v>
      </c>
      <c r="O486" s="117" t="n">
        <f aca="false">C487*Scoring!$B$32+D487/Scoring!$C$32+E487*Scoring!$D$32+F487*Scoring!$E$32+G487/Scoring!$F$32+H487*Scoring!$G$32+I487*Scoring!$H$32+K487*Scoring!$I$32+L487*Scoring!$J$32+U486</f>
        <v>0</v>
      </c>
    </row>
    <row r="487" customFormat="false" ht="14.25" hidden="false" customHeight="true" outlineLevel="0" collapsed="false">
      <c r="K487" s="115" t="n">
        <f aca="false">IFERROR((D487/C487)/4.5*0.25*C487,0)</f>
        <v>0</v>
      </c>
      <c r="L487" s="115" t="n">
        <f aca="false">IFERROR((G487/F487)/7.95*0.376*F487,0)</f>
        <v>0</v>
      </c>
      <c r="M487" s="117"/>
      <c r="N487" s="117"/>
      <c r="O487" s="117"/>
    </row>
    <row r="488" customFormat="false" ht="14.25" hidden="false" customHeight="true" outlineLevel="0" collapsed="false">
      <c r="K488" s="115" t="n">
        <f aca="false">IFERROR((D488/C488)/4.5*0.25*C488,0)</f>
        <v>0</v>
      </c>
      <c r="L488" s="115" t="n">
        <f aca="false">IFERROR((G488/F488)/7.95*0.376*F488,0)</f>
        <v>0</v>
      </c>
      <c r="M488" s="117"/>
      <c r="N488" s="117"/>
      <c r="O488" s="117"/>
    </row>
    <row r="489" customFormat="false" ht="14.25" hidden="false" customHeight="true" outlineLevel="0" collapsed="false">
      <c r="K489" s="115" t="n">
        <f aca="false">IFERROR((D489/C489)/4.5*0.25*C489,0)</f>
        <v>0</v>
      </c>
      <c r="L489" s="115" t="n">
        <f aca="false">IFERROR((G489/F489)/7.95*0.376*F489,0)</f>
        <v>0</v>
      </c>
      <c r="M489" s="117" t="n">
        <f aca="false">C491*Scoring!$B$32+D491/Scoring!$C$32+E491*Scoring!$D$32+F491*Scoring!$E$32+G491/Scoring!$F$32+H491*Scoring!$G$32+I491*Scoring!$H$32+K491*Scoring!$I$32+RB!L491*Scoring!$J$32+U489</f>
        <v>0</v>
      </c>
      <c r="N489" s="117" t="n">
        <f aca="false">C489*Scoring!$B$32+D489/Scoring!$C$32+E489*Scoring!$D$32+F489*Scoring!$E$32+G489/Scoring!$F$32+H489*Scoring!$G$32+I489*Scoring!$H$32+K489*Scoring!$I$32+RB!L489*Scoring!$J$32+U489</f>
        <v>0</v>
      </c>
      <c r="O489" s="117" t="n">
        <f aca="false">C490*Scoring!$B$32+D490/Scoring!$C$32+E490*Scoring!$D$32+F490*Scoring!$E$32+G490/Scoring!$F$32+H490*Scoring!$G$32+I490*Scoring!$H$32+K490*Scoring!$I$32+L490*Scoring!$J$32+U489</f>
        <v>0</v>
      </c>
    </row>
    <row r="490" customFormat="false" ht="14.25" hidden="false" customHeight="true" outlineLevel="0" collapsed="false">
      <c r="K490" s="115" t="n">
        <f aca="false">IFERROR((D490/C490)/4.5*0.25*C490,0)</f>
        <v>0</v>
      </c>
      <c r="L490" s="115" t="n">
        <f aca="false">IFERROR((G490/F490)/7.95*0.376*F490,0)</f>
        <v>0</v>
      </c>
      <c r="M490" s="117"/>
      <c r="N490" s="117"/>
      <c r="O490" s="117"/>
    </row>
    <row r="491" customFormat="false" ht="14.25" hidden="false" customHeight="true" outlineLevel="0" collapsed="false">
      <c r="K491" s="115" t="n">
        <f aca="false">IFERROR((D491/C491)/4.5*0.25*C491,0)</f>
        <v>0</v>
      </c>
      <c r="L491" s="115" t="n">
        <f aca="false">IFERROR((G491/F491)/7.95*0.376*F491,0)</f>
        <v>0</v>
      </c>
      <c r="M491" s="117"/>
      <c r="N491" s="117"/>
      <c r="O491" s="117"/>
    </row>
    <row r="492" customFormat="false" ht="14.25" hidden="false" customHeight="true" outlineLevel="0" collapsed="false">
      <c r="K492" s="115" t="n">
        <f aca="false">IFERROR((D492/C492)/4.5*0.25*C492,0)</f>
        <v>0</v>
      </c>
      <c r="L492" s="115" t="n">
        <f aca="false">IFERROR((G492/F492)/7.95*0.376*F492,0)</f>
        <v>0</v>
      </c>
      <c r="M492" s="117" t="n">
        <f aca="false">C494*Scoring!$B$32+D494/Scoring!$C$32+E494*Scoring!$D$32+F494*Scoring!$E$32+G494/Scoring!$F$32+H494*Scoring!$G$32+I494*Scoring!$H$32+K494*Scoring!$I$32+RB!L494*Scoring!$J$32+U492</f>
        <v>0</v>
      </c>
      <c r="N492" s="117" t="n">
        <f aca="false">C492*Scoring!$B$32+D492/Scoring!$C$32+E492*Scoring!$D$32+F492*Scoring!$E$32+G492/Scoring!$F$32+H492*Scoring!$G$32+I492*Scoring!$H$32+K492*Scoring!$I$32+RB!L492*Scoring!$J$32+U492</f>
        <v>0</v>
      </c>
      <c r="O492" s="117" t="n">
        <f aca="false">C493*Scoring!$B$32+D493/Scoring!$C$32+E493*Scoring!$D$32+F493*Scoring!$E$32+G493/Scoring!$F$32+H493*Scoring!$G$32+I493*Scoring!$H$32+K493*Scoring!$I$32+L493*Scoring!$J$32+U492</f>
        <v>0</v>
      </c>
    </row>
    <row r="493" customFormat="false" ht="14.25" hidden="false" customHeight="true" outlineLevel="0" collapsed="false">
      <c r="K493" s="115" t="n">
        <f aca="false">IFERROR((D493/C493)/4.5*0.25*C493,0)</f>
        <v>0</v>
      </c>
      <c r="L493" s="115" t="n">
        <f aca="false">IFERROR((G493/F493)/7.95*0.376*F493,0)</f>
        <v>0</v>
      </c>
      <c r="M493" s="117"/>
      <c r="N493" s="117"/>
      <c r="O493" s="117"/>
    </row>
    <row r="494" customFormat="false" ht="14.25" hidden="false" customHeight="true" outlineLevel="0" collapsed="false">
      <c r="K494" s="115" t="n">
        <f aca="false">IFERROR((D494/C494)/4.5*0.25*C494,0)</f>
        <v>0</v>
      </c>
      <c r="L494" s="115" t="n">
        <f aca="false">IFERROR((G494/F494)/7.95*0.376*F494,0)</f>
        <v>0</v>
      </c>
      <c r="M494" s="117"/>
      <c r="N494" s="117"/>
      <c r="O494" s="117"/>
    </row>
    <row r="495" customFormat="false" ht="14.25" hidden="false" customHeight="true" outlineLevel="0" collapsed="false">
      <c r="K495" s="115" t="n">
        <f aca="false">IFERROR((D495/C495)/4.5*0.25*C495,0)</f>
        <v>0</v>
      </c>
      <c r="L495" s="115" t="n">
        <f aca="false">IFERROR((G495/F495)/7.95*0.376*F495,0)</f>
        <v>0</v>
      </c>
      <c r="M495" s="117" t="n">
        <f aca="false">C497*Scoring!$B$32+D497/Scoring!$C$32+E497*Scoring!$D$32+F497*Scoring!$E$32+G497/Scoring!$F$32+H497*Scoring!$G$32+I497*Scoring!$H$32+K497*Scoring!$I$32+RB!L497*Scoring!$J$32+U495</f>
        <v>0</v>
      </c>
      <c r="N495" s="117" t="n">
        <f aca="false">C495*Scoring!$B$32+D495/Scoring!$C$32+E495*Scoring!$D$32+F495*Scoring!$E$32+G495/Scoring!$F$32+H495*Scoring!$G$32+I495*Scoring!$H$32+K495*Scoring!$I$32+RB!L495*Scoring!$J$32+U495</f>
        <v>0</v>
      </c>
      <c r="O495" s="117" t="n">
        <f aca="false">C496*Scoring!$B$32+D496/Scoring!$C$32+E496*Scoring!$D$32+F496*Scoring!$E$32+G496/Scoring!$F$32+H496*Scoring!$G$32+I496*Scoring!$H$32+K496*Scoring!$I$32+L496*Scoring!$J$32+U495</f>
        <v>0</v>
      </c>
    </row>
    <row r="496" customFormat="false" ht="14.25" hidden="false" customHeight="true" outlineLevel="0" collapsed="false">
      <c r="K496" s="115" t="n">
        <f aca="false">IFERROR((D496/C496)/4.5*0.25*C496,0)</f>
        <v>0</v>
      </c>
      <c r="L496" s="115" t="n">
        <f aca="false">IFERROR((G496/F496)/7.95*0.376*F496,0)</f>
        <v>0</v>
      </c>
      <c r="M496" s="117"/>
      <c r="N496" s="117"/>
      <c r="O496" s="117"/>
    </row>
    <row r="497" customFormat="false" ht="14.25" hidden="false" customHeight="true" outlineLevel="0" collapsed="false">
      <c r="K497" s="115" t="n">
        <f aca="false">IFERROR((D497/C497)/4.5*0.25*C497,0)</f>
        <v>0</v>
      </c>
      <c r="L497" s="115" t="n">
        <f aca="false">IFERROR((G497/F497)/7.95*0.376*F497,0)</f>
        <v>0</v>
      </c>
      <c r="M497" s="117"/>
      <c r="N497" s="117"/>
      <c r="O497" s="117"/>
    </row>
    <row r="498" customFormat="false" ht="14.25" hidden="false" customHeight="true" outlineLevel="0" collapsed="false">
      <c r="K498" s="115" t="n">
        <f aca="false">IFERROR((D498/C498)/4.5*0.25*C498,0)</f>
        <v>0</v>
      </c>
      <c r="L498" s="115" t="n">
        <f aca="false">IFERROR((G498/F498)/7.95*0.376*F498,0)</f>
        <v>0</v>
      </c>
      <c r="M498" s="117" t="n">
        <f aca="false">C500*Scoring!$B$32+D500/Scoring!$C$32+E500*Scoring!$D$32+F500*Scoring!$E$32+G500/Scoring!$F$32+H500*Scoring!$G$32+I500*Scoring!$H$32+K500*Scoring!$I$32+RB!L500*Scoring!$J$32+U498</f>
        <v>0</v>
      </c>
      <c r="N498" s="117" t="n">
        <f aca="false">C498*Scoring!$B$32+D498/Scoring!$C$32+E498*Scoring!$D$32+F498*Scoring!$E$32+G498/Scoring!$F$32+H498*Scoring!$G$32+I498*Scoring!$H$32+K498*Scoring!$I$32+RB!L498*Scoring!$J$32+U498</f>
        <v>0</v>
      </c>
      <c r="O498" s="117" t="n">
        <f aca="false">C499*Scoring!$B$32+D499/Scoring!$C$32+E499*Scoring!$D$32+F499*Scoring!$E$32+G499/Scoring!$F$32+H499*Scoring!$G$32+I499*Scoring!$H$32+K499*Scoring!$I$32+L499*Scoring!$J$32+U498</f>
        <v>0</v>
      </c>
    </row>
    <row r="499" customFormat="false" ht="14.25" hidden="false" customHeight="true" outlineLevel="0" collapsed="false">
      <c r="K499" s="115" t="n">
        <f aca="false">IFERROR((D499/C499)/4.5*0.25*C499,0)</f>
        <v>0</v>
      </c>
      <c r="L499" s="115" t="n">
        <f aca="false">IFERROR((G499/F499)/7.95*0.376*F499,0)</f>
        <v>0</v>
      </c>
      <c r="M499" s="117"/>
      <c r="N499" s="117"/>
      <c r="O499" s="117"/>
    </row>
    <row r="500" customFormat="false" ht="14.25" hidden="false" customHeight="true" outlineLevel="0" collapsed="false">
      <c r="K500" s="115" t="n">
        <f aca="false">IFERROR((D500/C500)/4.5*0.25*C500,0)</f>
        <v>0</v>
      </c>
      <c r="L500" s="115" t="n">
        <f aca="false">IFERROR((G500/F500)/7.95*0.376*F500,0)</f>
        <v>0</v>
      </c>
      <c r="M500" s="117"/>
      <c r="N500" s="117"/>
      <c r="O500" s="117"/>
    </row>
    <row r="501" customFormat="false" ht="14.25" hidden="false" customHeight="true" outlineLevel="0" collapsed="false">
      <c r="K501" s="115" t="n">
        <f aca="false">IFERROR((D501/C501)/4.5*0.25*C501,0)</f>
        <v>0</v>
      </c>
      <c r="L501" s="115" t="n">
        <f aca="false">IFERROR((G501/F501)/7.95*0.376*F501,0)</f>
        <v>0</v>
      </c>
      <c r="M501" s="117" t="n">
        <f aca="false">C503*Scoring!$B$32+D503/Scoring!$C$32+E503*Scoring!$D$32+F503*Scoring!$E$32+G503/Scoring!$F$32+H503*Scoring!$G$32+I503*Scoring!$H$32+K503*Scoring!$I$32+RB!L503*Scoring!$J$32+U501</f>
        <v>0</v>
      </c>
      <c r="N501" s="117" t="n">
        <f aca="false">C501*Scoring!$B$32+D501/Scoring!$C$32+E501*Scoring!$D$32+F501*Scoring!$E$32+G501/Scoring!$F$32+H501*Scoring!$G$32+I501*Scoring!$H$32+K501*Scoring!$I$32+RB!L501*Scoring!$J$32+U501</f>
        <v>0</v>
      </c>
      <c r="O501" s="117" t="n">
        <f aca="false">C502*Scoring!$B$32+D502/Scoring!$C$32+E502*Scoring!$D$32+F502*Scoring!$E$32+G502/Scoring!$F$32+H502*Scoring!$G$32+I502*Scoring!$H$32+K502*Scoring!$I$32+L502*Scoring!$J$32+U501</f>
        <v>0</v>
      </c>
    </row>
    <row r="502" customFormat="false" ht="14.25" hidden="false" customHeight="true" outlineLevel="0" collapsed="false">
      <c r="K502" s="115" t="n">
        <f aca="false">IFERROR((D502/C502)/4.5*0.25*C502,0)</f>
        <v>0</v>
      </c>
      <c r="L502" s="115" t="n">
        <f aca="false">IFERROR((G502/F502)/7.95*0.376*F502,0)</f>
        <v>0</v>
      </c>
      <c r="M502" s="117"/>
      <c r="N502" s="117"/>
      <c r="O502" s="117"/>
    </row>
    <row r="503" customFormat="false" ht="14.25" hidden="false" customHeight="true" outlineLevel="0" collapsed="false">
      <c r="K503" s="115" t="n">
        <f aca="false">IFERROR((D503/C503)/4.5*0.25*C503,0)</f>
        <v>0</v>
      </c>
      <c r="L503" s="115" t="n">
        <f aca="false">IFERROR((G503/F503)/7.95*0.376*F503,0)</f>
        <v>0</v>
      </c>
      <c r="M503" s="117"/>
      <c r="N503" s="117"/>
      <c r="O503" s="117"/>
    </row>
    <row r="504" customFormat="false" ht="14.25" hidden="false" customHeight="true" outlineLevel="0" collapsed="false">
      <c r="K504" s="115" t="n">
        <f aca="false">IFERROR((D504/C504)/4.5*0.25*C504,0)</f>
        <v>0</v>
      </c>
      <c r="L504" s="115" t="n">
        <f aca="false">IFERROR((G504/F504)/7.95*0.376*F504,0)</f>
        <v>0</v>
      </c>
      <c r="M504" s="117" t="n">
        <f aca="false">C506*Scoring!$B$32+D506/Scoring!$C$32+E506*Scoring!$D$32+F506*Scoring!$E$32+G506/Scoring!$F$32+H506*Scoring!$G$32+I506*Scoring!$H$32+K506*Scoring!$I$32+RB!L506*Scoring!$J$32+U504</f>
        <v>0</v>
      </c>
      <c r="N504" s="117" t="n">
        <f aca="false">C504*Scoring!$B$32+D504/Scoring!$C$32+E504*Scoring!$D$32+F504*Scoring!$E$32+G504/Scoring!$F$32+H504*Scoring!$G$32+I504*Scoring!$H$32+K504*Scoring!$I$32+RB!L504*Scoring!$J$32+U504</f>
        <v>0</v>
      </c>
      <c r="O504" s="117" t="n">
        <f aca="false">C505*Scoring!$B$32+D505/Scoring!$C$32+E505*Scoring!$D$32+F505*Scoring!$E$32+G505/Scoring!$F$32+H505*Scoring!$G$32+I505*Scoring!$H$32+K505*Scoring!$I$32+L505*Scoring!$J$32+U504</f>
        <v>0</v>
      </c>
    </row>
    <row r="505" customFormat="false" ht="14.25" hidden="false" customHeight="true" outlineLevel="0" collapsed="false">
      <c r="K505" s="115" t="n">
        <f aca="false">IFERROR((D505/C505)/4.5*0.25*C505,0)</f>
        <v>0</v>
      </c>
      <c r="L505" s="115" t="n">
        <f aca="false">IFERROR((G505/F505)/7.95*0.376*F505,0)</f>
        <v>0</v>
      </c>
      <c r="M505" s="117"/>
      <c r="N505" s="117"/>
      <c r="O505" s="117"/>
    </row>
    <row r="506" customFormat="false" ht="14.25" hidden="false" customHeight="true" outlineLevel="0" collapsed="false">
      <c r="K506" s="115" t="n">
        <f aca="false">IFERROR((D506/C506)/4.5*0.25*C506,0)</f>
        <v>0</v>
      </c>
      <c r="L506" s="115" t="n">
        <f aca="false">IFERROR((G506/F506)/7.95*0.376*F506,0)</f>
        <v>0</v>
      </c>
      <c r="M506" s="117"/>
      <c r="N506" s="117"/>
      <c r="O506" s="117"/>
    </row>
    <row r="507" customFormat="false" ht="14.25" hidden="false" customHeight="true" outlineLevel="0" collapsed="false">
      <c r="K507" s="115" t="n">
        <f aca="false">IFERROR((D507/C507)/4.5*0.25*C507,0)</f>
        <v>0</v>
      </c>
      <c r="L507" s="115" t="n">
        <f aca="false">IFERROR((G507/F507)/7.95*0.376*F507,0)</f>
        <v>0</v>
      </c>
      <c r="M507" s="117" t="n">
        <f aca="false">C509*Scoring!$B$32+D509/Scoring!$C$32+E509*Scoring!$D$32+F509*Scoring!$E$32+G509/Scoring!$F$32+H509*Scoring!$G$32+I509*Scoring!$H$32+K509*Scoring!$I$32+RB!L509*Scoring!$J$32+U507</f>
        <v>0</v>
      </c>
      <c r="N507" s="117" t="n">
        <f aca="false">C507*Scoring!$B$32+D507/Scoring!$C$32+E507*Scoring!$D$32+F507*Scoring!$E$32+G507/Scoring!$F$32+H507*Scoring!$G$32+I507*Scoring!$H$32+K507*Scoring!$I$32+RB!L507*Scoring!$J$32+U507</f>
        <v>0</v>
      </c>
      <c r="O507" s="117" t="n">
        <f aca="false">C508*Scoring!$B$32+D508/Scoring!$C$32+E508*Scoring!$D$32+F508*Scoring!$E$32+G508/Scoring!$F$32+H508*Scoring!$G$32+I508*Scoring!$H$32+K508*Scoring!$I$32+L508*Scoring!$J$32+U507</f>
        <v>0</v>
      </c>
    </row>
    <row r="508" customFormat="false" ht="14.25" hidden="false" customHeight="true" outlineLevel="0" collapsed="false">
      <c r="K508" s="115" t="n">
        <f aca="false">IFERROR((D508/C508)/4.5*0.25*C508,0)</f>
        <v>0</v>
      </c>
      <c r="L508" s="115" t="n">
        <f aca="false">IFERROR((G508/F508)/7.95*0.376*F508,0)</f>
        <v>0</v>
      </c>
      <c r="M508" s="117"/>
      <c r="N508" s="117"/>
      <c r="O508" s="117"/>
    </row>
    <row r="509" customFormat="false" ht="14.25" hidden="false" customHeight="true" outlineLevel="0" collapsed="false">
      <c r="K509" s="115" t="n">
        <f aca="false">IFERROR((D509/C509)/4.5*0.25*C509,0)</f>
        <v>0</v>
      </c>
      <c r="L509" s="115" t="n">
        <f aca="false">IFERROR((G509/F509)/7.95*0.376*F509,0)</f>
        <v>0</v>
      </c>
      <c r="M509" s="117"/>
      <c r="N509" s="117"/>
      <c r="O509" s="117"/>
    </row>
    <row r="510" customFormat="false" ht="14.25" hidden="false" customHeight="true" outlineLevel="0" collapsed="false">
      <c r="K510" s="115" t="n">
        <f aca="false">IFERROR((D510/C510)/4.5*0.25*C510,0)</f>
        <v>0</v>
      </c>
      <c r="L510" s="115" t="n">
        <f aca="false">IFERROR((G510/F510)/7.95*0.376*F510,0)</f>
        <v>0</v>
      </c>
      <c r="M510" s="117" t="n">
        <f aca="false">C512*Scoring!$B$32+D512/Scoring!$C$32+E512*Scoring!$D$32+F512*Scoring!$E$32+G512/Scoring!$F$32+H512*Scoring!$G$32+I512*Scoring!$H$32+K512*Scoring!$I$32+RB!L512*Scoring!$J$32+U510</f>
        <v>0</v>
      </c>
      <c r="N510" s="117" t="n">
        <f aca="false">C510*Scoring!$B$32+D510/Scoring!$C$32+E510*Scoring!$D$32+F510*Scoring!$E$32+G510/Scoring!$F$32+H510*Scoring!$G$32+I510*Scoring!$H$32+K510*Scoring!$I$32+RB!L510*Scoring!$J$32+U510</f>
        <v>0</v>
      </c>
      <c r="O510" s="117" t="n">
        <f aca="false">C511*Scoring!$B$32+D511/Scoring!$C$32+E511*Scoring!$D$32+F511*Scoring!$E$32+G511/Scoring!$F$32+H511*Scoring!$G$32+I511*Scoring!$H$32+K511*Scoring!$I$32+L511*Scoring!$J$32+U510</f>
        <v>0</v>
      </c>
    </row>
    <row r="511" customFormat="false" ht="14.25" hidden="false" customHeight="true" outlineLevel="0" collapsed="false">
      <c r="K511" s="115" t="n">
        <f aca="false">IFERROR((D511/C511)/4.5*0.25*C511,0)</f>
        <v>0</v>
      </c>
      <c r="L511" s="115" t="n">
        <f aca="false">IFERROR((G511/F511)/7.95*0.376*F511,0)</f>
        <v>0</v>
      </c>
      <c r="M511" s="117"/>
      <c r="N511" s="117"/>
      <c r="O511" s="117"/>
    </row>
    <row r="512" customFormat="false" ht="14.25" hidden="false" customHeight="true" outlineLevel="0" collapsed="false">
      <c r="K512" s="115" t="n">
        <f aca="false">IFERROR((D512/C512)/4.5*0.25*C512,0)</f>
        <v>0</v>
      </c>
      <c r="L512" s="115" t="n">
        <f aca="false">IFERROR((G512/F512)/7.95*0.376*F512,0)</f>
        <v>0</v>
      </c>
      <c r="M512" s="117"/>
      <c r="N512" s="117"/>
      <c r="O512" s="117"/>
    </row>
    <row r="513" customFormat="false" ht="14.25" hidden="false" customHeight="true" outlineLevel="0" collapsed="false">
      <c r="K513" s="115" t="n">
        <f aca="false">IFERROR((D513/C513)/4.5*0.25*C513,0)</f>
        <v>0</v>
      </c>
      <c r="L513" s="115" t="n">
        <f aca="false">IFERROR((G513/F513)/7.95*0.376*F513,0)</f>
        <v>0</v>
      </c>
      <c r="M513" s="117" t="n">
        <f aca="false">C515*Scoring!$B$32+D515/Scoring!$C$32+E515*Scoring!$D$32+F515*Scoring!$E$32+G515/Scoring!$F$32+H515*Scoring!$G$32+I515*Scoring!$H$32+K515*Scoring!$I$32+RB!L515*Scoring!$J$32+U513</f>
        <v>0</v>
      </c>
      <c r="N513" s="117" t="n">
        <f aca="false">C513*Scoring!$B$32+D513/Scoring!$C$32+E513*Scoring!$D$32+F513*Scoring!$E$32+G513/Scoring!$F$32+H513*Scoring!$G$32+I513*Scoring!$H$32+K513*Scoring!$I$32+RB!L513*Scoring!$J$32+U513</f>
        <v>0</v>
      </c>
      <c r="O513" s="117" t="n">
        <f aca="false">C514*Scoring!$B$32+D514/Scoring!$C$32+E514*Scoring!$D$32+F514*Scoring!$E$32+G514/Scoring!$F$32+H514*Scoring!$G$32+I514*Scoring!$H$32+K514*Scoring!$I$32+L514*Scoring!$J$32+U513</f>
        <v>0</v>
      </c>
    </row>
    <row r="514" customFormat="false" ht="14.25" hidden="false" customHeight="true" outlineLevel="0" collapsed="false">
      <c r="K514" s="115" t="n">
        <f aca="false">IFERROR((D514/C514)/4.5*0.25*C514,0)</f>
        <v>0</v>
      </c>
      <c r="L514" s="115" t="n">
        <f aca="false">IFERROR((G514/F514)/7.95*0.376*F514,0)</f>
        <v>0</v>
      </c>
      <c r="M514" s="117"/>
      <c r="N514" s="117"/>
      <c r="O514" s="117"/>
    </row>
    <row r="515" customFormat="false" ht="14.25" hidden="false" customHeight="true" outlineLevel="0" collapsed="false">
      <c r="K515" s="115" t="n">
        <f aca="false">IFERROR((D515/C515)/4.5*0.25*C515,0)</f>
        <v>0</v>
      </c>
      <c r="L515" s="115" t="n">
        <f aca="false">IFERROR((G515/F515)/7.95*0.376*F515,0)</f>
        <v>0</v>
      </c>
      <c r="M515" s="117"/>
      <c r="N515" s="117"/>
      <c r="O515" s="117"/>
    </row>
    <row r="516" customFormat="false" ht="14.25" hidden="false" customHeight="true" outlineLevel="0" collapsed="false">
      <c r="K516" s="115" t="n">
        <f aca="false">IFERROR((D516/C516)/4.5*0.25*C516,0)</f>
        <v>0</v>
      </c>
      <c r="L516" s="115" t="n">
        <f aca="false">IFERROR((G516/F516)/7.95*0.376*F516,0)</f>
        <v>0</v>
      </c>
      <c r="M516" s="117" t="n">
        <f aca="false">C518*Scoring!$B$32+D518/Scoring!$C$32+E518*Scoring!$D$32+F518*Scoring!$E$32+G518/Scoring!$F$32+H518*Scoring!$G$32+I518*Scoring!$H$32+K518*Scoring!$I$32+RB!L518*Scoring!$J$32+U516</f>
        <v>0</v>
      </c>
      <c r="N516" s="117" t="n">
        <f aca="false">C516*Scoring!$B$32+D516/Scoring!$C$32+E516*Scoring!$D$32+F516*Scoring!$E$32+G516/Scoring!$F$32+H516*Scoring!$G$32+I516*Scoring!$H$32+K516*Scoring!$I$32+RB!L516*Scoring!$J$32+U516</f>
        <v>0</v>
      </c>
      <c r="O516" s="117" t="n">
        <f aca="false">C517*Scoring!$B$32+D517/Scoring!$C$32+E517*Scoring!$D$32+F517*Scoring!$E$32+G517/Scoring!$F$32+H517*Scoring!$G$32+I517*Scoring!$H$32+K517*Scoring!$I$32+L517*Scoring!$J$32+U516</f>
        <v>0</v>
      </c>
    </row>
    <row r="517" customFormat="false" ht="14.25" hidden="false" customHeight="true" outlineLevel="0" collapsed="false">
      <c r="K517" s="115" t="n">
        <f aca="false">IFERROR((D517/C517)/4.5*0.25*C517,0)</f>
        <v>0</v>
      </c>
      <c r="L517" s="115" t="n">
        <f aca="false">IFERROR((G517/F517)/7.95*0.376*F517,0)</f>
        <v>0</v>
      </c>
      <c r="M517" s="117"/>
      <c r="N517" s="117"/>
      <c r="O517" s="117"/>
    </row>
    <row r="518" customFormat="false" ht="14.25" hidden="false" customHeight="true" outlineLevel="0" collapsed="false">
      <c r="K518" s="115" t="n">
        <f aca="false">IFERROR((D518/C518)/4.5*0.25*C518,0)</f>
        <v>0</v>
      </c>
      <c r="L518" s="115" t="n">
        <f aca="false">IFERROR((G518/F518)/7.95*0.376*F518,0)</f>
        <v>0</v>
      </c>
      <c r="M518" s="117"/>
      <c r="N518" s="117"/>
      <c r="O518" s="117"/>
    </row>
    <row r="519" customFormat="false" ht="14.25" hidden="false" customHeight="true" outlineLevel="0" collapsed="false">
      <c r="K519" s="115" t="n">
        <f aca="false">IFERROR((D519/C519)/4.5*0.25*C519,0)</f>
        <v>0</v>
      </c>
      <c r="L519" s="115" t="n">
        <f aca="false">IFERROR((G519/F519)/7.95*0.376*F519,0)</f>
        <v>0</v>
      </c>
      <c r="M519" s="117" t="n">
        <f aca="false">C521*Scoring!$B$32+D521/Scoring!$C$32+E521*Scoring!$D$32+F521*Scoring!$E$32+G521/Scoring!$F$32+H521*Scoring!$G$32+I521*Scoring!$H$32+K521*Scoring!$I$32+RB!L521*Scoring!$J$32+U519</f>
        <v>0</v>
      </c>
      <c r="N519" s="117" t="n">
        <f aca="false">C519*Scoring!$B$32+D519/Scoring!$C$32+E519*Scoring!$D$32+F519*Scoring!$E$32+G519/Scoring!$F$32+H519*Scoring!$G$32+I519*Scoring!$H$32+K519*Scoring!$I$32+RB!L519*Scoring!$J$32+U519</f>
        <v>0</v>
      </c>
      <c r="O519" s="117" t="n">
        <f aca="false">C520*Scoring!$B$32+D520/Scoring!$C$32+E520*Scoring!$D$32+F520*Scoring!$E$32+G520/Scoring!$F$32+H520*Scoring!$G$32+I520*Scoring!$H$32+K520*Scoring!$I$32+L520*Scoring!$J$32+U519</f>
        <v>0</v>
      </c>
    </row>
    <row r="520" customFormat="false" ht="14.25" hidden="false" customHeight="true" outlineLevel="0" collapsed="false">
      <c r="K520" s="115" t="n">
        <f aca="false">IFERROR((D520/C520)/4.5*0.25*C520,0)</f>
        <v>0</v>
      </c>
      <c r="L520" s="115" t="n">
        <f aca="false">IFERROR((G520/F520)/7.95*0.376*F520,0)</f>
        <v>0</v>
      </c>
      <c r="M520" s="117"/>
      <c r="N520" s="117"/>
      <c r="O520" s="117"/>
    </row>
    <row r="521" customFormat="false" ht="14.25" hidden="false" customHeight="true" outlineLevel="0" collapsed="false">
      <c r="K521" s="115" t="n">
        <f aca="false">IFERROR((D521/C521)/4.5*0.25*C521,0)</f>
        <v>0</v>
      </c>
      <c r="L521" s="115" t="n">
        <f aca="false">IFERROR((G521/F521)/7.95*0.376*F521,0)</f>
        <v>0</v>
      </c>
      <c r="M521" s="117"/>
      <c r="N521" s="117"/>
      <c r="O521" s="117"/>
    </row>
    <row r="522" customFormat="false" ht="14.25" hidden="false" customHeight="true" outlineLevel="0" collapsed="false">
      <c r="K522" s="115" t="n">
        <f aca="false">IFERROR((D522/C522)/4.5*0.25*C522,0)</f>
        <v>0</v>
      </c>
      <c r="L522" s="115" t="n">
        <f aca="false">IFERROR((G522/F522)/7.95*0.376*F522,0)</f>
        <v>0</v>
      </c>
      <c r="M522" s="117" t="n">
        <f aca="false">C524*Scoring!$B$32+D524/Scoring!$C$32+E524*Scoring!$D$32+F524*Scoring!$E$32+G524/Scoring!$F$32+H524*Scoring!$G$32+I524*Scoring!$H$32+K524*Scoring!$I$32+RB!L524*Scoring!$J$32+U522</f>
        <v>0</v>
      </c>
      <c r="N522" s="117" t="n">
        <f aca="false">C522*Scoring!$B$32+D522/Scoring!$C$32+E522*Scoring!$D$32+F522*Scoring!$E$32+G522/Scoring!$F$32+H522*Scoring!$G$32+I522*Scoring!$H$32+K522*Scoring!$I$32+RB!L522*Scoring!$J$32+U522</f>
        <v>0</v>
      </c>
      <c r="O522" s="117" t="n">
        <f aca="false">C523*Scoring!$B$32+D523/Scoring!$C$32+E523*Scoring!$D$32+F523*Scoring!$E$32+G523/Scoring!$F$32+H523*Scoring!$G$32+I523*Scoring!$H$32+K523*Scoring!$I$32+L523*Scoring!$J$32+U522</f>
        <v>0</v>
      </c>
    </row>
    <row r="523" customFormat="false" ht="14.25" hidden="false" customHeight="true" outlineLevel="0" collapsed="false">
      <c r="K523" s="115" t="n">
        <f aca="false">IFERROR((D523/C523)/4.5*0.25*C523,0)</f>
        <v>0</v>
      </c>
      <c r="L523" s="115" t="n">
        <f aca="false">IFERROR((G523/F523)/7.95*0.376*F523,0)</f>
        <v>0</v>
      </c>
      <c r="M523" s="117"/>
      <c r="N523" s="117"/>
      <c r="O523" s="117"/>
    </row>
    <row r="524" customFormat="false" ht="14.25" hidden="false" customHeight="true" outlineLevel="0" collapsed="false">
      <c r="K524" s="115" t="n">
        <f aca="false">IFERROR((D524/C524)/4.5*0.25*C524,0)</f>
        <v>0</v>
      </c>
      <c r="L524" s="115" t="n">
        <f aca="false">IFERROR((G524/F524)/7.95*0.376*F524,0)</f>
        <v>0</v>
      </c>
      <c r="M524" s="117"/>
      <c r="N524" s="117"/>
      <c r="O524" s="117"/>
    </row>
    <row r="525" customFormat="false" ht="14.25" hidden="false" customHeight="true" outlineLevel="0" collapsed="false">
      <c r="K525" s="115" t="n">
        <f aca="false">IFERROR((D525/C525)/4.5*0.25*C525,0)</f>
        <v>0</v>
      </c>
      <c r="L525" s="115" t="n">
        <f aca="false">IFERROR((G525/F525)/7.95*0.376*F525,0)</f>
        <v>0</v>
      </c>
      <c r="M525" s="117" t="n">
        <f aca="false">C527*Scoring!$B$32+D527/Scoring!$C$32+E527*Scoring!$D$32+F527*Scoring!$E$32+G527/Scoring!$F$32+H527*Scoring!$G$32+I527*Scoring!$H$32+K527*Scoring!$I$32+RB!L527*Scoring!$J$32+U525</f>
        <v>0</v>
      </c>
      <c r="N525" s="117" t="n">
        <f aca="false">C525*Scoring!$B$32+D525/Scoring!$C$32+E525*Scoring!$D$32+F525*Scoring!$E$32+G525/Scoring!$F$32+H525*Scoring!$G$32+I525*Scoring!$H$32+K525*Scoring!$I$32+RB!L525*Scoring!$J$32+U525</f>
        <v>0</v>
      </c>
      <c r="O525" s="117" t="n">
        <f aca="false">C526*Scoring!$B$32+D526/Scoring!$C$32+E526*Scoring!$D$32+F526*Scoring!$E$32+G526/Scoring!$F$32+H526*Scoring!$G$32+I526*Scoring!$H$32+K526*Scoring!$I$32+L526*Scoring!$J$32+U525</f>
        <v>0</v>
      </c>
    </row>
    <row r="526" customFormat="false" ht="14.25" hidden="false" customHeight="true" outlineLevel="0" collapsed="false">
      <c r="K526" s="115" t="n">
        <f aca="false">IFERROR((D526/C526)/4.5*0.25*C526,0)</f>
        <v>0</v>
      </c>
      <c r="L526" s="115" t="n">
        <f aca="false">IFERROR((G526/F526)/7.95*0.376*F526,0)</f>
        <v>0</v>
      </c>
      <c r="M526" s="117"/>
      <c r="N526" s="117"/>
      <c r="O526" s="117"/>
    </row>
    <row r="527" customFormat="false" ht="14.25" hidden="false" customHeight="true" outlineLevel="0" collapsed="false">
      <c r="K527" s="115" t="n">
        <f aca="false">IFERROR((D527/C527)/4.5*0.25*C527,0)</f>
        <v>0</v>
      </c>
      <c r="L527" s="115" t="n">
        <f aca="false">IFERROR((G527/F527)/7.95*0.376*F527,0)</f>
        <v>0</v>
      </c>
      <c r="M527" s="117"/>
      <c r="N527" s="117"/>
      <c r="O527" s="117"/>
    </row>
    <row r="528" customFormat="false" ht="14.25" hidden="false" customHeight="true" outlineLevel="0" collapsed="false">
      <c r="K528" s="115" t="n">
        <f aca="false">IFERROR((D528/C528)/4.5*0.25*C528,0)</f>
        <v>0</v>
      </c>
      <c r="L528" s="115" t="n">
        <f aca="false">IFERROR((G528/F528)/7.95*0.376*F528,0)</f>
        <v>0</v>
      </c>
      <c r="M528" s="117" t="n">
        <f aca="false">C530*Scoring!$B$32+D530/Scoring!$C$32+E530*Scoring!$D$32+F530*Scoring!$E$32+G530/Scoring!$F$32+H530*Scoring!$G$32+I530*Scoring!$H$32+K530*Scoring!$I$32+RB!L530*Scoring!$J$32</f>
        <v>0</v>
      </c>
      <c r="N528" s="117" t="n">
        <f aca="false">C528*Scoring!$B$32+D528/Scoring!$C$32+E528*Scoring!$D$32+F528*Scoring!$E$32+G528/Scoring!$F$32+H528*Scoring!$G$32+I528*Scoring!$H$32+K528*Scoring!$I$32+RB!L528*Scoring!$J$32</f>
        <v>0</v>
      </c>
      <c r="O528" s="117" t="n">
        <f aca="false">C529*Scoring!$B$32+D529/Scoring!$C$32+E529*Scoring!$D$32+F529*Scoring!$E$32+G529/Scoring!$F$32+H529*Scoring!$G$32+I529*Scoring!$H$32+K529*Scoring!$I$32+L529*Scoring!$J$32</f>
        <v>0</v>
      </c>
    </row>
    <row r="529" customFormat="false" ht="14.25" hidden="false" customHeight="true" outlineLevel="0" collapsed="false">
      <c r="K529" s="115" t="n">
        <f aca="false">IFERROR((D529/C529)/4.5*0.25*C529,0)</f>
        <v>0</v>
      </c>
      <c r="L529" s="115" t="n">
        <f aca="false">IFERROR((G529/F529)/7.95*0.376*F529,0)</f>
        <v>0</v>
      </c>
      <c r="M529" s="117"/>
      <c r="N529" s="117"/>
      <c r="O529" s="117"/>
    </row>
    <row r="530" customFormat="false" ht="14.25" hidden="false" customHeight="true" outlineLevel="0" collapsed="false">
      <c r="K530" s="115" t="n">
        <f aca="false">IFERROR((D530/C530)/4.5*0.25*C530,0)</f>
        <v>0</v>
      </c>
      <c r="L530" s="115" t="n">
        <f aca="false">IFERROR((G530/F530)/7.95*0.376*F530,0)</f>
        <v>0</v>
      </c>
      <c r="M530" s="117"/>
      <c r="N530" s="117"/>
      <c r="O530" s="117"/>
    </row>
    <row r="531" customFormat="false" ht="14.25" hidden="false" customHeight="true" outlineLevel="0" collapsed="false">
      <c r="K531" s="115" t="n">
        <f aca="false">IFERROR((D531/C531)/4.5*0.25*C531,0)</f>
        <v>0</v>
      </c>
      <c r="L531" s="115" t="n">
        <f aca="false">IFERROR((G531/F531)/7.95*0.376*F531,0)</f>
        <v>0</v>
      </c>
      <c r="M531" s="117" t="n">
        <f aca="false">C533*Scoring!$B$32+D533/Scoring!$C$32+E533*Scoring!$D$32+F533*Scoring!$E$32+G533/Scoring!$F$32+H533*Scoring!$G$32+I533*Scoring!$H$32+K533*Scoring!$I$32+RB!L533*Scoring!$J$32</f>
        <v>0</v>
      </c>
      <c r="N531" s="117" t="n">
        <f aca="false">C531*Scoring!$B$32+D531/Scoring!$C$32+E531*Scoring!$D$32+F531*Scoring!$E$32+G531/Scoring!$F$32+H531*Scoring!$G$32+I531*Scoring!$H$32+K531*Scoring!$I$32+RB!L531*Scoring!$J$32</f>
        <v>0</v>
      </c>
      <c r="O531" s="117" t="n">
        <f aca="false">C532*Scoring!$B$32+D532/Scoring!$C$32+E532*Scoring!$D$32+F532*Scoring!$E$32+G532/Scoring!$F$32+H532*Scoring!$G$32+I532*Scoring!$H$32+K532*Scoring!$I$32+L532*Scoring!$J$32</f>
        <v>0</v>
      </c>
    </row>
    <row r="532" customFormat="false" ht="14.25" hidden="false" customHeight="true" outlineLevel="0" collapsed="false">
      <c r="K532" s="115" t="n">
        <f aca="false">IFERROR((D532/C532)/4.5*0.25*C532,0)</f>
        <v>0</v>
      </c>
      <c r="L532" s="115" t="n">
        <f aca="false">IFERROR((G532/F532)/7.95*0.376*F532,0)</f>
        <v>0</v>
      </c>
      <c r="M532" s="117"/>
      <c r="N532" s="117"/>
      <c r="O532" s="117"/>
    </row>
    <row r="533" customFormat="false" ht="14.25" hidden="false" customHeight="true" outlineLevel="0" collapsed="false">
      <c r="K533" s="115" t="n">
        <f aca="false">IFERROR((D533/C533)/4.5*0.25*C533,0)</f>
        <v>0</v>
      </c>
      <c r="L533" s="115" t="n">
        <f aca="false">IFERROR((G533/F533)/7.95*0.376*F533,0)</f>
        <v>0</v>
      </c>
      <c r="M533" s="117"/>
      <c r="N533" s="117"/>
      <c r="O533" s="117"/>
    </row>
    <row r="534" customFormat="false" ht="14.25" hidden="false" customHeight="true" outlineLevel="0" collapsed="false">
      <c r="K534" s="115" t="n">
        <f aca="false">IFERROR((D534/C534)/4.5*0.25*C534,0)</f>
        <v>0</v>
      </c>
      <c r="L534" s="115" t="n">
        <f aca="false">IFERROR((G534/F534)/7.95*0.376*F534,0)</f>
        <v>0</v>
      </c>
      <c r="M534" s="117" t="n">
        <f aca="false">C536*Scoring!$B$32+D536/Scoring!$C$32+E536*Scoring!$D$32+F536*Scoring!$E$32+G536/Scoring!$F$32+H536*Scoring!$G$32+I536*Scoring!$H$32+K536*Scoring!$I$32+RB!L536*Scoring!$J$32</f>
        <v>0</v>
      </c>
      <c r="N534" s="117" t="n">
        <f aca="false">C534*Scoring!$B$32+D534/Scoring!$C$32+E534*Scoring!$D$32+F534*Scoring!$E$32+G534/Scoring!$F$32+H534*Scoring!$G$32+I534*Scoring!$H$32+K534*Scoring!$I$32+RB!L534*Scoring!$J$32</f>
        <v>0</v>
      </c>
      <c r="O534" s="117" t="n">
        <f aca="false">C535*Scoring!$B$32+D535/Scoring!$C$32+E535*Scoring!$D$32+F535*Scoring!$E$32+G535/Scoring!$F$32+H535*Scoring!$G$32+I535*Scoring!$H$32+K535*Scoring!$I$32+L535*Scoring!$J$32</f>
        <v>0</v>
      </c>
    </row>
    <row r="535" customFormat="false" ht="14.25" hidden="false" customHeight="true" outlineLevel="0" collapsed="false">
      <c r="K535" s="115" t="n">
        <f aca="false">IFERROR((D535/C535)/4.5*0.25*C535,0)</f>
        <v>0</v>
      </c>
      <c r="L535" s="115" t="n">
        <f aca="false">IFERROR((G535/F535)/7.95*0.376*F535,0)</f>
        <v>0</v>
      </c>
      <c r="M535" s="117"/>
      <c r="N535" s="117"/>
      <c r="O535" s="117"/>
    </row>
    <row r="536" customFormat="false" ht="14.25" hidden="false" customHeight="true" outlineLevel="0" collapsed="false">
      <c r="K536" s="115" t="n">
        <f aca="false">IFERROR((D536/C536)/4.5*0.25*C536,0)</f>
        <v>0</v>
      </c>
      <c r="L536" s="115" t="n">
        <f aca="false">IFERROR((G536/F536)/7.95*0.376*F536,0)</f>
        <v>0</v>
      </c>
      <c r="M536" s="117"/>
      <c r="N536" s="117"/>
      <c r="O536" s="117"/>
    </row>
    <row r="537" customFormat="false" ht="14.25" hidden="false" customHeight="true" outlineLevel="0" collapsed="false">
      <c r="K537" s="115" t="n">
        <f aca="false">IFERROR((D537/C537)/4.5*0.25*C537,0)</f>
        <v>0</v>
      </c>
      <c r="L537" s="115" t="n">
        <f aca="false">IFERROR((G537/F537)/7.95*0.376*F537,0)</f>
        <v>0</v>
      </c>
      <c r="M537" s="117" t="n">
        <f aca="false">C539*Scoring!$B$32+D539/Scoring!$C$32+E539*Scoring!$D$32+F539*Scoring!$E$32+G539/Scoring!$F$32+H539*Scoring!$G$32+I539*Scoring!$H$32+K539*Scoring!$I$32+RB!L539*Scoring!$J$32</f>
        <v>0</v>
      </c>
      <c r="N537" s="117" t="n">
        <f aca="false">C537*Scoring!$B$32+D537/Scoring!$C$32+E537*Scoring!$D$32+F537*Scoring!$E$32+G537/Scoring!$F$32+H537*Scoring!$G$32+I537*Scoring!$H$32+K537*Scoring!$I$32+RB!L537*Scoring!$J$32</f>
        <v>0</v>
      </c>
      <c r="O537" s="117" t="n">
        <f aca="false">C538*Scoring!$B$32+D538/Scoring!$C$32+E538*Scoring!$D$32+F538*Scoring!$E$32+G538/Scoring!$F$32+H538*Scoring!$G$32+I538*Scoring!$H$32+K538*Scoring!$I$32+L538*Scoring!$J$32</f>
        <v>0</v>
      </c>
    </row>
    <row r="538" customFormat="false" ht="14.25" hidden="false" customHeight="true" outlineLevel="0" collapsed="false">
      <c r="K538" s="115" t="n">
        <f aca="false">IFERROR((D538/C538)/4.5*0.25*C538,0)</f>
        <v>0</v>
      </c>
      <c r="L538" s="115" t="n">
        <f aca="false">IFERROR((G538/F538)/7.95*0.376*F538,0)</f>
        <v>0</v>
      </c>
      <c r="M538" s="117"/>
      <c r="N538" s="117"/>
      <c r="O538" s="117"/>
    </row>
    <row r="539" customFormat="false" ht="14.25" hidden="false" customHeight="true" outlineLevel="0" collapsed="false">
      <c r="K539" s="115" t="n">
        <f aca="false">IFERROR((D539/C539)/4.5*0.25*C539,0)</f>
        <v>0</v>
      </c>
      <c r="L539" s="115" t="n">
        <f aca="false">IFERROR((G539/F539)/7.95*0.376*F539,0)</f>
        <v>0</v>
      </c>
      <c r="M539" s="117"/>
      <c r="N539" s="117"/>
      <c r="O539" s="117"/>
    </row>
    <row r="540" customFormat="false" ht="14.25" hidden="false" customHeight="true" outlineLevel="0" collapsed="false">
      <c r="K540" s="115" t="n">
        <f aca="false">IFERROR((D540/C540)/4.5*0.25*C540,0)</f>
        <v>0</v>
      </c>
      <c r="L540" s="115" t="n">
        <f aca="false">IFERROR((G540/F540)/7.95*0.376*F540,0)</f>
        <v>0</v>
      </c>
      <c r="M540" s="117" t="n">
        <f aca="false">C542*Scoring!$B$32+D542/Scoring!$C$32+E542*Scoring!$D$32+F542*Scoring!$E$32+G542/Scoring!$F$32+H542*Scoring!$G$32+I542*Scoring!$H$32+K542*Scoring!$I$32+RB!L542*Scoring!$J$32</f>
        <v>0</v>
      </c>
      <c r="N540" s="117" t="n">
        <f aca="false">C540*Scoring!$B$32+D540/Scoring!$C$32+E540*Scoring!$D$32+F540*Scoring!$E$32+G540/Scoring!$F$32+H540*Scoring!$G$32+I540*Scoring!$H$32+K540*Scoring!$I$32+RB!L540*Scoring!$J$32</f>
        <v>0</v>
      </c>
      <c r="O540" s="117" t="n">
        <f aca="false">C541*Scoring!$B$32+D541/Scoring!$C$32+E541*Scoring!$D$32+F541*Scoring!$E$32+G541/Scoring!$F$32+H541*Scoring!$G$32+I541*Scoring!$H$32+K541*Scoring!$I$32+L541*Scoring!$J$32</f>
        <v>0</v>
      </c>
    </row>
    <row r="541" customFormat="false" ht="14.25" hidden="false" customHeight="true" outlineLevel="0" collapsed="false">
      <c r="K541" s="115" t="n">
        <f aca="false">IFERROR((D541/C541)/4.5*0.25*C541,0)</f>
        <v>0</v>
      </c>
      <c r="L541" s="115" t="n">
        <f aca="false">IFERROR((G541/F541)/7.95*0.376*F541,0)</f>
        <v>0</v>
      </c>
      <c r="M541" s="117"/>
      <c r="N541" s="117"/>
      <c r="O541" s="117"/>
    </row>
    <row r="542" customFormat="false" ht="14.25" hidden="false" customHeight="true" outlineLevel="0" collapsed="false">
      <c r="K542" s="115" t="n">
        <f aca="false">IFERROR((D542/C542)/4.5*0.25*C542,0)</f>
        <v>0</v>
      </c>
      <c r="L542" s="115" t="n">
        <f aca="false">IFERROR((G542/F542)/7.95*0.376*F542,0)</f>
        <v>0</v>
      </c>
      <c r="M542" s="117"/>
      <c r="N542" s="117"/>
      <c r="O542" s="117"/>
    </row>
    <row r="543" customFormat="false" ht="14.25" hidden="false" customHeight="true" outlineLevel="0" collapsed="false">
      <c r="K543" s="115" t="n">
        <f aca="false">IFERROR((D543/C543)/4.5*0.25*C543,0)</f>
        <v>0</v>
      </c>
      <c r="L543" s="115" t="n">
        <f aca="false">IFERROR((G543/F543)/7.95*0.376*F543,0)</f>
        <v>0</v>
      </c>
      <c r="M543" s="117" t="n">
        <f aca="false">C545*Scoring!$B$32+D545/Scoring!$C$32+E545*Scoring!$D$32+F545*Scoring!$E$32+G545/Scoring!$F$32+H545*Scoring!$G$32+I545*Scoring!$H$32+K545*Scoring!$I$32+RB!L545*Scoring!$J$32</f>
        <v>0</v>
      </c>
      <c r="N543" s="117" t="n">
        <f aca="false">C543*Scoring!$B$32+D543/Scoring!$C$32+E543*Scoring!$D$32+F543*Scoring!$E$32+G543/Scoring!$F$32+H543*Scoring!$G$32+I543*Scoring!$H$32+K543*Scoring!$I$32+RB!L543*Scoring!$J$32</f>
        <v>0</v>
      </c>
      <c r="O543" s="117" t="n">
        <f aca="false">C544*Scoring!$B$32+D544/Scoring!$C$32+E544*Scoring!$D$32+F544*Scoring!$E$32+G544/Scoring!$F$32+H544*Scoring!$G$32+I544*Scoring!$H$32+K544*Scoring!$I$32+L544*Scoring!$J$32</f>
        <v>0</v>
      </c>
    </row>
    <row r="544" customFormat="false" ht="14.25" hidden="false" customHeight="true" outlineLevel="0" collapsed="false">
      <c r="K544" s="115" t="n">
        <f aca="false">IFERROR((D544/C544)/4.5*0.25*C544,0)</f>
        <v>0</v>
      </c>
      <c r="L544" s="115" t="n">
        <f aca="false">IFERROR((G544/F544)/7.95*0.376*F544,0)</f>
        <v>0</v>
      </c>
      <c r="M544" s="117"/>
      <c r="N544" s="117"/>
      <c r="O544" s="117"/>
    </row>
    <row r="545" customFormat="false" ht="14.25" hidden="false" customHeight="true" outlineLevel="0" collapsed="false">
      <c r="K545" s="115" t="n">
        <f aca="false">IFERROR((D545/C545)/4.5*0.25*C545,0)</f>
        <v>0</v>
      </c>
      <c r="L545" s="115" t="n">
        <f aca="false">IFERROR((G545/F545)/7.95*0.376*F545,0)</f>
        <v>0</v>
      </c>
      <c r="M545" s="117"/>
      <c r="N545" s="117"/>
      <c r="O545" s="1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8.88671875" defaultRowHeight="14.25" zeroHeight="false" outlineLevelRow="0" outlineLevelCol="0"/>
  <cols>
    <col collapsed="false" customWidth="true" hidden="false" outlineLevel="0" max="11" min="11" style="113" width="5.33"/>
    <col collapsed="false" customWidth="true" hidden="false" outlineLevel="0" max="12" min="12" style="113" width="6.33"/>
    <col collapsed="false" customWidth="true" hidden="false" outlineLevel="0" max="15" min="13" style="53" width="5.56"/>
    <col collapsed="false" customWidth="false" hidden="false" outlineLevel="0" max="16384" min="16" style="53" width="8.88"/>
  </cols>
  <sheetData>
    <row r="1" customFormat="false" ht="14.25" hidden="false" customHeight="true" outlineLevel="0" collapsed="false">
      <c r="A1" s="0" t="s">
        <v>480</v>
      </c>
      <c r="B1" s="0" t="s">
        <v>103</v>
      </c>
      <c r="C1" s="0" t="s">
        <v>600</v>
      </c>
      <c r="D1" s="0" t="s">
        <v>483</v>
      </c>
      <c r="E1" s="0" t="s">
        <v>484</v>
      </c>
      <c r="F1" s="0" t="s">
        <v>481</v>
      </c>
      <c r="G1" s="0" t="s">
        <v>483</v>
      </c>
      <c r="H1" s="0" t="s">
        <v>484</v>
      </c>
      <c r="I1" s="0" t="s">
        <v>54</v>
      </c>
      <c r="J1" s="0" t="s">
        <v>485</v>
      </c>
      <c r="K1" s="113" t="s">
        <v>487</v>
      </c>
      <c r="L1" s="113" t="s">
        <v>60</v>
      </c>
      <c r="M1" s="87" t="s">
        <v>106</v>
      </c>
      <c r="N1" s="87" t="s">
        <v>107</v>
      </c>
      <c r="O1" s="87" t="s">
        <v>108</v>
      </c>
    </row>
    <row r="2" customFormat="false" ht="14.25" hidden="false" customHeight="true" outlineLevel="0" collapsed="false">
      <c r="A2" s="0" t="s">
        <v>488</v>
      </c>
      <c r="M2" s="87"/>
      <c r="N2" s="87"/>
      <c r="O2" s="87"/>
    </row>
    <row r="3" customFormat="false" ht="14.25" hidden="false" customHeight="true" outlineLevel="0" collapsed="false">
      <c r="A3" s="0" t="s">
        <v>722</v>
      </c>
      <c r="B3" s="0" t="s">
        <v>520</v>
      </c>
      <c r="C3" s="0" t="n">
        <v>117</v>
      </c>
      <c r="D3" s="0" t="n">
        <v>1539</v>
      </c>
      <c r="E3" s="0" t="n">
        <v>9</v>
      </c>
      <c r="F3" s="0" t="n">
        <v>12.9</v>
      </c>
      <c r="G3" s="0" t="n">
        <v>85</v>
      </c>
      <c r="H3" s="0" t="n">
        <v>1.3</v>
      </c>
      <c r="I3" s="0" t="n">
        <v>1</v>
      </c>
      <c r="J3" s="0" t="n">
        <v>281</v>
      </c>
      <c r="K3" s="115" t="n">
        <f aca="false">IFERROR(G3/F3/6.89*0.427*F3,0)</f>
        <v>5.2677793904209</v>
      </c>
      <c r="L3" s="115" t="n">
        <f aca="false">IFERROR(D3/C3/12.87*0.633*C3,0)</f>
        <v>75.6944055944056</v>
      </c>
      <c r="M3" s="117" t="n">
        <f aca="false">C5*Scoring!$B$34+D5/Scoring!$C$34+E5*Scoring!$D$34+WR!F5*Scoring!$E$34+WR!G5/Scoring!$F$34+WR!H5*Scoring!$G$34+WR!I5*Scoring!$H$34+K5*Scoring!$I$34+WR!L5*Scoring!$J$34+U3</f>
        <v>278.9</v>
      </c>
      <c r="N3" s="117" t="n">
        <f aca="false">C3*Scoring!$B$34+D3/Scoring!$C$34+E3*Scoring!$D$34+WR!F3*Scoring!$E$34+WR!G3/Scoring!$F$34+WR!H3*Scoring!$G$34+WR!I3*Scoring!$H$34+K3*Scoring!$I$34+WR!L3*Scoring!$J$34+U3</f>
        <v>280.7</v>
      </c>
      <c r="O3" s="117" t="n">
        <f aca="false">C4*Scoring!$B$34+D4/Scoring!$C$34+E4*Scoring!$D$34+WR!F4*Scoring!$E$34+WR!G4/Scoring!$F$34+WR!H4*Scoring!$G$34+WR!I4*Scoring!$H$34+K4*Scoring!$I$34+WR!L4*Scoring!$J$34+U3</f>
        <v>285.1</v>
      </c>
      <c r="P3" s="53" t="n">
        <f aca="false">IF(COUNTIF(Rookies!$A:$A,A3)&gt;0,1,0)</f>
        <v>0</v>
      </c>
      <c r="S3" s="53" t="n">
        <f aca="false">V3/17</f>
        <v>16.5117647058824</v>
      </c>
      <c r="T3" s="53" t="n">
        <f aca="false">IF(P3=1,MAX(0,0.28*(12-S3)),0)</f>
        <v>0</v>
      </c>
      <c r="U3" s="53" t="n">
        <f aca="false">T3*17</f>
        <v>0</v>
      </c>
      <c r="V3" s="53" t="n">
        <f aca="false">C3*Scoring!$B$34+D3/Scoring!$C$34+E3*Scoring!$D$34+WR!F3*Scoring!$E$34+WR!G3/Scoring!$F$34+WR!H3*Scoring!$G$34+WR!I3*Scoring!$H$34+K3*Scoring!$I$34+WR!L3*Scoring!$J$34</f>
        <v>280.7</v>
      </c>
    </row>
    <row r="4" customFormat="false" ht="14.25" hidden="false" customHeight="true" outlineLevel="0" collapsed="false">
      <c r="B4" s="0" t="s">
        <v>491</v>
      </c>
      <c r="C4" s="0" t="n">
        <v>117</v>
      </c>
      <c r="D4" s="0" t="n">
        <v>1539</v>
      </c>
      <c r="E4" s="0" t="n">
        <v>9</v>
      </c>
      <c r="F4" s="0" t="n">
        <v>15</v>
      </c>
      <c r="G4" s="0" t="n">
        <v>85</v>
      </c>
      <c r="H4" s="0" t="n">
        <v>2</v>
      </c>
      <c r="I4" s="0" t="n">
        <v>0.9</v>
      </c>
      <c r="J4" s="0" t="n">
        <v>285</v>
      </c>
      <c r="K4" s="115" t="n">
        <f aca="false">IFERROR(G4/F4/6.89*0.427*F4,0)</f>
        <v>5.2677793904209</v>
      </c>
      <c r="L4" s="115" t="n">
        <f aca="false">IFERROR(D4/C4/12.87*0.633*C4,0)</f>
        <v>75.6944055944056</v>
      </c>
      <c r="M4" s="118"/>
      <c r="N4" s="118"/>
      <c r="O4" s="118"/>
    </row>
    <row r="5" customFormat="false" ht="14.25" hidden="false" customHeight="true" outlineLevel="0" collapsed="false">
      <c r="B5" s="0" t="s">
        <v>492</v>
      </c>
      <c r="C5" s="0" t="n">
        <v>117</v>
      </c>
      <c r="D5" s="0" t="n">
        <v>1539</v>
      </c>
      <c r="E5" s="0" t="n">
        <v>9</v>
      </c>
      <c r="F5" s="0" t="n">
        <v>10</v>
      </c>
      <c r="G5" s="0" t="n">
        <v>85</v>
      </c>
      <c r="H5" s="0" t="n">
        <v>1</v>
      </c>
      <c r="I5" s="0" t="n">
        <v>1</v>
      </c>
      <c r="J5" s="0" t="n">
        <v>278.9</v>
      </c>
      <c r="K5" s="115" t="n">
        <f aca="false">IFERROR(G5/F5/6.89*0.427*F5,0)</f>
        <v>5.2677793904209</v>
      </c>
      <c r="L5" s="115" t="n">
        <f aca="false">IFERROR(D5/C5/12.87*0.633*C5,0)</f>
        <v>75.6944055944056</v>
      </c>
      <c r="M5" s="118"/>
      <c r="N5" s="118"/>
      <c r="O5" s="118"/>
    </row>
    <row r="6" customFormat="false" ht="14.25" hidden="false" customHeight="true" outlineLevel="0" collapsed="false">
      <c r="A6" s="0" t="s">
        <v>723</v>
      </c>
      <c r="B6" s="0" t="s">
        <v>502</v>
      </c>
      <c r="C6" s="0" t="n">
        <v>121.3</v>
      </c>
      <c r="D6" s="0" t="n">
        <v>1511.4</v>
      </c>
      <c r="E6" s="0" t="n">
        <v>10.6</v>
      </c>
      <c r="F6" s="0" t="n">
        <v>3</v>
      </c>
      <c r="G6" s="0" t="n">
        <v>17</v>
      </c>
      <c r="H6" s="0" t="n">
        <v>0</v>
      </c>
      <c r="I6" s="0" t="n">
        <v>1</v>
      </c>
      <c r="J6" s="0" t="n">
        <v>275.2</v>
      </c>
      <c r="K6" s="115" t="n">
        <f aca="false">IFERROR(G6/F6/6.89*0.427*F6,0)</f>
        <v>1.05355587808418</v>
      </c>
      <c r="L6" s="115" t="n">
        <f aca="false">IFERROR(D6/C6/12.87*0.633*C6,0)</f>
        <v>74.3369230769231</v>
      </c>
      <c r="M6" s="117" t="n">
        <f aca="false">C8*Scoring!$B$34+D8/Scoring!$C$34+E8*Scoring!$D$34+WR!F8*Scoring!$E$34+WR!G8/Scoring!$F$34+WR!H8*Scoring!$G$34+WR!I8*Scoring!$H$34+K8*Scoring!$I$34+WR!L8*Scoring!$J$34+U6</f>
        <v>264.5</v>
      </c>
      <c r="N6" s="117" t="n">
        <f aca="false">C6*Scoring!$B$34+D6/Scoring!$C$34+E6*Scoring!$D$34+WR!F6*Scoring!$E$34+WR!G6/Scoring!$F$34+WR!H6*Scoring!$G$34+WR!I6*Scoring!$H$34+K6*Scoring!$I$34+WR!L6*Scoring!$J$34+U6</f>
        <v>275.09</v>
      </c>
      <c r="O6" s="117" t="n">
        <f aca="false">C7*Scoring!$B$34+D7/Scoring!$C$34+E7*Scoring!$D$34+WR!F7*Scoring!$E$34+WR!G7/Scoring!$F$34+WR!H7*Scoring!$G$34+WR!I7*Scoring!$H$34+K7*Scoring!$I$34+WR!L7*Scoring!$J$34+U6</f>
        <v>285.99</v>
      </c>
      <c r="P6" s="53" t="n">
        <f aca="false">IF(COUNTIF(Rookies!$A:$A,A6)&gt;0,1,0)</f>
        <v>0</v>
      </c>
      <c r="S6" s="53" t="n">
        <f aca="false">V6/17</f>
        <v>16.1817647058824</v>
      </c>
      <c r="T6" s="53" t="n">
        <f aca="false">IF(P6=1,MAX(0,0.28*(12-S6)),0)</f>
        <v>0</v>
      </c>
      <c r="U6" s="53" t="n">
        <f aca="false">T6*17</f>
        <v>0</v>
      </c>
      <c r="V6" s="53" t="n">
        <f aca="false">C6*Scoring!$B$34+D6/Scoring!$C$34+E6*Scoring!$D$34+WR!F6*Scoring!$E$34+WR!G6/Scoring!$F$34+WR!H6*Scoring!$G$34+WR!I6*Scoring!$H$34+K6*Scoring!$I$34+WR!L6*Scoring!$J$34</f>
        <v>275.09</v>
      </c>
    </row>
    <row r="7" customFormat="false" ht="14.25" hidden="false" customHeight="true" outlineLevel="0" collapsed="false">
      <c r="B7" s="0" t="s">
        <v>491</v>
      </c>
      <c r="C7" s="0" t="n">
        <v>128</v>
      </c>
      <c r="D7" s="0" t="n">
        <v>1553</v>
      </c>
      <c r="E7" s="0" t="n">
        <v>11</v>
      </c>
      <c r="F7" s="0" t="n">
        <v>4</v>
      </c>
      <c r="G7" s="0" t="n">
        <v>20.9</v>
      </c>
      <c r="H7" s="0" t="n">
        <v>0.1</v>
      </c>
      <c r="I7" s="0" t="n">
        <v>1</v>
      </c>
      <c r="J7" s="0" t="n">
        <v>333.1</v>
      </c>
      <c r="K7" s="115" t="n">
        <f aca="false">IFERROR(G7/F7/6.89*0.427*F7,0)</f>
        <v>1.29525399129173</v>
      </c>
      <c r="L7" s="115" t="n">
        <f aca="false">IFERROR(D7/C7/12.87*0.633*C7,0)</f>
        <v>76.3829836829837</v>
      </c>
      <c r="M7" s="118"/>
      <c r="N7" s="118"/>
      <c r="O7" s="118"/>
    </row>
    <row r="8" customFormat="false" ht="14.25" hidden="false" customHeight="true" outlineLevel="0" collapsed="false">
      <c r="B8" s="0" t="s">
        <v>492</v>
      </c>
      <c r="C8" s="0" t="n">
        <v>116</v>
      </c>
      <c r="D8" s="0" t="n">
        <v>1474</v>
      </c>
      <c r="E8" s="0" t="n">
        <v>10</v>
      </c>
      <c r="F8" s="0" t="n">
        <v>2</v>
      </c>
      <c r="G8" s="0" t="n">
        <v>11</v>
      </c>
      <c r="H8" s="0" t="n">
        <v>0</v>
      </c>
      <c r="I8" s="0" t="n">
        <v>1</v>
      </c>
      <c r="J8" s="0" t="n">
        <v>267.6</v>
      </c>
      <c r="K8" s="115" t="n">
        <f aca="false">IFERROR(G8/F8/6.89*0.427*F8,0)</f>
        <v>0.681712626995646</v>
      </c>
      <c r="L8" s="115" t="n">
        <f aca="false">IFERROR(D8/C8/12.87*0.633*C8,0)</f>
        <v>72.4974358974359</v>
      </c>
      <c r="M8" s="118"/>
      <c r="N8" s="118"/>
      <c r="O8" s="118"/>
    </row>
    <row r="9" customFormat="false" ht="14.25" hidden="false" customHeight="true" outlineLevel="0" collapsed="false">
      <c r="A9" s="0" t="s">
        <v>724</v>
      </c>
      <c r="B9" s="0" t="s">
        <v>536</v>
      </c>
      <c r="C9" s="0" t="n">
        <v>110.9</v>
      </c>
      <c r="D9" s="0" t="n">
        <v>1565.9</v>
      </c>
      <c r="E9" s="0" t="n">
        <v>9.5</v>
      </c>
      <c r="F9" s="0" t="n">
        <v>5.5</v>
      </c>
      <c r="G9" s="0" t="n">
        <v>30.4</v>
      </c>
      <c r="H9" s="0" t="n">
        <v>0.1</v>
      </c>
      <c r="I9" s="0" t="n">
        <v>1.1</v>
      </c>
      <c r="J9" s="0" t="n">
        <v>270.3</v>
      </c>
      <c r="K9" s="115" t="n">
        <f aca="false">IFERROR(G9/F9/6.89*0.427*F9,0)</f>
        <v>1.88400580551524</v>
      </c>
      <c r="L9" s="115" t="n">
        <f aca="false">IFERROR(D9/C9/12.87*0.633*C9,0)</f>
        <v>77.0174592074592</v>
      </c>
      <c r="M9" s="117" t="n">
        <f aca="false">C11*Scoring!$B$34+D11/Scoring!$C$34+E11*Scoring!$D$34+WR!F11*Scoring!$E$34+WR!G11/Scoring!$F$34+WR!H11*Scoring!$G$34+WR!I11*Scoring!$H$34+K11*Scoring!$I$34+WR!L11*Scoring!$J$34+U9</f>
        <v>252.72</v>
      </c>
      <c r="N9" s="117" t="n">
        <f aca="false">C9*Scoring!$B$34+D9/Scoring!$C$34+E9*Scoring!$D$34+WR!F9*Scoring!$E$34+WR!G9/Scoring!$F$34+WR!H9*Scoring!$G$34+WR!I9*Scoring!$H$34+K9*Scoring!$I$34+WR!L9*Scoring!$J$34+U9</f>
        <v>270.48</v>
      </c>
      <c r="O9" s="117" t="n">
        <f aca="false">C10*Scoring!$B$34+D10/Scoring!$C$34+E10*Scoring!$D$34+WR!F10*Scoring!$E$34+WR!G10/Scoring!$F$34+WR!H10*Scoring!$G$34+WR!I10*Scoring!$H$34+K10*Scoring!$I$34+WR!L10*Scoring!$J$34+U9</f>
        <v>293.95</v>
      </c>
      <c r="P9" s="53" t="n">
        <f aca="false">IF(COUNTIF(Rookies!$A:$A,A9)&gt;0,1,0)</f>
        <v>0</v>
      </c>
      <c r="S9" s="53" t="n">
        <f aca="false">V9/17</f>
        <v>15.9105882352941</v>
      </c>
      <c r="T9" s="53" t="n">
        <f aca="false">IF(P9=1,MAX(0,0.28*(12-S9)),0)</f>
        <v>0</v>
      </c>
      <c r="U9" s="53" t="n">
        <f aca="false">T9*17</f>
        <v>0</v>
      </c>
      <c r="V9" s="53" t="n">
        <f aca="false">C9*Scoring!$B$34+D9/Scoring!$C$34+E9*Scoring!$D$34+WR!F9*Scoring!$E$34+WR!G9/Scoring!$F$34+WR!H9*Scoring!$G$34+WR!I9*Scoring!$H$34+K9*Scoring!$I$34+WR!L9*Scoring!$J$34</f>
        <v>270.48</v>
      </c>
    </row>
    <row r="10" customFormat="false" ht="14.25" hidden="false" customHeight="true" outlineLevel="0" collapsed="false">
      <c r="B10" s="0" t="s">
        <v>491</v>
      </c>
      <c r="C10" s="0" t="n">
        <v>116.7</v>
      </c>
      <c r="D10" s="0" t="n">
        <v>1608</v>
      </c>
      <c r="E10" s="0" t="n">
        <v>12</v>
      </c>
      <c r="F10" s="0" t="n">
        <v>7</v>
      </c>
      <c r="G10" s="0" t="n">
        <v>36</v>
      </c>
      <c r="H10" s="0" t="n">
        <v>0.2</v>
      </c>
      <c r="I10" s="0" t="n">
        <v>1</v>
      </c>
      <c r="J10" s="0" t="n">
        <v>311</v>
      </c>
      <c r="K10" s="115" t="n">
        <f aca="false">IFERROR(G10/F10/6.89*0.427*F10,0)</f>
        <v>2.23105950653121</v>
      </c>
      <c r="L10" s="115" t="n">
        <f aca="false">IFERROR(D10/C10/12.87*0.633*C10,0)</f>
        <v>79.0881118881119</v>
      </c>
      <c r="M10" s="118"/>
      <c r="N10" s="118"/>
      <c r="O10" s="118"/>
    </row>
    <row r="11" customFormat="false" ht="14.25" hidden="false" customHeight="true" outlineLevel="0" collapsed="false">
      <c r="B11" s="0" t="s">
        <v>492</v>
      </c>
      <c r="C11" s="0" t="n">
        <v>105</v>
      </c>
      <c r="D11" s="0" t="n">
        <v>1521</v>
      </c>
      <c r="E11" s="0" t="n">
        <v>8</v>
      </c>
      <c r="F11" s="0" t="n">
        <v>4.6</v>
      </c>
      <c r="G11" s="0" t="n">
        <v>25.2</v>
      </c>
      <c r="H11" s="0" t="n">
        <v>0</v>
      </c>
      <c r="I11" s="0" t="n">
        <v>1.2</v>
      </c>
      <c r="J11" s="0" t="n">
        <v>265.4</v>
      </c>
      <c r="K11" s="115" t="n">
        <f aca="false">IFERROR(G11/F11/6.89*0.427*F11,0)</f>
        <v>1.56174165457184</v>
      </c>
      <c r="L11" s="115" t="n">
        <f aca="false">IFERROR(D11/C11/12.87*0.633*C11,0)</f>
        <v>74.8090909090909</v>
      </c>
      <c r="M11" s="118"/>
      <c r="N11" s="118"/>
      <c r="O11" s="118"/>
    </row>
    <row r="12" customFormat="false" ht="14.25" hidden="false" customHeight="true" outlineLevel="0" collapsed="false">
      <c r="A12" s="0" t="s">
        <v>725</v>
      </c>
      <c r="B12" s="0" t="s">
        <v>524</v>
      </c>
      <c r="C12" s="0" t="n">
        <v>117.5</v>
      </c>
      <c r="D12" s="0" t="n">
        <v>1391.1</v>
      </c>
      <c r="E12" s="0" t="n">
        <v>10.5</v>
      </c>
      <c r="F12" s="0" t="n">
        <v>3.1</v>
      </c>
      <c r="G12" s="0" t="n">
        <v>11.8</v>
      </c>
      <c r="H12" s="0" t="n">
        <v>0</v>
      </c>
      <c r="I12" s="0" t="n">
        <v>0.4</v>
      </c>
      <c r="J12" s="0" t="n">
        <v>261.3</v>
      </c>
      <c r="K12" s="115" t="n">
        <f aca="false">IFERROR(G12/F12/6.89*0.427*F12,0)</f>
        <v>0.731291727140784</v>
      </c>
      <c r="L12" s="115" t="n">
        <f aca="false">IFERROR(D12/C12/12.87*0.633*C12,0)</f>
        <v>68.4200699300699</v>
      </c>
      <c r="M12" s="117" t="n">
        <f aca="false">C14*Scoring!$B$34+D14/Scoring!$C$34+E14*Scoring!$D$34+WR!F14*Scoring!$E$34+WR!G14/Scoring!$F$34+WR!H14*Scoring!$G$34+WR!I14*Scoring!$H$34+K14*Scoring!$I$34+WR!L14*Scoring!$J$34+U12</f>
        <v>253.7</v>
      </c>
      <c r="N12" s="117" t="n">
        <f aca="false">C12*Scoring!$B$34+D12/Scoring!$C$34+E12*Scoring!$D$34+WR!F12*Scoring!$E$34+WR!G12/Scoring!$F$34+WR!H12*Scoring!$G$34+WR!I12*Scoring!$H$34+K12*Scoring!$I$34+WR!L12*Scoring!$J$34+U12</f>
        <v>261.24</v>
      </c>
      <c r="O12" s="117" t="n">
        <f aca="false">C13*Scoring!$B$34+D13/Scoring!$C$34+E13*Scoring!$D$34+WR!F13*Scoring!$E$34+WR!G13/Scoring!$F$34+WR!H13*Scoring!$G$34+WR!I13*Scoring!$H$34+K13*Scoring!$I$34+WR!L13*Scoring!$J$34+U12</f>
        <v>270.12</v>
      </c>
      <c r="P12" s="53" t="n">
        <f aca="false">IF(COUNTIF(Rookies!$A:$A,A12)&gt;0,1,0)</f>
        <v>0</v>
      </c>
      <c r="S12" s="53" t="n">
        <f aca="false">V12/17</f>
        <v>15.3670588235294</v>
      </c>
      <c r="T12" s="53" t="n">
        <f aca="false">IF(P12=1,MAX(0,0.28*(12-S12)),0)</f>
        <v>0</v>
      </c>
      <c r="U12" s="53" t="n">
        <f aca="false">T12*17</f>
        <v>0</v>
      </c>
      <c r="V12" s="53" t="n">
        <f aca="false">C12*Scoring!$B$34+D12/Scoring!$C$34+E12*Scoring!$D$34+WR!F12*Scoring!$E$34+WR!G12/Scoring!$F$34+WR!H12*Scoring!$G$34+WR!I12*Scoring!$H$34+K12*Scoring!$I$34+WR!L12*Scoring!$J$34</f>
        <v>261.24</v>
      </c>
    </row>
    <row r="13" customFormat="false" ht="14.25" hidden="false" customHeight="true" outlineLevel="0" collapsed="false">
      <c r="B13" s="0" t="s">
        <v>491</v>
      </c>
      <c r="C13" s="0" t="n">
        <v>119</v>
      </c>
      <c r="D13" s="0" t="n">
        <v>1426.2</v>
      </c>
      <c r="E13" s="0" t="n">
        <v>11</v>
      </c>
      <c r="F13" s="0" t="n">
        <v>4</v>
      </c>
      <c r="G13" s="0" t="n">
        <v>14</v>
      </c>
      <c r="H13" s="0" t="n">
        <v>0.1</v>
      </c>
      <c r="I13" s="0" t="n">
        <v>0</v>
      </c>
      <c r="J13" s="0" t="n">
        <v>317.3</v>
      </c>
      <c r="K13" s="115" t="n">
        <f aca="false">IFERROR(G13/F13/6.89*0.427*F13,0)</f>
        <v>0.867634252539913</v>
      </c>
      <c r="L13" s="115" t="n">
        <f aca="false">IFERROR(D13/C13/12.87*0.633*C13,0)</f>
        <v>70.1464335664336</v>
      </c>
      <c r="M13" s="118"/>
      <c r="N13" s="118"/>
      <c r="O13" s="118"/>
    </row>
    <row r="14" customFormat="false" ht="14.25" hidden="false" customHeight="true" outlineLevel="0" collapsed="false">
      <c r="B14" s="0" t="s">
        <v>492</v>
      </c>
      <c r="C14" s="0" t="n">
        <v>115</v>
      </c>
      <c r="D14" s="0" t="n">
        <v>1370</v>
      </c>
      <c r="E14" s="0" t="n">
        <v>10</v>
      </c>
      <c r="F14" s="0" t="n">
        <v>2.3</v>
      </c>
      <c r="G14" s="0" t="n">
        <v>8</v>
      </c>
      <c r="H14" s="0" t="n">
        <v>0</v>
      </c>
      <c r="I14" s="0" t="n">
        <v>0.8</v>
      </c>
      <c r="J14" s="0" t="n">
        <v>253.7</v>
      </c>
      <c r="K14" s="115" t="n">
        <f aca="false">IFERROR(G14/F14/6.89*0.427*F14,0)</f>
        <v>0.495791001451379</v>
      </c>
      <c r="L14" s="115" t="n">
        <f aca="false">IFERROR(D14/C14/12.87*0.633*C14,0)</f>
        <v>67.3822843822844</v>
      </c>
      <c r="M14" s="118"/>
      <c r="N14" s="118"/>
      <c r="O14" s="118"/>
    </row>
    <row r="15" customFormat="false" ht="14.25" hidden="false" customHeight="true" outlineLevel="0" collapsed="false">
      <c r="A15" s="0" t="s">
        <v>726</v>
      </c>
      <c r="B15" s="0" t="s">
        <v>552</v>
      </c>
      <c r="C15" s="0" t="n">
        <v>98.4</v>
      </c>
      <c r="D15" s="0" t="n">
        <v>1272.9</v>
      </c>
      <c r="E15" s="0" t="n">
        <v>8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227.1</v>
      </c>
      <c r="K15" s="115" t="n">
        <f aca="false">IFERROR(G15/F15/6.89*0.427*F15,0)</f>
        <v>0</v>
      </c>
      <c r="L15" s="115" t="n">
        <f aca="false">IFERROR(D15/C15/12.87*0.633*C15,0)</f>
        <v>62.6065034965035</v>
      </c>
      <c r="M15" s="117" t="n">
        <f aca="false">C17*Scoring!$B$34+D17/Scoring!$C$34+E17*Scoring!$D$34+WR!F17*Scoring!$E$34+WR!G17/Scoring!$F$34+WR!H17*Scoring!$G$34+WR!I17*Scoring!$H$34+K17*Scoring!$I$34+WR!L17*Scoring!$J$34+U15</f>
        <v>211.98</v>
      </c>
      <c r="N15" s="117" t="n">
        <f aca="false">C15*Scoring!$B$34+D15/Scoring!$C$34+E15*Scoring!$D$34+WR!F15*Scoring!$E$34+WR!G15/Scoring!$F$34+WR!H15*Scoring!$G$34+WR!I15*Scoring!$H$34+K15*Scoring!$I$34+WR!L15*Scoring!$J$34+U15</f>
        <v>222.49</v>
      </c>
      <c r="O15" s="117" t="n">
        <f aca="false">C16*Scoring!$B$34+D16/Scoring!$C$34+E16*Scoring!$D$34+WR!F16*Scoring!$E$34+WR!G16/Scoring!$F$34+WR!H16*Scoring!$G$34+WR!I16*Scoring!$H$34+K16*Scoring!$I$34+WR!L16*Scoring!$J$34+U15</f>
        <v>234.45</v>
      </c>
      <c r="P15" s="53" t="n">
        <f aca="false">IF(COUNTIF(Rookies!$A:$A,A15)&gt;0,1,0)</f>
        <v>0</v>
      </c>
      <c r="S15" s="53" t="n">
        <f aca="false">V15/17</f>
        <v>13.0876470588235</v>
      </c>
      <c r="T15" s="53" t="n">
        <f aca="false">IF(P15=1,MAX(0,0.28*(12-S15)),0)</f>
        <v>0</v>
      </c>
      <c r="U15" s="53" t="n">
        <f aca="false">T15*17</f>
        <v>0</v>
      </c>
      <c r="V15" s="53" t="n">
        <f aca="false">C15*Scoring!$B$34+D15/Scoring!$C$34+E15*Scoring!$D$34+WR!F15*Scoring!$E$34+WR!G15/Scoring!$F$34+WR!H15*Scoring!$G$34+WR!I15*Scoring!$H$34+K15*Scoring!$I$34+WR!L15*Scoring!$J$34</f>
        <v>222.49</v>
      </c>
    </row>
    <row r="16" customFormat="false" ht="14.25" hidden="false" customHeight="true" outlineLevel="0" collapsed="false">
      <c r="B16" s="0" t="s">
        <v>491</v>
      </c>
      <c r="C16" s="0" t="n">
        <v>102.1</v>
      </c>
      <c r="D16" s="0" t="n">
        <v>1312</v>
      </c>
      <c r="E16" s="0" t="n">
        <v>9</v>
      </c>
      <c r="F16" s="0" t="n">
        <v>0</v>
      </c>
      <c r="G16" s="0" t="n">
        <v>0</v>
      </c>
      <c r="H16" s="0" t="n">
        <v>0</v>
      </c>
      <c r="I16" s="0" t="n">
        <v>0.9</v>
      </c>
      <c r="J16" s="0" t="n">
        <v>271.9</v>
      </c>
      <c r="K16" s="115" t="n">
        <f aca="false">IFERROR(G16/F16/6.89*0.427*F16,0)</f>
        <v>0</v>
      </c>
      <c r="L16" s="115" t="n">
        <f aca="false">IFERROR(D16/C16/12.87*0.633*C16,0)</f>
        <v>64.5296037296037</v>
      </c>
      <c r="M16" s="118"/>
      <c r="N16" s="118"/>
      <c r="O16" s="118"/>
    </row>
    <row r="17" customFormat="false" ht="14.25" hidden="false" customHeight="true" outlineLevel="0" collapsed="false">
      <c r="B17" s="0" t="s">
        <v>492</v>
      </c>
      <c r="C17" s="0" t="n">
        <v>94</v>
      </c>
      <c r="D17" s="0" t="n">
        <v>1249.8</v>
      </c>
      <c r="E17" s="0" t="n">
        <v>7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216.9</v>
      </c>
      <c r="K17" s="115" t="n">
        <f aca="false">IFERROR(G17/F17/6.89*0.427*F17,0)</f>
        <v>0</v>
      </c>
      <c r="L17" s="115" t="n">
        <f aca="false">IFERROR(D17/C17/12.87*0.633*C17,0)</f>
        <v>61.4703496503497</v>
      </c>
      <c r="M17" s="118"/>
      <c r="N17" s="118"/>
      <c r="O17" s="118"/>
    </row>
    <row r="18" customFormat="false" ht="14.25" hidden="false" customHeight="true" outlineLevel="0" collapsed="false">
      <c r="A18" s="0" t="s">
        <v>727</v>
      </c>
      <c r="B18" s="0" t="s">
        <v>510</v>
      </c>
      <c r="C18" s="0" t="n">
        <v>97.2</v>
      </c>
      <c r="D18" s="0" t="n">
        <v>1294.6</v>
      </c>
      <c r="E18" s="0" t="n">
        <v>7.5</v>
      </c>
      <c r="F18" s="0" t="n">
        <v>2.4</v>
      </c>
      <c r="G18" s="0" t="n">
        <v>12.6</v>
      </c>
      <c r="H18" s="0" t="n">
        <v>0</v>
      </c>
      <c r="I18" s="0" t="n">
        <v>0.3</v>
      </c>
      <c r="J18" s="0" t="n">
        <v>224</v>
      </c>
      <c r="K18" s="115" t="n">
        <f aca="false">IFERROR(G18/F18/6.89*0.427*F18,0)</f>
        <v>0.780870827285922</v>
      </c>
      <c r="L18" s="115" t="n">
        <f aca="false">IFERROR(D18/C18/12.87*0.633*C18,0)</f>
        <v>63.6737995337995</v>
      </c>
      <c r="M18" s="117" t="n">
        <f aca="false">C20*Scoring!$B$34+D20/Scoring!$C$34+E20*Scoring!$D$34+WR!F20*Scoring!$E$34+WR!G20/Scoring!$F$34+WR!H20*Scoring!$G$34+WR!I20*Scoring!$H$34+K20*Scoring!$I$34+WR!L20*Scoring!$J$34+U18</f>
        <v>195.8</v>
      </c>
      <c r="N18" s="117" t="n">
        <f aca="false">C18*Scoring!$B$34+D18/Scoring!$C$34+E18*Scoring!$D$34+WR!F18*Scoring!$E$34+WR!G18/Scoring!$F$34+WR!H18*Scoring!$G$34+WR!I18*Scoring!$H$34+K18*Scoring!$I$34+WR!L18*Scoring!$J$34+U18</f>
        <v>223.72</v>
      </c>
      <c r="O18" s="117" t="n">
        <f aca="false">C19*Scoring!$B$34+D19/Scoring!$C$34+E19*Scoring!$D$34+WR!F19*Scoring!$E$34+WR!G19/Scoring!$F$34+WR!H19*Scoring!$G$34+WR!I19*Scoring!$H$34+K19*Scoring!$I$34+WR!L19*Scoring!$J$34+U18</f>
        <v>244.03</v>
      </c>
      <c r="P18" s="53" t="n">
        <f aca="false">IF(COUNTIF(Rookies!$A:$A,A18)&gt;0,1,0)</f>
        <v>0</v>
      </c>
      <c r="S18" s="53" t="n">
        <f aca="false">V18/17</f>
        <v>13.16</v>
      </c>
      <c r="T18" s="53" t="n">
        <f aca="false">IF(P18=1,MAX(0,0.28*(12-S18)),0)</f>
        <v>0</v>
      </c>
      <c r="U18" s="53" t="n">
        <f aca="false">T18*17</f>
        <v>0</v>
      </c>
      <c r="V18" s="53" t="n">
        <f aca="false">C18*Scoring!$B$34+D18/Scoring!$C$34+E18*Scoring!$D$34+WR!F18*Scoring!$E$34+WR!G18/Scoring!$F$34+WR!H18*Scoring!$G$34+WR!I18*Scoring!$H$34+K18*Scoring!$I$34+WR!L18*Scoring!$J$34</f>
        <v>223.72</v>
      </c>
    </row>
    <row r="19" customFormat="false" ht="14.25" hidden="false" customHeight="true" outlineLevel="0" collapsed="false">
      <c r="B19" s="0" t="s">
        <v>491</v>
      </c>
      <c r="C19" s="0" t="n">
        <v>103.5</v>
      </c>
      <c r="D19" s="0" t="n">
        <v>1375.8</v>
      </c>
      <c r="E19" s="0" t="n">
        <v>8.6</v>
      </c>
      <c r="F19" s="0" t="n">
        <v>5</v>
      </c>
      <c r="G19" s="0" t="n">
        <v>25</v>
      </c>
      <c r="H19" s="0" t="n">
        <v>0.1</v>
      </c>
      <c r="I19" s="0" t="n">
        <v>0</v>
      </c>
      <c r="J19" s="0" t="n">
        <v>257.8</v>
      </c>
      <c r="K19" s="115" t="n">
        <f aca="false">IFERROR(G19/F19/6.89*0.427*F19,0)</f>
        <v>1.54934687953556</v>
      </c>
      <c r="L19" s="115" t="n">
        <f aca="false">IFERROR(D19/C19/12.87*0.633*C19,0)</f>
        <v>67.6675524475525</v>
      </c>
      <c r="M19" s="118"/>
      <c r="N19" s="118"/>
      <c r="O19" s="118"/>
    </row>
    <row r="20" customFormat="false" ht="14.25" hidden="false" customHeight="true" outlineLevel="0" collapsed="false">
      <c r="B20" s="0" t="s">
        <v>492</v>
      </c>
      <c r="C20" s="0" t="n">
        <v>87</v>
      </c>
      <c r="D20" s="0" t="n">
        <v>1177</v>
      </c>
      <c r="E20" s="0" t="n">
        <v>6</v>
      </c>
      <c r="F20" s="0" t="n">
        <v>0</v>
      </c>
      <c r="G20" s="0" t="n">
        <v>0</v>
      </c>
      <c r="H20" s="0" t="n">
        <v>0</v>
      </c>
      <c r="I20" s="0" t="n">
        <v>0.7</v>
      </c>
      <c r="J20" s="0" t="n">
        <v>209.6</v>
      </c>
      <c r="K20" s="115" t="n">
        <f aca="false">IFERROR(G20/F20/6.89*0.427*F20,0)</f>
        <v>0</v>
      </c>
      <c r="L20" s="115" t="n">
        <f aca="false">IFERROR(D20/C20/12.87*0.633*C20,0)</f>
        <v>57.8897435897436</v>
      </c>
      <c r="M20" s="118"/>
      <c r="N20" s="118"/>
      <c r="O20" s="118"/>
    </row>
    <row r="21" customFormat="false" ht="14.25" hidden="false" customHeight="true" outlineLevel="0" collapsed="false">
      <c r="A21" s="0" t="s">
        <v>728</v>
      </c>
      <c r="B21" s="0" t="s">
        <v>522</v>
      </c>
      <c r="C21" s="0" t="n">
        <v>99.2</v>
      </c>
      <c r="D21" s="0" t="n">
        <v>1311.8</v>
      </c>
      <c r="E21" s="0" t="n">
        <v>7.1</v>
      </c>
      <c r="F21" s="0" t="n">
        <v>1.3</v>
      </c>
      <c r="G21" s="0" t="n">
        <v>5.6</v>
      </c>
      <c r="H21" s="0" t="n">
        <v>0</v>
      </c>
      <c r="I21" s="0" t="n">
        <v>0.3</v>
      </c>
      <c r="J21" s="0" t="n">
        <v>223.7</v>
      </c>
      <c r="K21" s="115" t="n">
        <f aca="false">IFERROR(G21/F21/6.89*0.427*F21,0)</f>
        <v>0.347053701015965</v>
      </c>
      <c r="L21" s="115" t="n">
        <f aca="false">IFERROR(D21/C21/12.87*0.633*C21,0)</f>
        <v>64.5197668997669</v>
      </c>
      <c r="M21" s="117" t="n">
        <f aca="false">C23*Scoring!$B$34+D23/Scoring!$C$34+E23*Scoring!$D$34+WR!F23*Scoring!$E$34+WR!G23/Scoring!$F$34+WR!H23*Scoring!$G$34+WR!I23*Scoring!$H$34+K23*Scoring!$I$34+WR!L23*Scoring!$J$34+U21</f>
        <v>213.5</v>
      </c>
      <c r="N21" s="117" t="n">
        <f aca="false">C21*Scoring!$B$34+D21/Scoring!$C$34+E21*Scoring!$D$34+WR!F21*Scoring!$E$34+WR!G21/Scoring!$F$34+WR!H21*Scoring!$G$34+WR!I21*Scoring!$H$34+K21*Scoring!$I$34+WR!L21*Scoring!$J$34+U21</f>
        <v>223.34</v>
      </c>
      <c r="O21" s="117" t="n">
        <f aca="false">C22*Scoring!$B$34+D22/Scoring!$C$34+E22*Scoring!$D$34+WR!F22*Scoring!$E$34+WR!G22/Scoring!$F$34+WR!H22*Scoring!$G$34+WR!I22*Scoring!$H$34+K22*Scoring!$I$34+WR!L22*Scoring!$J$34+U21</f>
        <v>239.17</v>
      </c>
      <c r="P21" s="53" t="n">
        <f aca="false">IF(COUNTIF(Rookies!$A:$A,A21)&gt;0,1,0)</f>
        <v>0</v>
      </c>
      <c r="S21" s="53" t="n">
        <f aca="false">V21/17</f>
        <v>13.1376470588235</v>
      </c>
      <c r="T21" s="53" t="n">
        <f aca="false">IF(P21=1,MAX(0,0.28*(12-S21)),0)</f>
        <v>0</v>
      </c>
      <c r="U21" s="53" t="n">
        <f aca="false">T21*17</f>
        <v>0</v>
      </c>
      <c r="V21" s="53" t="n">
        <f aca="false">C21*Scoring!$B$34+D21/Scoring!$C$34+E21*Scoring!$D$34+WR!F21*Scoring!$E$34+WR!G21/Scoring!$F$34+WR!H21*Scoring!$G$34+WR!I21*Scoring!$H$34+K21*Scoring!$I$34+WR!L21*Scoring!$J$34</f>
        <v>223.34</v>
      </c>
    </row>
    <row r="22" customFormat="false" ht="14.25" hidden="false" customHeight="true" outlineLevel="0" collapsed="false">
      <c r="B22" s="0" t="s">
        <v>491</v>
      </c>
      <c r="C22" s="0" t="n">
        <v>111.5</v>
      </c>
      <c r="D22" s="0" t="n">
        <v>1373.5</v>
      </c>
      <c r="E22" s="0" t="n">
        <v>7.4</v>
      </c>
      <c r="F22" s="0" t="n">
        <v>2</v>
      </c>
      <c r="G22" s="0" t="n">
        <v>10.7</v>
      </c>
      <c r="H22" s="0" t="n">
        <v>0.1</v>
      </c>
      <c r="I22" s="0" t="n">
        <v>0</v>
      </c>
      <c r="J22" s="0" t="n">
        <v>267.9</v>
      </c>
      <c r="K22" s="115" t="n">
        <f aca="false">IFERROR(G22/F22/6.89*0.427*F22,0)</f>
        <v>0.663120464441219</v>
      </c>
      <c r="L22" s="115" t="n">
        <f aca="false">IFERROR(D22/C22/12.87*0.633*C22,0)</f>
        <v>67.5544289044289</v>
      </c>
      <c r="M22" s="118"/>
      <c r="N22" s="118"/>
      <c r="O22" s="118"/>
    </row>
    <row r="23" customFormat="false" ht="14.25" hidden="false" customHeight="true" outlineLevel="0" collapsed="false">
      <c r="B23" s="0" t="s">
        <v>492</v>
      </c>
      <c r="C23" s="0" t="n">
        <v>91</v>
      </c>
      <c r="D23" s="0" t="n">
        <v>1274</v>
      </c>
      <c r="E23" s="0" t="n">
        <v>7</v>
      </c>
      <c r="F23" s="0" t="n">
        <v>0</v>
      </c>
      <c r="G23" s="0" t="n">
        <v>0</v>
      </c>
      <c r="H23" s="0" t="n">
        <v>0</v>
      </c>
      <c r="I23" s="0" t="n">
        <v>0.7</v>
      </c>
      <c r="J23" s="0" t="n">
        <v>209.6</v>
      </c>
      <c r="K23" s="115" t="n">
        <f aca="false">IFERROR(G23/F23/6.89*0.427*F23,0)</f>
        <v>0</v>
      </c>
      <c r="L23" s="115" t="n">
        <f aca="false">IFERROR(D23/C23/12.87*0.633*C23,0)</f>
        <v>62.6606060606061</v>
      </c>
      <c r="M23" s="118"/>
      <c r="N23" s="118"/>
      <c r="O23" s="118"/>
    </row>
    <row r="24" customFormat="false" ht="14.25" hidden="false" customHeight="true" outlineLevel="0" collapsed="false">
      <c r="A24" s="0" t="s">
        <v>729</v>
      </c>
      <c r="B24" s="0" t="s">
        <v>512</v>
      </c>
      <c r="C24" s="0" t="n">
        <v>96.5</v>
      </c>
      <c r="D24" s="0" t="n">
        <v>1069.2</v>
      </c>
      <c r="E24" s="0" t="n">
        <v>9.6</v>
      </c>
      <c r="F24" s="0" t="n">
        <v>5.8</v>
      </c>
      <c r="G24" s="0" t="n">
        <v>25.9</v>
      </c>
      <c r="H24" s="0" t="n">
        <v>0.9</v>
      </c>
      <c r="I24" s="0" t="n">
        <v>0.6</v>
      </c>
      <c r="J24" s="0" t="n">
        <v>219.2</v>
      </c>
      <c r="K24" s="115" t="n">
        <f aca="false">IFERROR(G24/F24/6.89*0.427*F24,0)</f>
        <v>1.60512336719884</v>
      </c>
      <c r="L24" s="115" t="n">
        <f aca="false">IFERROR(D24/C24/12.87*0.633*C24,0)</f>
        <v>52.5876923076923</v>
      </c>
      <c r="M24" s="117" t="n">
        <f aca="false">C26*Scoring!$B$34+D26/Scoring!$C$34+E26*Scoring!$D$34+WR!F26*Scoring!$E$34+WR!G26/Scoring!$F$34+WR!H26*Scoring!$G$34+WR!I26*Scoring!$H$34+K26*Scoring!$I$34+WR!L26*Scoring!$J$34+U24</f>
        <v>190.95</v>
      </c>
      <c r="N24" s="117" t="n">
        <f aca="false">C24*Scoring!$B$34+D24/Scoring!$C$34+E24*Scoring!$D$34+WR!F24*Scoring!$E$34+WR!G24/Scoring!$F$34+WR!H24*Scoring!$G$34+WR!I24*Scoring!$H$34+K24*Scoring!$I$34+WR!L24*Scoring!$J$34+U24</f>
        <v>219.56</v>
      </c>
      <c r="O24" s="117" t="n">
        <f aca="false">C25*Scoring!$B$34+D25/Scoring!$C$34+E25*Scoring!$D$34+WR!F25*Scoring!$E$34+WR!G25/Scoring!$F$34+WR!H25*Scoring!$G$34+WR!I25*Scoring!$H$34+K25*Scoring!$I$34+WR!L25*Scoring!$J$34+U24</f>
        <v>254.44</v>
      </c>
      <c r="P24" s="53" t="n">
        <f aca="false">IF(COUNTIF(Rookies!$A:$A,A24)&gt;0,1,0)</f>
        <v>0</v>
      </c>
      <c r="S24" s="53" t="n">
        <f aca="false">V24/17</f>
        <v>12.9152941176471</v>
      </c>
      <c r="T24" s="53" t="n">
        <f aca="false">IF(P24=1,MAX(0,0.28*(12-S24)),0)</f>
        <v>0</v>
      </c>
      <c r="U24" s="53" t="n">
        <f aca="false">T24*17</f>
        <v>0</v>
      </c>
      <c r="V24" s="53" t="n">
        <f aca="false">C24*Scoring!$B$34+D24/Scoring!$C$34+E24*Scoring!$D$34+WR!F24*Scoring!$E$34+WR!G24/Scoring!$F$34+WR!H24*Scoring!$G$34+WR!I24*Scoring!$H$34+K24*Scoring!$I$34+WR!L24*Scoring!$J$34</f>
        <v>219.56</v>
      </c>
    </row>
    <row r="25" customFormat="false" ht="14.25" hidden="false" customHeight="true" outlineLevel="0" collapsed="false">
      <c r="B25" s="0" t="s">
        <v>491</v>
      </c>
      <c r="C25" s="0" t="n">
        <v>104</v>
      </c>
      <c r="D25" s="0" t="n">
        <v>1081.6</v>
      </c>
      <c r="E25" s="0" t="n">
        <v>13</v>
      </c>
      <c r="F25" s="0" t="n">
        <v>9</v>
      </c>
      <c r="G25" s="0" t="n">
        <v>42.8</v>
      </c>
      <c r="H25" s="0" t="n">
        <v>2</v>
      </c>
      <c r="I25" s="0" t="n">
        <v>0</v>
      </c>
      <c r="J25" s="0" t="n">
        <v>244.4</v>
      </c>
      <c r="K25" s="115" t="n">
        <f aca="false">IFERROR(G25/F25/6.89*0.427*F25,0)</f>
        <v>2.65248185776488</v>
      </c>
      <c r="L25" s="115" t="n">
        <f aca="false">IFERROR(D25/C25/12.87*0.633*C25,0)</f>
        <v>53.1975757575758</v>
      </c>
      <c r="M25" s="118"/>
      <c r="N25" s="118"/>
      <c r="O25" s="118"/>
    </row>
    <row r="26" customFormat="false" ht="14.25" hidden="false" customHeight="true" outlineLevel="0" collapsed="false">
      <c r="B26" s="0" t="s">
        <v>492</v>
      </c>
      <c r="C26" s="0" t="n">
        <v>92.5</v>
      </c>
      <c r="D26" s="0" t="n">
        <v>1049</v>
      </c>
      <c r="E26" s="0" t="n">
        <v>7</v>
      </c>
      <c r="F26" s="0" t="n">
        <v>0</v>
      </c>
      <c r="G26" s="0" t="n">
        <v>0</v>
      </c>
      <c r="H26" s="0" t="n">
        <v>0</v>
      </c>
      <c r="I26" s="0" t="n">
        <v>1.1</v>
      </c>
      <c r="J26" s="0" t="n">
        <v>215</v>
      </c>
      <c r="K26" s="115" t="n">
        <f aca="false">IFERROR(G26/F26/6.89*0.427*F26,0)</f>
        <v>0</v>
      </c>
      <c r="L26" s="115" t="n">
        <f aca="false">IFERROR(D26/C26/12.87*0.633*C26,0)</f>
        <v>51.5941724941725</v>
      </c>
      <c r="M26" s="118"/>
      <c r="N26" s="118"/>
      <c r="O26" s="118"/>
    </row>
    <row r="27" customFormat="false" ht="14.25" hidden="false" customHeight="true" outlineLevel="0" collapsed="false">
      <c r="A27" s="0" t="s">
        <v>730</v>
      </c>
      <c r="B27" s="0" t="s">
        <v>526</v>
      </c>
      <c r="C27" s="0" t="n">
        <v>95.7</v>
      </c>
      <c r="D27" s="0" t="n">
        <v>1195.7</v>
      </c>
      <c r="E27" s="0" t="n">
        <v>8.2</v>
      </c>
      <c r="F27" s="0" t="n">
        <v>0.3</v>
      </c>
      <c r="G27" s="0" t="n">
        <v>0</v>
      </c>
      <c r="H27" s="0" t="n">
        <v>0</v>
      </c>
      <c r="I27" s="0" t="n">
        <v>0.3</v>
      </c>
      <c r="J27" s="0" t="n">
        <v>216</v>
      </c>
      <c r="K27" s="115" t="n">
        <f aca="false">IFERROR(G27/F27/6.89*0.427*F27,0)</f>
        <v>0</v>
      </c>
      <c r="L27" s="115" t="n">
        <f aca="false">IFERROR(D27/C27/12.87*0.633*C27,0)</f>
        <v>58.8094871794872</v>
      </c>
      <c r="M27" s="117" t="n">
        <f aca="false">C29*Scoring!$B$34+D29/Scoring!$C$34+E29*Scoring!$D$34+WR!F29*Scoring!$E$34+WR!G29/Scoring!$F$34+WR!H29*Scoring!$G$34+WR!I29*Scoring!$H$34+K29*Scoring!$I$34+WR!L29*Scoring!$J$34+U27</f>
        <v>198.7</v>
      </c>
      <c r="N27" s="117" t="n">
        <f aca="false">C27*Scoring!$B$34+D27/Scoring!$C$34+E27*Scoring!$D$34+WR!F27*Scoring!$E$34+WR!G27/Scoring!$F$34+WR!H27*Scoring!$G$34+WR!I27*Scoring!$H$34+K27*Scoring!$I$34+WR!L27*Scoring!$J$34+U27</f>
        <v>216.02</v>
      </c>
      <c r="O27" s="117" t="n">
        <f aca="false">C28*Scoring!$B$34+D28/Scoring!$C$34+E28*Scoring!$D$34+WR!F28*Scoring!$E$34+WR!G28/Scoring!$F$34+WR!H28*Scoring!$G$34+WR!I28*Scoring!$H$34+K28*Scoring!$I$34+WR!L28*Scoring!$J$34+U27</f>
        <v>240</v>
      </c>
      <c r="P27" s="53" t="n">
        <f aca="false">IF(COUNTIF(Rookies!$A:$A,A27)&gt;0,1,0)</f>
        <v>0</v>
      </c>
      <c r="S27" s="53" t="n">
        <f aca="false">V27/17</f>
        <v>12.7070588235294</v>
      </c>
      <c r="T27" s="53" t="n">
        <f aca="false">IF(P27=1,MAX(0,0.28*(12-S27)),0)</f>
        <v>0</v>
      </c>
      <c r="U27" s="53" t="n">
        <f aca="false">T27*17</f>
        <v>0</v>
      </c>
      <c r="V27" s="53" t="n">
        <f aca="false">C27*Scoring!$B$34+D27/Scoring!$C$34+E27*Scoring!$D$34+WR!F27*Scoring!$E$34+WR!G27/Scoring!$F$34+WR!H27*Scoring!$G$34+WR!I27*Scoring!$H$34+K27*Scoring!$I$34+WR!L27*Scoring!$J$34</f>
        <v>216.02</v>
      </c>
    </row>
    <row r="28" customFormat="false" ht="14.25" hidden="false" customHeight="true" outlineLevel="0" collapsed="false">
      <c r="B28" s="0" t="s">
        <v>491</v>
      </c>
      <c r="C28" s="0" t="n">
        <v>99</v>
      </c>
      <c r="D28" s="0" t="n">
        <v>1245</v>
      </c>
      <c r="E28" s="0" t="n">
        <v>11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253.1</v>
      </c>
      <c r="K28" s="115" t="n">
        <f aca="false">IFERROR(G28/F28/6.89*0.427*F28,0)</f>
        <v>0</v>
      </c>
      <c r="L28" s="115" t="n">
        <f aca="false">IFERROR(D28/C28/12.87*0.633*C28,0)</f>
        <v>61.2342657342657</v>
      </c>
      <c r="M28" s="118"/>
      <c r="N28" s="118"/>
      <c r="O28" s="118"/>
    </row>
    <row r="29" customFormat="false" ht="14.25" hidden="false" customHeight="true" outlineLevel="0" collapsed="false">
      <c r="B29" s="0" t="s">
        <v>492</v>
      </c>
      <c r="C29" s="0" t="n">
        <v>91.2</v>
      </c>
      <c r="D29" s="0" t="n">
        <v>1147</v>
      </c>
      <c r="E29" s="0" t="n">
        <v>6.6</v>
      </c>
      <c r="F29" s="0" t="n">
        <v>0</v>
      </c>
      <c r="G29" s="0" t="n">
        <v>0</v>
      </c>
      <c r="H29" s="0" t="n">
        <v>0</v>
      </c>
      <c r="I29" s="0" t="n">
        <v>0.6</v>
      </c>
      <c r="J29" s="0" t="n">
        <v>206.5</v>
      </c>
      <c r="K29" s="115" t="n">
        <f aca="false">IFERROR(G29/F29/6.89*0.427*F29,0)</f>
        <v>0</v>
      </c>
      <c r="L29" s="115" t="n">
        <f aca="false">IFERROR(D29/C29/12.87*0.633*C29,0)</f>
        <v>56.4142191142191</v>
      </c>
      <c r="M29" s="118"/>
      <c r="N29" s="118"/>
      <c r="O29" s="118"/>
    </row>
    <row r="30" customFormat="false" ht="14.25" hidden="false" customHeight="true" outlineLevel="0" collapsed="false">
      <c r="A30" s="0" t="s">
        <v>731</v>
      </c>
      <c r="B30" s="0" t="s">
        <v>498</v>
      </c>
      <c r="C30" s="0" t="n">
        <v>87.7</v>
      </c>
      <c r="D30" s="0" t="n">
        <v>1234.8</v>
      </c>
      <c r="E30" s="0" t="n">
        <v>7.7</v>
      </c>
      <c r="F30" s="0" t="n">
        <v>0</v>
      </c>
      <c r="G30" s="0" t="n">
        <v>0</v>
      </c>
      <c r="H30" s="0" t="n">
        <v>0</v>
      </c>
      <c r="I30" s="0" t="n">
        <v>0.3</v>
      </c>
      <c r="J30" s="0" t="n">
        <v>212.9</v>
      </c>
      <c r="K30" s="115" t="n">
        <f aca="false">IFERROR(G30/F30/6.89*0.427*F30,0)</f>
        <v>0</v>
      </c>
      <c r="L30" s="115" t="n">
        <f aca="false">IFERROR(D30/C30/12.87*0.633*C30,0)</f>
        <v>60.7325874125874</v>
      </c>
      <c r="M30" s="117" t="n">
        <f aca="false">C32*Scoring!$B$34+D32/Scoring!$C$34+E32*Scoring!$D$34+WR!F32*Scoring!$E$34+WR!G32/Scoring!$F$34+WR!H32*Scoring!$G$34+WR!I32*Scoring!$H$34+K32*Scoring!$I$34+WR!L32*Scoring!$J$34+U30</f>
        <v>199.3</v>
      </c>
      <c r="N30" s="117" t="n">
        <f aca="false">C30*Scoring!$B$34+D30/Scoring!$C$34+E30*Scoring!$D$34+WR!F30*Scoring!$E$34+WR!G30/Scoring!$F$34+WR!H30*Scoring!$G$34+WR!I30*Scoring!$H$34+K30*Scoring!$I$34+WR!L30*Scoring!$J$34+U30</f>
        <v>212.93</v>
      </c>
      <c r="O30" s="117" t="n">
        <f aca="false">C31*Scoring!$B$34+D31/Scoring!$C$34+E31*Scoring!$D$34+WR!F31*Scoring!$E$34+WR!G31/Scoring!$F$34+WR!H31*Scoring!$G$34+WR!I31*Scoring!$H$34+K31*Scoring!$I$34+WR!L31*Scoring!$J$34+U30</f>
        <v>232.5</v>
      </c>
      <c r="P30" s="53" t="n">
        <f aca="false">IF(COUNTIF(Rookies!$A:$A,A30)&gt;0,1,0)</f>
        <v>0</v>
      </c>
      <c r="S30" s="53" t="n">
        <f aca="false">V30/17</f>
        <v>12.5252941176471</v>
      </c>
      <c r="T30" s="53" t="n">
        <f aca="false">IF(P30=1,MAX(0,0.28*(12-S30)),0)</f>
        <v>0</v>
      </c>
      <c r="U30" s="53" t="n">
        <f aca="false">T30*17</f>
        <v>0</v>
      </c>
      <c r="V30" s="53" t="n">
        <f aca="false">C30*Scoring!$B$34+D30/Scoring!$C$34+E30*Scoring!$D$34+WR!F30*Scoring!$E$34+WR!G30/Scoring!$F$34+WR!H30*Scoring!$G$34+WR!I30*Scoring!$H$34+K30*Scoring!$I$34+WR!L30*Scoring!$J$34</f>
        <v>212.93</v>
      </c>
    </row>
    <row r="31" customFormat="false" ht="14.25" hidden="false" customHeight="true" outlineLevel="0" collapsed="false">
      <c r="B31" s="0" t="s">
        <v>491</v>
      </c>
      <c r="C31" s="0" t="n">
        <v>91</v>
      </c>
      <c r="D31" s="0" t="n">
        <v>1330</v>
      </c>
      <c r="E31" s="0" t="n">
        <v>9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244.3</v>
      </c>
      <c r="K31" s="115" t="n">
        <f aca="false">IFERROR(G31/F31/6.89*0.427*F31,0)</f>
        <v>0</v>
      </c>
      <c r="L31" s="115" t="n">
        <f aca="false">IFERROR(D31/C31/12.87*0.633*C31,0)</f>
        <v>65.4149184149184</v>
      </c>
      <c r="M31" s="118"/>
      <c r="N31" s="118"/>
      <c r="O31" s="118"/>
    </row>
    <row r="32" customFormat="false" ht="14.25" hidden="false" customHeight="true" outlineLevel="0" collapsed="false">
      <c r="B32" s="0" t="s">
        <v>492</v>
      </c>
      <c r="C32" s="0" t="n">
        <v>86</v>
      </c>
      <c r="D32" s="0" t="n">
        <v>1155</v>
      </c>
      <c r="E32" s="0" t="n">
        <v>7</v>
      </c>
      <c r="F32" s="0" t="n">
        <v>0</v>
      </c>
      <c r="G32" s="0" t="n">
        <v>0</v>
      </c>
      <c r="H32" s="0" t="n">
        <v>0</v>
      </c>
      <c r="I32" s="0" t="n">
        <v>0.6</v>
      </c>
      <c r="J32" s="0" t="n">
        <v>207.6</v>
      </c>
      <c r="K32" s="115" t="n">
        <f aca="false">IFERROR(G32/F32/6.89*0.427*F32,0)</f>
        <v>0</v>
      </c>
      <c r="L32" s="115" t="n">
        <f aca="false">IFERROR(D32/C32/12.87*0.633*C32,0)</f>
        <v>56.8076923076923</v>
      </c>
      <c r="M32" s="118"/>
      <c r="N32" s="118"/>
      <c r="O32" s="118"/>
    </row>
    <row r="33" customFormat="false" ht="14.25" hidden="false" customHeight="true" outlineLevel="0" collapsed="false">
      <c r="A33" s="0" t="s">
        <v>732</v>
      </c>
      <c r="B33" s="0" t="s">
        <v>510</v>
      </c>
      <c r="C33" s="0" t="n">
        <v>82.3</v>
      </c>
      <c r="D33" s="0" t="n">
        <v>1200.4</v>
      </c>
      <c r="E33" s="0" t="n">
        <v>8.4</v>
      </c>
      <c r="F33" s="0" t="n">
        <v>0.3</v>
      </c>
      <c r="G33" s="0" t="n">
        <v>-0.3</v>
      </c>
      <c r="H33" s="0" t="n">
        <v>0</v>
      </c>
      <c r="I33" s="0" t="n">
        <v>0.4</v>
      </c>
      <c r="J33" s="0" t="n">
        <v>210.6</v>
      </c>
      <c r="K33" s="115" t="n">
        <f aca="false">IFERROR(G33/F33/6.89*0.427*F33,0)</f>
        <v>-0.0185921625544267</v>
      </c>
      <c r="L33" s="115" t="n">
        <f aca="false">IFERROR(D33/C33/12.87*0.633*C33,0)</f>
        <v>59.0406526806527</v>
      </c>
      <c r="M33" s="117" t="n">
        <f aca="false">C35*Scoring!$B$34+D35/Scoring!$C$34+E35*Scoring!$D$34+WR!F35*Scoring!$E$34+WR!G35/Scoring!$F$34+WR!H35*Scoring!$G$34+WR!I35*Scoring!$H$34+K35*Scoring!$I$34+WR!L35*Scoring!$J$34+U33</f>
        <v>187.3</v>
      </c>
      <c r="N33" s="117" t="n">
        <f aca="false">C33*Scoring!$B$34+D33/Scoring!$C$34+E33*Scoring!$D$34+WR!F33*Scoring!$E$34+WR!G33/Scoring!$F$34+WR!H33*Scoring!$G$34+WR!I33*Scoring!$H$34+K33*Scoring!$I$34+WR!L33*Scoring!$J$34+U33</f>
        <v>210.76</v>
      </c>
      <c r="O33" s="117" t="n">
        <f aca="false">C34*Scoring!$B$34+D34/Scoring!$C$34+E34*Scoring!$D$34+WR!F34*Scoring!$E$34+WR!G34/Scoring!$F$34+WR!H34*Scoring!$G$34+WR!I34*Scoring!$H$34+K34*Scoring!$I$34+WR!L34*Scoring!$J$34+U33</f>
        <v>244.9</v>
      </c>
      <c r="P33" s="53" t="n">
        <f aca="false">IF(COUNTIF(Rookies!$A:$A,A33)&gt;0,1,0)</f>
        <v>0</v>
      </c>
      <c r="S33" s="53" t="n">
        <f aca="false">V33/17</f>
        <v>12.3976470588235</v>
      </c>
      <c r="T33" s="53" t="n">
        <f aca="false">IF(P33=1,MAX(0,0.28*(12-S33)),0)</f>
        <v>0</v>
      </c>
      <c r="U33" s="53" t="n">
        <f aca="false">T33*17</f>
        <v>0</v>
      </c>
      <c r="V33" s="53" t="n">
        <f aca="false">C33*Scoring!$B$34+D33/Scoring!$C$34+E33*Scoring!$D$34+WR!F33*Scoring!$E$34+WR!G33/Scoring!$F$34+WR!H33*Scoring!$G$34+WR!I33*Scoring!$H$34+K33*Scoring!$I$34+WR!L33*Scoring!$J$34</f>
        <v>210.76</v>
      </c>
    </row>
    <row r="34" customFormat="false" ht="14.25" hidden="false" customHeight="true" outlineLevel="0" collapsed="false">
      <c r="B34" s="0" t="s">
        <v>491</v>
      </c>
      <c r="C34" s="0" t="n">
        <v>93</v>
      </c>
      <c r="D34" s="0" t="n">
        <v>1384</v>
      </c>
      <c r="E34" s="0" t="n">
        <v>10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232.1</v>
      </c>
      <c r="K34" s="115" t="n">
        <f aca="false">IFERROR(G34/F34/6.89*0.427*F34,0)</f>
        <v>0</v>
      </c>
      <c r="L34" s="115" t="n">
        <f aca="false">IFERROR(D34/C34/12.87*0.633*C34,0)</f>
        <v>68.0708624708625</v>
      </c>
      <c r="M34" s="118"/>
      <c r="N34" s="118"/>
      <c r="O34" s="118"/>
    </row>
    <row r="35" customFormat="false" ht="14.25" hidden="false" customHeight="true" outlineLevel="0" collapsed="false">
      <c r="B35" s="0" t="s">
        <v>492</v>
      </c>
      <c r="C35" s="0" t="n">
        <v>74</v>
      </c>
      <c r="D35" s="0" t="n">
        <v>1102</v>
      </c>
      <c r="E35" s="0" t="n">
        <v>7</v>
      </c>
      <c r="F35" s="0" t="n">
        <v>0</v>
      </c>
      <c r="G35" s="0" t="n">
        <v>-1</v>
      </c>
      <c r="H35" s="0" t="n">
        <v>0</v>
      </c>
      <c r="I35" s="0" t="n">
        <v>0.9</v>
      </c>
      <c r="J35" s="0" t="n">
        <v>200.5</v>
      </c>
      <c r="K35" s="115" t="n">
        <f aca="false">IFERROR(G35/F35/6.89*0.427*F35,0)</f>
        <v>0</v>
      </c>
      <c r="L35" s="115" t="n">
        <f aca="false">IFERROR(D35/C35/12.87*0.633*C35,0)</f>
        <v>54.2009324009324</v>
      </c>
      <c r="M35" s="118"/>
      <c r="N35" s="118"/>
      <c r="O35" s="118"/>
    </row>
    <row r="36" customFormat="false" ht="14.25" hidden="false" customHeight="true" outlineLevel="0" collapsed="false">
      <c r="A36" s="0" t="s">
        <v>733</v>
      </c>
      <c r="B36" s="0" t="s">
        <v>538</v>
      </c>
      <c r="C36" s="0" t="n">
        <v>82.6</v>
      </c>
      <c r="D36" s="0" t="n">
        <v>1209.7</v>
      </c>
      <c r="E36" s="0" t="n">
        <v>7.6</v>
      </c>
      <c r="F36" s="0" t="n">
        <v>1.4</v>
      </c>
      <c r="G36" s="0" t="n">
        <v>8.3</v>
      </c>
      <c r="H36" s="0" t="n">
        <v>0.4</v>
      </c>
      <c r="I36" s="0" t="n">
        <v>0.8</v>
      </c>
      <c r="J36" s="0" t="n">
        <v>209.1</v>
      </c>
      <c r="K36" s="115" t="n">
        <f aca="false">IFERROR(G36/F36/6.89*0.427*F36,0)</f>
        <v>0.514383164005806</v>
      </c>
      <c r="L36" s="115" t="n">
        <f aca="false">IFERROR(D36/C36/12.87*0.633*C36,0)</f>
        <v>59.4980652680653</v>
      </c>
      <c r="M36" s="117" t="n">
        <f aca="false">C38*Scoring!$B$34+D38/Scoring!$C$34+E38*Scoring!$D$34+WR!F38*Scoring!$E$34+WR!G38/Scoring!$F$34+WR!H38*Scoring!$G$34+WR!I38*Scoring!$H$34+K38*Scoring!$I$34+WR!L38*Scoring!$J$34+U36</f>
        <v>196.9</v>
      </c>
      <c r="N36" s="117" t="n">
        <f aca="false">C36*Scoring!$B$34+D36/Scoring!$C$34+E36*Scoring!$D$34+WR!F36*Scoring!$E$34+WR!G36/Scoring!$F$34+WR!H36*Scoring!$G$34+WR!I36*Scoring!$H$34+K36*Scoring!$I$34+WR!L36*Scoring!$J$34+U36</f>
        <v>209.5</v>
      </c>
      <c r="O36" s="117" t="n">
        <f aca="false">C37*Scoring!$B$34+D37/Scoring!$C$34+E37*Scoring!$D$34+WR!F37*Scoring!$E$34+WR!G37/Scoring!$F$34+WR!H37*Scoring!$G$34+WR!I37*Scoring!$H$34+K37*Scoring!$I$34+WR!L37*Scoring!$J$34+U36</f>
        <v>228</v>
      </c>
      <c r="P36" s="53" t="n">
        <f aca="false">IF(COUNTIF(Rookies!$A:$A,A36)&gt;0,1,0)</f>
        <v>0</v>
      </c>
      <c r="S36" s="53" t="n">
        <f aca="false">V36/17</f>
        <v>12.3235294117647</v>
      </c>
      <c r="T36" s="53" t="n">
        <f aca="false">IF(P36=1,MAX(0,0.28*(12-S36)),0)</f>
        <v>0</v>
      </c>
      <c r="U36" s="53" t="n">
        <f aca="false">T36*17</f>
        <v>0</v>
      </c>
      <c r="V36" s="53" t="n">
        <f aca="false">C36*Scoring!$B$34+D36/Scoring!$C$34+E36*Scoring!$D$34+WR!F36*Scoring!$E$34+WR!G36/Scoring!$F$34+WR!H36*Scoring!$G$34+WR!I36*Scoring!$H$34+K36*Scoring!$I$34+WR!L36*Scoring!$J$34</f>
        <v>209.5</v>
      </c>
    </row>
    <row r="37" customFormat="false" ht="14.25" hidden="false" customHeight="true" outlineLevel="0" collapsed="false">
      <c r="B37" s="0" t="s">
        <v>491</v>
      </c>
      <c r="C37" s="0" t="n">
        <v>86.8</v>
      </c>
      <c r="D37" s="0" t="n">
        <v>1247</v>
      </c>
      <c r="E37" s="0" t="n">
        <v>9</v>
      </c>
      <c r="F37" s="0" t="n">
        <v>2.1</v>
      </c>
      <c r="G37" s="0" t="n">
        <v>13</v>
      </c>
      <c r="H37" s="0" t="n">
        <v>1</v>
      </c>
      <c r="I37" s="0" t="n">
        <v>0.7</v>
      </c>
      <c r="J37" s="0" t="n">
        <v>241.4</v>
      </c>
      <c r="K37" s="115" t="n">
        <f aca="false">IFERROR(G37/F37/6.89*0.427*F37,0)</f>
        <v>0.805660377358491</v>
      </c>
      <c r="L37" s="115" t="n">
        <f aca="false">IFERROR(D37/C37/12.87*0.633*C37,0)</f>
        <v>61.332634032634</v>
      </c>
      <c r="M37" s="118"/>
      <c r="N37" s="118"/>
      <c r="O37" s="118"/>
    </row>
    <row r="38" customFormat="false" ht="14.25" hidden="false" customHeight="true" outlineLevel="0" collapsed="false">
      <c r="B38" s="0" t="s">
        <v>492</v>
      </c>
      <c r="C38" s="0" t="n">
        <v>79</v>
      </c>
      <c r="D38" s="0" t="n">
        <v>1186</v>
      </c>
      <c r="E38" s="0" t="n">
        <v>6.8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202.8</v>
      </c>
      <c r="K38" s="115" t="n">
        <f aca="false">IFERROR(G38/F38/6.89*0.427*F38,0)</f>
        <v>0</v>
      </c>
      <c r="L38" s="115" t="n">
        <f aca="false">IFERROR(D38/C38/12.87*0.633*C38,0)</f>
        <v>58.3324009324009</v>
      </c>
      <c r="M38" s="118"/>
      <c r="N38" s="118"/>
      <c r="O38" s="118"/>
    </row>
    <row r="39" customFormat="false" ht="14.25" hidden="false" customHeight="true" outlineLevel="0" collapsed="false">
      <c r="A39" s="0" t="s">
        <v>734</v>
      </c>
      <c r="B39" s="0" t="s">
        <v>494</v>
      </c>
      <c r="C39" s="0" t="n">
        <v>81.2</v>
      </c>
      <c r="D39" s="0" t="n">
        <v>1156.6</v>
      </c>
      <c r="E39" s="0" t="n">
        <v>6.5</v>
      </c>
      <c r="F39" s="0" t="n">
        <v>9.9</v>
      </c>
      <c r="G39" s="0" t="n">
        <v>58.8</v>
      </c>
      <c r="H39" s="0" t="n">
        <v>0.5</v>
      </c>
      <c r="I39" s="0" t="n">
        <v>1.5</v>
      </c>
      <c r="J39" s="0" t="n">
        <v>201</v>
      </c>
      <c r="K39" s="115" t="n">
        <f aca="false">IFERROR(G39/F39/6.89*0.427*F39,0)</f>
        <v>3.64406386066763</v>
      </c>
      <c r="L39" s="115" t="n">
        <f aca="false">IFERROR(D39/C39/12.87*0.633*C39,0)</f>
        <v>56.886386946387</v>
      </c>
      <c r="M39" s="117" t="n">
        <f aca="false">C41*Scoring!$B$34+D41/Scoring!$C$34+E41*Scoring!$D$34+WR!F41*Scoring!$E$34+WR!G41/Scoring!$F$34+WR!H41*Scoring!$G$34+WR!I41*Scoring!$H$34+K41*Scoring!$I$34+WR!L41*Scoring!$J$34+U39</f>
        <v>185.93</v>
      </c>
      <c r="N39" s="117" t="n">
        <f aca="false">C39*Scoring!$B$34+D39/Scoring!$C$34+E39*Scoring!$D$34+WR!F39*Scoring!$E$34+WR!G39/Scoring!$F$34+WR!H39*Scoring!$G$34+WR!I39*Scoring!$H$34+K39*Scoring!$I$34+WR!L39*Scoring!$J$34+U39</f>
        <v>201.14</v>
      </c>
      <c r="O39" s="117" t="n">
        <f aca="false">C40*Scoring!$B$34+D40/Scoring!$C$34+E40*Scoring!$D$34+WR!F40*Scoring!$E$34+WR!G40/Scoring!$F$34+WR!H40*Scoring!$G$34+WR!I40*Scoring!$H$34+K40*Scoring!$I$34+WR!L40*Scoring!$J$34+U39</f>
        <v>217.8</v>
      </c>
      <c r="P39" s="53" t="n">
        <f aca="false">IF(COUNTIF(Rookies!$A:$A,A39)&gt;0,1,0)</f>
        <v>0</v>
      </c>
      <c r="S39" s="53" t="n">
        <f aca="false">V39/17</f>
        <v>11.8317647058824</v>
      </c>
      <c r="T39" s="53" t="n">
        <f aca="false">IF(P39=1,MAX(0,0.28*(12-S39)),0)</f>
        <v>0</v>
      </c>
      <c r="U39" s="53" t="n">
        <f aca="false">T39*17</f>
        <v>0</v>
      </c>
      <c r="V39" s="53" t="n">
        <f aca="false">C39*Scoring!$B$34+D39/Scoring!$C$34+E39*Scoring!$D$34+WR!F39*Scoring!$E$34+WR!G39/Scoring!$F$34+WR!H39*Scoring!$G$34+WR!I39*Scoring!$H$34+K39*Scoring!$I$34+WR!L39*Scoring!$J$34</f>
        <v>201.14</v>
      </c>
    </row>
    <row r="40" customFormat="false" ht="14.25" hidden="false" customHeight="true" outlineLevel="0" collapsed="false">
      <c r="B40" s="0" t="s">
        <v>491</v>
      </c>
      <c r="C40" s="0" t="n">
        <v>83</v>
      </c>
      <c r="D40" s="0" t="n">
        <v>1183</v>
      </c>
      <c r="E40" s="0" t="n">
        <v>8</v>
      </c>
      <c r="F40" s="0" t="n">
        <v>10</v>
      </c>
      <c r="G40" s="0" t="n">
        <v>60</v>
      </c>
      <c r="H40" s="0" t="n">
        <v>1</v>
      </c>
      <c r="I40" s="0" t="n">
        <v>1</v>
      </c>
      <c r="J40" s="0" t="n">
        <v>233.7</v>
      </c>
      <c r="K40" s="115" t="n">
        <f aca="false">IFERROR(G40/F40/6.89*0.427*F40,0)</f>
        <v>3.71843251088534</v>
      </c>
      <c r="L40" s="115" t="n">
        <f aca="false">IFERROR(D40/C40/12.87*0.633*C40,0)</f>
        <v>58.1848484848485</v>
      </c>
      <c r="M40" s="118"/>
      <c r="N40" s="118"/>
      <c r="O40" s="118"/>
    </row>
    <row r="41" customFormat="false" ht="14.25" hidden="false" customHeight="true" outlineLevel="0" collapsed="false">
      <c r="B41" s="0" t="s">
        <v>492</v>
      </c>
      <c r="C41" s="0" t="n">
        <v>79</v>
      </c>
      <c r="D41" s="0" t="n">
        <v>1117</v>
      </c>
      <c r="E41" s="0" t="n">
        <v>5.5</v>
      </c>
      <c r="F41" s="0" t="n">
        <v>9.8</v>
      </c>
      <c r="G41" s="0" t="n">
        <v>57.3</v>
      </c>
      <c r="H41" s="0" t="n">
        <v>0</v>
      </c>
      <c r="I41" s="0" t="n">
        <v>2</v>
      </c>
      <c r="J41" s="0" t="n">
        <v>197.4</v>
      </c>
      <c r="K41" s="115" t="n">
        <f aca="false">IFERROR(G41/F41/6.89*0.427*F41,0)</f>
        <v>3.5511030478955</v>
      </c>
      <c r="L41" s="115" t="n">
        <f aca="false">IFERROR(D41/C41/12.87*0.633*C41,0)</f>
        <v>54.9386946386947</v>
      </c>
      <c r="M41" s="118"/>
      <c r="N41" s="118"/>
      <c r="O41" s="118"/>
    </row>
    <row r="42" customFormat="false" ht="14.25" hidden="false" customHeight="true" outlineLevel="0" collapsed="false">
      <c r="A42" s="0" t="s">
        <v>735</v>
      </c>
      <c r="B42" s="0" t="s">
        <v>504</v>
      </c>
      <c r="C42" s="0" t="n">
        <v>82.1</v>
      </c>
      <c r="D42" s="0" t="n">
        <v>1079.6</v>
      </c>
      <c r="E42" s="0" t="n">
        <v>8.4</v>
      </c>
      <c r="F42" s="0" t="n">
        <v>2.8</v>
      </c>
      <c r="G42" s="0" t="n">
        <v>8.3</v>
      </c>
      <c r="H42" s="0" t="n">
        <v>0.1</v>
      </c>
      <c r="I42" s="0" t="n">
        <v>0.4</v>
      </c>
      <c r="J42" s="0" t="n">
        <v>199.8</v>
      </c>
      <c r="K42" s="115" t="n">
        <f aca="false">IFERROR(G42/F42/6.89*0.427*F42,0)</f>
        <v>0.514383164005806</v>
      </c>
      <c r="L42" s="115" t="n">
        <f aca="false">IFERROR(D42/C42/12.87*0.633*C42,0)</f>
        <v>53.0992074592075</v>
      </c>
      <c r="M42" s="117" t="n">
        <f aca="false">C44*Scoring!$B$34+D44/Scoring!$C$34+E44*Scoring!$D$34+WR!F44*Scoring!$E$34+WR!G44/Scoring!$F$34+WR!H44*Scoring!$G$34+WR!I44*Scoring!$H$34+K44*Scoring!$I$34+WR!L44*Scoring!$J$34+U42</f>
        <v>183.8</v>
      </c>
      <c r="N42" s="117" t="n">
        <f aca="false">C42*Scoring!$B$34+D42/Scoring!$C$34+E42*Scoring!$D$34+WR!F42*Scoring!$E$34+WR!G42/Scoring!$F$34+WR!H42*Scoring!$G$34+WR!I42*Scoring!$H$34+K42*Scoring!$I$34+WR!L42*Scoring!$J$34+U42</f>
        <v>200.04</v>
      </c>
      <c r="O42" s="117" t="n">
        <f aca="false">C43*Scoring!$B$34+D43/Scoring!$C$34+E43*Scoring!$D$34+WR!F43*Scoring!$E$34+WR!G43/Scoring!$F$34+WR!H43*Scoring!$G$34+WR!I43*Scoring!$H$34+K43*Scoring!$I$34+WR!L43*Scoring!$J$34+U42</f>
        <v>224.89</v>
      </c>
      <c r="P42" s="53" t="n">
        <f aca="false">IF(COUNTIF(Rookies!$A:$A,A42)&gt;0,1,0)</f>
        <v>0</v>
      </c>
      <c r="S42" s="53" t="n">
        <f aca="false">V42/17</f>
        <v>11.7670588235294</v>
      </c>
      <c r="T42" s="53" t="n">
        <f aca="false">IF(P42=1,MAX(0,0.28*(12-S42)),0)</f>
        <v>0</v>
      </c>
      <c r="U42" s="53" t="n">
        <f aca="false">T42*17</f>
        <v>0</v>
      </c>
      <c r="V42" s="53" t="n">
        <f aca="false">C42*Scoring!$B$34+D42/Scoring!$C$34+E42*Scoring!$D$34+WR!F42*Scoring!$E$34+WR!G42/Scoring!$F$34+WR!H42*Scoring!$G$34+WR!I42*Scoring!$H$34+K42*Scoring!$I$34+WR!L42*Scoring!$J$34</f>
        <v>200.04</v>
      </c>
    </row>
    <row r="43" customFormat="false" ht="14.25" hidden="false" customHeight="true" outlineLevel="0" collapsed="false">
      <c r="B43" s="0" t="s">
        <v>491</v>
      </c>
      <c r="C43" s="0" t="n">
        <v>85.2</v>
      </c>
      <c r="D43" s="0" t="n">
        <v>1127.9</v>
      </c>
      <c r="E43" s="0" t="n">
        <v>11</v>
      </c>
      <c r="F43" s="0" t="n">
        <v>4.5</v>
      </c>
      <c r="G43" s="0" t="n">
        <v>23</v>
      </c>
      <c r="H43" s="0" t="n">
        <v>0.2</v>
      </c>
      <c r="I43" s="0" t="n">
        <v>0</v>
      </c>
      <c r="J43" s="0" t="n">
        <v>231.2</v>
      </c>
      <c r="K43" s="115" t="n">
        <f aca="false">IFERROR(G43/F43/6.89*0.427*F43,0)</f>
        <v>1.42539912917271</v>
      </c>
      <c r="L43" s="115" t="n">
        <f aca="false">IFERROR(D43/C43/12.87*0.633*C43,0)</f>
        <v>55.4748018648019</v>
      </c>
      <c r="M43" s="118"/>
      <c r="N43" s="118"/>
      <c r="O43" s="118"/>
    </row>
    <row r="44" customFormat="false" ht="14.25" hidden="false" customHeight="true" outlineLevel="0" collapsed="false">
      <c r="B44" s="0" t="s">
        <v>492</v>
      </c>
      <c r="C44" s="0" t="n">
        <v>80</v>
      </c>
      <c r="D44" s="0" t="n">
        <v>1034</v>
      </c>
      <c r="E44" s="0" t="n">
        <v>7</v>
      </c>
      <c r="F44" s="0" t="n">
        <v>0</v>
      </c>
      <c r="G44" s="0" t="n">
        <v>0</v>
      </c>
      <c r="H44" s="0" t="n">
        <v>0</v>
      </c>
      <c r="I44" s="0" t="n">
        <v>0.8</v>
      </c>
      <c r="J44" s="0" t="n">
        <v>199.7</v>
      </c>
      <c r="K44" s="115" t="n">
        <f aca="false">IFERROR(G44/F44/6.89*0.427*F44,0)</f>
        <v>0</v>
      </c>
      <c r="L44" s="115" t="n">
        <f aca="false">IFERROR(D44/C44/12.87*0.633*C44,0)</f>
        <v>50.8564102564103</v>
      </c>
      <c r="M44" s="118"/>
      <c r="N44" s="118"/>
      <c r="O44" s="118"/>
    </row>
    <row r="45" customFormat="false" ht="14.25" hidden="false" customHeight="true" outlineLevel="0" collapsed="false">
      <c r="A45" s="0" t="s">
        <v>736</v>
      </c>
      <c r="B45" s="0" t="s">
        <v>542</v>
      </c>
      <c r="C45" s="0" t="n">
        <v>96.4</v>
      </c>
      <c r="D45" s="0" t="n">
        <v>1095.5</v>
      </c>
      <c r="E45" s="0" t="n">
        <v>6.4</v>
      </c>
      <c r="F45" s="0" t="n">
        <v>1.1</v>
      </c>
      <c r="G45" s="0" t="n">
        <v>4.3</v>
      </c>
      <c r="H45" s="0" t="n">
        <v>0</v>
      </c>
      <c r="I45" s="0" t="n">
        <v>1.1</v>
      </c>
      <c r="J45" s="0" t="n">
        <v>194.8</v>
      </c>
      <c r="K45" s="115" t="n">
        <f aca="false">IFERROR(G45/F45/6.89*0.427*F45,0)</f>
        <v>0.266487663280116</v>
      </c>
      <c r="L45" s="115" t="n">
        <f aca="false">IFERROR(D45/C45/12.87*0.633*C45,0)</f>
        <v>53.8812354312354</v>
      </c>
      <c r="M45" s="117" t="n">
        <f aca="false">C47*Scoring!$B$34+D47/Scoring!$C$34+E47*Scoring!$D$34+WR!F47*Scoring!$E$34+WR!G47/Scoring!$F$34+WR!H47*Scoring!$G$34+WR!I47*Scoring!$H$34+K47*Scoring!$I$34+WR!L47*Scoring!$J$34+U45</f>
        <v>167.9</v>
      </c>
      <c r="N45" s="117" t="n">
        <f aca="false">C45*Scoring!$B$34+D45/Scoring!$C$34+E45*Scoring!$D$34+WR!F45*Scoring!$E$34+WR!G45/Scoring!$F$34+WR!H45*Scoring!$G$34+WR!I45*Scoring!$H$34+K45*Scoring!$I$34+WR!L45*Scoring!$J$34+U45</f>
        <v>194.38</v>
      </c>
      <c r="O45" s="117" t="n">
        <f aca="false">C46*Scoring!$B$34+D46/Scoring!$C$34+E46*Scoring!$D$34+WR!F46*Scoring!$E$34+WR!G46/Scoring!$F$34+WR!H46*Scoring!$G$34+WR!I46*Scoring!$H$34+K46*Scoring!$I$34+WR!L46*Scoring!$J$34+U45</f>
        <v>221.38</v>
      </c>
      <c r="P45" s="53" t="n">
        <f aca="false">IF(COUNTIF(Rookies!$A:$A,A45)&gt;0,1,0)</f>
        <v>0</v>
      </c>
      <c r="S45" s="53" t="n">
        <f aca="false">V45/17</f>
        <v>11.4341176470588</v>
      </c>
      <c r="T45" s="53" t="n">
        <f aca="false">IF(P45=1,MAX(0,0.28*(12-S45)),0)</f>
        <v>0</v>
      </c>
      <c r="U45" s="53" t="n">
        <f aca="false">T45*17</f>
        <v>0</v>
      </c>
      <c r="V45" s="53" t="n">
        <f aca="false">C45*Scoring!$B$34+D45/Scoring!$C$34+E45*Scoring!$D$34+WR!F45*Scoring!$E$34+WR!G45/Scoring!$F$34+WR!H45*Scoring!$G$34+WR!I45*Scoring!$H$34+K45*Scoring!$I$34+WR!L45*Scoring!$J$34</f>
        <v>194.38</v>
      </c>
    </row>
    <row r="46" customFormat="false" ht="14.25" hidden="false" customHeight="true" outlineLevel="0" collapsed="false">
      <c r="B46" s="0" t="s">
        <v>491</v>
      </c>
      <c r="C46" s="0" t="n">
        <v>100.3</v>
      </c>
      <c r="D46" s="0" t="n">
        <v>1175.5</v>
      </c>
      <c r="E46" s="0" t="n">
        <v>9</v>
      </c>
      <c r="F46" s="0" t="n">
        <v>2.2</v>
      </c>
      <c r="G46" s="0" t="n">
        <v>10.8</v>
      </c>
      <c r="H46" s="0" t="n">
        <v>0.1</v>
      </c>
      <c r="I46" s="0" t="n">
        <v>1</v>
      </c>
      <c r="J46" s="0" t="n">
        <v>243.7</v>
      </c>
      <c r="K46" s="115" t="n">
        <f aca="false">IFERROR(G46/F46/6.89*0.427*F46,0)</f>
        <v>0.669317851959361</v>
      </c>
      <c r="L46" s="115" t="n">
        <f aca="false">IFERROR(D46/C46/12.87*0.633*C46,0)</f>
        <v>57.8159673659674</v>
      </c>
      <c r="M46" s="118"/>
      <c r="N46" s="118"/>
      <c r="O46" s="118"/>
    </row>
    <row r="47" customFormat="false" ht="14.25" hidden="false" customHeight="true" outlineLevel="0" collapsed="false">
      <c r="B47" s="0" t="s">
        <v>492</v>
      </c>
      <c r="C47" s="0" t="n">
        <v>89</v>
      </c>
      <c r="D47" s="0" t="n">
        <v>956</v>
      </c>
      <c r="E47" s="0" t="n">
        <v>5</v>
      </c>
      <c r="F47" s="0" t="n">
        <v>0</v>
      </c>
      <c r="G47" s="0" t="n">
        <v>0</v>
      </c>
      <c r="H47" s="0" t="n">
        <v>0</v>
      </c>
      <c r="I47" s="0" t="n">
        <v>1.1</v>
      </c>
      <c r="J47" s="0" t="n">
        <v>187.2</v>
      </c>
      <c r="K47" s="115" t="n">
        <f aca="false">IFERROR(G47/F47/6.89*0.427*F47,0)</f>
        <v>0</v>
      </c>
      <c r="L47" s="115" t="n">
        <f aca="false">IFERROR(D47/C47/12.87*0.633*C47,0)</f>
        <v>47.0200466200466</v>
      </c>
      <c r="M47" s="118"/>
      <c r="N47" s="118"/>
      <c r="O47" s="118"/>
    </row>
    <row r="48" customFormat="false" ht="14.25" hidden="false" customHeight="true" outlineLevel="0" collapsed="false">
      <c r="A48" s="0" t="s">
        <v>737</v>
      </c>
      <c r="B48" s="0" t="s">
        <v>540</v>
      </c>
      <c r="C48" s="0" t="n">
        <v>81.1</v>
      </c>
      <c r="D48" s="0" t="n">
        <v>1145.1</v>
      </c>
      <c r="E48" s="0" t="n">
        <v>6.6</v>
      </c>
      <c r="F48" s="0" t="n">
        <v>0</v>
      </c>
      <c r="G48" s="0" t="n">
        <v>0</v>
      </c>
      <c r="H48" s="0" t="n">
        <v>0</v>
      </c>
      <c r="I48" s="0" t="n">
        <v>0.9</v>
      </c>
      <c r="J48" s="0" t="n">
        <v>193.1</v>
      </c>
      <c r="K48" s="115" t="n">
        <f aca="false">IFERROR(G48/F48/6.89*0.427*F48,0)</f>
        <v>0</v>
      </c>
      <c r="L48" s="115" t="n">
        <f aca="false">IFERROR(D48/C48/12.87*0.633*C48,0)</f>
        <v>56.3207692307692</v>
      </c>
      <c r="M48" s="117" t="n">
        <f aca="false">C50*Scoring!$B$34+D50/Scoring!$C$34+E50*Scoring!$D$34+WR!F50*Scoring!$E$34+WR!G50/Scoring!$F$34+WR!H50*Scoring!$G$34+WR!I50*Scoring!$H$34+K50*Scoring!$I$34+WR!L50*Scoring!$J$34+U48</f>
        <v>180.5</v>
      </c>
      <c r="N48" s="117" t="n">
        <f aca="false">C48*Scoring!$B$34+D48/Scoring!$C$34+E48*Scoring!$D$34+WR!F48*Scoring!$E$34+WR!G48/Scoring!$F$34+WR!H48*Scoring!$G$34+WR!I48*Scoring!$H$34+K48*Scoring!$I$34+WR!L48*Scoring!$J$34+U48</f>
        <v>192.86</v>
      </c>
      <c r="O48" s="117" t="n">
        <f aca="false">C49*Scoring!$B$34+D49/Scoring!$C$34+E49*Scoring!$D$34+WR!F49*Scoring!$E$34+WR!G49/Scoring!$F$34+WR!H49*Scoring!$G$34+WR!I49*Scoring!$H$34+K49*Scoring!$I$34+WR!L49*Scoring!$J$34+U48</f>
        <v>206.29</v>
      </c>
      <c r="P48" s="53" t="n">
        <f aca="false">IF(COUNTIF(Rookies!$A:$A,A48)&gt;0,1,0)</f>
        <v>0</v>
      </c>
      <c r="S48" s="53" t="n">
        <f aca="false">V48/17</f>
        <v>11.3447058823529</v>
      </c>
      <c r="T48" s="53" t="n">
        <f aca="false">IF(P48=1,MAX(0,0.28*(12-S48)),0)</f>
        <v>0</v>
      </c>
      <c r="U48" s="53" t="n">
        <f aca="false">T48*17</f>
        <v>0</v>
      </c>
      <c r="V48" s="53" t="n">
        <f aca="false">C48*Scoring!$B$34+D48/Scoring!$C$34+E48*Scoring!$D$34+WR!F48*Scoring!$E$34+WR!G48/Scoring!$F$34+WR!H48*Scoring!$G$34+WR!I48*Scoring!$H$34+K48*Scoring!$I$34+WR!L48*Scoring!$J$34</f>
        <v>192.86</v>
      </c>
    </row>
    <row r="49" customFormat="false" ht="14.25" hidden="false" customHeight="true" outlineLevel="0" collapsed="false">
      <c r="B49" s="0" t="s">
        <v>491</v>
      </c>
      <c r="C49" s="0" t="n">
        <v>83.3</v>
      </c>
      <c r="D49" s="0" t="n">
        <v>1182.4</v>
      </c>
      <c r="E49" s="0" t="n">
        <v>8</v>
      </c>
      <c r="F49" s="0" t="n">
        <v>0</v>
      </c>
      <c r="G49" s="0" t="n">
        <v>0</v>
      </c>
      <c r="H49" s="0" t="n">
        <v>0</v>
      </c>
      <c r="I49" s="0" t="n">
        <v>0.8</v>
      </c>
      <c r="J49" s="0" t="n">
        <v>223.7</v>
      </c>
      <c r="K49" s="115" t="n">
        <f aca="false">IFERROR(G49/F49/6.89*0.427*F49,0)</f>
        <v>0</v>
      </c>
      <c r="L49" s="115" t="n">
        <f aca="false">IFERROR(D49/C49/12.87*0.633*C49,0)</f>
        <v>58.155337995338</v>
      </c>
      <c r="M49" s="118"/>
      <c r="N49" s="118"/>
      <c r="O49" s="118"/>
    </row>
    <row r="50" customFormat="false" ht="14.25" hidden="false" customHeight="true" outlineLevel="0" collapsed="false">
      <c r="B50" s="0" t="s">
        <v>492</v>
      </c>
      <c r="C50" s="0" t="n">
        <v>78</v>
      </c>
      <c r="D50" s="0" t="n">
        <v>1081</v>
      </c>
      <c r="E50" s="0" t="n">
        <v>5.9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193.4</v>
      </c>
      <c r="K50" s="115" t="n">
        <f aca="false">IFERROR(G50/F50/6.89*0.427*F50,0)</f>
        <v>0</v>
      </c>
      <c r="L50" s="115" t="n">
        <f aca="false">IFERROR(D50/C50/12.87*0.633*C50,0)</f>
        <v>53.1680652680653</v>
      </c>
      <c r="M50" s="118"/>
      <c r="N50" s="118"/>
      <c r="O50" s="118"/>
    </row>
    <row r="51" customFormat="false" ht="14.25" hidden="false" customHeight="true" outlineLevel="0" collapsed="false">
      <c r="A51" s="0" t="s">
        <v>738</v>
      </c>
      <c r="B51" s="0" t="s">
        <v>500</v>
      </c>
      <c r="C51" s="0" t="n">
        <v>87.8</v>
      </c>
      <c r="D51" s="0" t="n">
        <v>1136.5</v>
      </c>
      <c r="E51" s="0" t="n">
        <v>6</v>
      </c>
      <c r="F51" s="0" t="n">
        <v>0</v>
      </c>
      <c r="G51" s="0" t="n">
        <v>0</v>
      </c>
      <c r="H51" s="0" t="n">
        <v>0</v>
      </c>
      <c r="I51" s="0" t="n">
        <v>0.3</v>
      </c>
      <c r="J51" s="0" t="n">
        <v>193.1</v>
      </c>
      <c r="K51" s="115" t="n">
        <f aca="false">IFERROR(G51/F51/6.89*0.427*F51,0)</f>
        <v>0</v>
      </c>
      <c r="L51" s="115" t="n">
        <f aca="false">IFERROR(D51/C51/12.87*0.633*C51,0)</f>
        <v>55.8977855477856</v>
      </c>
      <c r="M51" s="117" t="n">
        <f aca="false">C53*Scoring!$B$34+D53/Scoring!$C$34+E53*Scoring!$D$34+WR!F53*Scoring!$E$34+WR!G53/Scoring!$F$34+WR!H53*Scoring!$G$34+WR!I53*Scoring!$H$34+K53*Scoring!$I$34+WR!L53*Scoring!$J$34+U51</f>
        <v>188.5</v>
      </c>
      <c r="N51" s="117" t="n">
        <f aca="false">C51*Scoring!$B$34+D51/Scoring!$C$34+E51*Scoring!$D$34+WR!F51*Scoring!$E$34+WR!G51/Scoring!$F$34+WR!H51*Scoring!$G$34+WR!I51*Scoring!$H$34+K51*Scoring!$I$34+WR!L51*Scoring!$J$34+U51</f>
        <v>192.95</v>
      </c>
      <c r="O51" s="117" t="n">
        <f aca="false">C52*Scoring!$B$34+D52/Scoring!$C$34+E52*Scoring!$D$34+WR!F52*Scoring!$E$34+WR!G52/Scoring!$F$34+WR!H52*Scoring!$G$34+WR!I52*Scoring!$H$34+K52*Scoring!$I$34+WR!L52*Scoring!$J$34+U51</f>
        <v>197.05</v>
      </c>
      <c r="P51" s="53" t="n">
        <f aca="false">IF(COUNTIF(Rookies!$A:$A,A51)&gt;0,1,0)</f>
        <v>0</v>
      </c>
      <c r="S51" s="53" t="n">
        <f aca="false">V51/17</f>
        <v>11.35</v>
      </c>
      <c r="T51" s="53" t="n">
        <f aca="false">IF(P51=1,MAX(0,0.28*(12-S51)),0)</f>
        <v>0</v>
      </c>
      <c r="U51" s="53" t="n">
        <f aca="false">T51*17</f>
        <v>0</v>
      </c>
      <c r="V51" s="53" t="n">
        <f aca="false">C51*Scoring!$B$34+D51/Scoring!$C$34+E51*Scoring!$D$34+WR!F51*Scoring!$E$34+WR!G51/Scoring!$F$34+WR!H51*Scoring!$G$34+WR!I51*Scoring!$H$34+K51*Scoring!$I$34+WR!L51*Scoring!$J$34</f>
        <v>192.95</v>
      </c>
    </row>
    <row r="52" customFormat="false" ht="14.25" hidden="false" customHeight="true" outlineLevel="0" collapsed="false">
      <c r="B52" s="0" t="s">
        <v>491</v>
      </c>
      <c r="C52" s="0" t="n">
        <v>90.5</v>
      </c>
      <c r="D52" s="0" t="n">
        <v>1158</v>
      </c>
      <c r="E52" s="0" t="n">
        <v>6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233.6</v>
      </c>
      <c r="K52" s="115" t="n">
        <f aca="false">IFERROR(G52/F52/6.89*0.427*F52,0)</f>
        <v>0</v>
      </c>
      <c r="L52" s="115" t="n">
        <f aca="false">IFERROR(D52/C52/12.87*0.633*C52,0)</f>
        <v>56.9552447552448</v>
      </c>
      <c r="M52" s="118"/>
      <c r="N52" s="118"/>
      <c r="O52" s="118"/>
    </row>
    <row r="53" customFormat="false" ht="14.25" hidden="false" customHeight="true" outlineLevel="0" collapsed="false">
      <c r="B53" s="0" t="s">
        <v>492</v>
      </c>
      <c r="C53" s="0" t="n">
        <v>83</v>
      </c>
      <c r="D53" s="0" t="n">
        <v>1122</v>
      </c>
      <c r="E53" s="0" t="n">
        <v>6</v>
      </c>
      <c r="F53" s="0" t="n">
        <v>0</v>
      </c>
      <c r="G53" s="0" t="n">
        <v>0</v>
      </c>
      <c r="H53" s="0" t="n">
        <v>0</v>
      </c>
      <c r="I53" s="0" t="n">
        <v>0.6</v>
      </c>
      <c r="J53" s="0" t="n">
        <v>186.9</v>
      </c>
      <c r="K53" s="115" t="n">
        <f aca="false">IFERROR(G53/F53/6.89*0.427*F53,0)</f>
        <v>0</v>
      </c>
      <c r="L53" s="115" t="n">
        <f aca="false">IFERROR(D53/C53/12.87*0.633*C53,0)</f>
        <v>55.1846153846154</v>
      </c>
      <c r="M53" s="118"/>
      <c r="N53" s="118"/>
      <c r="O53" s="118"/>
    </row>
    <row r="54" customFormat="false" ht="14.25" hidden="false" customHeight="true" outlineLevel="0" collapsed="false">
      <c r="A54" s="0" t="s">
        <v>739</v>
      </c>
      <c r="B54" s="0" t="s">
        <v>528</v>
      </c>
      <c r="C54" s="0" t="n">
        <v>73.2</v>
      </c>
      <c r="D54" s="0" t="n">
        <v>1096.9</v>
      </c>
      <c r="E54" s="0" t="n">
        <v>7.5</v>
      </c>
      <c r="F54" s="0" t="n">
        <v>1.4</v>
      </c>
      <c r="G54" s="0" t="n">
        <v>7.3</v>
      </c>
      <c r="H54" s="0" t="n">
        <v>0</v>
      </c>
      <c r="I54" s="0" t="n">
        <v>0.3</v>
      </c>
      <c r="J54" s="0" t="n">
        <v>191.6</v>
      </c>
      <c r="K54" s="115" t="n">
        <f aca="false">IFERROR(G54/F54/6.89*0.427*F54,0)</f>
        <v>0.452409288824383</v>
      </c>
      <c r="L54" s="115" t="n">
        <f aca="false">IFERROR(D54/C54/12.87*0.633*C54,0)</f>
        <v>53.9500932400932</v>
      </c>
      <c r="M54" s="117" t="n">
        <f aca="false">C56*Scoring!$B$34+D56/Scoring!$C$34+E56*Scoring!$D$34+WR!F56*Scoring!$E$34+WR!G56/Scoring!$F$34+WR!H56*Scoring!$G$34+WR!I56*Scoring!$H$34+K56*Scoring!$I$34+WR!L56*Scoring!$J$34+U54</f>
        <v>180.2</v>
      </c>
      <c r="N54" s="117" t="n">
        <f aca="false">C54*Scoring!$B$34+D54/Scoring!$C$34+E54*Scoring!$D$34+WR!F54*Scoring!$E$34+WR!G54/Scoring!$F$34+WR!H54*Scoring!$G$34+WR!I54*Scoring!$H$34+K54*Scoring!$I$34+WR!L54*Scoring!$J$34+U54</f>
        <v>191.42</v>
      </c>
      <c r="O54" s="117" t="n">
        <f aca="false">C55*Scoring!$B$34+D55/Scoring!$C$34+E55*Scoring!$D$34+WR!F55*Scoring!$E$34+WR!G55/Scoring!$F$34+WR!H55*Scoring!$G$34+WR!I55*Scoring!$H$34+K55*Scoring!$I$34+WR!L55*Scoring!$J$34+U54</f>
        <v>201.47</v>
      </c>
      <c r="P54" s="53" t="n">
        <f aca="false">IF(COUNTIF(Rookies!$A:$A,A54)&gt;0,1,0)</f>
        <v>0</v>
      </c>
      <c r="S54" s="53" t="n">
        <f aca="false">V54/17</f>
        <v>11.26</v>
      </c>
      <c r="T54" s="53" t="n">
        <f aca="false">IF(P54=1,MAX(0,0.28*(12-S54)),0)</f>
        <v>0</v>
      </c>
      <c r="U54" s="53" t="n">
        <f aca="false">T54*17</f>
        <v>0</v>
      </c>
      <c r="V54" s="53" t="n">
        <f aca="false">C54*Scoring!$B$34+D54/Scoring!$C$34+E54*Scoring!$D$34+WR!F54*Scoring!$E$34+WR!G54/Scoring!$F$34+WR!H54*Scoring!$G$34+WR!I54*Scoring!$H$34+K54*Scoring!$I$34+WR!L54*Scoring!$J$34</f>
        <v>191.42</v>
      </c>
    </row>
    <row r="55" customFormat="false" ht="14.25" hidden="false" customHeight="true" outlineLevel="0" collapsed="false">
      <c r="B55" s="0" t="s">
        <v>491</v>
      </c>
      <c r="C55" s="0" t="n">
        <v>78</v>
      </c>
      <c r="D55" s="0" t="n">
        <v>1126.8</v>
      </c>
      <c r="E55" s="0" t="n">
        <v>8</v>
      </c>
      <c r="F55" s="0" t="n">
        <v>2.2</v>
      </c>
      <c r="G55" s="0" t="n">
        <v>11.9</v>
      </c>
      <c r="H55" s="0" t="n">
        <v>0.1</v>
      </c>
      <c r="I55" s="0" t="n">
        <v>0</v>
      </c>
      <c r="J55" s="0" t="n">
        <v>222.2</v>
      </c>
      <c r="K55" s="115" t="n">
        <f aca="false">IFERROR(G55/F55/6.89*0.427*F55,0)</f>
        <v>0.737489114658926</v>
      </c>
      <c r="L55" s="115" t="n">
        <f aca="false">IFERROR(D55/C55/12.87*0.633*C55,0)</f>
        <v>55.4206993006993</v>
      </c>
      <c r="M55" s="118"/>
      <c r="N55" s="118"/>
      <c r="O55" s="118"/>
    </row>
    <row r="56" customFormat="false" ht="14.25" hidden="false" customHeight="true" outlineLevel="0" collapsed="false">
      <c r="B56" s="0" t="s">
        <v>492</v>
      </c>
      <c r="C56" s="0" t="n">
        <v>69.6</v>
      </c>
      <c r="D56" s="0" t="n">
        <v>1046</v>
      </c>
      <c r="E56" s="0" t="n">
        <v>7</v>
      </c>
      <c r="F56" s="0" t="n">
        <v>0</v>
      </c>
      <c r="G56" s="0" t="n">
        <v>0</v>
      </c>
      <c r="H56" s="0" t="n">
        <v>0</v>
      </c>
      <c r="I56" s="0" t="n">
        <v>0.6</v>
      </c>
      <c r="J56" s="0" t="n">
        <v>187.6</v>
      </c>
      <c r="K56" s="115" t="n">
        <f aca="false">IFERROR(G56/F56/6.89*0.427*F56,0)</f>
        <v>0</v>
      </c>
      <c r="L56" s="115" t="n">
        <f aca="false">IFERROR(D56/C56/12.87*0.633*C56,0)</f>
        <v>51.4466200466201</v>
      </c>
      <c r="M56" s="118"/>
      <c r="N56" s="118"/>
      <c r="O56" s="118"/>
    </row>
    <row r="57" customFormat="false" ht="14.25" hidden="false" customHeight="true" outlineLevel="0" collapsed="false">
      <c r="A57" s="0" t="s">
        <v>740</v>
      </c>
      <c r="B57" s="0" t="s">
        <v>520</v>
      </c>
      <c r="C57" s="0" t="n">
        <v>68.9</v>
      </c>
      <c r="D57" s="0" t="n">
        <v>925.2</v>
      </c>
      <c r="E57" s="0" t="n">
        <v>10.2</v>
      </c>
      <c r="F57" s="0" t="n">
        <v>0</v>
      </c>
      <c r="G57" s="0" t="n">
        <v>0</v>
      </c>
      <c r="H57" s="0" t="n">
        <v>0</v>
      </c>
      <c r="I57" s="0" t="n">
        <v>0.2</v>
      </c>
      <c r="J57" s="0" t="n">
        <v>187.8</v>
      </c>
      <c r="K57" s="115" t="n">
        <f aca="false">IFERROR(G57/F57/6.89*0.427*F57,0)</f>
        <v>0</v>
      </c>
      <c r="L57" s="115" t="n">
        <f aca="false">IFERROR(D57/C57/12.87*0.633*C57,0)</f>
        <v>45.5051748251748</v>
      </c>
      <c r="M57" s="117" t="n">
        <f aca="false">C59*Scoring!$B$34+D59/Scoring!$C$34+E59*Scoring!$D$34+WR!F59*Scoring!$E$34+WR!G59/Scoring!$F$34+WR!H59*Scoring!$G$34+WR!I59*Scoring!$H$34+K59*Scoring!$I$34+WR!L59*Scoring!$J$34+U57</f>
        <v>178.1</v>
      </c>
      <c r="N57" s="117" t="n">
        <f aca="false">C57*Scoring!$B$34+D57/Scoring!$C$34+E57*Scoring!$D$34+WR!F57*Scoring!$E$34+WR!G57/Scoring!$F$34+WR!H57*Scoring!$G$34+WR!I57*Scoring!$H$34+K57*Scoring!$I$34+WR!L57*Scoring!$J$34+U57</f>
        <v>187.77</v>
      </c>
      <c r="O57" s="117" t="n">
        <f aca="false">C58*Scoring!$B$34+D58/Scoring!$C$34+E58*Scoring!$D$34+WR!F58*Scoring!$E$34+WR!G58/Scoring!$F$34+WR!H58*Scoring!$G$34+WR!I58*Scoring!$H$34+K58*Scoring!$I$34+WR!L58*Scoring!$J$34+U57</f>
        <v>199.95</v>
      </c>
      <c r="P57" s="53" t="n">
        <f aca="false">IF(COUNTIF(Rookies!$A:$A,A57)&gt;0,1,0)</f>
        <v>0</v>
      </c>
      <c r="S57" s="53" t="n">
        <f aca="false">V57/17</f>
        <v>11.0452941176471</v>
      </c>
      <c r="T57" s="53" t="n">
        <f aca="false">IF(P57=1,MAX(0,0.28*(12-S57)),0)</f>
        <v>0</v>
      </c>
      <c r="U57" s="53" t="n">
        <f aca="false">T57*17</f>
        <v>0</v>
      </c>
      <c r="V57" s="53" t="n">
        <f aca="false">C57*Scoring!$B$34+D57/Scoring!$C$34+E57*Scoring!$D$34+WR!F57*Scoring!$E$34+WR!G57/Scoring!$F$34+WR!H57*Scoring!$G$34+WR!I57*Scoring!$H$34+K57*Scoring!$I$34+WR!L57*Scoring!$J$34</f>
        <v>187.77</v>
      </c>
    </row>
    <row r="58" customFormat="false" ht="14.25" hidden="false" customHeight="true" outlineLevel="0" collapsed="false">
      <c r="B58" s="0" t="s">
        <v>491</v>
      </c>
      <c r="C58" s="0" t="n">
        <v>70</v>
      </c>
      <c r="D58" s="0" t="n">
        <v>1013.5</v>
      </c>
      <c r="E58" s="0" t="n">
        <v>10.6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220.5</v>
      </c>
      <c r="K58" s="115" t="n">
        <f aca="false">IFERROR(G58/F58/6.89*0.427*F58,0)</f>
        <v>0</v>
      </c>
      <c r="L58" s="115" t="n">
        <f aca="false">IFERROR(D58/C58/12.87*0.633*C58,0)</f>
        <v>49.8481351981352</v>
      </c>
      <c r="M58" s="118"/>
      <c r="N58" s="118"/>
      <c r="O58" s="118"/>
    </row>
    <row r="59" customFormat="false" ht="14.25" hidden="false" customHeight="true" outlineLevel="0" collapsed="false">
      <c r="B59" s="0" t="s">
        <v>492</v>
      </c>
      <c r="C59" s="0" t="n">
        <v>67.6</v>
      </c>
      <c r="D59" s="0" t="n">
        <v>851</v>
      </c>
      <c r="E59" s="0" t="n">
        <v>10</v>
      </c>
      <c r="F59" s="0" t="n">
        <v>0</v>
      </c>
      <c r="G59" s="0" t="n">
        <v>0</v>
      </c>
      <c r="H59" s="0" t="n">
        <v>0</v>
      </c>
      <c r="I59" s="0" t="n">
        <v>0.4</v>
      </c>
      <c r="J59" s="0" t="n">
        <v>172.4</v>
      </c>
      <c r="K59" s="115" t="n">
        <f aca="false">IFERROR(G59/F59/6.89*0.427*F59,0)</f>
        <v>0</v>
      </c>
      <c r="L59" s="115" t="n">
        <f aca="false">IFERROR(D59/C59/12.87*0.633*C59,0)</f>
        <v>41.855710955711</v>
      </c>
      <c r="M59" s="118"/>
      <c r="N59" s="118"/>
      <c r="O59" s="118"/>
    </row>
    <row r="60" customFormat="false" ht="14.25" hidden="false" customHeight="true" outlineLevel="0" collapsed="false">
      <c r="A60" s="0" t="s">
        <v>741</v>
      </c>
      <c r="B60" s="0" t="s">
        <v>502</v>
      </c>
      <c r="C60" s="0" t="n">
        <v>70.8</v>
      </c>
      <c r="D60" s="0" t="n">
        <v>965.3</v>
      </c>
      <c r="E60" s="0" t="n">
        <v>9.1</v>
      </c>
      <c r="F60" s="0" t="n">
        <v>0</v>
      </c>
      <c r="G60" s="0" t="n">
        <v>0</v>
      </c>
      <c r="H60" s="0" t="n">
        <v>0</v>
      </c>
      <c r="I60" s="0" t="n">
        <v>0.2</v>
      </c>
      <c r="J60" s="0" t="n">
        <v>186.2</v>
      </c>
      <c r="K60" s="115" t="n">
        <f aca="false">IFERROR(G60/F60/6.89*0.427*F60,0)</f>
        <v>0</v>
      </c>
      <c r="L60" s="115" t="n">
        <f aca="false">IFERROR(D60/C60/12.87*0.633*C60,0)</f>
        <v>47.4774592074592</v>
      </c>
      <c r="M60" s="117" t="n">
        <f aca="false">C62*Scoring!$B$34+D62/Scoring!$C$34+E62*Scoring!$D$34+WR!F62*Scoring!$E$34+WR!G62/Scoring!$F$34+WR!H62*Scoring!$G$34+WR!I62*Scoring!$H$34+K62*Scoring!$I$34+WR!L62*Scoring!$J$34+U60</f>
        <v>170.3</v>
      </c>
      <c r="N60" s="117" t="n">
        <f aca="false">C60*Scoring!$B$34+D60/Scoring!$C$34+E60*Scoring!$D$34+WR!F60*Scoring!$E$34+WR!G60/Scoring!$F$34+WR!H60*Scoring!$G$34+WR!I60*Scoring!$H$34+K60*Scoring!$I$34+WR!L60*Scoring!$J$34+U60</f>
        <v>186.13</v>
      </c>
      <c r="O60" s="117" t="n">
        <f aca="false">C61*Scoring!$B$34+D61/Scoring!$C$34+E61*Scoring!$D$34+WR!F61*Scoring!$E$34+WR!G61/Scoring!$F$34+WR!H61*Scoring!$G$34+WR!I61*Scoring!$H$34+K61*Scoring!$I$34+WR!L61*Scoring!$J$34+U60</f>
        <v>206.5</v>
      </c>
      <c r="P60" s="53" t="n">
        <f aca="false">IF(COUNTIF(Rookies!$A:$A,A60)&gt;0,1,0)</f>
        <v>0</v>
      </c>
      <c r="S60" s="53" t="n">
        <f aca="false">V60/17</f>
        <v>10.9488235294118</v>
      </c>
      <c r="T60" s="53" t="n">
        <f aca="false">IF(P60=1,MAX(0,0.28*(12-S60)),0)</f>
        <v>0</v>
      </c>
      <c r="U60" s="53" t="n">
        <f aca="false">T60*17</f>
        <v>0</v>
      </c>
      <c r="V60" s="53" t="n">
        <f aca="false">C60*Scoring!$B$34+D60/Scoring!$C$34+E60*Scoring!$D$34+WR!F60*Scoring!$E$34+WR!G60/Scoring!$F$34+WR!H60*Scoring!$G$34+WR!I60*Scoring!$H$34+K60*Scoring!$I$34+WR!L60*Scoring!$J$34</f>
        <v>186.13</v>
      </c>
    </row>
    <row r="61" customFormat="false" ht="14.25" hidden="false" customHeight="true" outlineLevel="0" collapsed="false">
      <c r="B61" s="0" t="s">
        <v>491</v>
      </c>
      <c r="C61" s="0" t="n">
        <v>74</v>
      </c>
      <c r="D61" s="0" t="n">
        <v>1035</v>
      </c>
      <c r="E61" s="0" t="n">
        <v>11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206.5</v>
      </c>
      <c r="K61" s="115" t="n">
        <f aca="false">IFERROR(G61/F61/6.89*0.427*F61,0)</f>
        <v>0</v>
      </c>
      <c r="L61" s="115" t="n">
        <f aca="false">IFERROR(D61/C61/12.87*0.633*C61,0)</f>
        <v>50.9055944055944</v>
      </c>
      <c r="M61" s="118"/>
      <c r="N61" s="118"/>
      <c r="O61" s="118"/>
    </row>
    <row r="62" customFormat="false" ht="14.25" hidden="false" customHeight="true" outlineLevel="0" collapsed="false">
      <c r="B62" s="0" t="s">
        <v>492</v>
      </c>
      <c r="C62" s="0" t="n">
        <v>65</v>
      </c>
      <c r="D62" s="0" t="n">
        <v>906</v>
      </c>
      <c r="E62" s="0" t="n">
        <v>8</v>
      </c>
      <c r="F62" s="0" t="n">
        <v>0</v>
      </c>
      <c r="G62" s="0" t="n">
        <v>0</v>
      </c>
      <c r="H62" s="0" t="n">
        <v>0</v>
      </c>
      <c r="I62" s="0" t="n">
        <v>0.4</v>
      </c>
      <c r="J62" s="0" t="n">
        <v>181</v>
      </c>
      <c r="K62" s="115" t="n">
        <f aca="false">IFERROR(G62/F62/6.89*0.427*F62,0)</f>
        <v>0</v>
      </c>
      <c r="L62" s="115" t="n">
        <f aca="false">IFERROR(D62/C62/12.87*0.633*C62,0)</f>
        <v>44.5608391608392</v>
      </c>
      <c r="M62" s="118"/>
      <c r="N62" s="118"/>
      <c r="O62" s="118"/>
    </row>
    <row r="63" customFormat="false" ht="14.25" hidden="false" customHeight="true" outlineLevel="0" collapsed="false">
      <c r="A63" s="0" t="s">
        <v>742</v>
      </c>
      <c r="B63" s="0" t="s">
        <v>524</v>
      </c>
      <c r="C63" s="0" t="n">
        <v>64.5</v>
      </c>
      <c r="D63" s="0" t="n">
        <v>1065.8</v>
      </c>
      <c r="E63" s="0" t="n">
        <v>6.6</v>
      </c>
      <c r="F63" s="0" t="n">
        <v>7.7</v>
      </c>
      <c r="G63" s="0" t="n">
        <v>42.4</v>
      </c>
      <c r="H63" s="0" t="n">
        <v>0.5</v>
      </c>
      <c r="I63" s="0" t="n">
        <v>0.2</v>
      </c>
      <c r="J63" s="0" t="n">
        <v>185.2</v>
      </c>
      <c r="K63" s="115" t="n">
        <f aca="false">IFERROR(G63/F63/6.89*0.427*F63,0)</f>
        <v>2.62769230769231</v>
      </c>
      <c r="L63" s="115" t="n">
        <f aca="false">IFERROR(D63/C63/12.87*0.633*C63,0)</f>
        <v>52.4204662004662</v>
      </c>
      <c r="M63" s="117" t="n">
        <f aca="false">C65*Scoring!$B$34+D65/Scoring!$C$34+E65*Scoring!$D$34+WR!F65*Scoring!$E$34+WR!G65/Scoring!$F$34+WR!H65*Scoring!$G$34+WR!I65*Scoring!$H$34+K65*Scoring!$I$34+WR!L65*Scoring!$J$34+U63</f>
        <v>171.55</v>
      </c>
      <c r="N63" s="117" t="n">
        <f aca="false">C63*Scoring!$B$34+D63/Scoring!$C$34+E63*Scoring!$D$34+WR!F63*Scoring!$E$34+WR!G63/Scoring!$F$34+WR!H63*Scoring!$G$34+WR!I63*Scoring!$H$34+K63*Scoring!$I$34+WR!L63*Scoring!$J$34+U63</f>
        <v>185.27</v>
      </c>
      <c r="O63" s="117" t="n">
        <f aca="false">C64*Scoring!$B$34+D64/Scoring!$C$34+E64*Scoring!$D$34+WR!F64*Scoring!$E$34+WR!G64/Scoring!$F$34+WR!H64*Scoring!$G$34+WR!I64*Scoring!$H$34+K64*Scoring!$I$34+WR!L64*Scoring!$J$34+U63</f>
        <v>194.32</v>
      </c>
      <c r="P63" s="53" t="n">
        <f aca="false">IF(COUNTIF(Rookies!$A:$A,A63)&gt;0,1,0)</f>
        <v>0</v>
      </c>
      <c r="S63" s="53" t="n">
        <f aca="false">V63/17</f>
        <v>10.8982352941176</v>
      </c>
      <c r="T63" s="53" t="n">
        <f aca="false">IF(P63=1,MAX(0,0.28*(12-S63)),0)</f>
        <v>0</v>
      </c>
      <c r="U63" s="53" t="n">
        <f aca="false">T63*17</f>
        <v>0</v>
      </c>
      <c r="V63" s="53" t="n">
        <f aca="false">C63*Scoring!$B$34+D63/Scoring!$C$34+E63*Scoring!$D$34+WR!F63*Scoring!$E$34+WR!G63/Scoring!$F$34+WR!H63*Scoring!$G$34+WR!I63*Scoring!$H$34+K63*Scoring!$I$34+WR!L63*Scoring!$J$34</f>
        <v>185.27</v>
      </c>
    </row>
    <row r="64" customFormat="false" ht="14.25" hidden="false" customHeight="true" outlineLevel="0" collapsed="false">
      <c r="B64" s="0" t="s">
        <v>491</v>
      </c>
      <c r="C64" s="0" t="n">
        <v>66</v>
      </c>
      <c r="D64" s="0" t="n">
        <v>1088</v>
      </c>
      <c r="E64" s="0" t="n">
        <v>7</v>
      </c>
      <c r="F64" s="0" t="n">
        <v>8</v>
      </c>
      <c r="G64" s="0" t="n">
        <v>45.2</v>
      </c>
      <c r="H64" s="0" t="n">
        <v>1</v>
      </c>
      <c r="I64" s="0" t="n">
        <v>0</v>
      </c>
      <c r="J64" s="0" t="n">
        <v>220.2</v>
      </c>
      <c r="K64" s="115" t="n">
        <f aca="false">IFERROR(G64/F64/6.89*0.427*F64,0)</f>
        <v>2.80121915820029</v>
      </c>
      <c r="L64" s="115" t="n">
        <f aca="false">IFERROR(D64/C64/12.87*0.633*C64,0)</f>
        <v>53.5123543123543</v>
      </c>
      <c r="M64" s="118"/>
      <c r="N64" s="118"/>
      <c r="O64" s="118"/>
    </row>
    <row r="65" customFormat="false" ht="14.25" hidden="false" customHeight="true" outlineLevel="0" collapsed="false">
      <c r="B65" s="0" t="s">
        <v>492</v>
      </c>
      <c r="C65" s="0" t="n">
        <v>63</v>
      </c>
      <c r="D65" s="0" t="n">
        <v>1026.5</v>
      </c>
      <c r="E65" s="0" t="n">
        <v>5.7</v>
      </c>
      <c r="F65" s="0" t="n">
        <v>7</v>
      </c>
      <c r="G65" s="0" t="n">
        <v>40</v>
      </c>
      <c r="H65" s="0" t="n">
        <v>0</v>
      </c>
      <c r="I65" s="0" t="n">
        <v>0.4</v>
      </c>
      <c r="J65" s="0" t="n">
        <v>176.5</v>
      </c>
      <c r="K65" s="115" t="n">
        <f aca="false">IFERROR(G65/F65/6.89*0.427*F65,0)</f>
        <v>2.47895500725689</v>
      </c>
      <c r="L65" s="115" t="n">
        <f aca="false">IFERROR(D65/C65/12.87*0.633*C65,0)</f>
        <v>50.4875291375291</v>
      </c>
      <c r="M65" s="118"/>
      <c r="N65" s="118"/>
      <c r="O65" s="118"/>
    </row>
    <row r="66" customFormat="false" ht="14.25" hidden="false" customHeight="true" outlineLevel="0" collapsed="false">
      <c r="A66" s="0" t="s">
        <v>743</v>
      </c>
      <c r="B66" s="0" t="s">
        <v>516</v>
      </c>
      <c r="C66" s="0" t="n">
        <v>79.2</v>
      </c>
      <c r="D66" s="0" t="n">
        <v>1009.1</v>
      </c>
      <c r="E66" s="0" t="n">
        <v>6.4</v>
      </c>
      <c r="F66" s="0" t="n">
        <v>0</v>
      </c>
      <c r="G66" s="0" t="n">
        <v>0</v>
      </c>
      <c r="H66" s="0" t="n">
        <v>0</v>
      </c>
      <c r="I66" s="0" t="n">
        <v>0.3</v>
      </c>
      <c r="J66" s="0" t="n">
        <v>178.6</v>
      </c>
      <c r="K66" s="115" t="n">
        <f aca="false">IFERROR(G66/F66/6.89*0.427*F66,0)</f>
        <v>0</v>
      </c>
      <c r="L66" s="115" t="n">
        <f aca="false">IFERROR(D66/C66/12.87*0.633*C66,0)</f>
        <v>49.631724941725</v>
      </c>
      <c r="M66" s="117" t="n">
        <f aca="false">C68*Scoring!$B$34+D68/Scoring!$C$34+E68*Scoring!$D$34+WR!F68*Scoring!$E$34+WR!G68/Scoring!$F$34+WR!H68*Scoring!$G$34+WR!I68*Scoring!$H$34+K68*Scoring!$I$34+WR!L68*Scoring!$J$34+U66</f>
        <v>168.4</v>
      </c>
      <c r="N66" s="117" t="n">
        <f aca="false">C66*Scoring!$B$34+D66/Scoring!$C$34+E66*Scoring!$D$34+WR!F66*Scoring!$E$34+WR!G66/Scoring!$F$34+WR!H66*Scoring!$G$34+WR!I66*Scoring!$H$34+K66*Scoring!$I$34+WR!L66*Scoring!$J$34+U66</f>
        <v>178.31</v>
      </c>
      <c r="O66" s="117" t="n">
        <f aca="false">C67*Scoring!$B$34+D67/Scoring!$C$34+E67*Scoring!$D$34+WR!F67*Scoring!$E$34+WR!G67/Scoring!$F$34+WR!H67*Scoring!$G$34+WR!I67*Scoring!$H$34+K67*Scoring!$I$34+WR!L67*Scoring!$J$34+U66</f>
        <v>186.92</v>
      </c>
      <c r="P66" s="53" t="n">
        <f aca="false">IF(COUNTIF(Rookies!$A:$A,A66)&gt;0,1,0)</f>
        <v>0</v>
      </c>
      <c r="S66" s="53" t="n">
        <f aca="false">V66/17</f>
        <v>10.4888235294118</v>
      </c>
      <c r="T66" s="53" t="n">
        <f aca="false">IF(P66=1,MAX(0,0.28*(12-S66)),0)</f>
        <v>0</v>
      </c>
      <c r="U66" s="53" t="n">
        <f aca="false">T66*17</f>
        <v>0</v>
      </c>
      <c r="V66" s="53" t="n">
        <f aca="false">C66*Scoring!$B$34+D66/Scoring!$C$34+E66*Scoring!$D$34+WR!F66*Scoring!$E$34+WR!G66/Scoring!$F$34+WR!H66*Scoring!$G$34+WR!I66*Scoring!$H$34+K66*Scoring!$I$34+WR!L66*Scoring!$J$34</f>
        <v>178.31</v>
      </c>
    </row>
    <row r="67" customFormat="false" ht="14.25" hidden="false" customHeight="true" outlineLevel="0" collapsed="false">
      <c r="B67" s="0" t="s">
        <v>491</v>
      </c>
      <c r="C67" s="0" t="n">
        <v>82</v>
      </c>
      <c r="D67" s="0" t="n">
        <v>1039.2</v>
      </c>
      <c r="E67" s="0" t="n">
        <v>7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209.2</v>
      </c>
      <c r="K67" s="115" t="n">
        <f aca="false">IFERROR(G67/F67/6.89*0.427*F67,0)</f>
        <v>0</v>
      </c>
      <c r="L67" s="115" t="n">
        <f aca="false">IFERROR(D67/C67/12.87*0.633*C67,0)</f>
        <v>51.1121678321678</v>
      </c>
      <c r="M67" s="118"/>
      <c r="N67" s="118"/>
      <c r="O67" s="118"/>
    </row>
    <row r="68" customFormat="false" ht="14.25" hidden="false" customHeight="true" outlineLevel="0" collapsed="false">
      <c r="B68" s="0" t="s">
        <v>492</v>
      </c>
      <c r="C68" s="0" t="n">
        <v>76</v>
      </c>
      <c r="D68" s="0" t="n">
        <v>956</v>
      </c>
      <c r="E68" s="0" t="n">
        <v>6</v>
      </c>
      <c r="F68" s="0" t="n">
        <v>0</v>
      </c>
      <c r="G68" s="0" t="n">
        <v>0</v>
      </c>
      <c r="H68" s="0" t="n">
        <v>0</v>
      </c>
      <c r="I68" s="0" t="n">
        <v>0.6</v>
      </c>
      <c r="J68" s="0" t="n">
        <v>176.6</v>
      </c>
      <c r="K68" s="115" t="n">
        <f aca="false">IFERROR(G68/F68/6.89*0.427*F68,0)</f>
        <v>0</v>
      </c>
      <c r="L68" s="115" t="n">
        <f aca="false">IFERROR(D68/C68/12.87*0.633*C68,0)</f>
        <v>47.0200466200466</v>
      </c>
      <c r="M68" s="118"/>
      <c r="N68" s="118"/>
      <c r="O68" s="118"/>
    </row>
    <row r="69" customFormat="false" ht="14.25" hidden="false" customHeight="true" outlineLevel="0" collapsed="false">
      <c r="A69" s="0" t="s">
        <v>744</v>
      </c>
      <c r="B69" s="0" t="s">
        <v>496</v>
      </c>
      <c r="C69" s="0" t="n">
        <v>68.6</v>
      </c>
      <c r="D69" s="0" t="n">
        <v>971.1</v>
      </c>
      <c r="E69" s="0" t="n">
        <v>7.4</v>
      </c>
      <c r="F69" s="0" t="n">
        <v>0.3</v>
      </c>
      <c r="G69" s="0" t="n">
        <v>0.3</v>
      </c>
      <c r="H69" s="0" t="n">
        <v>0</v>
      </c>
      <c r="I69" s="0" t="n">
        <v>0.3</v>
      </c>
      <c r="J69" s="0" t="n">
        <v>175</v>
      </c>
      <c r="K69" s="115" t="n">
        <f aca="false">IFERROR(G69/F69/6.89*0.427*F69,0)</f>
        <v>0.0185921625544267</v>
      </c>
      <c r="L69" s="115" t="n">
        <f aca="false">IFERROR(D69/C69/12.87*0.633*C69,0)</f>
        <v>47.7627272727273</v>
      </c>
      <c r="M69" s="117" t="n">
        <f aca="false">C71*Scoring!$B$34+D71/Scoring!$C$34+E71*Scoring!$D$34+WR!F71*Scoring!$E$34+WR!G71/Scoring!$F$34+WR!H71*Scoring!$G$34+WR!I71*Scoring!$H$34+K71*Scoring!$I$34+WR!L71*Scoring!$J$34+U69</f>
        <v>159.3</v>
      </c>
      <c r="N69" s="117" t="n">
        <f aca="false">C69*Scoring!$B$34+D69/Scoring!$C$34+E69*Scoring!$D$34+WR!F69*Scoring!$E$34+WR!G69/Scoring!$F$34+WR!H69*Scoring!$G$34+WR!I69*Scoring!$H$34+K69*Scoring!$I$34+WR!L69*Scoring!$J$34+U69</f>
        <v>175.24</v>
      </c>
      <c r="O69" s="117" t="n">
        <f aca="false">C70*Scoring!$B$34+D70/Scoring!$C$34+E70*Scoring!$D$34+WR!F70*Scoring!$E$34+WR!G70/Scoring!$F$34+WR!H70*Scoring!$G$34+WR!I70*Scoring!$H$34+K70*Scoring!$I$34+WR!L70*Scoring!$J$34+U69</f>
        <v>203.63</v>
      </c>
      <c r="P69" s="53" t="n">
        <f aca="false">IF(COUNTIF(Rookies!$A:$A,A69)&gt;0,1,0)</f>
        <v>0</v>
      </c>
      <c r="S69" s="53" t="n">
        <f aca="false">V69/17</f>
        <v>10.3082352941176</v>
      </c>
      <c r="T69" s="53" t="n">
        <f aca="false">IF(P69=1,MAX(0,0.28*(12-S69)),0)</f>
        <v>0</v>
      </c>
      <c r="U69" s="53" t="n">
        <f aca="false">T69*17</f>
        <v>0</v>
      </c>
      <c r="V69" s="53" t="n">
        <f aca="false">C69*Scoring!$B$34+D69/Scoring!$C$34+E69*Scoring!$D$34+WR!F69*Scoring!$E$34+WR!G69/Scoring!$F$34+WR!H69*Scoring!$G$34+WR!I69*Scoring!$H$34+K69*Scoring!$I$34+WR!L69*Scoring!$J$34</f>
        <v>175.24</v>
      </c>
    </row>
    <row r="70" customFormat="false" ht="14.25" hidden="false" customHeight="true" outlineLevel="0" collapsed="false">
      <c r="B70" s="0" t="s">
        <v>491</v>
      </c>
      <c r="C70" s="0" t="n">
        <v>76.8</v>
      </c>
      <c r="D70" s="0" t="n">
        <v>1051.3</v>
      </c>
      <c r="E70" s="0" t="n">
        <v>10</v>
      </c>
      <c r="F70" s="0" t="n">
        <v>1</v>
      </c>
      <c r="G70" s="0" t="n">
        <v>1</v>
      </c>
      <c r="H70" s="0" t="n">
        <v>0</v>
      </c>
      <c r="I70" s="0" t="n">
        <v>0</v>
      </c>
      <c r="J70" s="0" t="n">
        <v>196.5</v>
      </c>
      <c r="K70" s="115" t="n">
        <f aca="false">IFERROR(G70/F70/6.89*0.427*F70,0)</f>
        <v>0.0619738751814224</v>
      </c>
      <c r="L70" s="115" t="n">
        <f aca="false">IFERROR(D70/C70/12.87*0.633*C70,0)</f>
        <v>51.7072960372961</v>
      </c>
      <c r="M70" s="118"/>
      <c r="N70" s="118"/>
      <c r="O70" s="118"/>
    </row>
    <row r="71" customFormat="false" ht="14.25" hidden="false" customHeight="true" outlineLevel="0" collapsed="false">
      <c r="B71" s="0" t="s">
        <v>492</v>
      </c>
      <c r="C71" s="0" t="n">
        <v>64</v>
      </c>
      <c r="D71" s="0" t="n">
        <v>925</v>
      </c>
      <c r="E71" s="0" t="n">
        <v>6</v>
      </c>
      <c r="F71" s="0" t="n">
        <v>0</v>
      </c>
      <c r="G71" s="0" t="n">
        <v>0</v>
      </c>
      <c r="H71" s="0" t="n">
        <v>0</v>
      </c>
      <c r="I71" s="0" t="n">
        <v>0.6</v>
      </c>
      <c r="J71" s="0" t="n">
        <v>175.7</v>
      </c>
      <c r="K71" s="115" t="n">
        <f aca="false">IFERROR(G71/F71/6.89*0.427*F71,0)</f>
        <v>0</v>
      </c>
      <c r="L71" s="115" t="n">
        <f aca="false">IFERROR(D71/C71/12.87*0.633*C71,0)</f>
        <v>45.495337995338</v>
      </c>
      <c r="M71" s="118"/>
      <c r="N71" s="118"/>
      <c r="O71" s="118"/>
    </row>
    <row r="72" customFormat="false" ht="14.25" hidden="false" customHeight="true" outlineLevel="0" collapsed="false">
      <c r="A72" s="0" t="s">
        <v>745</v>
      </c>
      <c r="B72" s="0" t="s">
        <v>514</v>
      </c>
      <c r="C72" s="0" t="n">
        <v>62.3</v>
      </c>
      <c r="D72" s="0" t="n">
        <v>964.9</v>
      </c>
      <c r="E72" s="0" t="n">
        <v>7.8</v>
      </c>
      <c r="F72" s="0" t="n">
        <v>0.3</v>
      </c>
      <c r="G72" s="0" t="n">
        <v>1.3</v>
      </c>
      <c r="H72" s="0" t="n">
        <v>0</v>
      </c>
      <c r="I72" s="0" t="n">
        <v>0.3</v>
      </c>
      <c r="J72" s="0" t="n">
        <v>174</v>
      </c>
      <c r="K72" s="115" t="n">
        <f aca="false">IFERROR(G72/F72/6.89*0.427*F72,0)</f>
        <v>0.0805660377358491</v>
      </c>
      <c r="L72" s="115" t="n">
        <f aca="false">IFERROR(D72/C72/12.87*0.633*C72,0)</f>
        <v>47.4577855477856</v>
      </c>
      <c r="M72" s="117" t="n">
        <f aca="false">C74*Scoring!$B$34+D74/Scoring!$C$34+E74*Scoring!$D$34+WR!F74*Scoring!$E$34+WR!G74/Scoring!$F$34+WR!H74*Scoring!$G$34+WR!I74*Scoring!$H$34+K74*Scoring!$I$34+WR!L74*Scoring!$J$34+U72</f>
        <v>162.35</v>
      </c>
      <c r="N72" s="117" t="n">
        <f aca="false">C72*Scoring!$B$34+D72/Scoring!$C$34+E72*Scoring!$D$34+WR!F72*Scoring!$E$34+WR!G72/Scoring!$F$34+WR!H72*Scoring!$G$34+WR!I72*Scoring!$H$34+K72*Scoring!$I$34+WR!L72*Scoring!$J$34+U72</f>
        <v>173.97</v>
      </c>
      <c r="O72" s="117" t="n">
        <f aca="false">C73*Scoring!$B$34+D73/Scoring!$C$34+E73*Scoring!$D$34+WR!F73*Scoring!$E$34+WR!G73/Scoring!$F$34+WR!H73*Scoring!$G$34+WR!I73*Scoring!$H$34+K73*Scoring!$I$34+WR!L73*Scoring!$J$34+U72</f>
        <v>186.68</v>
      </c>
      <c r="P72" s="53" t="n">
        <f aca="false">IF(COUNTIF(Rookies!$A:$A,A72)&gt;0,1,0)</f>
        <v>0</v>
      </c>
      <c r="S72" s="53" t="n">
        <f aca="false">V72/17</f>
        <v>10.2335294117647</v>
      </c>
      <c r="T72" s="53" t="n">
        <f aca="false">IF(P72=1,MAX(0,0.28*(12-S72)),0)</f>
        <v>0</v>
      </c>
      <c r="U72" s="53" t="n">
        <f aca="false">T72*17</f>
        <v>0</v>
      </c>
      <c r="V72" s="53" t="n">
        <f aca="false">C72*Scoring!$B$34+D72/Scoring!$C$34+E72*Scoring!$D$34+WR!F72*Scoring!$E$34+WR!G72/Scoring!$F$34+WR!H72*Scoring!$G$34+WR!I72*Scoring!$H$34+K72*Scoring!$I$34+WR!L72*Scoring!$J$34</f>
        <v>173.97</v>
      </c>
    </row>
    <row r="73" customFormat="false" ht="14.25" hidden="false" customHeight="true" outlineLevel="0" collapsed="false">
      <c r="B73" s="0" t="s">
        <v>491</v>
      </c>
      <c r="C73" s="0" t="n">
        <v>65</v>
      </c>
      <c r="D73" s="0" t="n">
        <v>1033.8</v>
      </c>
      <c r="E73" s="0" t="n">
        <v>8.4</v>
      </c>
      <c r="F73" s="0" t="n">
        <v>1</v>
      </c>
      <c r="G73" s="0" t="n">
        <v>4</v>
      </c>
      <c r="H73" s="0" t="n">
        <v>0</v>
      </c>
      <c r="I73" s="0" t="n">
        <v>0</v>
      </c>
      <c r="J73" s="0" t="n">
        <v>200.1</v>
      </c>
      <c r="K73" s="115" t="n">
        <f aca="false">IFERROR(G73/F73/6.89*0.427*F73,0)</f>
        <v>0.247895500725689</v>
      </c>
      <c r="L73" s="115" t="n">
        <f aca="false">IFERROR(D73/C73/12.87*0.633*C73,0)</f>
        <v>50.8465734265734</v>
      </c>
      <c r="M73" s="118"/>
      <c r="N73" s="118"/>
      <c r="O73" s="118"/>
    </row>
    <row r="74" customFormat="false" ht="14.25" hidden="false" customHeight="true" outlineLevel="0" collapsed="false">
      <c r="B74" s="0" t="s">
        <v>492</v>
      </c>
      <c r="C74" s="0" t="n">
        <v>59.9</v>
      </c>
      <c r="D74" s="0" t="n">
        <v>916</v>
      </c>
      <c r="E74" s="0" t="n">
        <v>7</v>
      </c>
      <c r="F74" s="0" t="n">
        <v>0</v>
      </c>
      <c r="G74" s="0" t="n">
        <v>0</v>
      </c>
      <c r="H74" s="0" t="n">
        <v>0</v>
      </c>
      <c r="I74" s="0" t="n">
        <v>0.6</v>
      </c>
      <c r="J74" s="0" t="n">
        <v>162.1</v>
      </c>
      <c r="K74" s="115" t="n">
        <f aca="false">IFERROR(G74/F74/6.89*0.427*F74,0)</f>
        <v>0</v>
      </c>
      <c r="L74" s="115" t="n">
        <f aca="false">IFERROR(D74/C74/12.87*0.633*C74,0)</f>
        <v>45.0526806526807</v>
      </c>
      <c r="M74" s="118"/>
      <c r="N74" s="118"/>
      <c r="O74" s="118"/>
    </row>
    <row r="75" customFormat="false" ht="14.25" hidden="false" customHeight="true" outlineLevel="0" collapsed="false">
      <c r="A75" s="0" t="s">
        <v>746</v>
      </c>
      <c r="B75" s="0" t="s">
        <v>490</v>
      </c>
      <c r="C75" s="0" t="n">
        <v>69.1</v>
      </c>
      <c r="D75" s="0" t="n">
        <v>904.6</v>
      </c>
      <c r="E75" s="0" t="n">
        <v>7</v>
      </c>
      <c r="F75" s="0" t="n">
        <v>10.3</v>
      </c>
      <c r="G75" s="0" t="n">
        <v>54</v>
      </c>
      <c r="H75" s="0" t="n">
        <v>0.5</v>
      </c>
      <c r="I75" s="0" t="n">
        <v>0.8</v>
      </c>
      <c r="J75" s="0" t="n">
        <v>173.6</v>
      </c>
      <c r="K75" s="115" t="n">
        <f aca="false">IFERROR(G75/F75/6.89*0.427*F75,0)</f>
        <v>3.34658925979681</v>
      </c>
      <c r="L75" s="115" t="n">
        <f aca="false">IFERROR(D75/C75/12.87*0.633*C75,0)</f>
        <v>44.4919813519814</v>
      </c>
      <c r="M75" s="117" t="n">
        <f aca="false">C77*Scoring!$B$34+D77/Scoring!$C$34+E77*Scoring!$D$34+WR!F77*Scoring!$E$34+WR!G77/Scoring!$F$34+WR!H77*Scoring!$G$34+WR!I77*Scoring!$H$34+K77*Scoring!$I$34+WR!L77*Scoring!$J$34+U75</f>
        <v>152.5</v>
      </c>
      <c r="N75" s="117" t="n">
        <f aca="false">C75*Scoring!$B$34+D75/Scoring!$C$34+E75*Scoring!$D$34+WR!F75*Scoring!$E$34+WR!G75/Scoring!$F$34+WR!H75*Scoring!$G$34+WR!I75*Scoring!$H$34+K75*Scoring!$I$34+WR!L75*Scoring!$J$34+U75</f>
        <v>173.81</v>
      </c>
      <c r="O75" s="117" t="n">
        <f aca="false">C76*Scoring!$B$34+D76/Scoring!$C$34+E76*Scoring!$D$34+WR!F76*Scoring!$E$34+WR!G76/Scoring!$F$34+WR!H76*Scoring!$G$34+WR!I76*Scoring!$H$34+K76*Scoring!$I$34+WR!L76*Scoring!$J$34+U75</f>
        <v>191.9</v>
      </c>
      <c r="P75" s="53" t="n">
        <f aca="false">IF(COUNTIF(Rookies!$A:$A,A75)&gt;0,1,0)</f>
        <v>0</v>
      </c>
      <c r="S75" s="53" t="n">
        <f aca="false">V75/17</f>
        <v>10.2241176470588</v>
      </c>
      <c r="T75" s="53" t="n">
        <f aca="false">IF(P75=1,MAX(0,0.28*(12-S75)),0)</f>
        <v>0</v>
      </c>
      <c r="U75" s="53" t="n">
        <f aca="false">T75*17</f>
        <v>0</v>
      </c>
      <c r="V75" s="53" t="n">
        <f aca="false">C75*Scoring!$B$34+D75/Scoring!$C$34+E75*Scoring!$D$34+WR!F75*Scoring!$E$34+WR!G75/Scoring!$F$34+WR!H75*Scoring!$G$34+WR!I75*Scoring!$H$34+K75*Scoring!$I$34+WR!L75*Scoring!$J$34</f>
        <v>173.81</v>
      </c>
    </row>
    <row r="76" customFormat="false" ht="14.25" hidden="false" customHeight="true" outlineLevel="0" collapsed="false">
      <c r="B76" s="0" t="s">
        <v>491</v>
      </c>
      <c r="C76" s="0" t="n">
        <v>71</v>
      </c>
      <c r="D76" s="0" t="n">
        <v>955</v>
      </c>
      <c r="E76" s="0" t="n">
        <v>8</v>
      </c>
      <c r="F76" s="0" t="n">
        <v>16</v>
      </c>
      <c r="G76" s="0" t="n">
        <v>81</v>
      </c>
      <c r="H76" s="0" t="n">
        <v>1</v>
      </c>
      <c r="I76" s="0" t="n">
        <v>0.6</v>
      </c>
      <c r="J76" s="0" t="n">
        <v>206</v>
      </c>
      <c r="K76" s="115" t="n">
        <f aca="false">IFERROR(G76/F76/6.89*0.427*F76,0)</f>
        <v>5.01988388969521</v>
      </c>
      <c r="L76" s="115" t="n">
        <f aca="false">IFERROR(D76/C76/12.87*0.633*C76,0)</f>
        <v>46.9708624708625</v>
      </c>
      <c r="M76" s="118"/>
      <c r="N76" s="118"/>
      <c r="O76" s="118"/>
    </row>
    <row r="77" customFormat="false" ht="14.25" hidden="false" customHeight="true" outlineLevel="0" collapsed="false">
      <c r="B77" s="0" t="s">
        <v>492</v>
      </c>
      <c r="C77" s="0" t="n">
        <v>67.2</v>
      </c>
      <c r="D77" s="0" t="n">
        <v>813</v>
      </c>
      <c r="E77" s="0" t="n">
        <v>6</v>
      </c>
      <c r="F77" s="0" t="n">
        <v>6.9</v>
      </c>
      <c r="G77" s="0" t="n">
        <v>36</v>
      </c>
      <c r="H77" s="0" t="n">
        <v>0</v>
      </c>
      <c r="I77" s="0" t="n">
        <v>1</v>
      </c>
      <c r="J77" s="0" t="n">
        <v>161.5</v>
      </c>
      <c r="K77" s="115" t="n">
        <f aca="false">IFERROR(G77/F77/6.89*0.427*F77,0)</f>
        <v>2.2310595065312</v>
      </c>
      <c r="L77" s="115" t="n">
        <f aca="false">IFERROR(D77/C77/12.87*0.633*C77,0)</f>
        <v>39.9867132867133</v>
      </c>
      <c r="M77" s="118"/>
      <c r="N77" s="118"/>
      <c r="O77" s="118"/>
    </row>
    <row r="78" customFormat="false" ht="14.25" hidden="false" customHeight="true" outlineLevel="0" collapsed="false">
      <c r="A78" s="0" t="s">
        <v>747</v>
      </c>
      <c r="B78" s="0" t="s">
        <v>518</v>
      </c>
      <c r="C78" s="0" t="n">
        <v>74.5</v>
      </c>
      <c r="D78" s="0" t="n">
        <v>992</v>
      </c>
      <c r="E78" s="0" t="n">
        <v>6</v>
      </c>
      <c r="F78" s="0" t="n">
        <v>1.7</v>
      </c>
      <c r="G78" s="0" t="n">
        <v>12.4</v>
      </c>
      <c r="H78" s="0" t="n">
        <v>0</v>
      </c>
      <c r="I78" s="0" t="n">
        <v>0.3</v>
      </c>
      <c r="J78" s="0" t="n">
        <v>173.2</v>
      </c>
      <c r="K78" s="115" t="n">
        <f aca="false">IFERROR(G78/F78/6.89*0.427*F78,0)</f>
        <v>0.768476052249637</v>
      </c>
      <c r="L78" s="115" t="n">
        <f aca="false">IFERROR(D78/C78/12.87*0.633*C78,0)</f>
        <v>48.790675990676</v>
      </c>
      <c r="M78" s="117" t="n">
        <f aca="false">C80*Scoring!$B$34+D80/Scoring!$C$34+E80*Scoring!$D$34+WR!F80*Scoring!$E$34+WR!G80/Scoring!$F$34+WR!H80*Scoring!$G$34+WR!I80*Scoring!$H$34+K80*Scoring!$I$34+WR!L80*Scoring!$J$34+U78</f>
        <v>169.3</v>
      </c>
      <c r="N78" s="117" t="n">
        <f aca="false">C78*Scoring!$B$34+D78/Scoring!$C$34+E78*Scoring!$D$34+WR!F78*Scoring!$E$34+WR!G78/Scoring!$F$34+WR!H78*Scoring!$G$34+WR!I78*Scoring!$H$34+K78*Scoring!$I$34+WR!L78*Scoring!$J$34+U78</f>
        <v>173.09</v>
      </c>
      <c r="O78" s="117" t="n">
        <f aca="false">C79*Scoring!$B$34+D79/Scoring!$C$34+E79*Scoring!$D$34+WR!F79*Scoring!$E$34+WR!G79/Scoring!$F$34+WR!H79*Scoring!$G$34+WR!I79*Scoring!$H$34+K79*Scoring!$I$34+WR!L79*Scoring!$J$34+U78</f>
        <v>176.95</v>
      </c>
      <c r="P78" s="53" t="n">
        <f aca="false">IF(COUNTIF(Rookies!$A:$A,A78)&gt;0,1,0)</f>
        <v>0</v>
      </c>
      <c r="S78" s="53" t="n">
        <f aca="false">V78/17</f>
        <v>10.1817647058824</v>
      </c>
      <c r="T78" s="53" t="n">
        <f aca="false">IF(P78=1,MAX(0,0.28*(12-S78)),0)</f>
        <v>0</v>
      </c>
      <c r="U78" s="53" t="n">
        <f aca="false">T78*17</f>
        <v>0</v>
      </c>
      <c r="V78" s="53" t="n">
        <f aca="false">C78*Scoring!$B$34+D78/Scoring!$C$34+E78*Scoring!$D$34+WR!F78*Scoring!$E$34+WR!G78/Scoring!$F$34+WR!H78*Scoring!$G$34+WR!I78*Scoring!$H$34+K78*Scoring!$I$34+WR!L78*Scoring!$J$34</f>
        <v>173.09</v>
      </c>
    </row>
    <row r="79" customFormat="false" ht="14.25" hidden="false" customHeight="true" outlineLevel="0" collapsed="false">
      <c r="B79" s="0" t="s">
        <v>491</v>
      </c>
      <c r="C79" s="0" t="n">
        <v>76.5</v>
      </c>
      <c r="D79" s="0" t="n">
        <v>996</v>
      </c>
      <c r="E79" s="0" t="n">
        <v>6</v>
      </c>
      <c r="F79" s="0" t="n">
        <v>3</v>
      </c>
      <c r="G79" s="0" t="n">
        <v>25</v>
      </c>
      <c r="H79" s="0" t="n">
        <v>0.1</v>
      </c>
      <c r="I79" s="0" t="n">
        <v>0</v>
      </c>
      <c r="J79" s="0" t="n">
        <v>208</v>
      </c>
      <c r="K79" s="115" t="n">
        <f aca="false">IFERROR(G79/F79/6.89*0.427*F79,0)</f>
        <v>1.54934687953556</v>
      </c>
      <c r="L79" s="115" t="n">
        <f aca="false">IFERROR(D79/C79/12.87*0.633*C79,0)</f>
        <v>48.9874125874126</v>
      </c>
      <c r="M79" s="118"/>
      <c r="N79" s="118"/>
      <c r="O79" s="118"/>
    </row>
    <row r="80" customFormat="false" ht="14.25" hidden="false" customHeight="true" outlineLevel="0" collapsed="false">
      <c r="B80" s="0" t="s">
        <v>492</v>
      </c>
      <c r="C80" s="0" t="n">
        <v>72</v>
      </c>
      <c r="D80" s="0" t="n">
        <v>987</v>
      </c>
      <c r="E80" s="0" t="n">
        <v>6</v>
      </c>
      <c r="F80" s="0" t="n">
        <v>0</v>
      </c>
      <c r="G80" s="0" t="n">
        <v>0</v>
      </c>
      <c r="H80" s="0" t="n">
        <v>0</v>
      </c>
      <c r="I80" s="0" t="n">
        <v>0.7</v>
      </c>
      <c r="J80" s="0" t="n">
        <v>164.3</v>
      </c>
      <c r="K80" s="115" t="n">
        <f aca="false">IFERROR(G80/F80/6.89*0.427*F80,0)</f>
        <v>0</v>
      </c>
      <c r="L80" s="115" t="n">
        <f aca="false">IFERROR(D80/C80/12.87*0.633*C80,0)</f>
        <v>48.5447552447553</v>
      </c>
      <c r="M80" s="118"/>
      <c r="N80" s="118"/>
      <c r="O80" s="118"/>
    </row>
    <row r="81" customFormat="false" ht="14.25" hidden="false" customHeight="true" outlineLevel="0" collapsed="false">
      <c r="A81" s="0" t="s">
        <v>748</v>
      </c>
      <c r="B81" s="0" t="s">
        <v>514</v>
      </c>
      <c r="C81" s="0" t="n">
        <v>72.6</v>
      </c>
      <c r="D81" s="0" t="n">
        <v>974.5</v>
      </c>
      <c r="E81" s="0" t="n">
        <v>5.7</v>
      </c>
      <c r="F81" s="0" t="n">
        <v>7.7</v>
      </c>
      <c r="G81" s="0" t="n">
        <v>37.9</v>
      </c>
      <c r="H81" s="0" t="n">
        <v>0.1</v>
      </c>
      <c r="I81" s="0" t="n">
        <v>0.3</v>
      </c>
      <c r="J81" s="0" t="n">
        <v>171.8</v>
      </c>
      <c r="K81" s="115" t="n">
        <f aca="false">IFERROR(G81/F81/6.89*0.427*F81,0)</f>
        <v>2.34880986937591</v>
      </c>
      <c r="L81" s="115" t="n">
        <f aca="false">IFERROR(D81/C81/12.87*0.633*C81,0)</f>
        <v>47.9299533799534</v>
      </c>
      <c r="M81" s="117" t="n">
        <f aca="false">C83*Scoring!$B$34+D83/Scoring!$C$34+E83*Scoring!$D$34+WR!F83*Scoring!$E$34+WR!G83/Scoring!$F$34+WR!H83*Scoring!$G$34+WR!I83*Scoring!$H$34+K83*Scoring!$I$34+WR!L83*Scoring!$J$34+U81</f>
        <v>160</v>
      </c>
      <c r="N81" s="117" t="n">
        <f aca="false">C81*Scoring!$B$34+D81/Scoring!$C$34+E81*Scoring!$D$34+WR!F81*Scoring!$E$34+WR!G81/Scoring!$F$34+WR!H81*Scoring!$G$34+WR!I81*Scoring!$H$34+K81*Scoring!$I$34+WR!L81*Scoring!$J$34+U81</f>
        <v>171.74</v>
      </c>
      <c r="O81" s="117" t="n">
        <f aca="false">C82*Scoring!$B$34+D82/Scoring!$C$34+E82*Scoring!$D$34+WR!F82*Scoring!$E$34+WR!G82/Scoring!$F$34+WR!H82*Scoring!$G$34+WR!I82*Scoring!$H$34+K82*Scoring!$I$34+WR!L82*Scoring!$J$34+U81</f>
        <v>186.78</v>
      </c>
      <c r="P81" s="53" t="n">
        <f aca="false">IF(COUNTIF(Rookies!$A:$A,A81)&gt;0,1,0)</f>
        <v>0</v>
      </c>
      <c r="S81" s="53" t="n">
        <f aca="false">V81/17</f>
        <v>10.1023529411765</v>
      </c>
      <c r="T81" s="53" t="n">
        <f aca="false">IF(P81=1,MAX(0,0.28*(12-S81)),0)</f>
        <v>0</v>
      </c>
      <c r="U81" s="53" t="n">
        <f aca="false">T81*17</f>
        <v>0</v>
      </c>
      <c r="V81" s="53" t="n">
        <f aca="false">C81*Scoring!$B$34+D81/Scoring!$C$34+E81*Scoring!$D$34+WR!F81*Scoring!$E$34+WR!G81/Scoring!$F$34+WR!H81*Scoring!$G$34+WR!I81*Scoring!$H$34+K81*Scoring!$I$34+WR!L81*Scoring!$J$34</f>
        <v>171.74</v>
      </c>
    </row>
    <row r="82" customFormat="false" ht="14.25" hidden="false" customHeight="true" outlineLevel="0" collapsed="false">
      <c r="B82" s="0" t="s">
        <v>491</v>
      </c>
      <c r="C82" s="0" t="n">
        <v>75.8</v>
      </c>
      <c r="D82" s="0" t="n">
        <v>1056</v>
      </c>
      <c r="E82" s="0" t="n">
        <v>6</v>
      </c>
      <c r="F82" s="0" t="n">
        <v>9</v>
      </c>
      <c r="G82" s="0" t="n">
        <v>48.8</v>
      </c>
      <c r="H82" s="0" t="n">
        <v>0.4</v>
      </c>
      <c r="I82" s="0" t="n">
        <v>0</v>
      </c>
      <c r="J82" s="0" t="n">
        <v>203.2</v>
      </c>
      <c r="K82" s="115" t="n">
        <f aca="false">IFERROR(G82/F82/6.89*0.427*F82,0)</f>
        <v>3.02432510885341</v>
      </c>
      <c r="L82" s="115" t="n">
        <f aca="false">IFERROR(D82/C82/12.87*0.633*C82,0)</f>
        <v>51.9384615384615</v>
      </c>
      <c r="M82" s="118"/>
      <c r="N82" s="118"/>
      <c r="O82" s="118"/>
    </row>
    <row r="83" customFormat="false" ht="14.25" hidden="false" customHeight="true" outlineLevel="0" collapsed="false">
      <c r="B83" s="0" t="s">
        <v>492</v>
      </c>
      <c r="C83" s="0" t="n">
        <v>70</v>
      </c>
      <c r="D83" s="0" t="n">
        <v>926</v>
      </c>
      <c r="E83" s="0" t="n">
        <v>5.1</v>
      </c>
      <c r="F83" s="0" t="n">
        <v>6</v>
      </c>
      <c r="G83" s="0" t="n">
        <v>32</v>
      </c>
      <c r="H83" s="0" t="n">
        <v>0</v>
      </c>
      <c r="I83" s="0" t="n">
        <v>0.7</v>
      </c>
      <c r="J83" s="0" t="n">
        <v>167.4</v>
      </c>
      <c r="K83" s="115" t="n">
        <f aca="false">IFERROR(G83/F83/6.89*0.427*F83,0)</f>
        <v>1.98316400580552</v>
      </c>
      <c r="L83" s="115" t="n">
        <f aca="false">IFERROR(D83/C83/12.87*0.633*C83,0)</f>
        <v>45.5445221445221</v>
      </c>
      <c r="M83" s="118"/>
      <c r="N83" s="118"/>
      <c r="O83" s="118"/>
    </row>
    <row r="84" customFormat="false" ht="14.25" hidden="false" customHeight="true" outlineLevel="0" collapsed="false">
      <c r="A84" s="0" t="s">
        <v>749</v>
      </c>
      <c r="B84" s="0" t="s">
        <v>530</v>
      </c>
      <c r="C84" s="0" t="n">
        <v>58</v>
      </c>
      <c r="D84" s="0" t="n">
        <v>922.9</v>
      </c>
      <c r="E84" s="0" t="n">
        <v>7.7</v>
      </c>
      <c r="F84" s="0" t="n">
        <v>1.7</v>
      </c>
      <c r="G84" s="0" t="n">
        <v>8.6</v>
      </c>
      <c r="H84" s="0" t="n">
        <v>0</v>
      </c>
      <c r="I84" s="0" t="n">
        <v>0.3</v>
      </c>
      <c r="J84" s="0" t="n">
        <v>168.2</v>
      </c>
      <c r="K84" s="115" t="n">
        <f aca="false">IFERROR(G84/F84/6.89*0.427*F84,0)</f>
        <v>0.532975326560232</v>
      </c>
      <c r="L84" s="115" t="n">
        <f aca="false">IFERROR(D84/C84/12.87*0.633*C84,0)</f>
        <v>45.3920512820513</v>
      </c>
      <c r="M84" s="117" t="n">
        <f aca="false">C86*Scoring!$B$34+D86/Scoring!$C$34+E86*Scoring!$D$34+WR!F86*Scoring!$E$34+WR!G86/Scoring!$F$34+WR!H86*Scoring!$G$34+WR!I86*Scoring!$H$34+K86*Scoring!$I$34+WR!L86*Scoring!$J$34+U84</f>
        <v>155.78</v>
      </c>
      <c r="N84" s="117" t="n">
        <f aca="false">C84*Scoring!$B$34+D84/Scoring!$C$34+E84*Scoring!$D$34+WR!F84*Scoring!$E$34+WR!G84/Scoring!$F$34+WR!H84*Scoring!$G$34+WR!I84*Scoring!$H$34+K84*Scoring!$I$34+WR!L84*Scoring!$J$34+U84</f>
        <v>167.75</v>
      </c>
      <c r="O84" s="117" t="n">
        <f aca="false">C85*Scoring!$B$34+D85/Scoring!$C$34+E85*Scoring!$D$34+WR!F85*Scoring!$E$34+WR!G85/Scoring!$F$34+WR!H85*Scoring!$G$34+WR!I85*Scoring!$H$34+K85*Scoring!$I$34+WR!L85*Scoring!$J$34+U84</f>
        <v>186.6</v>
      </c>
      <c r="P84" s="53" t="n">
        <f aca="false">IF(COUNTIF(Rookies!$A:$A,A84)&gt;0,1,0)</f>
        <v>0</v>
      </c>
      <c r="S84" s="53" t="n">
        <f aca="false">V84/17</f>
        <v>9.86764705882353</v>
      </c>
      <c r="T84" s="53" t="n">
        <f aca="false">IF(P84=1,MAX(0,0.28*(12-S84)),0)</f>
        <v>0</v>
      </c>
      <c r="U84" s="53" t="n">
        <f aca="false">T84*17</f>
        <v>0</v>
      </c>
      <c r="V84" s="53" t="n">
        <f aca="false">C84*Scoring!$B$34+D84/Scoring!$C$34+E84*Scoring!$D$34+WR!F84*Scoring!$E$34+WR!G84/Scoring!$F$34+WR!H84*Scoring!$G$34+WR!I84*Scoring!$H$34+K84*Scoring!$I$34+WR!L84*Scoring!$J$34</f>
        <v>167.75</v>
      </c>
    </row>
    <row r="85" customFormat="false" ht="14.25" hidden="false" customHeight="true" outlineLevel="0" collapsed="false">
      <c r="B85" s="0" t="s">
        <v>491</v>
      </c>
      <c r="C85" s="0" t="n">
        <v>65</v>
      </c>
      <c r="D85" s="0" t="n">
        <v>982</v>
      </c>
      <c r="E85" s="0" t="n">
        <v>9</v>
      </c>
      <c r="F85" s="0" t="n">
        <v>3</v>
      </c>
      <c r="G85" s="0" t="n">
        <v>13</v>
      </c>
      <c r="H85" s="0" t="n">
        <v>0.1</v>
      </c>
      <c r="I85" s="0" t="n">
        <v>0</v>
      </c>
      <c r="J85" s="0" t="n">
        <v>201.7</v>
      </c>
      <c r="K85" s="115" t="n">
        <f aca="false">IFERROR(G85/F85/6.89*0.427*F85,0)</f>
        <v>0.805660377358491</v>
      </c>
      <c r="L85" s="115" t="n">
        <f aca="false">IFERROR(D85/C85/12.87*0.633*C85,0)</f>
        <v>48.2988344988345</v>
      </c>
      <c r="M85" s="118"/>
      <c r="N85" s="118"/>
      <c r="O85" s="118"/>
    </row>
    <row r="86" customFormat="false" ht="14.25" hidden="false" customHeight="true" outlineLevel="0" collapsed="false">
      <c r="B86" s="0" t="s">
        <v>492</v>
      </c>
      <c r="C86" s="0" t="n">
        <v>53</v>
      </c>
      <c r="D86" s="0" t="n">
        <v>882.8</v>
      </c>
      <c r="E86" s="0" t="n">
        <v>7</v>
      </c>
      <c r="F86" s="0" t="n">
        <v>0</v>
      </c>
      <c r="G86" s="0" t="n">
        <v>0</v>
      </c>
      <c r="H86" s="0" t="n">
        <v>0</v>
      </c>
      <c r="I86" s="0" t="n">
        <v>0.5</v>
      </c>
      <c r="J86" s="0" t="n">
        <v>161.8</v>
      </c>
      <c r="K86" s="115" t="n">
        <f aca="false">IFERROR(G86/F86/6.89*0.427*F86,0)</f>
        <v>0</v>
      </c>
      <c r="L86" s="115" t="n">
        <f aca="false">IFERROR(D86/C86/12.87*0.633*C86,0)</f>
        <v>43.4197668997669</v>
      </c>
      <c r="M86" s="118"/>
      <c r="N86" s="118"/>
      <c r="O86" s="118"/>
    </row>
    <row r="87" customFormat="false" ht="14.25" hidden="false" customHeight="true" outlineLevel="0" collapsed="false">
      <c r="A87" s="0" t="s">
        <v>750</v>
      </c>
      <c r="B87" s="0" t="s">
        <v>518</v>
      </c>
      <c r="C87" s="0" t="n">
        <v>67.4</v>
      </c>
      <c r="D87" s="0" t="n">
        <v>884.4</v>
      </c>
      <c r="E87" s="0" t="n">
        <v>7.2</v>
      </c>
      <c r="F87" s="0" t="n">
        <v>0</v>
      </c>
      <c r="G87" s="0" t="n">
        <v>0</v>
      </c>
      <c r="H87" s="0" t="n">
        <v>0</v>
      </c>
      <c r="I87" s="0" t="n">
        <v>0.2</v>
      </c>
      <c r="J87" s="0" t="n">
        <v>164.8</v>
      </c>
      <c r="K87" s="115" t="n">
        <f aca="false">IFERROR(G87/F87/6.89*0.427*F87,0)</f>
        <v>0</v>
      </c>
      <c r="L87" s="115" t="n">
        <f aca="false">IFERROR(D87/C87/12.87*0.633*C87,0)</f>
        <v>43.4984615384615</v>
      </c>
      <c r="M87" s="117" t="n">
        <f aca="false">C89*Scoring!$B$34+D89/Scoring!$C$34+E89*Scoring!$D$34+WR!F89*Scoring!$E$34+WR!G89/Scoring!$F$34+WR!H89*Scoring!$G$34+WR!I89*Scoring!$H$34+K89*Scoring!$I$34+WR!L89*Scoring!$J$34+U87</f>
        <v>157.3</v>
      </c>
      <c r="N87" s="117" t="n">
        <f aca="false">C87*Scoring!$B$34+D87/Scoring!$C$34+E87*Scoring!$D$34+WR!F87*Scoring!$E$34+WR!G87/Scoring!$F$34+WR!H87*Scoring!$G$34+WR!I87*Scoring!$H$34+K87*Scoring!$I$34+WR!L87*Scoring!$J$34+U87</f>
        <v>164.94</v>
      </c>
      <c r="O87" s="117" t="n">
        <f aca="false">C88*Scoring!$B$34+D88/Scoring!$C$34+E88*Scoring!$D$34+WR!F88*Scoring!$E$34+WR!G88/Scoring!$F$34+WR!H88*Scoring!$G$34+WR!I88*Scoring!$H$34+K88*Scoring!$I$34+WR!L88*Scoring!$J$34+U87</f>
        <v>171.7</v>
      </c>
      <c r="P87" s="53" t="n">
        <f aca="false">IF(COUNTIF(Rookies!$A:$A,A87)&gt;0,1,0)</f>
        <v>0</v>
      </c>
      <c r="S87" s="53" t="n">
        <f aca="false">V87/17</f>
        <v>9.70235294117647</v>
      </c>
      <c r="T87" s="53" t="n">
        <f aca="false">IF(P87=1,MAX(0,0.28*(12-S87)),0)</f>
        <v>0</v>
      </c>
      <c r="U87" s="53" t="n">
        <f aca="false">T87*17</f>
        <v>0</v>
      </c>
      <c r="V87" s="53" t="n">
        <f aca="false">C87*Scoring!$B$34+D87/Scoring!$C$34+E87*Scoring!$D$34+WR!F87*Scoring!$E$34+WR!G87/Scoring!$F$34+WR!H87*Scoring!$G$34+WR!I87*Scoring!$H$34+K87*Scoring!$I$34+WR!L87*Scoring!$J$34</f>
        <v>164.94</v>
      </c>
    </row>
    <row r="88" customFormat="false" ht="14.25" hidden="false" customHeight="true" outlineLevel="0" collapsed="false">
      <c r="B88" s="0" t="s">
        <v>491</v>
      </c>
      <c r="C88" s="0" t="n">
        <v>70</v>
      </c>
      <c r="D88" s="0" t="n">
        <v>911</v>
      </c>
      <c r="E88" s="0" t="n">
        <v>7.6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192</v>
      </c>
      <c r="K88" s="115" t="n">
        <f aca="false">IFERROR(G88/F88/6.89*0.427*F88,0)</f>
        <v>0</v>
      </c>
      <c r="L88" s="115" t="n">
        <f aca="false">IFERROR(D88/C88/12.87*0.633*C88,0)</f>
        <v>44.8067599067599</v>
      </c>
      <c r="M88" s="118"/>
      <c r="N88" s="118"/>
      <c r="O88" s="118"/>
    </row>
    <row r="89" customFormat="false" ht="14.25" hidden="false" customHeight="true" outlineLevel="0" collapsed="false">
      <c r="B89" s="0" t="s">
        <v>492</v>
      </c>
      <c r="C89" s="0" t="n">
        <v>63</v>
      </c>
      <c r="D89" s="0" t="n">
        <v>848</v>
      </c>
      <c r="E89" s="0" t="n">
        <v>7</v>
      </c>
      <c r="F89" s="0" t="n">
        <v>0</v>
      </c>
      <c r="G89" s="0" t="n">
        <v>0</v>
      </c>
      <c r="H89" s="0" t="n">
        <v>0</v>
      </c>
      <c r="I89" s="0" t="n">
        <v>0.5</v>
      </c>
      <c r="J89" s="0" t="n">
        <v>158.7</v>
      </c>
      <c r="K89" s="115" t="n">
        <f aca="false">IFERROR(G89/F89/6.89*0.427*F89,0)</f>
        <v>0</v>
      </c>
      <c r="L89" s="115" t="n">
        <f aca="false">IFERROR(D89/C89/12.87*0.633*C89,0)</f>
        <v>41.7081585081585</v>
      </c>
      <c r="M89" s="118"/>
      <c r="N89" s="118"/>
      <c r="O89" s="118"/>
    </row>
    <row r="90" customFormat="false" ht="14.25" hidden="false" customHeight="true" outlineLevel="0" collapsed="false">
      <c r="A90" s="0" t="s">
        <v>751</v>
      </c>
      <c r="B90" s="0" t="s">
        <v>532</v>
      </c>
      <c r="C90" s="0" t="n">
        <v>56.3</v>
      </c>
      <c r="D90" s="0" t="n">
        <v>974.9</v>
      </c>
      <c r="E90" s="0" t="n">
        <v>6.4</v>
      </c>
      <c r="F90" s="0" t="n">
        <v>0</v>
      </c>
      <c r="G90" s="0" t="n">
        <v>0</v>
      </c>
      <c r="H90" s="0" t="n">
        <v>0</v>
      </c>
      <c r="I90" s="0" t="n">
        <v>0.2</v>
      </c>
      <c r="J90" s="0" t="n">
        <v>163.7</v>
      </c>
      <c r="K90" s="115" t="n">
        <f aca="false">IFERROR(G90/F90/6.89*0.427*F90,0)</f>
        <v>0</v>
      </c>
      <c r="L90" s="115" t="n">
        <f aca="false">IFERROR(D90/C90/12.87*0.633*C90,0)</f>
        <v>47.949627039627</v>
      </c>
      <c r="M90" s="117" t="n">
        <f aca="false">C92*Scoring!$B$34+D92/Scoring!$C$34+E92*Scoring!$D$34+WR!F92*Scoring!$E$34+WR!G92/Scoring!$F$34+WR!H92*Scoring!$G$34+WR!I92*Scoring!$H$34+K92*Scoring!$I$34+WR!L92*Scoring!$J$34+U90</f>
        <v>145.2</v>
      </c>
      <c r="N90" s="117" t="n">
        <f aca="false">C90*Scoring!$B$34+D90/Scoring!$C$34+E90*Scoring!$D$34+WR!F90*Scoring!$E$34+WR!G90/Scoring!$F$34+WR!H90*Scoring!$G$34+WR!I90*Scoring!$H$34+K90*Scoring!$I$34+WR!L90*Scoring!$J$34+U90</f>
        <v>163.64</v>
      </c>
      <c r="O90" s="117" t="n">
        <f aca="false">C91*Scoring!$B$34+D91/Scoring!$C$34+E91*Scoring!$D$34+WR!F91*Scoring!$E$34+WR!G91/Scoring!$F$34+WR!H91*Scoring!$G$34+WR!I91*Scoring!$H$34+K91*Scoring!$I$34+WR!L91*Scoring!$J$34+U90</f>
        <v>190.7</v>
      </c>
      <c r="P90" s="53" t="n">
        <f aca="false">IF(COUNTIF(Rookies!$A:$A,A90)&gt;0,1,0)</f>
        <v>0</v>
      </c>
      <c r="S90" s="53" t="n">
        <f aca="false">V90/17</f>
        <v>9.62588235294118</v>
      </c>
      <c r="T90" s="53" t="n">
        <f aca="false">IF(P90=1,MAX(0,0.28*(12-S90)),0)</f>
        <v>0</v>
      </c>
      <c r="U90" s="53" t="n">
        <f aca="false">T90*17</f>
        <v>0</v>
      </c>
      <c r="V90" s="53" t="n">
        <f aca="false">C90*Scoring!$B$34+D90/Scoring!$C$34+E90*Scoring!$D$34+WR!F90*Scoring!$E$34+WR!G90/Scoring!$F$34+WR!H90*Scoring!$G$34+WR!I90*Scoring!$H$34+K90*Scoring!$I$34+WR!L90*Scoring!$J$34</f>
        <v>163.64</v>
      </c>
    </row>
    <row r="91" customFormat="false" ht="14.25" hidden="false" customHeight="true" outlineLevel="0" collapsed="false">
      <c r="B91" s="0" t="s">
        <v>491</v>
      </c>
      <c r="C91" s="0" t="n">
        <v>60</v>
      </c>
      <c r="D91" s="0" t="n">
        <v>1067</v>
      </c>
      <c r="E91" s="0" t="n">
        <v>9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180.2</v>
      </c>
      <c r="K91" s="115" t="n">
        <f aca="false">IFERROR(G91/F91/6.89*0.427*F91,0)</f>
        <v>0</v>
      </c>
      <c r="L91" s="115" t="n">
        <f aca="false">IFERROR(D91/C91/12.87*0.633*C91,0)</f>
        <v>52.4794871794872</v>
      </c>
      <c r="M91" s="118"/>
      <c r="N91" s="118"/>
      <c r="O91" s="118"/>
    </row>
    <row r="92" customFormat="false" ht="14.25" hidden="false" customHeight="true" outlineLevel="0" collapsed="false">
      <c r="B92" s="0" t="s">
        <v>492</v>
      </c>
      <c r="C92" s="0" t="n">
        <v>49</v>
      </c>
      <c r="D92" s="0" t="n">
        <v>917</v>
      </c>
      <c r="E92" s="0" t="n">
        <v>5</v>
      </c>
      <c r="F92" s="0" t="n">
        <v>0</v>
      </c>
      <c r="G92" s="0" t="n">
        <v>0</v>
      </c>
      <c r="H92" s="0" t="n">
        <v>0</v>
      </c>
      <c r="I92" s="0" t="n">
        <v>0.5</v>
      </c>
      <c r="J92" s="0" t="n">
        <v>153.7</v>
      </c>
      <c r="K92" s="115" t="n">
        <f aca="false">IFERROR(G92/F92/6.89*0.427*F92,0)</f>
        <v>0</v>
      </c>
      <c r="L92" s="115" t="n">
        <f aca="false">IFERROR(D92/C92/12.87*0.633*C92,0)</f>
        <v>45.1018648018648</v>
      </c>
      <c r="M92" s="118"/>
      <c r="N92" s="118"/>
      <c r="O92" s="118"/>
    </row>
    <row r="93" customFormat="false" ht="14.25" hidden="false" customHeight="true" outlineLevel="0" collapsed="false">
      <c r="A93" s="0" t="s">
        <v>752</v>
      </c>
      <c r="B93" s="0" t="s">
        <v>546</v>
      </c>
      <c r="C93" s="0" t="n">
        <v>66.2</v>
      </c>
      <c r="D93" s="0" t="n">
        <v>946.2</v>
      </c>
      <c r="E93" s="0" t="n">
        <v>6</v>
      </c>
      <c r="F93" s="0" t="n">
        <v>0</v>
      </c>
      <c r="G93" s="0" t="n">
        <v>0</v>
      </c>
      <c r="H93" s="0" t="n">
        <v>0</v>
      </c>
      <c r="I93" s="0" t="n">
        <v>0.3</v>
      </c>
      <c r="J93" s="0" t="n">
        <v>163.2</v>
      </c>
      <c r="K93" s="115" t="n">
        <f aca="false">IFERROR(G93/F93/6.89*0.427*F93,0)</f>
        <v>0</v>
      </c>
      <c r="L93" s="115" t="n">
        <f aca="false">IFERROR(D93/C93/12.87*0.633*C93,0)</f>
        <v>46.538041958042</v>
      </c>
      <c r="M93" s="117" t="n">
        <f aca="false">C95*Scoring!$B$34+D95/Scoring!$C$34+E95*Scoring!$D$34+WR!F95*Scoring!$E$34+WR!G95/Scoring!$F$34+WR!H95*Scoring!$G$34+WR!I95*Scoring!$H$34+K95*Scoring!$I$34+WR!L95*Scoring!$J$34+U93</f>
        <v>154.1</v>
      </c>
      <c r="N93" s="117" t="n">
        <f aca="false">C93*Scoring!$B$34+D93/Scoring!$C$34+E93*Scoring!$D$34+WR!F93*Scoring!$E$34+WR!G93/Scoring!$F$34+WR!H93*Scoring!$G$34+WR!I93*Scoring!$H$34+K93*Scoring!$I$34+WR!L93*Scoring!$J$34+U93</f>
        <v>163.12</v>
      </c>
      <c r="O93" s="117" t="n">
        <f aca="false">C94*Scoring!$B$34+D94/Scoring!$C$34+E94*Scoring!$D$34+WR!F94*Scoring!$E$34+WR!G94/Scoring!$F$34+WR!H94*Scoring!$G$34+WR!I94*Scoring!$H$34+K94*Scoring!$I$34+WR!L94*Scoring!$J$34+U93</f>
        <v>171.72</v>
      </c>
      <c r="P93" s="53" t="n">
        <f aca="false">IF(COUNTIF(Rookies!$A:$A,A93)&gt;0,1,0)</f>
        <v>0</v>
      </c>
      <c r="S93" s="53" t="n">
        <f aca="false">V93/17</f>
        <v>9.59529411764706</v>
      </c>
      <c r="T93" s="53" t="n">
        <f aca="false">IF(P93=1,MAX(0,0.28*(12-S93)),0)</f>
        <v>0</v>
      </c>
      <c r="U93" s="53" t="n">
        <f aca="false">T93*17</f>
        <v>0</v>
      </c>
      <c r="V93" s="53" t="n">
        <f aca="false">C93*Scoring!$B$34+D93/Scoring!$C$34+E93*Scoring!$D$34+WR!F93*Scoring!$E$34+WR!G93/Scoring!$F$34+WR!H93*Scoring!$G$34+WR!I93*Scoring!$H$34+K93*Scoring!$I$34+WR!L93*Scoring!$J$34</f>
        <v>163.12</v>
      </c>
    </row>
    <row r="94" customFormat="false" ht="14.25" hidden="false" customHeight="true" outlineLevel="0" collapsed="false">
      <c r="B94" s="0" t="s">
        <v>491</v>
      </c>
      <c r="C94" s="0" t="n">
        <v>68.7</v>
      </c>
      <c r="D94" s="0" t="n">
        <v>953.7</v>
      </c>
      <c r="E94" s="0" t="n">
        <v>7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194.4</v>
      </c>
      <c r="K94" s="115" t="n">
        <f aca="false">IFERROR(G94/F94/6.89*0.427*F94,0)</f>
        <v>0</v>
      </c>
      <c r="L94" s="115" t="n">
        <f aca="false">IFERROR(D94/C94/12.87*0.633*C94,0)</f>
        <v>46.9069230769231</v>
      </c>
      <c r="M94" s="118"/>
      <c r="N94" s="118"/>
      <c r="O94" s="118"/>
    </row>
    <row r="95" customFormat="false" ht="14.25" hidden="false" customHeight="true" outlineLevel="0" collapsed="false">
      <c r="B95" s="0" t="s">
        <v>492</v>
      </c>
      <c r="C95" s="0" t="n">
        <v>64</v>
      </c>
      <c r="D95" s="0" t="n">
        <v>933</v>
      </c>
      <c r="E95" s="0" t="n">
        <v>5</v>
      </c>
      <c r="F95" s="0" t="n">
        <v>0</v>
      </c>
      <c r="G95" s="0" t="n">
        <v>0</v>
      </c>
      <c r="H95" s="0" t="n">
        <v>0</v>
      </c>
      <c r="I95" s="0" t="n">
        <v>0.6</v>
      </c>
      <c r="J95" s="0" t="n">
        <v>158</v>
      </c>
      <c r="K95" s="115" t="n">
        <f aca="false">IFERROR(G95/F95/6.89*0.427*F95,0)</f>
        <v>0</v>
      </c>
      <c r="L95" s="115" t="n">
        <f aca="false">IFERROR(D95/C95/12.87*0.633*C95,0)</f>
        <v>45.8888111888112</v>
      </c>
      <c r="M95" s="118"/>
      <c r="N95" s="118"/>
      <c r="O95" s="118"/>
    </row>
    <row r="96" customFormat="false" ht="14.25" hidden="false" customHeight="true" outlineLevel="0" collapsed="false">
      <c r="A96" s="0" t="s">
        <v>753</v>
      </c>
      <c r="B96" s="0" t="s">
        <v>508</v>
      </c>
      <c r="C96" s="0" t="n">
        <v>64.9</v>
      </c>
      <c r="D96" s="0" t="n">
        <v>914.5</v>
      </c>
      <c r="E96" s="0" t="n">
        <v>6.6</v>
      </c>
      <c r="F96" s="0" t="n">
        <v>0</v>
      </c>
      <c r="G96" s="0" t="n">
        <v>0</v>
      </c>
      <c r="H96" s="0" t="n">
        <v>0</v>
      </c>
      <c r="I96" s="0" t="n">
        <v>0.2</v>
      </c>
      <c r="J96" s="0" t="n">
        <v>163.1</v>
      </c>
      <c r="K96" s="115" t="n">
        <f aca="false">IFERROR(G96/F96/6.89*0.427*F96,0)</f>
        <v>0</v>
      </c>
      <c r="L96" s="115" t="n">
        <f aca="false">IFERROR(D96/C96/12.87*0.633*C96,0)</f>
        <v>44.9789044289044</v>
      </c>
      <c r="M96" s="117" t="n">
        <f aca="false">C98*Scoring!$B$34+D98/Scoring!$C$34+E98*Scoring!$D$34+WR!F98*Scoring!$E$34+WR!G98/Scoring!$F$34+WR!H98*Scoring!$G$34+WR!I98*Scoring!$H$34+K98*Scoring!$I$34+WR!L98*Scoring!$J$34+U96</f>
        <v>151.24</v>
      </c>
      <c r="N96" s="117" t="n">
        <f aca="false">C96*Scoring!$B$34+D96/Scoring!$C$34+E96*Scoring!$D$34+WR!F96*Scoring!$E$34+WR!G96/Scoring!$F$34+WR!H96*Scoring!$G$34+WR!I96*Scoring!$H$34+K96*Scoring!$I$34+WR!L96*Scoring!$J$34+U96</f>
        <v>163.1</v>
      </c>
      <c r="O96" s="117" t="n">
        <f aca="false">C97*Scoring!$B$34+D97/Scoring!$C$34+E97*Scoring!$D$34+WR!F97*Scoring!$E$34+WR!G97/Scoring!$F$34+WR!H97*Scoring!$G$34+WR!I97*Scoring!$H$34+K97*Scoring!$I$34+WR!L97*Scoring!$J$34+U96</f>
        <v>172</v>
      </c>
      <c r="P96" s="53" t="n">
        <f aca="false">IF(COUNTIF(Rookies!$A:$A,A96)&gt;0,1,0)</f>
        <v>0</v>
      </c>
      <c r="S96" s="53" t="n">
        <f aca="false">V96/17</f>
        <v>9.59411764705882</v>
      </c>
      <c r="T96" s="53" t="n">
        <f aca="false">IF(P96=1,MAX(0,0.28*(12-S96)),0)</f>
        <v>0</v>
      </c>
      <c r="U96" s="53" t="n">
        <f aca="false">T96*17</f>
        <v>0</v>
      </c>
      <c r="V96" s="53" t="n">
        <f aca="false">C96*Scoring!$B$34+D96/Scoring!$C$34+E96*Scoring!$D$34+WR!F96*Scoring!$E$34+WR!G96/Scoring!$F$34+WR!H96*Scoring!$G$34+WR!I96*Scoring!$H$34+K96*Scoring!$I$34+WR!L96*Scoring!$J$34</f>
        <v>163.1</v>
      </c>
    </row>
    <row r="97" customFormat="false" ht="14.25" hidden="false" customHeight="true" outlineLevel="0" collapsed="false">
      <c r="B97" s="0" t="s">
        <v>491</v>
      </c>
      <c r="C97" s="0" t="n">
        <v>69</v>
      </c>
      <c r="D97" s="0" t="n">
        <v>955</v>
      </c>
      <c r="E97" s="0" t="n">
        <v>7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204.4</v>
      </c>
      <c r="K97" s="115" t="n">
        <f aca="false">IFERROR(G97/F97/6.89*0.427*F97,0)</f>
        <v>0</v>
      </c>
      <c r="L97" s="115" t="n">
        <f aca="false">IFERROR(D97/C97/12.87*0.633*C97,0)</f>
        <v>46.9708624708625</v>
      </c>
      <c r="M97" s="118"/>
      <c r="N97" s="118"/>
      <c r="O97" s="118"/>
    </row>
    <row r="98" customFormat="false" ht="14.25" hidden="false" customHeight="true" outlineLevel="0" collapsed="false">
      <c r="B98" s="0" t="s">
        <v>492</v>
      </c>
      <c r="C98" s="0" t="n">
        <v>56.6</v>
      </c>
      <c r="D98" s="0" t="n">
        <v>889.4</v>
      </c>
      <c r="E98" s="0" t="n">
        <v>5.8</v>
      </c>
      <c r="F98" s="0" t="n">
        <v>0</v>
      </c>
      <c r="G98" s="0" t="n">
        <v>0</v>
      </c>
      <c r="H98" s="0" t="n">
        <v>0</v>
      </c>
      <c r="I98" s="0" t="n">
        <v>0.4</v>
      </c>
      <c r="J98" s="0" t="n">
        <v>155.4</v>
      </c>
      <c r="K98" s="115" t="n">
        <f aca="false">IFERROR(G98/F98/6.89*0.427*F98,0)</f>
        <v>0</v>
      </c>
      <c r="L98" s="115" t="n">
        <f aca="false">IFERROR(D98/C98/12.87*0.633*C98,0)</f>
        <v>43.7443822843823</v>
      </c>
      <c r="M98" s="118"/>
      <c r="N98" s="118"/>
      <c r="O98" s="118"/>
    </row>
    <row r="99" customFormat="false" ht="14.25" hidden="false" customHeight="true" outlineLevel="0" collapsed="false">
      <c r="A99" s="0" t="s">
        <v>754</v>
      </c>
      <c r="B99" s="0" t="s">
        <v>548</v>
      </c>
      <c r="C99" s="0" t="n">
        <v>64.3</v>
      </c>
      <c r="D99" s="0" t="n">
        <v>926</v>
      </c>
      <c r="E99" s="0" t="n">
        <v>6.1</v>
      </c>
      <c r="F99" s="0" t="n">
        <v>0.7</v>
      </c>
      <c r="G99" s="0" t="n">
        <v>3.3</v>
      </c>
      <c r="H99" s="0" t="n">
        <v>0.3</v>
      </c>
      <c r="I99" s="0" t="n">
        <v>0.2</v>
      </c>
      <c r="J99" s="0" t="n">
        <v>163</v>
      </c>
      <c r="K99" s="115" t="n">
        <f aca="false">IFERROR(G99/F99/6.89*0.427*F99,0)</f>
        <v>0.204513788098694</v>
      </c>
      <c r="L99" s="115" t="n">
        <f aca="false">IFERROR(D99/C99/12.87*0.633*C99,0)</f>
        <v>45.5445221445222</v>
      </c>
      <c r="M99" s="117" t="n">
        <f aca="false">C101*Scoring!$B$34+D101/Scoring!$C$34+E101*Scoring!$D$34+WR!F101*Scoring!$E$34+WR!G101/Scoring!$F$34+WR!H101*Scoring!$G$34+WR!I101*Scoring!$H$34+K101*Scoring!$I$34+WR!L101*Scoring!$J$34+U99</f>
        <v>154.5</v>
      </c>
      <c r="N99" s="117" t="n">
        <f aca="false">C99*Scoring!$B$34+D99/Scoring!$C$34+E99*Scoring!$D$34+WR!F99*Scoring!$E$34+WR!G99/Scoring!$F$34+WR!H99*Scoring!$G$34+WR!I99*Scoring!$H$34+K99*Scoring!$I$34+WR!L99*Scoring!$J$34+U99</f>
        <v>163.08</v>
      </c>
      <c r="O99" s="117" t="n">
        <f aca="false">C100*Scoring!$B$34+D100/Scoring!$C$34+E100*Scoring!$D$34+WR!F100*Scoring!$E$34+WR!G100/Scoring!$F$34+WR!H100*Scoring!$G$34+WR!I100*Scoring!$H$34+K100*Scoring!$I$34+WR!L100*Scoring!$J$34+U99</f>
        <v>172.11</v>
      </c>
      <c r="P99" s="53" t="n">
        <f aca="false">IF(COUNTIF(Rookies!$A:$A,A99)&gt;0,1,0)</f>
        <v>0</v>
      </c>
      <c r="S99" s="53" t="n">
        <f aca="false">V99/17</f>
        <v>9.59294117647059</v>
      </c>
      <c r="T99" s="53" t="n">
        <f aca="false">IF(P99=1,MAX(0,0.28*(12-S99)),0)</f>
        <v>0</v>
      </c>
      <c r="U99" s="53" t="n">
        <f aca="false">T99*17</f>
        <v>0</v>
      </c>
      <c r="V99" s="53" t="n">
        <f aca="false">C99*Scoring!$B$34+D99/Scoring!$C$34+E99*Scoring!$D$34+WR!F99*Scoring!$E$34+WR!G99/Scoring!$F$34+WR!H99*Scoring!$G$34+WR!I99*Scoring!$H$34+K99*Scoring!$I$34+WR!L99*Scoring!$J$34</f>
        <v>163.08</v>
      </c>
    </row>
    <row r="100" customFormat="false" ht="14.25" hidden="false" customHeight="true" outlineLevel="0" collapsed="false">
      <c r="B100" s="0" t="s">
        <v>491</v>
      </c>
      <c r="C100" s="0" t="n">
        <v>67</v>
      </c>
      <c r="D100" s="0" t="n">
        <v>944.1</v>
      </c>
      <c r="E100" s="0" t="n">
        <v>6.2</v>
      </c>
      <c r="F100" s="0" t="n">
        <v>2</v>
      </c>
      <c r="G100" s="0" t="n">
        <v>10</v>
      </c>
      <c r="H100" s="0" t="n">
        <v>1</v>
      </c>
      <c r="I100" s="0" t="n">
        <v>0</v>
      </c>
      <c r="J100" s="0" t="n">
        <v>196</v>
      </c>
      <c r="K100" s="115" t="n">
        <f aca="false">IFERROR(G100/F100/6.89*0.427*F100,0)</f>
        <v>0.619738751814224</v>
      </c>
      <c r="L100" s="115" t="n">
        <f aca="false">IFERROR(D100/C100/12.87*0.633*C100,0)</f>
        <v>46.4347552447552</v>
      </c>
      <c r="M100" s="118"/>
      <c r="N100" s="118"/>
      <c r="O100" s="118"/>
    </row>
    <row r="101" customFormat="false" ht="14.25" hidden="false" customHeight="true" outlineLevel="0" collapsed="false">
      <c r="B101" s="0" t="s">
        <v>492</v>
      </c>
      <c r="C101" s="0" t="n">
        <v>61</v>
      </c>
      <c r="D101" s="0" t="n">
        <v>890</v>
      </c>
      <c r="E101" s="0" t="n">
        <v>6</v>
      </c>
      <c r="F101" s="0" t="n">
        <v>0</v>
      </c>
      <c r="G101" s="0" t="n">
        <v>0</v>
      </c>
      <c r="H101" s="0" t="n">
        <v>0</v>
      </c>
      <c r="I101" s="0" t="n">
        <v>0.5</v>
      </c>
      <c r="J101" s="0" t="n">
        <v>155.1</v>
      </c>
      <c r="K101" s="115" t="n">
        <f aca="false">IFERROR(G101/F101/6.89*0.427*F101,0)</f>
        <v>0</v>
      </c>
      <c r="L101" s="115" t="n">
        <f aca="false">IFERROR(D101/C101/12.87*0.633*C101,0)</f>
        <v>43.7738927738928</v>
      </c>
      <c r="M101" s="118"/>
      <c r="N101" s="118"/>
      <c r="O101" s="118"/>
    </row>
    <row r="102" customFormat="false" ht="14.25" hidden="false" customHeight="true" outlineLevel="0" collapsed="false">
      <c r="A102" s="0" t="s">
        <v>755</v>
      </c>
      <c r="B102" s="0" t="s">
        <v>506</v>
      </c>
      <c r="C102" s="0" t="n">
        <v>62.6</v>
      </c>
      <c r="D102" s="0" t="n">
        <v>862.5</v>
      </c>
      <c r="E102" s="0" t="n">
        <v>5.7</v>
      </c>
      <c r="F102" s="0" t="n">
        <v>5</v>
      </c>
      <c r="G102" s="0" t="n">
        <v>13.7</v>
      </c>
      <c r="H102" s="0" t="n">
        <v>0.1</v>
      </c>
      <c r="I102" s="0" t="n">
        <v>0.4</v>
      </c>
      <c r="J102" s="0" t="n">
        <v>153.1</v>
      </c>
      <c r="K102" s="115" t="n">
        <f aca="false">IFERROR(G102/F102/6.89*0.427*F102,0)</f>
        <v>0.849042089985486</v>
      </c>
      <c r="L102" s="115" t="n">
        <f aca="false">IFERROR(D102/C102/12.87*0.633*C102,0)</f>
        <v>42.4213286713287</v>
      </c>
      <c r="M102" s="117" t="n">
        <f aca="false">C104*Scoring!$B$34+D104/Scoring!$C$34+E104*Scoring!$D$34+WR!F104*Scoring!$E$34+WR!G104/Scoring!$F$34+WR!H104*Scoring!$G$34+WR!I104*Scoring!$H$34+K104*Scoring!$I$34+WR!L104*Scoring!$J$34+U102</f>
        <v>140.8</v>
      </c>
      <c r="N102" s="117" t="n">
        <f aca="false">C102*Scoring!$B$34+D102/Scoring!$C$34+E102*Scoring!$D$34+WR!F102*Scoring!$E$34+WR!G102/Scoring!$F$34+WR!H102*Scoring!$G$34+WR!I102*Scoring!$H$34+K102*Scoring!$I$34+WR!L102*Scoring!$J$34+U102</f>
        <v>152.92</v>
      </c>
      <c r="O102" s="117" t="n">
        <f aca="false">C103*Scoring!$B$34+D103/Scoring!$C$34+E103*Scoring!$D$34+WR!F103*Scoring!$E$34+WR!G103/Scoring!$F$34+WR!H103*Scoring!$G$34+WR!I103*Scoring!$H$34+K103*Scoring!$I$34+WR!L103*Scoring!$J$34+U102</f>
        <v>171.95</v>
      </c>
      <c r="P102" s="53" t="n">
        <f aca="false">IF(COUNTIF(Rookies!$A:$A,A102)&gt;0,1,0)</f>
        <v>0</v>
      </c>
      <c r="S102" s="53" t="n">
        <f aca="false">V102/17</f>
        <v>8.99529411764706</v>
      </c>
      <c r="T102" s="53" t="n">
        <f aca="false">IF(P102=1,MAX(0,0.28*(12-S102)),0)</f>
        <v>0</v>
      </c>
      <c r="U102" s="53" t="n">
        <f aca="false">T102*17</f>
        <v>0</v>
      </c>
      <c r="V102" s="53" t="n">
        <f aca="false">C102*Scoring!$B$34+D102/Scoring!$C$34+E102*Scoring!$D$34+WR!F102*Scoring!$E$34+WR!G102/Scoring!$F$34+WR!H102*Scoring!$G$34+WR!I102*Scoring!$H$34+K102*Scoring!$I$34+WR!L102*Scoring!$J$34</f>
        <v>152.92</v>
      </c>
    </row>
    <row r="103" customFormat="false" ht="14.25" hidden="false" customHeight="true" outlineLevel="0" collapsed="false">
      <c r="B103" s="0" t="s">
        <v>491</v>
      </c>
      <c r="C103" s="0" t="n">
        <v>63.7</v>
      </c>
      <c r="D103" s="0" t="n">
        <v>924</v>
      </c>
      <c r="E103" s="0" t="n">
        <v>7</v>
      </c>
      <c r="F103" s="0" t="n">
        <v>8</v>
      </c>
      <c r="G103" s="0" t="n">
        <v>39</v>
      </c>
      <c r="H103" s="0" t="n">
        <v>0.3</v>
      </c>
      <c r="I103" s="0" t="n">
        <v>0</v>
      </c>
      <c r="J103" s="0" t="n">
        <v>173.7</v>
      </c>
      <c r="K103" s="115" t="n">
        <f aca="false">IFERROR(G103/F103/6.89*0.427*F103,0)</f>
        <v>2.41698113207547</v>
      </c>
      <c r="L103" s="115" t="n">
        <f aca="false">IFERROR(D103/C103/12.87*0.633*C103,0)</f>
        <v>45.4461538461539</v>
      </c>
      <c r="M103" s="118"/>
      <c r="N103" s="118"/>
      <c r="O103" s="118"/>
    </row>
    <row r="104" customFormat="false" ht="14.25" hidden="false" customHeight="true" outlineLevel="0" collapsed="false">
      <c r="B104" s="0" t="s">
        <v>492</v>
      </c>
      <c r="C104" s="0" t="n">
        <v>62</v>
      </c>
      <c r="D104" s="0" t="n">
        <v>814</v>
      </c>
      <c r="E104" s="0" t="n">
        <v>5</v>
      </c>
      <c r="F104" s="0" t="n">
        <v>0</v>
      </c>
      <c r="G104" s="0" t="n">
        <v>0</v>
      </c>
      <c r="H104" s="0" t="n">
        <v>0</v>
      </c>
      <c r="I104" s="0" t="n">
        <v>0.8</v>
      </c>
      <c r="J104" s="0" t="n">
        <v>154.8</v>
      </c>
      <c r="K104" s="115" t="n">
        <f aca="false">IFERROR(G104/F104/6.89*0.427*F104,0)</f>
        <v>0</v>
      </c>
      <c r="L104" s="115" t="n">
        <f aca="false">IFERROR(D104/C104/12.87*0.633*C104,0)</f>
        <v>40.0358974358974</v>
      </c>
      <c r="M104" s="118"/>
      <c r="N104" s="118"/>
      <c r="O104" s="118"/>
    </row>
    <row r="105" customFormat="false" ht="14.25" hidden="false" customHeight="true" outlineLevel="0" collapsed="false">
      <c r="A105" s="0" t="s">
        <v>756</v>
      </c>
      <c r="B105" s="0" t="s">
        <v>506</v>
      </c>
      <c r="C105" s="0" t="n">
        <v>58</v>
      </c>
      <c r="D105" s="0" t="n">
        <v>871.2</v>
      </c>
      <c r="E105" s="0" t="n">
        <v>5.4</v>
      </c>
      <c r="F105" s="0" t="n">
        <v>2.7</v>
      </c>
      <c r="G105" s="0" t="n">
        <v>17.7</v>
      </c>
      <c r="H105" s="0" t="n">
        <v>0.4</v>
      </c>
      <c r="I105" s="0" t="n">
        <v>0.2</v>
      </c>
      <c r="J105" s="0" t="n">
        <v>152.1</v>
      </c>
      <c r="K105" s="115" t="n">
        <f aca="false">IFERROR(G105/F105/6.89*0.427*F105,0)</f>
        <v>1.09693759071118</v>
      </c>
      <c r="L105" s="115" t="n">
        <f aca="false">IFERROR(D105/C105/12.87*0.633*C105,0)</f>
        <v>42.8492307692308</v>
      </c>
      <c r="M105" s="117" t="n">
        <f aca="false">C107*Scoring!$B$34+D107/Scoring!$C$34+E107*Scoring!$D$34+WR!F107*Scoring!$E$34+WR!G107/Scoring!$F$34+WR!H107*Scoring!$G$34+WR!I107*Scoring!$H$34+K107*Scoring!$I$34+WR!L107*Scoring!$J$34+U105</f>
        <v>138.6</v>
      </c>
      <c r="N105" s="117" t="n">
        <f aca="false">C105*Scoring!$B$34+D105/Scoring!$C$34+E105*Scoring!$D$34+WR!F105*Scoring!$E$34+WR!G105/Scoring!$F$34+WR!H105*Scoring!$G$34+WR!I105*Scoring!$H$34+K105*Scoring!$I$34+WR!L105*Scoring!$J$34+U105</f>
        <v>152.29</v>
      </c>
      <c r="O105" s="117" t="n">
        <f aca="false">C106*Scoring!$B$34+D106/Scoring!$C$34+E106*Scoring!$D$34+WR!F106*Scoring!$E$34+WR!G106/Scoring!$F$34+WR!H106*Scoring!$G$34+WR!I106*Scoring!$H$34+K106*Scoring!$I$34+WR!L106*Scoring!$J$34+U105</f>
        <v>169.7</v>
      </c>
      <c r="P105" s="53" t="n">
        <f aca="false">IF(COUNTIF(Rookies!$A:$A,A105)&gt;0,1,0)</f>
        <v>0</v>
      </c>
      <c r="S105" s="53" t="n">
        <f aca="false">V105/17</f>
        <v>8.95823529411765</v>
      </c>
      <c r="T105" s="53" t="n">
        <f aca="false">IF(P105=1,MAX(0,0.28*(12-S105)),0)</f>
        <v>0</v>
      </c>
      <c r="U105" s="53" t="n">
        <f aca="false">T105*17</f>
        <v>0</v>
      </c>
      <c r="V105" s="53" t="n">
        <f aca="false">C105*Scoring!$B$34+D105/Scoring!$C$34+E105*Scoring!$D$34+WR!F105*Scoring!$E$34+WR!G105/Scoring!$F$34+WR!H105*Scoring!$G$34+WR!I105*Scoring!$H$34+K105*Scoring!$I$34+WR!L105*Scoring!$J$34</f>
        <v>152.29</v>
      </c>
    </row>
    <row r="106" customFormat="false" ht="14.25" hidden="false" customHeight="true" outlineLevel="0" collapsed="false">
      <c r="B106" s="0" t="s">
        <v>491</v>
      </c>
      <c r="C106" s="0" t="n">
        <v>61</v>
      </c>
      <c r="D106" s="0" t="n">
        <v>942</v>
      </c>
      <c r="E106" s="0" t="n">
        <v>6</v>
      </c>
      <c r="F106" s="0" t="n">
        <v>4</v>
      </c>
      <c r="G106" s="0" t="n">
        <v>30</v>
      </c>
      <c r="H106" s="0" t="n">
        <v>1</v>
      </c>
      <c r="I106" s="0" t="n">
        <v>0</v>
      </c>
      <c r="J106" s="0" t="n">
        <v>168.2</v>
      </c>
      <c r="K106" s="115" t="n">
        <f aca="false">IFERROR(G106/F106/6.89*0.427*F106,0)</f>
        <v>1.85921625544267</v>
      </c>
      <c r="L106" s="115" t="n">
        <f aca="false">IFERROR(D106/C106/12.87*0.633*C106,0)</f>
        <v>46.3314685314685</v>
      </c>
      <c r="M106" s="118"/>
      <c r="N106" s="118"/>
      <c r="O106" s="118"/>
    </row>
    <row r="107" customFormat="false" ht="14.25" hidden="false" customHeight="true" outlineLevel="0" collapsed="false">
      <c r="B107" s="0" t="s">
        <v>492</v>
      </c>
      <c r="C107" s="0" t="n">
        <v>56</v>
      </c>
      <c r="D107" s="0" t="n">
        <v>812</v>
      </c>
      <c r="E107" s="0" t="n">
        <v>5</v>
      </c>
      <c r="F107" s="0" t="n">
        <v>0</v>
      </c>
      <c r="G107" s="0" t="n">
        <v>0</v>
      </c>
      <c r="H107" s="0" t="n">
        <v>0</v>
      </c>
      <c r="I107" s="0" t="n">
        <v>0.3</v>
      </c>
      <c r="J107" s="0" t="n">
        <v>148.6</v>
      </c>
      <c r="K107" s="115" t="n">
        <f aca="false">IFERROR(G107/F107/6.89*0.427*F107,0)</f>
        <v>0</v>
      </c>
      <c r="L107" s="115" t="n">
        <f aca="false">IFERROR(D107/C107/12.87*0.633*C107,0)</f>
        <v>39.9375291375291</v>
      </c>
      <c r="M107" s="118"/>
      <c r="N107" s="118"/>
      <c r="O107" s="118"/>
    </row>
    <row r="108" customFormat="false" ht="14.25" hidden="false" customHeight="true" outlineLevel="0" collapsed="false">
      <c r="A108" s="0" t="s">
        <v>757</v>
      </c>
      <c r="B108" s="0" t="s">
        <v>548</v>
      </c>
      <c r="C108" s="0" t="n">
        <v>80.5</v>
      </c>
      <c r="D108" s="0" t="n">
        <v>805.6</v>
      </c>
      <c r="E108" s="0" t="n">
        <v>5</v>
      </c>
      <c r="F108" s="0" t="n">
        <v>0</v>
      </c>
      <c r="G108" s="0" t="n">
        <v>0</v>
      </c>
      <c r="H108" s="0" t="n">
        <v>0</v>
      </c>
      <c r="I108" s="0" t="n">
        <v>0.3</v>
      </c>
      <c r="J108" s="0" t="n">
        <v>150</v>
      </c>
      <c r="K108" s="115" t="n">
        <f aca="false">IFERROR(G108/F108/6.89*0.427*F108,0)</f>
        <v>0</v>
      </c>
      <c r="L108" s="115" t="n">
        <f aca="false">IFERROR(D108/C108/12.87*0.633*C108,0)</f>
        <v>39.6227505827506</v>
      </c>
      <c r="M108" s="117" t="n">
        <f aca="false">C110*Scoring!$B$34+D110/Scoring!$C$34+E110*Scoring!$D$34+WR!F110*Scoring!$E$34+WR!G110/Scoring!$F$34+WR!H110*Scoring!$G$34+WR!I110*Scoring!$H$34+K110*Scoring!$I$34+WR!L110*Scoring!$J$34+U108</f>
        <v>127.7</v>
      </c>
      <c r="N108" s="117" t="n">
        <f aca="false">C108*Scoring!$B$34+D108/Scoring!$C$34+E108*Scoring!$D$34+WR!F108*Scoring!$E$34+WR!G108/Scoring!$F$34+WR!H108*Scoring!$G$34+WR!I108*Scoring!$H$34+K108*Scoring!$I$34+WR!L108*Scoring!$J$34+U108</f>
        <v>150.21</v>
      </c>
      <c r="O108" s="117" t="n">
        <f aca="false">C109*Scoring!$B$34+D109/Scoring!$C$34+E109*Scoring!$D$34+WR!F109*Scoring!$E$34+WR!G109/Scoring!$F$34+WR!H109*Scoring!$G$34+WR!I109*Scoring!$H$34+K109*Scoring!$I$34+WR!L109*Scoring!$J$34+U108</f>
        <v>167.9</v>
      </c>
      <c r="P108" s="53" t="n">
        <f aca="false">IF(COUNTIF(Rookies!$A:$A,A108)&gt;0,1,0)</f>
        <v>0</v>
      </c>
      <c r="S108" s="53" t="n">
        <f aca="false">V108/17</f>
        <v>8.83588235294118</v>
      </c>
      <c r="T108" s="53" t="n">
        <f aca="false">IF(P108=1,MAX(0,0.28*(12-S108)),0)</f>
        <v>0</v>
      </c>
      <c r="U108" s="53" t="n">
        <f aca="false">T108*17</f>
        <v>0</v>
      </c>
      <c r="V108" s="53" t="n">
        <f aca="false">C108*Scoring!$B$34+D108/Scoring!$C$34+E108*Scoring!$D$34+WR!F108*Scoring!$E$34+WR!G108/Scoring!$F$34+WR!H108*Scoring!$G$34+WR!I108*Scoring!$H$34+K108*Scoring!$I$34+WR!L108*Scoring!$J$34</f>
        <v>150.21</v>
      </c>
    </row>
    <row r="109" customFormat="false" ht="14.25" hidden="false" customHeight="true" outlineLevel="0" collapsed="false">
      <c r="B109" s="0" t="s">
        <v>491</v>
      </c>
      <c r="C109" s="0" t="n">
        <v>88.4</v>
      </c>
      <c r="D109" s="0" t="n">
        <v>877</v>
      </c>
      <c r="E109" s="0" t="n">
        <v>6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195.9</v>
      </c>
      <c r="K109" s="115" t="n">
        <f aca="false">IFERROR(G109/F109/6.89*0.427*F109,0)</f>
        <v>0</v>
      </c>
      <c r="L109" s="115" t="n">
        <f aca="false">IFERROR(D109/C109/12.87*0.633*C109,0)</f>
        <v>43.1344988344988</v>
      </c>
      <c r="M109" s="118"/>
      <c r="N109" s="118"/>
      <c r="O109" s="118"/>
    </row>
    <row r="110" customFormat="false" ht="14.25" hidden="false" customHeight="true" outlineLevel="0" collapsed="false">
      <c r="B110" s="0" t="s">
        <v>492</v>
      </c>
      <c r="C110" s="0" t="n">
        <v>76</v>
      </c>
      <c r="D110" s="0" t="n">
        <v>677</v>
      </c>
      <c r="E110" s="0" t="n">
        <v>3.9</v>
      </c>
      <c r="F110" s="0" t="n">
        <v>0</v>
      </c>
      <c r="G110" s="0" t="n">
        <v>0</v>
      </c>
      <c r="H110" s="0" t="n">
        <v>0</v>
      </c>
      <c r="I110" s="0" t="n">
        <v>0.7</v>
      </c>
      <c r="J110" s="0" t="n">
        <v>134.2</v>
      </c>
      <c r="K110" s="115" t="n">
        <f aca="false">IFERROR(G110/F110/6.89*0.427*F110,0)</f>
        <v>0</v>
      </c>
      <c r="L110" s="115" t="n">
        <f aca="false">IFERROR(D110/C110/12.87*0.633*C110,0)</f>
        <v>33.297668997669</v>
      </c>
      <c r="M110" s="118"/>
      <c r="N110" s="118"/>
      <c r="O110" s="118"/>
    </row>
    <row r="111" customFormat="false" ht="14.25" hidden="false" customHeight="true" outlineLevel="0" collapsed="false">
      <c r="A111" s="0" t="s">
        <v>758</v>
      </c>
      <c r="B111" s="0" t="s">
        <v>544</v>
      </c>
      <c r="C111" s="0" t="n">
        <v>65.2</v>
      </c>
      <c r="D111" s="0" t="n">
        <v>886.7</v>
      </c>
      <c r="E111" s="0" t="n">
        <v>4.5</v>
      </c>
      <c r="F111" s="0" t="n">
        <v>0.7</v>
      </c>
      <c r="G111" s="0" t="n">
        <v>3</v>
      </c>
      <c r="H111" s="0" t="n">
        <v>0</v>
      </c>
      <c r="I111" s="0" t="n">
        <v>1.4</v>
      </c>
      <c r="J111" s="0" t="n">
        <v>145.7</v>
      </c>
      <c r="K111" s="115" t="n">
        <f aca="false">IFERROR(G111/F111/6.89*0.427*F111,0)</f>
        <v>0.185921625544267</v>
      </c>
      <c r="L111" s="115" t="n">
        <f aca="false">IFERROR(D111/C111/12.87*0.633*C111,0)</f>
        <v>43.6115850815851</v>
      </c>
      <c r="M111" s="117" t="n">
        <f aca="false">C113*Scoring!$B$34+D113/Scoring!$C$34+E113*Scoring!$D$34+WR!F113*Scoring!$E$34+WR!G113/Scoring!$F$34+WR!H113*Scoring!$G$34+WR!I113*Scoring!$H$34+K113*Scoring!$I$34+WR!L113*Scoring!$J$34+U111</f>
        <v>141.3044</v>
      </c>
      <c r="N111" s="117" t="n">
        <f aca="false">C111*Scoring!$B$34+D111/Scoring!$C$34+E111*Scoring!$D$34+WR!F111*Scoring!$E$34+WR!G111/Scoring!$F$34+WR!H111*Scoring!$G$34+WR!I111*Scoring!$H$34+K111*Scoring!$I$34+WR!L111*Scoring!$J$34+U111</f>
        <v>162.0744</v>
      </c>
      <c r="O111" s="117" t="n">
        <f aca="false">C112*Scoring!$B$34+D112/Scoring!$C$34+E112*Scoring!$D$34+WR!F112*Scoring!$E$34+WR!G112/Scoring!$F$34+WR!H112*Scoring!$G$34+WR!I112*Scoring!$H$34+K112*Scoring!$I$34+WR!L112*Scoring!$J$34+U111</f>
        <v>185.1744</v>
      </c>
      <c r="P111" s="53" t="n">
        <f aca="false">IF(COUNTIF(Rookies!$A:$A,A111)&gt;0,1,0)</f>
        <v>1</v>
      </c>
      <c r="S111" s="53" t="n">
        <f aca="false">V111/17</f>
        <v>8.57470588235294</v>
      </c>
      <c r="T111" s="53" t="n">
        <f aca="false">IF(P111=1,MAX(0,0.28*(12-S111)),0)</f>
        <v>0.959082352941176</v>
      </c>
      <c r="U111" s="53" t="n">
        <f aca="false">T111*17</f>
        <v>16.3044</v>
      </c>
      <c r="V111" s="53" t="n">
        <f aca="false">C111*Scoring!$B$34+D111/Scoring!$C$34+E111*Scoring!$D$34+WR!F111*Scoring!$E$34+WR!G111/Scoring!$F$34+WR!H111*Scoring!$G$34+WR!I111*Scoring!$H$34+K111*Scoring!$I$34+WR!L111*Scoring!$J$34</f>
        <v>145.77</v>
      </c>
    </row>
    <row r="112" customFormat="false" ht="14.25" hidden="false" customHeight="true" outlineLevel="0" collapsed="false">
      <c r="B112" s="0" t="s">
        <v>491</v>
      </c>
      <c r="C112" s="0" t="n">
        <v>74.5</v>
      </c>
      <c r="D112" s="0" t="n">
        <v>1023.2</v>
      </c>
      <c r="E112" s="0" t="n">
        <v>5</v>
      </c>
      <c r="F112" s="0" t="n">
        <v>2</v>
      </c>
      <c r="G112" s="0" t="n">
        <v>9</v>
      </c>
      <c r="H112" s="0" t="n">
        <v>0</v>
      </c>
      <c r="I112" s="0" t="n">
        <v>0.8</v>
      </c>
      <c r="J112" s="0" t="n">
        <v>181.8</v>
      </c>
      <c r="K112" s="115" t="n">
        <f aca="false">IFERROR(G112/F112/6.89*0.427*F112,0)</f>
        <v>0.557764876632801</v>
      </c>
      <c r="L112" s="115" t="n">
        <f aca="false">IFERROR(D112/C112/12.87*0.633*C112,0)</f>
        <v>50.3252214452215</v>
      </c>
      <c r="M112" s="118"/>
      <c r="N112" s="118"/>
      <c r="O112" s="118"/>
    </row>
    <row r="113" customFormat="false" ht="14.25" hidden="false" customHeight="true" outlineLevel="0" collapsed="false">
      <c r="B113" s="0" t="s">
        <v>492</v>
      </c>
      <c r="C113" s="0" t="n">
        <v>56</v>
      </c>
      <c r="D113" s="0" t="n">
        <v>770</v>
      </c>
      <c r="E113" s="0" t="n">
        <v>4</v>
      </c>
      <c r="F113" s="0" t="n">
        <v>0</v>
      </c>
      <c r="G113" s="0" t="n">
        <v>0</v>
      </c>
      <c r="H113" s="0" t="n">
        <v>0</v>
      </c>
      <c r="I113" s="0" t="n">
        <v>2</v>
      </c>
      <c r="J113" s="0" t="n">
        <v>121.6</v>
      </c>
      <c r="K113" s="115" t="n">
        <f aca="false">IFERROR(G113/F113/6.89*0.427*F113,0)</f>
        <v>0</v>
      </c>
      <c r="L113" s="115" t="n">
        <f aca="false">IFERROR(D113/C113/12.87*0.633*C113,0)</f>
        <v>37.8717948717949</v>
      </c>
      <c r="M113" s="118"/>
      <c r="N113" s="118"/>
      <c r="O113" s="118"/>
    </row>
    <row r="114" customFormat="false" ht="14.25" hidden="false" customHeight="true" outlineLevel="0" collapsed="false">
      <c r="A114" s="0" t="s">
        <v>759</v>
      </c>
      <c r="B114" s="0" t="s">
        <v>530</v>
      </c>
      <c r="C114" s="0" t="n">
        <v>63.2</v>
      </c>
      <c r="D114" s="0" t="n">
        <v>752.5</v>
      </c>
      <c r="E114" s="0" t="n">
        <v>4.8</v>
      </c>
      <c r="F114" s="0" t="n">
        <v>12.6</v>
      </c>
      <c r="G114" s="0" t="n">
        <v>94.1</v>
      </c>
      <c r="H114" s="0" t="n">
        <v>0.2</v>
      </c>
      <c r="I114" s="0" t="n">
        <v>0.4</v>
      </c>
      <c r="J114" s="0" t="n">
        <v>145.3</v>
      </c>
      <c r="K114" s="115" t="n">
        <f aca="false">IFERROR(G114/F114/6.89*0.427*F114,0)</f>
        <v>5.83174165457184</v>
      </c>
      <c r="L114" s="115" t="n">
        <f aca="false">IFERROR(D114/C114/12.87*0.633*C114,0)</f>
        <v>37.0110722610723</v>
      </c>
      <c r="M114" s="117" t="n">
        <f aca="false">C116*Scoring!$B$34+D116/Scoring!$C$34+E116*Scoring!$D$34+WR!F116*Scoring!$E$34+WR!G116/Scoring!$F$34+WR!H116*Scoring!$G$34+WR!I116*Scoring!$H$34+K116*Scoring!$I$34+WR!L116*Scoring!$J$34+U114</f>
        <v>131.34</v>
      </c>
      <c r="N114" s="117" t="n">
        <f aca="false">C114*Scoring!$B$34+D114/Scoring!$C$34+E114*Scoring!$D$34+WR!F114*Scoring!$E$34+WR!G114/Scoring!$F$34+WR!H114*Scoring!$G$34+WR!I114*Scoring!$H$34+K114*Scoring!$I$34+WR!L114*Scoring!$J$34+U114</f>
        <v>145.46</v>
      </c>
      <c r="O114" s="117" t="n">
        <f aca="false">C115*Scoring!$B$34+D115/Scoring!$C$34+E115*Scoring!$D$34+WR!F115*Scoring!$E$34+WR!G115/Scoring!$F$34+WR!H115*Scoring!$G$34+WR!I115*Scoring!$H$34+K115*Scoring!$I$34+WR!L115*Scoring!$J$34+U114</f>
        <v>162.6</v>
      </c>
      <c r="P114" s="53" t="n">
        <f aca="false">IF(COUNTIF(Rookies!$A:$A,A114)&gt;0,1,0)</f>
        <v>0</v>
      </c>
      <c r="S114" s="53" t="n">
        <f aca="false">V114/17</f>
        <v>8.55647058823529</v>
      </c>
      <c r="T114" s="53" t="n">
        <f aca="false">IF(P114=1,MAX(0,0.28*(12-S114)),0)</f>
        <v>0</v>
      </c>
      <c r="U114" s="53" t="n">
        <f aca="false">T114*17</f>
        <v>0</v>
      </c>
      <c r="V114" s="53" t="n">
        <f aca="false">C114*Scoring!$B$34+D114/Scoring!$C$34+E114*Scoring!$D$34+WR!F114*Scoring!$E$34+WR!G114/Scoring!$F$34+WR!H114*Scoring!$G$34+WR!I114*Scoring!$H$34+K114*Scoring!$I$34+WR!L114*Scoring!$J$34</f>
        <v>145.46</v>
      </c>
    </row>
    <row r="115" customFormat="false" ht="14.25" hidden="false" customHeight="true" outlineLevel="0" collapsed="false">
      <c r="B115" s="0" t="s">
        <v>491</v>
      </c>
      <c r="C115" s="0" t="n">
        <v>66</v>
      </c>
      <c r="D115" s="0" t="n">
        <v>815</v>
      </c>
      <c r="E115" s="0" t="n">
        <v>5</v>
      </c>
      <c r="F115" s="0" t="n">
        <v>18</v>
      </c>
      <c r="G115" s="0" t="n">
        <v>151</v>
      </c>
      <c r="H115" s="0" t="n">
        <v>0.5</v>
      </c>
      <c r="I115" s="0" t="n">
        <v>0</v>
      </c>
      <c r="J115" s="0" t="n">
        <v>182.9</v>
      </c>
      <c r="K115" s="115" t="n">
        <f aca="false">IFERROR(G115/F115/6.89*0.427*F115,0)</f>
        <v>9.35805515239478</v>
      </c>
      <c r="L115" s="115" t="n">
        <f aca="false">IFERROR(D115/C115/12.87*0.633*C115,0)</f>
        <v>40.0850815850816</v>
      </c>
      <c r="M115" s="118"/>
      <c r="N115" s="118"/>
      <c r="O115" s="118"/>
    </row>
    <row r="116" customFormat="false" ht="14.25" hidden="false" customHeight="true" outlineLevel="0" collapsed="false">
      <c r="B116" s="0" t="s">
        <v>492</v>
      </c>
      <c r="C116" s="0" t="n">
        <v>59</v>
      </c>
      <c r="D116" s="0" t="n">
        <v>701</v>
      </c>
      <c r="E116" s="0" t="n">
        <v>4.5</v>
      </c>
      <c r="F116" s="0" t="n">
        <v>8.8</v>
      </c>
      <c r="G116" s="0" t="n">
        <v>63.4</v>
      </c>
      <c r="H116" s="0" t="n">
        <v>0</v>
      </c>
      <c r="I116" s="0" t="n">
        <v>0.8</v>
      </c>
      <c r="J116" s="0" t="n">
        <v>130.6</v>
      </c>
      <c r="K116" s="115" t="n">
        <f aca="false">IFERROR(G116/F116/6.89*0.427*F116,0)</f>
        <v>3.92914368650218</v>
      </c>
      <c r="L116" s="115" t="n">
        <f aca="false">IFERROR(D116/C116/12.87*0.633*C116,0)</f>
        <v>34.4780885780886</v>
      </c>
      <c r="M116" s="118"/>
      <c r="N116" s="118"/>
      <c r="O116" s="118"/>
    </row>
    <row r="117" customFormat="false" ht="14.25" hidden="false" customHeight="true" outlineLevel="0" collapsed="false">
      <c r="A117" s="0" t="s">
        <v>760</v>
      </c>
      <c r="B117" s="0" t="s">
        <v>546</v>
      </c>
      <c r="C117" s="0" t="n">
        <v>67.5</v>
      </c>
      <c r="D117" s="0" t="n">
        <v>839.7</v>
      </c>
      <c r="E117" s="0" t="n">
        <v>4.5</v>
      </c>
      <c r="F117" s="0" t="n">
        <v>0</v>
      </c>
      <c r="G117" s="0" t="n">
        <v>0.7</v>
      </c>
      <c r="H117" s="0" t="n">
        <v>0</v>
      </c>
      <c r="I117" s="0" t="n">
        <v>0.2</v>
      </c>
      <c r="J117" s="0" t="n">
        <v>144.1</v>
      </c>
      <c r="K117" s="115" t="n">
        <f aca="false">IFERROR(G117/F117/6.89*0.427*F117,0)</f>
        <v>0</v>
      </c>
      <c r="L117" s="115" t="n">
        <f aca="false">IFERROR(D117/C117/12.87*0.633*C117,0)</f>
        <v>41.2999300699301</v>
      </c>
      <c r="M117" s="117" t="n">
        <f aca="false">C119*Scoring!$B$34+D119/Scoring!$C$34+E119*Scoring!$D$34+WR!F119*Scoring!$E$34+WR!G119/Scoring!$F$34+WR!H119*Scoring!$G$34+WR!I119*Scoring!$H$34+K119*Scoring!$I$34+WR!L119*Scoring!$J$34+U117</f>
        <v>134.8</v>
      </c>
      <c r="N117" s="117" t="n">
        <f aca="false">C117*Scoring!$B$34+D117/Scoring!$C$34+E117*Scoring!$D$34+WR!F117*Scoring!$E$34+WR!G117/Scoring!$F$34+WR!H117*Scoring!$G$34+WR!I117*Scoring!$H$34+K117*Scoring!$I$34+WR!L117*Scoring!$J$34+U117</f>
        <v>144.39</v>
      </c>
      <c r="O117" s="117" t="n">
        <f aca="false">C118*Scoring!$B$34+D118/Scoring!$C$34+E118*Scoring!$D$34+WR!F118*Scoring!$E$34+WR!G118/Scoring!$F$34+WR!H118*Scoring!$G$34+WR!I118*Scoring!$H$34+K118*Scoring!$I$34+WR!L118*Scoring!$J$34+U117</f>
        <v>157.45</v>
      </c>
      <c r="P117" s="53" t="n">
        <f aca="false">IF(COUNTIF(Rookies!$A:$A,A117)&gt;0,1,0)</f>
        <v>0</v>
      </c>
      <c r="S117" s="53" t="n">
        <f aca="false">V117/17</f>
        <v>8.49352941176471</v>
      </c>
      <c r="T117" s="53" t="n">
        <f aca="false">IF(P117=1,MAX(0,0.28*(12-S117)),0)</f>
        <v>0</v>
      </c>
      <c r="U117" s="53" t="n">
        <f aca="false">T117*17</f>
        <v>0</v>
      </c>
      <c r="V117" s="53" t="n">
        <f aca="false">C117*Scoring!$B$34+D117/Scoring!$C$34+E117*Scoring!$D$34+WR!F117*Scoring!$E$34+WR!G117/Scoring!$F$34+WR!H117*Scoring!$G$34+WR!I117*Scoring!$H$34+K117*Scoring!$I$34+WR!L117*Scoring!$J$34</f>
        <v>144.39</v>
      </c>
    </row>
    <row r="118" customFormat="false" ht="14.25" hidden="false" customHeight="true" outlineLevel="0" collapsed="false">
      <c r="B118" s="0" t="s">
        <v>491</v>
      </c>
      <c r="C118" s="0" t="n">
        <v>70.5</v>
      </c>
      <c r="D118" s="0" t="n">
        <v>860</v>
      </c>
      <c r="E118" s="0" t="n">
        <v>6</v>
      </c>
      <c r="F118" s="0" t="n">
        <v>0</v>
      </c>
      <c r="G118" s="0" t="n">
        <v>2</v>
      </c>
      <c r="H118" s="0" t="n">
        <v>0</v>
      </c>
      <c r="I118" s="0" t="n">
        <v>0</v>
      </c>
      <c r="J118" s="0" t="n">
        <v>173</v>
      </c>
      <c r="K118" s="115" t="n">
        <f aca="false">IFERROR(G118/F118/6.89*0.427*F118,0)</f>
        <v>0</v>
      </c>
      <c r="L118" s="115" t="n">
        <f aca="false">IFERROR(D118/C118/12.87*0.633*C118,0)</f>
        <v>42.2983682983683</v>
      </c>
      <c r="M118" s="118"/>
      <c r="N118" s="118"/>
      <c r="O118" s="118"/>
    </row>
    <row r="119" customFormat="false" ht="14.25" hidden="false" customHeight="true" outlineLevel="0" collapsed="false">
      <c r="B119" s="0" t="s">
        <v>492</v>
      </c>
      <c r="C119" s="0" t="n">
        <v>66</v>
      </c>
      <c r="D119" s="0" t="n">
        <v>822</v>
      </c>
      <c r="E119" s="0" t="n">
        <v>3.4</v>
      </c>
      <c r="F119" s="0" t="n">
        <v>0</v>
      </c>
      <c r="G119" s="0" t="n">
        <v>0</v>
      </c>
      <c r="H119" s="0" t="n">
        <v>0</v>
      </c>
      <c r="I119" s="0" t="n">
        <v>0.4</v>
      </c>
      <c r="J119" s="0" t="n">
        <v>139.6</v>
      </c>
      <c r="K119" s="115" t="n">
        <f aca="false">IFERROR(G119/F119/6.89*0.427*F119,0)</f>
        <v>0</v>
      </c>
      <c r="L119" s="115" t="n">
        <f aca="false">IFERROR(D119/C119/12.87*0.633*C119,0)</f>
        <v>40.4293706293706</v>
      </c>
      <c r="M119" s="118"/>
      <c r="N119" s="118"/>
      <c r="O119" s="118"/>
    </row>
    <row r="120" customFormat="false" ht="14.25" hidden="false" customHeight="true" outlineLevel="0" collapsed="false">
      <c r="A120" s="0" t="s">
        <v>761</v>
      </c>
      <c r="B120" s="0" t="s">
        <v>516</v>
      </c>
      <c r="C120" s="0" t="n">
        <v>53.9</v>
      </c>
      <c r="D120" s="0" t="n">
        <v>762.9</v>
      </c>
      <c r="E120" s="0" t="n">
        <v>6.9</v>
      </c>
      <c r="F120" s="0" t="n">
        <v>1.7</v>
      </c>
      <c r="G120" s="0" t="n">
        <v>5.9</v>
      </c>
      <c r="H120" s="0" t="n">
        <v>0</v>
      </c>
      <c r="I120" s="0" t="n">
        <v>0.7</v>
      </c>
      <c r="J120" s="0" t="n">
        <v>143.9</v>
      </c>
      <c r="K120" s="115" t="n">
        <f aca="false">IFERROR(G120/F120/6.89*0.427*F120,0)</f>
        <v>0.365645863570392</v>
      </c>
      <c r="L120" s="115" t="n">
        <f aca="false">IFERROR(D120/C120/12.87*0.633*C120,0)</f>
        <v>37.5225874125874</v>
      </c>
      <c r="M120" s="117" t="n">
        <f aca="false">C122*Scoring!$B$34+D122/Scoring!$C$34+E122*Scoring!$D$34+WR!F122*Scoring!$E$34+WR!G122/Scoring!$F$34+WR!H122*Scoring!$G$34+WR!I122*Scoring!$H$34+K122*Scoring!$I$34+WR!L122*Scoring!$J$34+U120</f>
        <v>129.8</v>
      </c>
      <c r="N120" s="117" t="n">
        <f aca="false">C120*Scoring!$B$34+D120/Scoring!$C$34+E120*Scoring!$D$34+WR!F120*Scoring!$E$34+WR!G120/Scoring!$F$34+WR!H120*Scoring!$G$34+WR!I120*Scoring!$H$34+K120*Scoring!$I$34+WR!L120*Scoring!$J$34+U120</f>
        <v>143.83</v>
      </c>
      <c r="O120" s="117" t="n">
        <f aca="false">C121*Scoring!$B$34+D121/Scoring!$C$34+E121*Scoring!$D$34+WR!F121*Scoring!$E$34+WR!G121/Scoring!$F$34+WR!H121*Scoring!$G$34+WR!I121*Scoring!$H$34+K121*Scoring!$I$34+WR!L121*Scoring!$J$34+U120</f>
        <v>162.08</v>
      </c>
      <c r="P120" s="53" t="n">
        <f aca="false">IF(COUNTIF(Rookies!$A:$A,A120)&gt;0,1,0)</f>
        <v>0</v>
      </c>
      <c r="S120" s="53" t="n">
        <f aca="false">V120/17</f>
        <v>8.46058823529412</v>
      </c>
      <c r="T120" s="53" t="n">
        <f aca="false">IF(P120=1,MAX(0,0.28*(12-S120)),0)</f>
        <v>0</v>
      </c>
      <c r="U120" s="53" t="n">
        <f aca="false">T120*17</f>
        <v>0</v>
      </c>
      <c r="V120" s="53" t="n">
        <f aca="false">C120*Scoring!$B$34+D120/Scoring!$C$34+E120*Scoring!$D$34+WR!F120*Scoring!$E$34+WR!G120/Scoring!$F$34+WR!H120*Scoring!$G$34+WR!I120*Scoring!$H$34+K120*Scoring!$I$34+WR!L120*Scoring!$J$34</f>
        <v>143.83</v>
      </c>
    </row>
    <row r="121" customFormat="false" ht="14.25" hidden="false" customHeight="true" outlineLevel="0" collapsed="false">
      <c r="B121" s="0" t="s">
        <v>491</v>
      </c>
      <c r="C121" s="0" t="n">
        <v>58</v>
      </c>
      <c r="D121" s="0" t="n">
        <v>784</v>
      </c>
      <c r="E121" s="0" t="n">
        <v>9</v>
      </c>
      <c r="F121" s="0" t="n">
        <v>3</v>
      </c>
      <c r="G121" s="0" t="n">
        <v>10.8</v>
      </c>
      <c r="H121" s="0" t="n">
        <v>0.1</v>
      </c>
      <c r="I121" s="0" t="n">
        <v>0.5</v>
      </c>
      <c r="J121" s="0" t="n">
        <v>161.2</v>
      </c>
      <c r="K121" s="115" t="n">
        <f aca="false">IFERROR(G121/F121/6.89*0.427*F121,0)</f>
        <v>0.669317851959361</v>
      </c>
      <c r="L121" s="115" t="n">
        <f aca="false">IFERROR(D121/C121/12.87*0.633*C121,0)</f>
        <v>38.560372960373</v>
      </c>
      <c r="M121" s="118"/>
      <c r="N121" s="118"/>
      <c r="O121" s="118"/>
    </row>
    <row r="122" customFormat="false" ht="14.25" hidden="false" customHeight="true" outlineLevel="0" collapsed="false">
      <c r="B122" s="0" t="s">
        <v>492</v>
      </c>
      <c r="C122" s="0" t="n">
        <v>51</v>
      </c>
      <c r="D122" s="0" t="n">
        <v>727</v>
      </c>
      <c r="E122" s="0" t="n">
        <v>5.6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139.6</v>
      </c>
      <c r="K122" s="115" t="n">
        <f aca="false">IFERROR(G122/F122/6.89*0.427*F122,0)</f>
        <v>0</v>
      </c>
      <c r="L122" s="115" t="n">
        <f aca="false">IFERROR(D122/C122/12.87*0.633*C122,0)</f>
        <v>35.7568764568765</v>
      </c>
      <c r="M122" s="118"/>
      <c r="N122" s="118"/>
      <c r="O122" s="118"/>
    </row>
    <row r="123" customFormat="false" ht="14.25" hidden="false" customHeight="true" outlineLevel="0" collapsed="false">
      <c r="A123" s="0" t="s">
        <v>762</v>
      </c>
      <c r="B123" s="0" t="s">
        <v>506</v>
      </c>
      <c r="C123" s="0" t="n">
        <v>66.9</v>
      </c>
      <c r="D123" s="0" t="n">
        <v>770.6</v>
      </c>
      <c r="E123" s="0" t="n">
        <v>5.1</v>
      </c>
      <c r="F123" s="0" t="n">
        <v>4.3</v>
      </c>
      <c r="G123" s="0" t="n">
        <v>22.7</v>
      </c>
      <c r="H123" s="0" t="n">
        <v>0.1</v>
      </c>
      <c r="I123" s="0" t="n">
        <v>0.8</v>
      </c>
      <c r="J123" s="0" t="n">
        <v>142.2</v>
      </c>
      <c r="K123" s="115" t="n">
        <f aca="false">IFERROR(G123/F123/6.89*0.427*F123,0)</f>
        <v>1.40680696661829</v>
      </c>
      <c r="L123" s="115" t="n">
        <f aca="false">IFERROR(D123/C123/12.87*0.633*C123,0)</f>
        <v>37.9013053613054</v>
      </c>
      <c r="M123" s="117" t="n">
        <f aca="false">C125*Scoring!$B$34+D125/Scoring!$C$34+E125*Scoring!$D$34+WR!F125*Scoring!$E$34+WR!G125/Scoring!$F$34+WR!H125*Scoring!$G$34+WR!I125*Scoring!$H$34+K125*Scoring!$I$34+WR!L125*Scoring!$J$34+U123</f>
        <v>134.4</v>
      </c>
      <c r="N123" s="117" t="n">
        <f aca="false">C123*Scoring!$B$34+D123/Scoring!$C$34+E123*Scoring!$D$34+WR!F123*Scoring!$E$34+WR!G123/Scoring!$F$34+WR!H123*Scoring!$G$34+WR!I123*Scoring!$H$34+K123*Scoring!$I$34+WR!L123*Scoring!$J$34+U123</f>
        <v>142.38</v>
      </c>
      <c r="O123" s="117" t="n">
        <f aca="false">C124*Scoring!$B$34+D124/Scoring!$C$34+E124*Scoring!$D$34+WR!F124*Scoring!$E$34+WR!G124/Scoring!$F$34+WR!H124*Scoring!$G$34+WR!I124*Scoring!$H$34+K124*Scoring!$I$34+WR!L124*Scoring!$J$34+U123</f>
        <v>151.3</v>
      </c>
      <c r="P123" s="53" t="n">
        <f aca="false">IF(COUNTIF(Rookies!$A:$A,A123)&gt;0,1,0)</f>
        <v>0</v>
      </c>
      <c r="S123" s="53" t="n">
        <f aca="false">V123/17</f>
        <v>8.37529411764706</v>
      </c>
      <c r="T123" s="53" t="n">
        <f aca="false">IF(P123=1,MAX(0,0.28*(12-S123)),0)</f>
        <v>0</v>
      </c>
      <c r="U123" s="53" t="n">
        <f aca="false">T123*17</f>
        <v>0</v>
      </c>
      <c r="V123" s="53" t="n">
        <f aca="false">C123*Scoring!$B$34+D123/Scoring!$C$34+E123*Scoring!$D$34+WR!F123*Scoring!$E$34+WR!G123/Scoring!$F$34+WR!H123*Scoring!$G$34+WR!I123*Scoring!$H$34+K123*Scoring!$I$34+WR!L123*Scoring!$J$34</f>
        <v>142.38</v>
      </c>
    </row>
    <row r="124" customFormat="false" ht="14.25" hidden="false" customHeight="true" outlineLevel="0" collapsed="false">
      <c r="B124" s="0" t="s">
        <v>491</v>
      </c>
      <c r="C124" s="0" t="n">
        <v>69.8</v>
      </c>
      <c r="D124" s="0" t="n">
        <v>814</v>
      </c>
      <c r="E124" s="0" t="n">
        <v>5.2</v>
      </c>
      <c r="F124" s="0" t="n">
        <v>6</v>
      </c>
      <c r="G124" s="0" t="n">
        <v>32</v>
      </c>
      <c r="H124" s="0" t="n">
        <v>0.3</v>
      </c>
      <c r="I124" s="0" t="n">
        <v>0.6</v>
      </c>
      <c r="J124" s="0" t="n">
        <v>170.1</v>
      </c>
      <c r="K124" s="115" t="n">
        <f aca="false">IFERROR(G124/F124/6.89*0.427*F124,0)</f>
        <v>1.98316400580552</v>
      </c>
      <c r="L124" s="115" t="n">
        <f aca="false">IFERROR(D124/C124/12.87*0.633*C124,0)</f>
        <v>40.0358974358974</v>
      </c>
      <c r="M124" s="118"/>
      <c r="N124" s="118"/>
      <c r="O124" s="118"/>
    </row>
    <row r="125" customFormat="false" ht="14.25" hidden="false" customHeight="true" outlineLevel="0" collapsed="false">
      <c r="B125" s="0" t="s">
        <v>492</v>
      </c>
      <c r="C125" s="0" t="n">
        <v>63</v>
      </c>
      <c r="D125" s="0" t="n">
        <v>732</v>
      </c>
      <c r="E125" s="0" t="n">
        <v>5</v>
      </c>
      <c r="F125" s="0" t="n">
        <v>3</v>
      </c>
      <c r="G125" s="0" t="n">
        <v>17</v>
      </c>
      <c r="H125" s="0" t="n">
        <v>0</v>
      </c>
      <c r="I125" s="0" t="n">
        <v>1</v>
      </c>
      <c r="J125" s="0" t="n">
        <v>134.5</v>
      </c>
      <c r="K125" s="115" t="n">
        <f aca="false">IFERROR(G125/F125/6.89*0.427*F125,0)</f>
        <v>1.05355587808418</v>
      </c>
      <c r="L125" s="115" t="n">
        <f aca="false">IFERROR(D125/C125/12.87*0.633*C125,0)</f>
        <v>36.0027972027972</v>
      </c>
      <c r="M125" s="118"/>
      <c r="N125" s="118"/>
      <c r="O125" s="118"/>
    </row>
    <row r="126" customFormat="false" ht="14.25" hidden="false" customHeight="true" outlineLevel="0" collapsed="false">
      <c r="A126" s="0" t="s">
        <v>763</v>
      </c>
      <c r="B126" s="0" t="s">
        <v>528</v>
      </c>
      <c r="C126" s="0" t="n">
        <v>67.8</v>
      </c>
      <c r="D126" s="0" t="n">
        <v>773.4</v>
      </c>
      <c r="E126" s="0" t="n">
        <v>5.2</v>
      </c>
      <c r="F126" s="0" t="n">
        <v>0.3</v>
      </c>
      <c r="G126" s="0" t="n">
        <v>0.3</v>
      </c>
      <c r="H126" s="0" t="n">
        <v>0</v>
      </c>
      <c r="I126" s="0" t="n">
        <v>0.3</v>
      </c>
      <c r="J126" s="0" t="n">
        <v>141.8</v>
      </c>
      <c r="K126" s="115" t="n">
        <f aca="false">IFERROR(G126/F126/6.89*0.427*F126,0)</f>
        <v>0.0185921625544267</v>
      </c>
      <c r="L126" s="115" t="n">
        <f aca="false">IFERROR(D126/C126/12.87*0.633*C126,0)</f>
        <v>38.039020979021</v>
      </c>
      <c r="M126" s="117" t="n">
        <f aca="false">C128*Scoring!$B$34+D128/Scoring!$C$34+E128*Scoring!$D$34+WR!F128*Scoring!$E$34+WR!G128/Scoring!$F$34+WR!H128*Scoring!$G$34+WR!I128*Scoring!$H$34+K128*Scoring!$I$34+WR!L128*Scoring!$J$34+U126</f>
        <v>126.03</v>
      </c>
      <c r="N126" s="117" t="n">
        <f aca="false">C126*Scoring!$B$34+D126/Scoring!$C$34+E126*Scoring!$D$34+WR!F126*Scoring!$E$34+WR!G126/Scoring!$F$34+WR!H126*Scoring!$G$34+WR!I126*Scoring!$H$34+K126*Scoring!$I$34+WR!L126*Scoring!$J$34+U126</f>
        <v>141.87</v>
      </c>
      <c r="O126" s="117" t="n">
        <f aca="false">C127*Scoring!$B$34+D127/Scoring!$C$34+E127*Scoring!$D$34+WR!F127*Scoring!$E$34+WR!G127/Scoring!$F$34+WR!H127*Scoring!$G$34+WR!I127*Scoring!$H$34+K127*Scoring!$I$34+WR!L127*Scoring!$J$34+U126</f>
        <v>157.7</v>
      </c>
      <c r="P126" s="53" t="n">
        <f aca="false">IF(COUNTIF(Rookies!$A:$A,A126)&gt;0,1,0)</f>
        <v>0</v>
      </c>
      <c r="S126" s="53" t="n">
        <f aca="false">V126/17</f>
        <v>8.34529411764706</v>
      </c>
      <c r="T126" s="53" t="n">
        <f aca="false">IF(P126=1,MAX(0,0.28*(12-S126)),0)</f>
        <v>0</v>
      </c>
      <c r="U126" s="53" t="n">
        <f aca="false">T126*17</f>
        <v>0</v>
      </c>
      <c r="V126" s="53" t="n">
        <f aca="false">C126*Scoring!$B$34+D126/Scoring!$C$34+E126*Scoring!$D$34+WR!F126*Scoring!$E$34+WR!G126/Scoring!$F$34+WR!H126*Scoring!$G$34+WR!I126*Scoring!$H$34+K126*Scoring!$I$34+WR!L126*Scoring!$J$34</f>
        <v>141.87</v>
      </c>
    </row>
    <row r="127" customFormat="false" ht="14.25" hidden="false" customHeight="true" outlineLevel="0" collapsed="false">
      <c r="B127" s="0" t="s">
        <v>491</v>
      </c>
      <c r="C127" s="0" t="n">
        <v>75</v>
      </c>
      <c r="D127" s="0" t="n">
        <v>841</v>
      </c>
      <c r="E127" s="0" t="n">
        <v>6</v>
      </c>
      <c r="F127" s="0" t="n">
        <v>1</v>
      </c>
      <c r="G127" s="0" t="n">
        <v>1</v>
      </c>
      <c r="H127" s="0" t="n">
        <v>0</v>
      </c>
      <c r="I127" s="0" t="n">
        <v>0</v>
      </c>
      <c r="J127" s="0" t="n">
        <v>175.8</v>
      </c>
      <c r="K127" s="115" t="n">
        <f aca="false">IFERROR(G127/F127/6.89*0.427*F127,0)</f>
        <v>0.0619738751814224</v>
      </c>
      <c r="L127" s="115" t="n">
        <f aca="false">IFERROR(D127/C127/12.87*0.633*C127,0)</f>
        <v>41.3638694638695</v>
      </c>
      <c r="M127" s="118"/>
      <c r="N127" s="118"/>
      <c r="O127" s="118"/>
    </row>
    <row r="128" customFormat="false" ht="14.25" hidden="false" customHeight="true" outlineLevel="0" collapsed="false">
      <c r="B128" s="0" t="s">
        <v>492</v>
      </c>
      <c r="C128" s="0" t="n">
        <v>60.4</v>
      </c>
      <c r="D128" s="0" t="n">
        <v>700.3</v>
      </c>
      <c r="E128" s="0" t="n">
        <v>4.5</v>
      </c>
      <c r="F128" s="0" t="n">
        <v>0</v>
      </c>
      <c r="G128" s="0" t="n">
        <v>0</v>
      </c>
      <c r="H128" s="0" t="n">
        <v>0</v>
      </c>
      <c r="I128" s="0" t="n">
        <v>0.6</v>
      </c>
      <c r="J128" s="0" t="n">
        <v>130.9</v>
      </c>
      <c r="K128" s="115" t="n">
        <f aca="false">IFERROR(G128/F128/6.89*0.427*F128,0)</f>
        <v>0</v>
      </c>
      <c r="L128" s="115" t="n">
        <f aca="false">IFERROR(D128/C128/12.87*0.633*C128,0)</f>
        <v>34.4436596736597</v>
      </c>
      <c r="M128" s="118"/>
      <c r="N128" s="118"/>
      <c r="O128" s="118"/>
    </row>
    <row r="129" customFormat="false" ht="14.25" hidden="false" customHeight="true" outlineLevel="0" collapsed="false">
      <c r="A129" s="0" t="s">
        <v>764</v>
      </c>
      <c r="B129" s="0" t="s">
        <v>522</v>
      </c>
      <c r="C129" s="0" t="n">
        <v>55.3</v>
      </c>
      <c r="D129" s="0" t="n">
        <v>758.7</v>
      </c>
      <c r="E129" s="0" t="n">
        <v>5.4</v>
      </c>
      <c r="F129" s="0" t="n">
        <v>2.7</v>
      </c>
      <c r="G129" s="0" t="n">
        <v>37.2</v>
      </c>
      <c r="H129" s="0" t="n">
        <v>0.4</v>
      </c>
      <c r="I129" s="0" t="n">
        <v>0.2</v>
      </c>
      <c r="J129" s="0" t="n">
        <v>141.5</v>
      </c>
      <c r="K129" s="115" t="n">
        <f aca="false">IFERROR(G129/F129/6.89*0.427*F129,0)</f>
        <v>2.30542815674891</v>
      </c>
      <c r="L129" s="115" t="n">
        <f aca="false">IFERROR(D129/C129/12.87*0.633*C129,0)</f>
        <v>37.316013986014</v>
      </c>
      <c r="M129" s="117" t="n">
        <f aca="false">C131*Scoring!$B$34+D131/Scoring!$C$34+E131*Scoring!$D$34+WR!F131*Scoring!$E$34+WR!G131/Scoring!$F$34+WR!H131*Scoring!$G$34+WR!I131*Scoring!$H$34+K131*Scoring!$I$34+WR!L131*Scoring!$J$34+U129</f>
        <v>129.25</v>
      </c>
      <c r="N129" s="117" t="n">
        <f aca="false">C129*Scoring!$B$34+D129/Scoring!$C$34+E129*Scoring!$D$34+WR!F129*Scoring!$E$34+WR!G129/Scoring!$F$34+WR!H129*Scoring!$G$34+WR!I129*Scoring!$H$34+K129*Scoring!$I$34+WR!L129*Scoring!$J$34+U129</f>
        <v>141.64</v>
      </c>
      <c r="O129" s="117" t="n">
        <f aca="false">C130*Scoring!$B$34+D130/Scoring!$C$34+E130*Scoring!$D$34+WR!F130*Scoring!$E$34+WR!G130/Scoring!$F$34+WR!H130*Scoring!$G$34+WR!I130*Scoring!$H$34+K130*Scoring!$I$34+WR!L130*Scoring!$J$34+U129</f>
        <v>157.15</v>
      </c>
      <c r="P129" s="53" t="n">
        <f aca="false">IF(COUNTIF(Rookies!$A:$A,A129)&gt;0,1,0)</f>
        <v>0</v>
      </c>
      <c r="S129" s="53" t="n">
        <f aca="false">V129/17</f>
        <v>8.33176470588235</v>
      </c>
      <c r="T129" s="53" t="n">
        <f aca="false">IF(P129=1,MAX(0,0.28*(12-S129)),0)</f>
        <v>0</v>
      </c>
      <c r="U129" s="53" t="n">
        <f aca="false">T129*17</f>
        <v>0</v>
      </c>
      <c r="V129" s="53" t="n">
        <f aca="false">C129*Scoring!$B$34+D129/Scoring!$C$34+E129*Scoring!$D$34+WR!F129*Scoring!$E$34+WR!G129/Scoring!$F$34+WR!H129*Scoring!$G$34+WR!I129*Scoring!$H$34+K129*Scoring!$I$34+WR!L129*Scoring!$J$34</f>
        <v>141.64</v>
      </c>
    </row>
    <row r="130" customFormat="false" ht="14.25" hidden="false" customHeight="true" outlineLevel="0" collapsed="false">
      <c r="B130" s="0" t="s">
        <v>491</v>
      </c>
      <c r="C130" s="0" t="n">
        <v>60.9</v>
      </c>
      <c r="D130" s="0" t="n">
        <v>769</v>
      </c>
      <c r="E130" s="0" t="n">
        <v>6</v>
      </c>
      <c r="F130" s="0" t="n">
        <v>3</v>
      </c>
      <c r="G130" s="0" t="n">
        <v>78</v>
      </c>
      <c r="H130" s="0" t="n">
        <v>1</v>
      </c>
      <c r="I130" s="0" t="n">
        <v>0</v>
      </c>
      <c r="J130" s="0" t="n">
        <v>164</v>
      </c>
      <c r="K130" s="115" t="n">
        <f aca="false">IFERROR(G130/F130/6.89*0.427*F130,0)</f>
        <v>4.83396226415094</v>
      </c>
      <c r="L130" s="115" t="n">
        <f aca="false">IFERROR(D130/C130/12.87*0.633*C130,0)</f>
        <v>37.8226107226107</v>
      </c>
      <c r="M130" s="118"/>
      <c r="N130" s="118"/>
      <c r="O130" s="118"/>
    </row>
    <row r="131" customFormat="false" ht="14.25" hidden="false" customHeight="true" outlineLevel="0" collapsed="false">
      <c r="B131" s="0" t="s">
        <v>492</v>
      </c>
      <c r="C131" s="0" t="n">
        <v>50</v>
      </c>
      <c r="D131" s="0" t="n">
        <v>738</v>
      </c>
      <c r="E131" s="0" t="n">
        <v>5</v>
      </c>
      <c r="F131" s="0" t="n">
        <v>2</v>
      </c>
      <c r="G131" s="0" t="n">
        <v>14.5</v>
      </c>
      <c r="H131" s="0" t="n">
        <v>0</v>
      </c>
      <c r="I131" s="0" t="n">
        <v>0.5</v>
      </c>
      <c r="J131" s="0" t="n">
        <v>137.8</v>
      </c>
      <c r="K131" s="115" t="n">
        <f aca="false">IFERROR(G131/F131/6.89*0.427*F131,0)</f>
        <v>0.898621190130624</v>
      </c>
      <c r="L131" s="115" t="n">
        <f aca="false">IFERROR(D131/C131/12.87*0.633*C131,0)</f>
        <v>36.2979020979021</v>
      </c>
      <c r="M131" s="118"/>
      <c r="N131" s="118"/>
      <c r="O131" s="118"/>
    </row>
    <row r="132" customFormat="false" ht="14.25" hidden="false" customHeight="true" outlineLevel="0" collapsed="false">
      <c r="A132" s="0" t="s">
        <v>765</v>
      </c>
      <c r="B132" s="0" t="s">
        <v>512</v>
      </c>
      <c r="C132" s="0" t="n">
        <v>54.9</v>
      </c>
      <c r="D132" s="0" t="n">
        <v>715.1</v>
      </c>
      <c r="E132" s="0" t="n">
        <v>4.2</v>
      </c>
      <c r="F132" s="0" t="n">
        <v>15.8</v>
      </c>
      <c r="G132" s="0" t="n">
        <v>101.4</v>
      </c>
      <c r="H132" s="0" t="n">
        <v>0.9</v>
      </c>
      <c r="I132" s="0" t="n">
        <v>0.2</v>
      </c>
      <c r="J132" s="0" t="n">
        <v>139.1</v>
      </c>
      <c r="K132" s="115" t="n">
        <f aca="false">IFERROR(G132/F132/6.89*0.427*F132,0)</f>
        <v>6.28415094339623</v>
      </c>
      <c r="L132" s="115" t="n">
        <f aca="false">IFERROR(D132/C132/12.87*0.633*C132,0)</f>
        <v>35.1715850815851</v>
      </c>
      <c r="M132" s="117" t="n">
        <f aca="false">C134*Scoring!$B$34+D134/Scoring!$C$34+E134*Scoring!$D$34+WR!F134*Scoring!$E$34+WR!G134/Scoring!$F$34+WR!H134*Scoring!$G$34+WR!I134*Scoring!$H$34+K134*Scoring!$I$34+WR!L134*Scoring!$J$34+U132</f>
        <v>125.3</v>
      </c>
      <c r="N132" s="117" t="n">
        <f aca="false">C132*Scoring!$B$34+D132/Scoring!$C$34+E132*Scoring!$D$34+WR!F132*Scoring!$E$34+WR!G132/Scoring!$F$34+WR!H132*Scoring!$G$34+WR!I132*Scoring!$H$34+K132*Scoring!$I$34+WR!L132*Scoring!$J$34+U132</f>
        <v>139.3</v>
      </c>
      <c r="O132" s="117" t="n">
        <f aca="false">C133*Scoring!$B$34+D133/Scoring!$C$34+E133*Scoring!$D$34+WR!F133*Scoring!$E$34+WR!G133/Scoring!$F$34+WR!H133*Scoring!$G$34+WR!I133*Scoring!$H$34+K133*Scoring!$I$34+WR!L133*Scoring!$J$34+U132</f>
        <v>155.64</v>
      </c>
      <c r="P132" s="53" t="n">
        <f aca="false">IF(COUNTIF(Rookies!$A:$A,A132)&gt;0,1,0)</f>
        <v>0</v>
      </c>
      <c r="S132" s="53" t="n">
        <f aca="false">V132/17</f>
        <v>8.19411764705883</v>
      </c>
      <c r="T132" s="53" t="n">
        <f aca="false">IF(P132=1,MAX(0,0.28*(12-S132)),0)</f>
        <v>0</v>
      </c>
      <c r="U132" s="53" t="n">
        <f aca="false">T132*17</f>
        <v>0</v>
      </c>
      <c r="V132" s="53" t="n">
        <f aca="false">C132*Scoring!$B$34+D132/Scoring!$C$34+E132*Scoring!$D$34+WR!F132*Scoring!$E$34+WR!G132/Scoring!$F$34+WR!H132*Scoring!$G$34+WR!I132*Scoring!$H$34+K132*Scoring!$I$34+WR!L132*Scoring!$J$34</f>
        <v>139.3</v>
      </c>
    </row>
    <row r="133" customFormat="false" ht="14.25" hidden="false" customHeight="true" outlineLevel="0" collapsed="false">
      <c r="B133" s="0" t="s">
        <v>491</v>
      </c>
      <c r="C133" s="0" t="n">
        <v>56</v>
      </c>
      <c r="D133" s="0" t="n">
        <v>788.4</v>
      </c>
      <c r="E133" s="0" t="n">
        <v>4.6</v>
      </c>
      <c r="F133" s="0" t="n">
        <v>23</v>
      </c>
      <c r="G133" s="0" t="n">
        <v>152</v>
      </c>
      <c r="H133" s="0" t="n">
        <v>1</v>
      </c>
      <c r="I133" s="0" t="n">
        <v>0</v>
      </c>
      <c r="J133" s="0" t="n">
        <v>164.5</v>
      </c>
      <c r="K133" s="115" t="n">
        <f aca="false">IFERROR(G133/F133/6.89*0.427*F133,0)</f>
        <v>9.4200290275762</v>
      </c>
      <c r="L133" s="115" t="n">
        <f aca="false">IFERROR(D133/C133/12.87*0.633*C133,0)</f>
        <v>38.7767832167832</v>
      </c>
      <c r="M133" s="118"/>
      <c r="N133" s="118"/>
      <c r="O133" s="118"/>
    </row>
    <row r="134" customFormat="false" ht="14.25" hidden="false" customHeight="true" outlineLevel="0" collapsed="false">
      <c r="B134" s="0" t="s">
        <v>492</v>
      </c>
      <c r="C134" s="0" t="n">
        <v>53</v>
      </c>
      <c r="D134" s="0" t="n">
        <v>642</v>
      </c>
      <c r="E134" s="0" t="n">
        <v>4</v>
      </c>
      <c r="F134" s="0" t="n">
        <v>12</v>
      </c>
      <c r="G134" s="0" t="n">
        <v>76</v>
      </c>
      <c r="H134" s="0" t="n">
        <v>0.6</v>
      </c>
      <c r="I134" s="0" t="n">
        <v>0.3</v>
      </c>
      <c r="J134" s="0" t="n">
        <v>118.4</v>
      </c>
      <c r="K134" s="115" t="n">
        <f aca="false">IFERROR(G134/F134/6.89*0.427*F134,0)</f>
        <v>4.7100145137881</v>
      </c>
      <c r="L134" s="115" t="n">
        <f aca="false">IFERROR(D134/C134/12.87*0.633*C134,0)</f>
        <v>31.5762237762238</v>
      </c>
      <c r="M134" s="118"/>
      <c r="N134" s="118"/>
      <c r="O134" s="118"/>
    </row>
    <row r="135" customFormat="false" ht="14.25" hidden="false" customHeight="true" outlineLevel="0" collapsed="false">
      <c r="A135" s="0" t="s">
        <v>766</v>
      </c>
      <c r="B135" s="0" t="s">
        <v>544</v>
      </c>
      <c r="C135" s="0" t="n">
        <v>79.9</v>
      </c>
      <c r="D135" s="0" t="n">
        <v>805.1</v>
      </c>
      <c r="E135" s="0" t="n">
        <v>3</v>
      </c>
      <c r="F135" s="0" t="n">
        <v>2</v>
      </c>
      <c r="G135" s="0" t="n">
        <v>9.5</v>
      </c>
      <c r="H135" s="0" t="n">
        <v>0.1</v>
      </c>
      <c r="I135" s="0" t="n">
        <v>0.3</v>
      </c>
      <c r="J135" s="0" t="n">
        <v>139</v>
      </c>
      <c r="K135" s="115" t="n">
        <f aca="false">IFERROR(G135/F135/6.89*0.427*F135,0)</f>
        <v>0.588751814223512</v>
      </c>
      <c r="L135" s="115" t="n">
        <f aca="false">IFERROR(D135/C135/12.87*0.633*C135,0)</f>
        <v>39.5981585081585</v>
      </c>
      <c r="M135" s="117" t="n">
        <f aca="false">C137*Scoring!$B$34+D137/Scoring!$C$34+E137*Scoring!$D$34+WR!F137*Scoring!$E$34+WR!G137/Scoring!$F$34+WR!H137*Scoring!$G$34+WR!I137*Scoring!$H$34+K137*Scoring!$I$34+WR!L137*Scoring!$J$34+U135</f>
        <v>128.3</v>
      </c>
      <c r="N135" s="117" t="n">
        <f aca="false">C135*Scoring!$B$34+D135/Scoring!$C$34+E135*Scoring!$D$34+WR!F135*Scoring!$E$34+WR!G135/Scoring!$F$34+WR!H135*Scoring!$G$34+WR!I135*Scoring!$H$34+K135*Scoring!$I$34+WR!L135*Scoring!$J$34+U135</f>
        <v>139.41</v>
      </c>
      <c r="O135" s="117" t="n">
        <f aca="false">C136*Scoring!$B$34+D136/Scoring!$C$34+E136*Scoring!$D$34+WR!F136*Scoring!$E$34+WR!G136/Scoring!$F$34+WR!H136*Scoring!$G$34+WR!I136*Scoring!$H$34+K136*Scoring!$I$34+WR!L136*Scoring!$J$34+U135</f>
        <v>151.78</v>
      </c>
      <c r="P135" s="53" t="n">
        <f aca="false">IF(COUNTIF(Rookies!$A:$A,A135)&gt;0,1,0)</f>
        <v>0</v>
      </c>
      <c r="S135" s="53" t="n">
        <f aca="false">V135/17</f>
        <v>8.20058823529412</v>
      </c>
      <c r="T135" s="53" t="n">
        <f aca="false">IF(P135=1,MAX(0,0.28*(12-S135)),0)</f>
        <v>0</v>
      </c>
      <c r="U135" s="53" t="n">
        <f aca="false">T135*17</f>
        <v>0</v>
      </c>
      <c r="V135" s="53" t="n">
        <f aca="false">C135*Scoring!$B$34+D135/Scoring!$C$34+E135*Scoring!$D$34+WR!F135*Scoring!$E$34+WR!G135/Scoring!$F$34+WR!H135*Scoring!$G$34+WR!I135*Scoring!$H$34+K135*Scoring!$I$34+WR!L135*Scoring!$J$34</f>
        <v>139.41</v>
      </c>
    </row>
    <row r="136" customFormat="false" ht="14.25" hidden="false" customHeight="true" outlineLevel="0" collapsed="false">
      <c r="B136" s="0" t="s">
        <v>491</v>
      </c>
      <c r="C136" s="0" t="n">
        <v>84</v>
      </c>
      <c r="D136" s="0" t="n">
        <v>823.3</v>
      </c>
      <c r="E136" s="0" t="n">
        <v>4</v>
      </c>
      <c r="F136" s="0" t="n">
        <v>4.1</v>
      </c>
      <c r="G136" s="0" t="n">
        <v>22.5</v>
      </c>
      <c r="H136" s="0" t="n">
        <v>0.2</v>
      </c>
      <c r="I136" s="0" t="n">
        <v>0</v>
      </c>
      <c r="J136" s="0" t="n">
        <v>176.1</v>
      </c>
      <c r="K136" s="115" t="n">
        <f aca="false">IFERROR(G136/F136/6.89*0.427*F136,0)</f>
        <v>1.394412191582</v>
      </c>
      <c r="L136" s="115" t="n">
        <f aca="false">IFERROR(D136/C136/12.87*0.633*C136,0)</f>
        <v>40.49331002331</v>
      </c>
      <c r="M136" s="118"/>
      <c r="N136" s="118"/>
      <c r="O136" s="118"/>
    </row>
    <row r="137" customFormat="false" ht="14.25" hidden="false" customHeight="true" outlineLevel="0" collapsed="false">
      <c r="B137" s="0" t="s">
        <v>492</v>
      </c>
      <c r="C137" s="0" t="n">
        <v>77</v>
      </c>
      <c r="D137" s="0" t="n">
        <v>796</v>
      </c>
      <c r="E137" s="0" t="n">
        <v>1.9</v>
      </c>
      <c r="F137" s="0" t="n">
        <v>0</v>
      </c>
      <c r="G137" s="0" t="n">
        <v>0</v>
      </c>
      <c r="H137" s="0" t="n">
        <v>0</v>
      </c>
      <c r="I137" s="0" t="n">
        <v>0.6</v>
      </c>
      <c r="J137" s="0" t="n">
        <v>134</v>
      </c>
      <c r="K137" s="115" t="n">
        <f aca="false">IFERROR(G137/F137/6.89*0.427*F137,0)</f>
        <v>0</v>
      </c>
      <c r="L137" s="115" t="n">
        <f aca="false">IFERROR(D137/C137/12.87*0.633*C137,0)</f>
        <v>39.1505827505828</v>
      </c>
      <c r="M137" s="118"/>
      <c r="N137" s="118"/>
      <c r="O137" s="118"/>
    </row>
    <row r="138" customFormat="false" ht="14.25" hidden="false" customHeight="true" outlineLevel="0" collapsed="false">
      <c r="A138" s="0" t="s">
        <v>767</v>
      </c>
      <c r="B138" s="0" t="s">
        <v>508</v>
      </c>
      <c r="C138" s="0" t="n">
        <v>56.1</v>
      </c>
      <c r="D138" s="0" t="n">
        <v>829.2</v>
      </c>
      <c r="E138" s="0" t="n">
        <v>4.9</v>
      </c>
      <c r="F138" s="0" t="n">
        <v>1.5</v>
      </c>
      <c r="G138" s="0" t="n">
        <v>6.5</v>
      </c>
      <c r="H138" s="0" t="n">
        <v>0</v>
      </c>
      <c r="I138" s="0" t="n">
        <v>1.3</v>
      </c>
      <c r="J138" s="0" t="n">
        <v>138.4</v>
      </c>
      <c r="K138" s="115" t="n">
        <f aca="false">IFERROR(G138/F138/6.89*0.427*F138,0)</f>
        <v>0.402830188679245</v>
      </c>
      <c r="L138" s="115" t="n">
        <f aca="false">IFERROR(D138/C138/12.87*0.633*C138,0)</f>
        <v>40.7834965034965</v>
      </c>
      <c r="M138" s="117" t="n">
        <f aca="false">C140*Scoring!$B$34+D140/Scoring!$C$34+E140*Scoring!$D$34+WR!F140*Scoring!$E$34+WR!G140/Scoring!$F$34+WR!H140*Scoring!$G$34+WR!I140*Scoring!$H$34+K140*Scoring!$I$34+WR!L140*Scoring!$J$34+U138</f>
        <v>149.1624</v>
      </c>
      <c r="N138" s="117" t="n">
        <f aca="false">C138*Scoring!$B$34+D138/Scoring!$C$34+E138*Scoring!$D$34+WR!F138*Scoring!$E$34+WR!G138/Scoring!$F$34+WR!H138*Scoring!$G$34+WR!I138*Scoring!$H$34+K138*Scoring!$I$34+WR!L138*Scoring!$J$34+U138</f>
        <v>156.7824</v>
      </c>
      <c r="O138" s="117" t="n">
        <f aca="false">C139*Scoring!$B$34+D139/Scoring!$C$34+E139*Scoring!$D$34+WR!F139*Scoring!$E$34+WR!G139/Scoring!$F$34+WR!H139*Scoring!$G$34+WR!I139*Scoring!$H$34+K139*Scoring!$I$34+WR!L139*Scoring!$J$34+U138</f>
        <v>164.6624</v>
      </c>
      <c r="P138" s="53" t="n">
        <f aca="false">IF(COUNTIF(Rookies!$A:$A,A138)&gt;0,1,0)</f>
        <v>1</v>
      </c>
      <c r="S138" s="53" t="n">
        <f aca="false">V138/17</f>
        <v>8.14235294117647</v>
      </c>
      <c r="T138" s="53" t="n">
        <f aca="false">IF(P138=1,MAX(0,0.28*(12-S138)),0)</f>
        <v>1.08014117647059</v>
      </c>
      <c r="U138" s="53" t="n">
        <f aca="false">T138*17</f>
        <v>18.3624</v>
      </c>
      <c r="V138" s="53" t="n">
        <f aca="false">C138*Scoring!$B$34+D138/Scoring!$C$34+E138*Scoring!$D$34+WR!F138*Scoring!$E$34+WR!G138/Scoring!$F$34+WR!H138*Scoring!$G$34+WR!I138*Scoring!$H$34+K138*Scoring!$I$34+WR!L138*Scoring!$J$34</f>
        <v>138.42</v>
      </c>
    </row>
    <row r="139" customFormat="false" ht="14.25" hidden="false" customHeight="true" outlineLevel="0" collapsed="false">
      <c r="B139" s="0" t="s">
        <v>491</v>
      </c>
      <c r="C139" s="0" t="n">
        <v>60</v>
      </c>
      <c r="D139" s="0" t="n">
        <v>860</v>
      </c>
      <c r="E139" s="0" t="n">
        <v>5</v>
      </c>
      <c r="F139" s="0" t="n">
        <v>3</v>
      </c>
      <c r="G139" s="0" t="n">
        <v>13</v>
      </c>
      <c r="H139" s="0" t="n">
        <v>0</v>
      </c>
      <c r="I139" s="0" t="n">
        <v>0.5</v>
      </c>
      <c r="J139" s="0" t="n">
        <v>136</v>
      </c>
      <c r="K139" s="115" t="n">
        <f aca="false">IFERROR(G139/F139/6.89*0.427*F139,0)</f>
        <v>0.805660377358491</v>
      </c>
      <c r="L139" s="115" t="n">
        <f aca="false">IFERROR(D139/C139/12.87*0.633*C139,0)</f>
        <v>42.2983682983683</v>
      </c>
      <c r="M139" s="118"/>
      <c r="N139" s="118"/>
      <c r="O139" s="118"/>
    </row>
    <row r="140" customFormat="false" ht="14.25" hidden="false" customHeight="true" outlineLevel="0" collapsed="false">
      <c r="B140" s="0" t="s">
        <v>492</v>
      </c>
      <c r="C140" s="0" t="n">
        <v>52.3</v>
      </c>
      <c r="D140" s="0" t="n">
        <v>798.5</v>
      </c>
      <c r="E140" s="0" t="n">
        <v>4.8</v>
      </c>
      <c r="F140" s="0" t="n">
        <v>0</v>
      </c>
      <c r="G140" s="0" t="n">
        <v>0</v>
      </c>
      <c r="H140" s="0" t="n">
        <v>0</v>
      </c>
      <c r="I140" s="0" t="n">
        <v>2</v>
      </c>
      <c r="J140" s="0" t="n">
        <v>132.1</v>
      </c>
      <c r="K140" s="115" t="n">
        <f aca="false">IFERROR(G140/F140/6.89*0.427*F140,0)</f>
        <v>0</v>
      </c>
      <c r="L140" s="115" t="n">
        <f aca="false">IFERROR(D140/C140/12.87*0.633*C140,0)</f>
        <v>39.2735431235431</v>
      </c>
      <c r="M140" s="118"/>
      <c r="N140" s="118"/>
      <c r="O140" s="118"/>
    </row>
    <row r="141" customFormat="false" ht="14.25" hidden="false" customHeight="true" outlineLevel="0" collapsed="false">
      <c r="A141" s="0" t="s">
        <v>768</v>
      </c>
      <c r="B141" s="0" t="s">
        <v>530</v>
      </c>
      <c r="C141" s="0" t="n">
        <v>58</v>
      </c>
      <c r="D141" s="0" t="n">
        <v>779.8</v>
      </c>
      <c r="E141" s="0" t="n">
        <v>4.6</v>
      </c>
      <c r="F141" s="0" t="n">
        <v>6.1</v>
      </c>
      <c r="G141" s="0" t="n">
        <v>30.4</v>
      </c>
      <c r="H141" s="0" t="n">
        <v>0.1</v>
      </c>
      <c r="I141" s="0" t="n">
        <v>0.4</v>
      </c>
      <c r="J141" s="0" t="n">
        <v>137.3</v>
      </c>
      <c r="K141" s="115" t="n">
        <f aca="false">IFERROR(G141/F141/6.89*0.427*F141,0)</f>
        <v>1.88400580551524</v>
      </c>
      <c r="L141" s="115" t="n">
        <f aca="false">IFERROR(D141/C141/12.87*0.633*C141,0)</f>
        <v>38.3537995337995</v>
      </c>
      <c r="M141" s="117" t="n">
        <f aca="false">C143*Scoring!$B$34+D143/Scoring!$C$34+E143*Scoring!$D$34+WR!F143*Scoring!$E$34+WR!G143/Scoring!$F$34+WR!H143*Scoring!$G$34+WR!I143*Scoring!$H$34+K143*Scoring!$I$34+WR!L143*Scoring!$J$34+U141</f>
        <v>118.8</v>
      </c>
      <c r="N141" s="117" t="n">
        <f aca="false">C141*Scoring!$B$34+D141/Scoring!$C$34+E141*Scoring!$D$34+WR!F141*Scoring!$E$34+WR!G141/Scoring!$F$34+WR!H141*Scoring!$G$34+WR!I141*Scoring!$H$34+K141*Scoring!$I$34+WR!L141*Scoring!$J$34+U141</f>
        <v>137.42</v>
      </c>
      <c r="O141" s="117" t="n">
        <f aca="false">C142*Scoring!$B$34+D142/Scoring!$C$34+E142*Scoring!$D$34+WR!F142*Scoring!$E$34+WR!G142/Scoring!$F$34+WR!H142*Scoring!$G$34+WR!I142*Scoring!$H$34+K142*Scoring!$I$34+WR!L142*Scoring!$J$34+U141</f>
        <v>160.63</v>
      </c>
      <c r="P141" s="53" t="n">
        <f aca="false">IF(COUNTIF(Rookies!$A:$A,A141)&gt;0,1,0)</f>
        <v>0</v>
      </c>
      <c r="S141" s="53" t="n">
        <f aca="false">V141/17</f>
        <v>8.0835294117647</v>
      </c>
      <c r="T141" s="53" t="n">
        <f aca="false">IF(P141=1,MAX(0,0.28*(12-S141)),0)</f>
        <v>0</v>
      </c>
      <c r="U141" s="53" t="n">
        <f aca="false">T141*17</f>
        <v>0</v>
      </c>
      <c r="V141" s="53" t="n">
        <f aca="false">C141*Scoring!$B$34+D141/Scoring!$C$34+E141*Scoring!$D$34+WR!F141*Scoring!$E$34+WR!G141/Scoring!$F$34+WR!H141*Scoring!$G$34+WR!I141*Scoring!$H$34+K141*Scoring!$I$34+WR!L141*Scoring!$J$34</f>
        <v>137.42</v>
      </c>
    </row>
    <row r="142" customFormat="false" ht="14.25" hidden="false" customHeight="true" outlineLevel="0" collapsed="false">
      <c r="B142" s="0" t="s">
        <v>491</v>
      </c>
      <c r="C142" s="0" t="n">
        <v>68</v>
      </c>
      <c r="D142" s="0" t="n">
        <v>887.3</v>
      </c>
      <c r="E142" s="0" t="n">
        <v>5</v>
      </c>
      <c r="F142" s="0" t="n">
        <v>14</v>
      </c>
      <c r="G142" s="0" t="n">
        <v>67</v>
      </c>
      <c r="H142" s="0" t="n">
        <v>0.2</v>
      </c>
      <c r="I142" s="0" t="n">
        <v>0</v>
      </c>
      <c r="J142" s="0" t="n">
        <v>156.2</v>
      </c>
      <c r="K142" s="115" t="n">
        <f aca="false">IFERROR(G142/F142/6.89*0.427*F142,0)</f>
        <v>4.1522496371553</v>
      </c>
      <c r="L142" s="115" t="n">
        <f aca="false">IFERROR(D142/C142/12.87*0.633*C142,0)</f>
        <v>43.6410955710956</v>
      </c>
      <c r="M142" s="118"/>
      <c r="N142" s="118"/>
      <c r="O142" s="118"/>
    </row>
    <row r="143" customFormat="false" ht="14.25" hidden="false" customHeight="true" outlineLevel="0" collapsed="false">
      <c r="B143" s="0" t="s">
        <v>492</v>
      </c>
      <c r="C143" s="0" t="n">
        <v>52</v>
      </c>
      <c r="D143" s="0" t="n">
        <v>702</v>
      </c>
      <c r="E143" s="0" t="n">
        <v>4</v>
      </c>
      <c r="F143" s="0" t="n">
        <v>0</v>
      </c>
      <c r="G143" s="0" t="n">
        <v>0</v>
      </c>
      <c r="H143" s="0" t="n">
        <v>0</v>
      </c>
      <c r="I143" s="0" t="n">
        <v>0.7</v>
      </c>
      <c r="J143" s="0" t="n">
        <v>122</v>
      </c>
      <c r="K143" s="115" t="n">
        <f aca="false">IFERROR(G143/F143/6.89*0.427*F143,0)</f>
        <v>0</v>
      </c>
      <c r="L143" s="115" t="n">
        <f aca="false">IFERROR(D143/C143/12.87*0.633*C143,0)</f>
        <v>34.5272727272727</v>
      </c>
      <c r="M143" s="118"/>
      <c r="N143" s="118"/>
      <c r="O143" s="118"/>
    </row>
    <row r="144" customFormat="false" ht="14.25" hidden="false" customHeight="true" outlineLevel="0" collapsed="false">
      <c r="A144" s="0" t="s">
        <v>769</v>
      </c>
      <c r="B144" s="0" t="s">
        <v>498</v>
      </c>
      <c r="C144" s="0" t="n">
        <v>57.1</v>
      </c>
      <c r="D144" s="0" t="n">
        <v>746.1</v>
      </c>
      <c r="E144" s="0" t="n">
        <v>5.5</v>
      </c>
      <c r="F144" s="0" t="n">
        <v>0</v>
      </c>
      <c r="G144" s="0" t="n">
        <v>0</v>
      </c>
      <c r="H144" s="0" t="n">
        <v>0</v>
      </c>
      <c r="I144" s="0" t="n">
        <v>0.3</v>
      </c>
      <c r="J144" s="0" t="n">
        <v>135.4</v>
      </c>
      <c r="K144" s="115" t="n">
        <f aca="false">IFERROR(G144/F144/6.89*0.427*F144,0)</f>
        <v>0</v>
      </c>
      <c r="L144" s="115" t="n">
        <f aca="false">IFERROR(D144/C144/12.87*0.633*C144,0)</f>
        <v>36.6962937062937</v>
      </c>
      <c r="M144" s="117" t="n">
        <f aca="false">C146*Scoring!$B$34+D146/Scoring!$C$34+E146*Scoring!$D$34+WR!F146*Scoring!$E$34+WR!G146/Scoring!$F$34+WR!H146*Scoring!$G$34+WR!I146*Scoring!$H$34+K146*Scoring!$I$34+WR!L146*Scoring!$J$34+U144</f>
        <v>121.92</v>
      </c>
      <c r="N144" s="117" t="n">
        <f aca="false">C144*Scoring!$B$34+D144/Scoring!$C$34+E144*Scoring!$D$34+WR!F144*Scoring!$E$34+WR!G144/Scoring!$F$34+WR!H144*Scoring!$G$34+WR!I144*Scoring!$H$34+K144*Scoring!$I$34+WR!L144*Scoring!$J$34+U144</f>
        <v>135.56</v>
      </c>
      <c r="O144" s="117" t="n">
        <f aca="false">C145*Scoring!$B$34+D145/Scoring!$C$34+E145*Scoring!$D$34+WR!F145*Scoring!$E$34+WR!G145/Scoring!$F$34+WR!H145*Scoring!$G$34+WR!I145*Scoring!$H$34+K145*Scoring!$I$34+WR!L145*Scoring!$J$34+U144</f>
        <v>147.7</v>
      </c>
      <c r="P144" s="53" t="n">
        <f aca="false">IF(COUNTIF(Rookies!$A:$A,A144)&gt;0,1,0)</f>
        <v>0</v>
      </c>
      <c r="S144" s="53" t="n">
        <f aca="false">V144/17</f>
        <v>7.97411764705882</v>
      </c>
      <c r="T144" s="53" t="n">
        <f aca="false">IF(P144=1,MAX(0,0.28*(12-S144)),0)</f>
        <v>0</v>
      </c>
      <c r="U144" s="53" t="n">
        <f aca="false">T144*17</f>
        <v>0</v>
      </c>
      <c r="V144" s="53" t="n">
        <f aca="false">C144*Scoring!$B$34+D144/Scoring!$C$34+E144*Scoring!$D$34+WR!F144*Scoring!$E$34+WR!G144/Scoring!$F$34+WR!H144*Scoring!$G$34+WR!I144*Scoring!$H$34+K144*Scoring!$I$34+WR!L144*Scoring!$J$34</f>
        <v>135.56</v>
      </c>
    </row>
    <row r="145" customFormat="false" ht="14.25" hidden="false" customHeight="true" outlineLevel="0" collapsed="false">
      <c r="B145" s="0" t="s">
        <v>491</v>
      </c>
      <c r="C145" s="0" t="n">
        <v>61</v>
      </c>
      <c r="D145" s="0" t="n">
        <v>812</v>
      </c>
      <c r="E145" s="0" t="n">
        <v>6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163.5</v>
      </c>
      <c r="K145" s="115" t="n">
        <f aca="false">IFERROR(G145/F145/6.89*0.427*F145,0)</f>
        <v>0</v>
      </c>
      <c r="L145" s="115" t="n">
        <f aca="false">IFERROR(D145/C145/12.87*0.633*C145,0)</f>
        <v>39.9375291375292</v>
      </c>
      <c r="M145" s="118"/>
      <c r="N145" s="118"/>
      <c r="O145" s="118"/>
    </row>
    <row r="146" customFormat="false" ht="14.25" hidden="false" customHeight="true" outlineLevel="0" collapsed="false">
      <c r="B146" s="0" t="s">
        <v>492</v>
      </c>
      <c r="C146" s="0" t="n">
        <v>52.4</v>
      </c>
      <c r="D146" s="0" t="n">
        <v>667.2</v>
      </c>
      <c r="E146" s="0" t="n">
        <v>5</v>
      </c>
      <c r="F146" s="0" t="n">
        <v>0</v>
      </c>
      <c r="G146" s="0" t="n">
        <v>0</v>
      </c>
      <c r="H146" s="0" t="n">
        <v>0</v>
      </c>
      <c r="I146" s="0" t="n">
        <v>0.5</v>
      </c>
      <c r="J146" s="0" t="n">
        <v>126.8</v>
      </c>
      <c r="K146" s="115" t="n">
        <f aca="false">IFERROR(G146/F146/6.89*0.427*F146,0)</f>
        <v>0</v>
      </c>
      <c r="L146" s="115" t="n">
        <f aca="false">IFERROR(D146/C146/12.87*0.633*C146,0)</f>
        <v>32.8156643356643</v>
      </c>
      <c r="M146" s="118"/>
      <c r="N146" s="118"/>
      <c r="O146" s="118"/>
    </row>
    <row r="147" customFormat="false" ht="14.25" hidden="false" customHeight="true" outlineLevel="0" collapsed="false">
      <c r="A147" s="0" t="s">
        <v>770</v>
      </c>
      <c r="B147" s="0" t="s">
        <v>496</v>
      </c>
      <c r="C147" s="0" t="n">
        <v>68.3</v>
      </c>
      <c r="D147" s="0" t="n">
        <v>761.1</v>
      </c>
      <c r="E147" s="0" t="n">
        <v>4.2</v>
      </c>
      <c r="F147" s="0" t="n">
        <v>0.3</v>
      </c>
      <c r="G147" s="0" t="n">
        <v>0.7</v>
      </c>
      <c r="H147" s="0" t="n">
        <v>0</v>
      </c>
      <c r="I147" s="0" t="n">
        <v>0.3</v>
      </c>
      <c r="J147" s="0" t="n">
        <v>135.1</v>
      </c>
      <c r="K147" s="115" t="n">
        <f aca="false">IFERROR(G147/F147/6.89*0.427*F147,0)</f>
        <v>0.0433817126269956</v>
      </c>
      <c r="L147" s="115" t="n">
        <f aca="false">IFERROR(D147/C147/12.87*0.633*C147,0)</f>
        <v>37.434055944056</v>
      </c>
      <c r="M147" s="117" t="n">
        <f aca="false">C149*Scoring!$B$34+D149/Scoring!$C$34+E149*Scoring!$D$34+WR!F149*Scoring!$E$34+WR!G149/Scoring!$F$34+WR!H149*Scoring!$G$34+WR!I149*Scoring!$H$34+K149*Scoring!$I$34+WR!L149*Scoring!$J$34+U147</f>
        <v>126.4</v>
      </c>
      <c r="N147" s="117" t="n">
        <f aca="false">C147*Scoring!$B$34+D147/Scoring!$C$34+E147*Scoring!$D$34+WR!F147*Scoring!$E$34+WR!G147/Scoring!$F$34+WR!H147*Scoring!$G$34+WR!I147*Scoring!$H$34+K147*Scoring!$I$34+WR!L147*Scoring!$J$34+U147</f>
        <v>134.93</v>
      </c>
      <c r="O147" s="117" t="n">
        <f aca="false">C148*Scoring!$B$34+D148/Scoring!$C$34+E148*Scoring!$D$34+WR!F148*Scoring!$E$34+WR!G148/Scoring!$F$34+WR!H148*Scoring!$G$34+WR!I148*Scoring!$H$34+K148*Scoring!$I$34+WR!L148*Scoring!$J$34+U147</f>
        <v>144.54</v>
      </c>
      <c r="P147" s="53" t="n">
        <f aca="false">IF(COUNTIF(Rookies!$A:$A,A147)&gt;0,1,0)</f>
        <v>0</v>
      </c>
      <c r="S147" s="53" t="n">
        <f aca="false">V147/17</f>
        <v>7.93705882352941</v>
      </c>
      <c r="T147" s="53" t="n">
        <f aca="false">IF(P147=1,MAX(0,0.28*(12-S147)),0)</f>
        <v>0</v>
      </c>
      <c r="U147" s="53" t="n">
        <f aca="false">T147*17</f>
        <v>0</v>
      </c>
      <c r="V147" s="53" t="n">
        <f aca="false">C147*Scoring!$B$34+D147/Scoring!$C$34+E147*Scoring!$D$34+WR!F147*Scoring!$E$34+WR!G147/Scoring!$F$34+WR!H147*Scoring!$G$34+WR!I147*Scoring!$H$34+K147*Scoring!$I$34+WR!L147*Scoring!$J$34</f>
        <v>134.93</v>
      </c>
    </row>
    <row r="148" customFormat="false" ht="14.25" hidden="false" customHeight="true" outlineLevel="0" collapsed="false">
      <c r="B148" s="0" t="s">
        <v>491</v>
      </c>
      <c r="C148" s="0" t="n">
        <v>74.8</v>
      </c>
      <c r="D148" s="0" t="n">
        <v>769.4</v>
      </c>
      <c r="E148" s="0" t="n">
        <v>5</v>
      </c>
      <c r="F148" s="0" t="n">
        <v>1</v>
      </c>
      <c r="G148" s="0" t="n">
        <v>2</v>
      </c>
      <c r="H148" s="0" t="n">
        <v>0</v>
      </c>
      <c r="I148" s="0" t="n">
        <v>0</v>
      </c>
      <c r="J148" s="0" t="n">
        <v>171.7</v>
      </c>
      <c r="K148" s="115" t="n">
        <f aca="false">IFERROR(G148/F148/6.89*0.427*F148,0)</f>
        <v>0.123947750362845</v>
      </c>
      <c r="L148" s="115" t="n">
        <f aca="false">IFERROR(D148/C148/12.87*0.633*C148,0)</f>
        <v>37.8422843822844</v>
      </c>
      <c r="M148" s="118"/>
      <c r="N148" s="118"/>
      <c r="O148" s="118"/>
    </row>
    <row r="149" customFormat="false" ht="14.25" hidden="false" customHeight="true" outlineLevel="0" collapsed="false">
      <c r="B149" s="0" t="s">
        <v>492</v>
      </c>
      <c r="C149" s="0" t="n">
        <v>62</v>
      </c>
      <c r="D149" s="0" t="n">
        <v>748</v>
      </c>
      <c r="E149" s="0" t="n">
        <v>3.6</v>
      </c>
      <c r="F149" s="0" t="n">
        <v>0</v>
      </c>
      <c r="G149" s="0" t="n">
        <v>0</v>
      </c>
      <c r="H149" s="0" t="n">
        <v>0</v>
      </c>
      <c r="I149" s="0" t="n">
        <v>0.5</v>
      </c>
      <c r="J149" s="0" t="n">
        <v>125.1</v>
      </c>
      <c r="K149" s="115" t="n">
        <f aca="false">IFERROR(G149/F149/6.89*0.427*F149,0)</f>
        <v>0</v>
      </c>
      <c r="L149" s="115" t="n">
        <f aca="false">IFERROR(D149/C149/12.87*0.633*C149,0)</f>
        <v>36.7897435897436</v>
      </c>
      <c r="M149" s="118"/>
      <c r="N149" s="118"/>
      <c r="O149" s="118"/>
    </row>
    <row r="150" customFormat="false" ht="14.25" hidden="false" customHeight="true" outlineLevel="0" collapsed="false">
      <c r="A150" s="0" t="s">
        <v>771</v>
      </c>
      <c r="B150" s="0" t="s">
        <v>508</v>
      </c>
      <c r="C150" s="0" t="n">
        <v>56.8</v>
      </c>
      <c r="D150" s="0" t="n">
        <v>639.3</v>
      </c>
      <c r="E150" s="0" t="n">
        <v>4.4</v>
      </c>
      <c r="F150" s="0" t="n">
        <v>29.1</v>
      </c>
      <c r="G150" s="0" t="n">
        <v>112.1</v>
      </c>
      <c r="H150" s="0" t="n">
        <v>1.1</v>
      </c>
      <c r="I150" s="0" t="n">
        <v>0.9</v>
      </c>
      <c r="J150" s="0" t="n">
        <v>134.4</v>
      </c>
      <c r="K150" s="115" t="n">
        <f aca="false">IFERROR(G150/F150/6.89*0.427*F150,0)</f>
        <v>6.94727140783745</v>
      </c>
      <c r="L150" s="115" t="n">
        <f aca="false">IFERROR(D150/C150/12.87*0.633*C150,0)</f>
        <v>31.4434265734266</v>
      </c>
      <c r="M150" s="117" t="n">
        <f aca="false">C152*Scoring!$B$34+D152/Scoring!$C$34+E152*Scoring!$D$34+WR!F152*Scoring!$E$34+WR!G152/Scoring!$F$34+WR!H152*Scoring!$G$34+WR!I152*Scoring!$H$34+K152*Scoring!$I$34+WR!L152*Scoring!$J$34+U150</f>
        <v>123.44</v>
      </c>
      <c r="N150" s="117" t="n">
        <f aca="false">C150*Scoring!$B$34+D150/Scoring!$C$34+E150*Scoring!$D$34+WR!F150*Scoring!$E$34+WR!G150/Scoring!$F$34+WR!H150*Scoring!$G$34+WR!I150*Scoring!$H$34+K150*Scoring!$I$34+WR!L150*Scoring!$J$34+U150</f>
        <v>134.74</v>
      </c>
      <c r="O150" s="117" t="n">
        <f aca="false">C151*Scoring!$B$34+D151/Scoring!$C$34+E151*Scoring!$D$34+WR!F151*Scoring!$E$34+WR!G151/Scoring!$F$34+WR!H151*Scoring!$G$34+WR!I151*Scoring!$H$34+K151*Scoring!$I$34+WR!L151*Scoring!$J$34+U150</f>
        <v>145.1</v>
      </c>
      <c r="P150" s="53" t="n">
        <f aca="false">IF(COUNTIF(Rookies!$A:$A,A150)&gt;0,1,0)</f>
        <v>0</v>
      </c>
      <c r="S150" s="53" t="n">
        <f aca="false">V150/17</f>
        <v>7.92588235294118</v>
      </c>
      <c r="T150" s="53" t="n">
        <f aca="false">IF(P150=1,MAX(0,0.28*(12-S150)),0)</f>
        <v>0</v>
      </c>
      <c r="U150" s="53" t="n">
        <f aca="false">T150*17</f>
        <v>0</v>
      </c>
      <c r="V150" s="53" t="n">
        <f aca="false">C150*Scoring!$B$34+D150/Scoring!$C$34+E150*Scoring!$D$34+WR!F150*Scoring!$E$34+WR!G150/Scoring!$F$34+WR!H150*Scoring!$G$34+WR!I150*Scoring!$H$34+K150*Scoring!$I$34+WR!L150*Scoring!$J$34</f>
        <v>134.74</v>
      </c>
    </row>
    <row r="151" customFormat="false" ht="14.25" hidden="false" customHeight="true" outlineLevel="0" collapsed="false">
      <c r="B151" s="0" t="s">
        <v>491</v>
      </c>
      <c r="C151" s="0" t="n">
        <v>66</v>
      </c>
      <c r="D151" s="0" t="n">
        <v>654</v>
      </c>
      <c r="E151" s="0" t="n">
        <v>5</v>
      </c>
      <c r="F151" s="0" t="n">
        <v>36</v>
      </c>
      <c r="G151" s="0" t="n">
        <v>115</v>
      </c>
      <c r="H151" s="0" t="n">
        <v>1.1</v>
      </c>
      <c r="I151" s="0" t="n">
        <v>0.7</v>
      </c>
      <c r="J151" s="0" t="n">
        <v>130.3</v>
      </c>
      <c r="K151" s="115" t="n">
        <f aca="false">IFERROR(G151/F151/6.89*0.427*F151,0)</f>
        <v>7.12699564586357</v>
      </c>
      <c r="L151" s="115" t="n">
        <f aca="false">IFERROR(D151/C151/12.87*0.633*C151,0)</f>
        <v>32.1664335664336</v>
      </c>
      <c r="M151" s="118"/>
      <c r="N151" s="118"/>
      <c r="O151" s="118"/>
    </row>
    <row r="152" customFormat="false" ht="14.25" hidden="false" customHeight="true" outlineLevel="0" collapsed="false">
      <c r="B152" s="0" t="s">
        <v>492</v>
      </c>
      <c r="C152" s="0" t="n">
        <v>47.7</v>
      </c>
      <c r="D152" s="0" t="n">
        <v>624.6</v>
      </c>
      <c r="E152" s="0" t="n">
        <v>3.7</v>
      </c>
      <c r="F152" s="0" t="n">
        <v>22.1</v>
      </c>
      <c r="G152" s="0" t="n">
        <v>109.3</v>
      </c>
      <c r="H152" s="0" t="n">
        <v>1</v>
      </c>
      <c r="I152" s="0" t="n">
        <v>1</v>
      </c>
      <c r="J152" s="0" t="n">
        <v>122.4</v>
      </c>
      <c r="K152" s="115" t="n">
        <f aca="false">IFERROR(G152/F152/6.89*0.427*F152,0)</f>
        <v>6.77374455732946</v>
      </c>
      <c r="L152" s="115" t="n">
        <f aca="false">IFERROR(D152/C152/12.87*0.633*C152,0)</f>
        <v>30.7204195804196</v>
      </c>
      <c r="M152" s="118"/>
      <c r="N152" s="118"/>
      <c r="O152" s="118"/>
    </row>
    <row r="153" customFormat="false" ht="14.25" hidden="false" customHeight="true" outlineLevel="0" collapsed="false">
      <c r="A153" s="0" t="s">
        <v>772</v>
      </c>
      <c r="B153" s="0" t="s">
        <v>554</v>
      </c>
      <c r="C153" s="0" t="n">
        <v>63.8</v>
      </c>
      <c r="D153" s="0" t="n">
        <v>792.5</v>
      </c>
      <c r="E153" s="0" t="n">
        <v>3.6</v>
      </c>
      <c r="F153" s="0" t="n">
        <v>4.2</v>
      </c>
      <c r="G153" s="0" t="n">
        <v>22.5</v>
      </c>
      <c r="H153" s="0" t="n">
        <v>0.1</v>
      </c>
      <c r="I153" s="0" t="n">
        <v>1.3</v>
      </c>
      <c r="J153" s="0" t="n">
        <v>132.8</v>
      </c>
      <c r="K153" s="115" t="n">
        <f aca="false">IFERROR(G153/F153/6.89*0.427*F153,0)</f>
        <v>1.394412191582</v>
      </c>
      <c r="L153" s="115" t="n">
        <f aca="false">IFERROR(D153/C153/12.87*0.633*C153,0)</f>
        <v>38.9784382284382</v>
      </c>
      <c r="M153" s="117" t="n">
        <f aca="false">C155*Scoring!$B$34+D155/Scoring!$C$34+E155*Scoring!$D$34+WR!F155*Scoring!$E$34+WR!G155/Scoring!$F$34+WR!H155*Scoring!$G$34+WR!I155*Scoring!$H$34+K155*Scoring!$I$34+WR!L155*Scoring!$J$34+U153</f>
        <v>138.64</v>
      </c>
      <c r="N153" s="117" t="n">
        <f aca="false">C153*Scoring!$B$34+D153/Scoring!$C$34+E153*Scoring!$D$34+WR!F153*Scoring!$E$34+WR!G153/Scoring!$F$34+WR!H153*Scoring!$G$34+WR!I153*Scoring!$H$34+K153*Scoring!$I$34+WR!L153*Scoring!$J$34+U153</f>
        <v>152.88</v>
      </c>
      <c r="O153" s="117" t="n">
        <f aca="false">C154*Scoring!$B$34+D154/Scoring!$C$34+E154*Scoring!$D$34+WR!F154*Scoring!$E$34+WR!G154/Scoring!$F$34+WR!H154*Scoring!$G$34+WR!I154*Scoring!$H$34+K154*Scoring!$I$34+WR!L154*Scoring!$J$34+U153</f>
        <v>166.37</v>
      </c>
      <c r="P153" s="53" t="n">
        <f aca="false">IF(COUNTIF(Rookies!$A:$A,A153)&gt;0,1,0)</f>
        <v>1</v>
      </c>
      <c r="S153" s="53" t="n">
        <f aca="false">V153/17</f>
        <v>7.82352941176471</v>
      </c>
      <c r="T153" s="53" t="n">
        <f aca="false">IF(P153=1,MAX(0,0.28*(12-S153)),0)</f>
        <v>1.16941176470588</v>
      </c>
      <c r="U153" s="53" t="n">
        <f aca="false">T153*17</f>
        <v>19.88</v>
      </c>
      <c r="V153" s="53" t="n">
        <f aca="false">C153*Scoring!$B$34+D153/Scoring!$C$34+E153*Scoring!$D$34+WR!F153*Scoring!$E$34+WR!G153/Scoring!$F$34+WR!H153*Scoring!$G$34+WR!I153*Scoring!$H$34+K153*Scoring!$I$34+WR!L153*Scoring!$J$34</f>
        <v>133</v>
      </c>
    </row>
    <row r="154" customFormat="false" ht="14.25" hidden="false" customHeight="true" outlineLevel="0" collapsed="false">
      <c r="B154" s="0" t="s">
        <v>491</v>
      </c>
      <c r="C154" s="0" t="n">
        <v>69</v>
      </c>
      <c r="D154" s="0" t="n">
        <v>847</v>
      </c>
      <c r="E154" s="0" t="n">
        <v>4</v>
      </c>
      <c r="F154" s="0" t="n">
        <v>6.4</v>
      </c>
      <c r="G154" s="0" t="n">
        <v>34.9</v>
      </c>
      <c r="H154" s="0" t="n">
        <v>0.2</v>
      </c>
      <c r="I154" s="0" t="n">
        <v>0.7</v>
      </c>
      <c r="J154" s="0" t="n">
        <v>129.3</v>
      </c>
      <c r="K154" s="115" t="n">
        <f aca="false">IFERROR(G154/F154/6.89*0.427*F154,0)</f>
        <v>2.16288824383164</v>
      </c>
      <c r="L154" s="115" t="n">
        <f aca="false">IFERROR(D154/C154/12.87*0.633*C154,0)</f>
        <v>41.6589743589744</v>
      </c>
      <c r="M154" s="118"/>
      <c r="N154" s="118"/>
      <c r="O154" s="118"/>
    </row>
    <row r="155" customFormat="false" ht="14.25" hidden="false" customHeight="true" outlineLevel="0" collapsed="false">
      <c r="B155" s="0" t="s">
        <v>492</v>
      </c>
      <c r="C155" s="0" t="n">
        <v>58.7</v>
      </c>
      <c r="D155" s="0" t="n">
        <v>738.1</v>
      </c>
      <c r="E155" s="0" t="n">
        <v>3.1</v>
      </c>
      <c r="F155" s="0" t="n">
        <v>2</v>
      </c>
      <c r="G155" s="0" t="n">
        <v>10</v>
      </c>
      <c r="H155" s="0" t="n">
        <v>0</v>
      </c>
      <c r="I155" s="0" t="n">
        <v>2</v>
      </c>
      <c r="J155" s="0" t="n">
        <v>126.9</v>
      </c>
      <c r="K155" s="115" t="n">
        <f aca="false">IFERROR(G155/F155/6.89*0.427*F155,0)</f>
        <v>0.619738751814224</v>
      </c>
      <c r="L155" s="115" t="n">
        <f aca="false">IFERROR(D155/C155/12.87*0.633*C155,0)</f>
        <v>36.3028205128205</v>
      </c>
      <c r="M155" s="118"/>
      <c r="N155" s="118"/>
      <c r="O155" s="118"/>
    </row>
    <row r="156" customFormat="false" ht="14.25" hidden="false" customHeight="true" outlineLevel="0" collapsed="false">
      <c r="A156" s="0" t="s">
        <v>773</v>
      </c>
      <c r="B156" s="0" t="s">
        <v>536</v>
      </c>
      <c r="C156" s="0" t="n">
        <v>49.9</v>
      </c>
      <c r="D156" s="0" t="n">
        <v>753.2</v>
      </c>
      <c r="E156" s="0" t="n">
        <v>3.8</v>
      </c>
      <c r="F156" s="0" t="n">
        <v>13.4</v>
      </c>
      <c r="G156" s="0" t="n">
        <v>88.9</v>
      </c>
      <c r="H156" s="0" t="n">
        <v>0.3</v>
      </c>
      <c r="I156" s="0" t="n">
        <v>0.8</v>
      </c>
      <c r="J156" s="0" t="n">
        <v>131.6</v>
      </c>
      <c r="K156" s="115" t="n">
        <f aca="false">IFERROR(G156/F156/6.89*0.427*F156,0)</f>
        <v>5.50947750362845</v>
      </c>
      <c r="L156" s="115" t="n">
        <f aca="false">IFERROR(D156/C156/12.87*0.633*C156,0)</f>
        <v>37.0455011655012</v>
      </c>
      <c r="M156" s="117" t="n">
        <f aca="false">C158*Scoring!$B$34+D158/Scoring!$C$34+E158*Scoring!$D$34+WR!F158*Scoring!$E$34+WR!G158/Scoring!$F$34+WR!H158*Scoring!$G$34+WR!I158*Scoring!$H$34+K158*Scoring!$I$34+WR!L158*Scoring!$J$34+U156</f>
        <v>113.71</v>
      </c>
      <c r="N156" s="117" t="n">
        <f aca="false">C156*Scoring!$B$34+D156/Scoring!$C$34+E156*Scoring!$D$34+WR!F156*Scoring!$E$34+WR!G156/Scoring!$F$34+WR!H156*Scoring!$G$34+WR!I156*Scoring!$H$34+K156*Scoring!$I$34+WR!L156*Scoring!$J$34+U156</f>
        <v>132.16</v>
      </c>
      <c r="O156" s="117" t="n">
        <f aca="false">C157*Scoring!$B$34+D157/Scoring!$C$34+E157*Scoring!$D$34+WR!F157*Scoring!$E$34+WR!G157/Scoring!$F$34+WR!H157*Scoring!$G$34+WR!I157*Scoring!$H$34+K157*Scoring!$I$34+WR!L157*Scoring!$J$34+U156</f>
        <v>149.4</v>
      </c>
      <c r="P156" s="53" t="n">
        <f aca="false">IF(COUNTIF(Rookies!$A:$A,A156)&gt;0,1,0)</f>
        <v>0</v>
      </c>
      <c r="S156" s="53" t="n">
        <f aca="false">V156/17</f>
        <v>7.77411764705883</v>
      </c>
      <c r="T156" s="53" t="n">
        <f aca="false">IF(P156=1,MAX(0,0.28*(12-S156)),0)</f>
        <v>0</v>
      </c>
      <c r="U156" s="53" t="n">
        <f aca="false">T156*17</f>
        <v>0</v>
      </c>
      <c r="V156" s="53" t="n">
        <f aca="false">C156*Scoring!$B$34+D156/Scoring!$C$34+E156*Scoring!$D$34+WR!F156*Scoring!$E$34+WR!G156/Scoring!$F$34+WR!H156*Scoring!$G$34+WR!I156*Scoring!$H$34+K156*Scoring!$I$34+WR!L156*Scoring!$J$34</f>
        <v>132.16</v>
      </c>
    </row>
    <row r="157" customFormat="false" ht="14.25" hidden="false" customHeight="true" outlineLevel="0" collapsed="false">
      <c r="B157" s="0" t="s">
        <v>491</v>
      </c>
      <c r="C157" s="0" t="n">
        <v>57</v>
      </c>
      <c r="D157" s="0" t="n">
        <v>860</v>
      </c>
      <c r="E157" s="0" t="n">
        <v>4</v>
      </c>
      <c r="F157" s="0" t="n">
        <v>13.8</v>
      </c>
      <c r="G157" s="0" t="n">
        <v>91</v>
      </c>
      <c r="H157" s="0" t="n">
        <v>0.5</v>
      </c>
      <c r="I157" s="0" t="n">
        <v>0.6</v>
      </c>
      <c r="J157" s="0" t="n">
        <v>129</v>
      </c>
      <c r="K157" s="115" t="n">
        <f aca="false">IFERROR(G157/F157/6.89*0.427*F157,0)</f>
        <v>5.63962264150943</v>
      </c>
      <c r="L157" s="115" t="n">
        <f aca="false">IFERROR(D157/C157/12.87*0.633*C157,0)</f>
        <v>42.2983682983683</v>
      </c>
      <c r="M157" s="118"/>
      <c r="N157" s="118"/>
      <c r="O157" s="118"/>
    </row>
    <row r="158" customFormat="false" ht="14.25" hidden="false" customHeight="true" outlineLevel="0" collapsed="false">
      <c r="B158" s="0" t="s">
        <v>492</v>
      </c>
      <c r="C158" s="0" t="n">
        <v>42.8</v>
      </c>
      <c r="D158" s="0" t="n">
        <v>646.4</v>
      </c>
      <c r="E158" s="0" t="n">
        <v>3.5</v>
      </c>
      <c r="F158" s="0" t="n">
        <v>13</v>
      </c>
      <c r="G158" s="0" t="n">
        <v>86.7</v>
      </c>
      <c r="H158" s="0" t="n">
        <v>0</v>
      </c>
      <c r="I158" s="0" t="n">
        <v>1</v>
      </c>
      <c r="J158" s="0" t="n">
        <v>126.6</v>
      </c>
      <c r="K158" s="115" t="n">
        <f aca="false">IFERROR(G158/F158/6.89*0.427*F158,0)</f>
        <v>5.37313497822932</v>
      </c>
      <c r="L158" s="115" t="n">
        <f aca="false">IFERROR(D158/C158/12.87*0.633*C158,0)</f>
        <v>31.792634032634</v>
      </c>
      <c r="M158" s="118"/>
      <c r="N158" s="118"/>
      <c r="O158" s="118"/>
    </row>
    <row r="159" customFormat="false" ht="14.25" hidden="false" customHeight="true" outlineLevel="0" collapsed="false">
      <c r="A159" s="0" t="s">
        <v>774</v>
      </c>
      <c r="B159" s="0" t="s">
        <v>490</v>
      </c>
      <c r="C159" s="0" t="n">
        <v>69.7</v>
      </c>
      <c r="D159" s="0" t="n">
        <v>725.8</v>
      </c>
      <c r="E159" s="0" t="n">
        <v>3.9</v>
      </c>
      <c r="F159" s="0" t="n">
        <v>1.1</v>
      </c>
      <c r="G159" s="0" t="n">
        <v>5.5</v>
      </c>
      <c r="H159" s="0" t="n">
        <v>0</v>
      </c>
      <c r="I159" s="0" t="n">
        <v>0.8</v>
      </c>
      <c r="J159" s="0" t="n">
        <v>130.1</v>
      </c>
      <c r="K159" s="115" t="n">
        <f aca="false">IFERROR(G159/F159/6.89*0.427*F159,0)</f>
        <v>0.340856313497823</v>
      </c>
      <c r="L159" s="115" t="n">
        <f aca="false">IFERROR(D159/C159/12.87*0.633*C159,0)</f>
        <v>35.6978554778555</v>
      </c>
      <c r="M159" s="117" t="n">
        <f aca="false">C161*Scoring!$B$34+D161/Scoring!$C$34+E161*Scoring!$D$34+WR!F161*Scoring!$E$34+WR!G161/Scoring!$F$34+WR!H161*Scoring!$G$34+WR!I161*Scoring!$H$34+K161*Scoring!$I$34+WR!L161*Scoring!$J$34+U159</f>
        <v>118.3</v>
      </c>
      <c r="N159" s="117" t="n">
        <f aca="false">C159*Scoring!$B$34+D159/Scoring!$C$34+E159*Scoring!$D$34+WR!F159*Scoring!$E$34+WR!G159/Scoring!$F$34+WR!H159*Scoring!$G$34+WR!I159*Scoring!$H$34+K159*Scoring!$I$34+WR!L159*Scoring!$J$34+U159</f>
        <v>129.78</v>
      </c>
      <c r="O159" s="117" t="n">
        <f aca="false">C160*Scoring!$B$34+D160/Scoring!$C$34+E160*Scoring!$D$34+WR!F160*Scoring!$E$34+WR!G160/Scoring!$F$34+WR!H160*Scoring!$G$34+WR!I160*Scoring!$H$34+K160*Scoring!$I$34+WR!L160*Scoring!$J$34+U159</f>
        <v>137.25</v>
      </c>
      <c r="P159" s="53" t="n">
        <f aca="false">IF(COUNTIF(Rookies!$A:$A,A159)&gt;0,1,0)</f>
        <v>0</v>
      </c>
      <c r="S159" s="53" t="n">
        <f aca="false">V159/17</f>
        <v>7.63411764705883</v>
      </c>
      <c r="T159" s="53" t="n">
        <f aca="false">IF(P159=1,MAX(0,0.28*(12-S159)),0)</f>
        <v>0</v>
      </c>
      <c r="U159" s="53" t="n">
        <f aca="false">T159*17</f>
        <v>0</v>
      </c>
      <c r="V159" s="53" t="n">
        <f aca="false">C159*Scoring!$B$34+D159/Scoring!$C$34+E159*Scoring!$D$34+WR!F159*Scoring!$E$34+WR!G159/Scoring!$F$34+WR!H159*Scoring!$G$34+WR!I159*Scoring!$H$34+K159*Scoring!$I$34+WR!L159*Scoring!$J$34</f>
        <v>129.78</v>
      </c>
    </row>
    <row r="160" customFormat="false" ht="14.25" hidden="false" customHeight="true" outlineLevel="0" collapsed="false">
      <c r="B160" s="0" t="s">
        <v>491</v>
      </c>
      <c r="C160" s="0" t="n">
        <v>72</v>
      </c>
      <c r="D160" s="0" t="n">
        <v>766</v>
      </c>
      <c r="E160" s="0" t="n">
        <v>4</v>
      </c>
      <c r="F160" s="0" t="n">
        <v>2.3</v>
      </c>
      <c r="G160" s="0" t="n">
        <v>12.5</v>
      </c>
      <c r="H160" s="0" t="n">
        <v>0.1</v>
      </c>
      <c r="I160" s="0" t="n">
        <v>0.6</v>
      </c>
      <c r="J160" s="0" t="n">
        <v>171.4</v>
      </c>
      <c r="K160" s="115" t="n">
        <f aca="false">IFERROR(G160/F160/6.89*0.427*F160,0)</f>
        <v>0.77467343976778</v>
      </c>
      <c r="L160" s="115" t="n">
        <f aca="false">IFERROR(D160/C160/12.87*0.633*C160,0)</f>
        <v>37.6750582750583</v>
      </c>
      <c r="M160" s="118"/>
      <c r="N160" s="118"/>
      <c r="O160" s="118"/>
    </row>
    <row r="161" customFormat="false" ht="14.25" hidden="false" customHeight="true" outlineLevel="0" collapsed="false">
      <c r="B161" s="0" t="s">
        <v>492</v>
      </c>
      <c r="C161" s="0" t="n">
        <v>67</v>
      </c>
      <c r="D161" s="0" t="n">
        <v>646</v>
      </c>
      <c r="E161" s="0" t="n">
        <v>3.7</v>
      </c>
      <c r="F161" s="0" t="n">
        <v>0</v>
      </c>
      <c r="G161" s="0" t="n">
        <v>0</v>
      </c>
      <c r="H161" s="0" t="n">
        <v>0</v>
      </c>
      <c r="I161" s="0" t="n">
        <v>1</v>
      </c>
      <c r="J161" s="0" t="n">
        <v>112.8</v>
      </c>
      <c r="K161" s="115" t="n">
        <f aca="false">IFERROR(G161/F161/6.89*0.427*F161,0)</f>
        <v>0</v>
      </c>
      <c r="L161" s="115" t="n">
        <f aca="false">IFERROR(D161/C161/12.87*0.633*C161,0)</f>
        <v>31.7729603729604</v>
      </c>
      <c r="M161" s="118"/>
      <c r="N161" s="118"/>
      <c r="O161" s="118"/>
    </row>
    <row r="162" customFormat="false" ht="14.25" hidden="false" customHeight="true" outlineLevel="0" collapsed="false">
      <c r="A162" s="0" t="s">
        <v>775</v>
      </c>
      <c r="B162" s="0" t="s">
        <v>532</v>
      </c>
      <c r="C162" s="0" t="n">
        <v>69</v>
      </c>
      <c r="D162" s="0" t="n">
        <v>704.3</v>
      </c>
      <c r="E162" s="0" t="n">
        <v>4.2</v>
      </c>
      <c r="F162" s="0" t="n">
        <v>1.4</v>
      </c>
      <c r="G162" s="0" t="n">
        <v>4.2</v>
      </c>
      <c r="H162" s="0" t="n">
        <v>0</v>
      </c>
      <c r="I162" s="0" t="n">
        <v>0.8</v>
      </c>
      <c r="J162" s="0" t="n">
        <v>129.4</v>
      </c>
      <c r="K162" s="115" t="n">
        <f aca="false">IFERROR(G162/F162/6.89*0.427*F162,0)</f>
        <v>0.260290275761974</v>
      </c>
      <c r="L162" s="115" t="n">
        <f aca="false">IFERROR(D162/C162/12.87*0.633*C162,0)</f>
        <v>34.6403962703963</v>
      </c>
      <c r="M162" s="117" t="n">
        <f aca="false">C164*Scoring!$B$34+D164/Scoring!$C$34+E164*Scoring!$D$34+WR!F164*Scoring!$E$34+WR!G164/Scoring!$F$34+WR!H164*Scoring!$G$34+WR!I164*Scoring!$H$34+K164*Scoring!$I$34+WR!L164*Scoring!$J$34+U162</f>
        <v>117.79</v>
      </c>
      <c r="N162" s="117" t="n">
        <f aca="false">C162*Scoring!$B$34+D162/Scoring!$C$34+E162*Scoring!$D$34+WR!F162*Scoring!$E$34+WR!G162/Scoring!$F$34+WR!H162*Scoring!$G$34+WR!I162*Scoring!$H$34+K162*Scoring!$I$34+WR!L162*Scoring!$J$34+U162</f>
        <v>128.95</v>
      </c>
      <c r="O162" s="117" t="n">
        <f aca="false">C163*Scoring!$B$34+D163/Scoring!$C$34+E163*Scoring!$D$34+WR!F163*Scoring!$E$34+WR!G163/Scoring!$F$34+WR!H163*Scoring!$G$34+WR!I163*Scoring!$H$34+K163*Scoring!$I$34+WR!L163*Scoring!$J$34+U162</f>
        <v>142.52</v>
      </c>
      <c r="P162" s="53" t="n">
        <f aca="false">IF(COUNTIF(Rookies!$A:$A,A162)&gt;0,1,0)</f>
        <v>0</v>
      </c>
      <c r="S162" s="53" t="n">
        <f aca="false">V162/17</f>
        <v>7.58529411764706</v>
      </c>
      <c r="T162" s="53" t="n">
        <f aca="false">IF(P162=1,MAX(0,0.28*(12-S162)),0)</f>
        <v>0</v>
      </c>
      <c r="U162" s="53" t="n">
        <f aca="false">T162*17</f>
        <v>0</v>
      </c>
      <c r="V162" s="53" t="n">
        <f aca="false">C162*Scoring!$B$34+D162/Scoring!$C$34+E162*Scoring!$D$34+WR!F162*Scoring!$E$34+WR!G162/Scoring!$F$34+WR!H162*Scoring!$G$34+WR!I162*Scoring!$H$34+K162*Scoring!$I$34+WR!L162*Scoring!$J$34</f>
        <v>128.95</v>
      </c>
    </row>
    <row r="163" customFormat="false" ht="14.25" hidden="false" customHeight="true" outlineLevel="0" collapsed="false">
      <c r="B163" s="0" t="s">
        <v>491</v>
      </c>
      <c r="C163" s="0" t="n">
        <v>70.1</v>
      </c>
      <c r="D163" s="0" t="n">
        <v>710</v>
      </c>
      <c r="E163" s="0" t="n">
        <v>6</v>
      </c>
      <c r="F163" s="0" t="n">
        <v>2.1</v>
      </c>
      <c r="G163" s="0" t="n">
        <v>10.7</v>
      </c>
      <c r="H163" s="0" t="n">
        <v>0.1</v>
      </c>
      <c r="I163" s="0" t="n">
        <v>0.6</v>
      </c>
      <c r="J163" s="0" t="n">
        <v>163.2</v>
      </c>
      <c r="K163" s="115" t="n">
        <f aca="false">IFERROR(G163/F163/6.89*0.427*F163,0)</f>
        <v>0.663120464441219</v>
      </c>
      <c r="L163" s="115" t="n">
        <f aca="false">IFERROR(D163/C163/12.87*0.633*C163,0)</f>
        <v>34.9207459207459</v>
      </c>
      <c r="M163" s="118"/>
      <c r="N163" s="118"/>
      <c r="O163" s="118"/>
    </row>
    <row r="164" customFormat="false" ht="14.25" hidden="false" customHeight="true" outlineLevel="0" collapsed="false">
      <c r="B164" s="0" t="s">
        <v>492</v>
      </c>
      <c r="C164" s="0" t="n">
        <v>68</v>
      </c>
      <c r="D164" s="0" t="n">
        <v>695.9</v>
      </c>
      <c r="E164" s="0" t="n">
        <v>2.7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122.1</v>
      </c>
      <c r="K164" s="115" t="n">
        <f aca="false">IFERROR(G164/F164/6.89*0.427*F164,0)</f>
        <v>0</v>
      </c>
      <c r="L164" s="115" t="n">
        <f aca="false">IFERROR(D164/C164/12.87*0.633*C164,0)</f>
        <v>34.2272494172494</v>
      </c>
      <c r="M164" s="118"/>
      <c r="N164" s="118"/>
      <c r="O164" s="118"/>
    </row>
    <row r="165" customFormat="false" ht="14.25" hidden="false" customHeight="true" outlineLevel="0" collapsed="false">
      <c r="A165" s="0" t="s">
        <v>776</v>
      </c>
      <c r="B165" s="0" t="s">
        <v>540</v>
      </c>
      <c r="C165" s="0" t="n">
        <v>60.1</v>
      </c>
      <c r="D165" s="0" t="n">
        <v>716.8</v>
      </c>
      <c r="E165" s="0" t="n">
        <v>4.5</v>
      </c>
      <c r="F165" s="0" t="n">
        <v>0</v>
      </c>
      <c r="G165" s="0" t="n">
        <v>0</v>
      </c>
      <c r="H165" s="0" t="n">
        <v>0</v>
      </c>
      <c r="I165" s="0" t="n">
        <v>0.8</v>
      </c>
      <c r="J165" s="0" t="n">
        <v>127.1</v>
      </c>
      <c r="K165" s="115" t="n">
        <f aca="false">IFERROR(G165/F165/6.89*0.427*F165,0)</f>
        <v>0</v>
      </c>
      <c r="L165" s="115" t="n">
        <f aca="false">IFERROR(D165/C165/12.87*0.633*C165,0)</f>
        <v>35.2551981351981</v>
      </c>
      <c r="M165" s="117" t="n">
        <f aca="false">C167*Scoring!$B$34+D167/Scoring!$C$34+E167*Scoring!$D$34+WR!F167*Scoring!$E$34+WR!G167/Scoring!$F$34+WR!H167*Scoring!$G$34+WR!I167*Scoring!$H$34+K167*Scoring!$I$34+WR!L167*Scoring!$J$34+U165</f>
        <v>114.27</v>
      </c>
      <c r="N165" s="117" t="n">
        <f aca="false">C165*Scoring!$B$34+D165/Scoring!$C$34+E165*Scoring!$D$34+WR!F165*Scoring!$E$34+WR!G165/Scoring!$F$34+WR!H165*Scoring!$G$34+WR!I165*Scoring!$H$34+K165*Scoring!$I$34+WR!L165*Scoring!$J$34+U165</f>
        <v>127.13</v>
      </c>
      <c r="O165" s="117" t="n">
        <f aca="false">C166*Scoring!$B$34+D166/Scoring!$C$34+E166*Scoring!$D$34+WR!F166*Scoring!$E$34+WR!G166/Scoring!$F$34+WR!H166*Scoring!$G$34+WR!I166*Scoring!$H$34+K166*Scoring!$I$34+WR!L166*Scoring!$J$34+U165</f>
        <v>140</v>
      </c>
      <c r="P165" s="53" t="n">
        <f aca="false">IF(COUNTIF(Rookies!$A:$A,A165)&gt;0,1,0)</f>
        <v>0</v>
      </c>
      <c r="S165" s="53" t="n">
        <f aca="false">V165/17</f>
        <v>7.47823529411765</v>
      </c>
      <c r="T165" s="53" t="n">
        <f aca="false">IF(P165=1,MAX(0,0.28*(12-S165)),0)</f>
        <v>0</v>
      </c>
      <c r="U165" s="53" t="n">
        <f aca="false">T165*17</f>
        <v>0</v>
      </c>
      <c r="V165" s="53" t="n">
        <f aca="false">C165*Scoring!$B$34+D165/Scoring!$C$34+E165*Scoring!$D$34+WR!F165*Scoring!$E$34+WR!G165/Scoring!$F$34+WR!H165*Scoring!$G$34+WR!I165*Scoring!$H$34+K165*Scoring!$I$34+WR!L165*Scoring!$J$34</f>
        <v>127.13</v>
      </c>
    </row>
    <row r="166" customFormat="false" ht="14.25" hidden="false" customHeight="true" outlineLevel="0" collapsed="false">
      <c r="B166" s="0" t="s">
        <v>491</v>
      </c>
      <c r="C166" s="0" t="n">
        <v>61.2</v>
      </c>
      <c r="D166" s="0" t="n">
        <v>746</v>
      </c>
      <c r="E166" s="0" t="n">
        <v>6</v>
      </c>
      <c r="F166" s="0" t="n">
        <v>0</v>
      </c>
      <c r="G166" s="0" t="n">
        <v>0</v>
      </c>
      <c r="H166" s="0" t="n">
        <v>0</v>
      </c>
      <c r="I166" s="0" t="n">
        <v>0.6</v>
      </c>
      <c r="J166" s="0" t="n">
        <v>130</v>
      </c>
      <c r="K166" s="115" t="n">
        <f aca="false">IFERROR(G166/F166/6.89*0.427*F166,0)</f>
        <v>0</v>
      </c>
      <c r="L166" s="115" t="n">
        <f aca="false">IFERROR(D166/C166/12.87*0.633*C166,0)</f>
        <v>36.6913752913753</v>
      </c>
      <c r="M166" s="118"/>
      <c r="N166" s="118"/>
      <c r="O166" s="118"/>
    </row>
    <row r="167" customFormat="false" ht="14.25" hidden="false" customHeight="true" outlineLevel="0" collapsed="false">
      <c r="B167" s="0" t="s">
        <v>492</v>
      </c>
      <c r="C167" s="0" t="n">
        <v>59</v>
      </c>
      <c r="D167" s="0" t="n">
        <v>687.7</v>
      </c>
      <c r="E167" s="0" t="n">
        <v>3</v>
      </c>
      <c r="F167" s="0" t="n">
        <v>0</v>
      </c>
      <c r="G167" s="0" t="n">
        <v>0</v>
      </c>
      <c r="H167" s="0" t="n">
        <v>0</v>
      </c>
      <c r="I167" s="0" t="n">
        <v>1</v>
      </c>
      <c r="J167" s="0" t="n">
        <v>115.9</v>
      </c>
      <c r="K167" s="115" t="n">
        <f aca="false">IFERROR(G167/F167/6.89*0.427*F167,0)</f>
        <v>0</v>
      </c>
      <c r="L167" s="115" t="n">
        <f aca="false">IFERROR(D167/C167/12.87*0.633*C167,0)</f>
        <v>33.8239393939394</v>
      </c>
      <c r="M167" s="118"/>
      <c r="N167" s="118"/>
      <c r="O167" s="118"/>
    </row>
    <row r="168" customFormat="false" ht="14.25" hidden="false" customHeight="true" outlineLevel="0" collapsed="false">
      <c r="A168" s="0" t="s">
        <v>777</v>
      </c>
      <c r="B168" s="0" t="s">
        <v>554</v>
      </c>
      <c r="C168" s="0" t="n">
        <v>59</v>
      </c>
      <c r="D168" s="0" t="n">
        <v>775.4</v>
      </c>
      <c r="E168" s="0" t="n">
        <v>3.4</v>
      </c>
      <c r="F168" s="0" t="n">
        <v>0.5</v>
      </c>
      <c r="G168" s="0" t="n">
        <v>2</v>
      </c>
      <c r="H168" s="0" t="n">
        <v>0</v>
      </c>
      <c r="I168" s="0" t="n">
        <v>0.7</v>
      </c>
      <c r="J168" s="0" t="n">
        <v>125.9</v>
      </c>
      <c r="K168" s="115" t="n">
        <f aca="false">IFERROR(G168/F168/6.89*0.427*F168,0)</f>
        <v>0.123947750362845</v>
      </c>
      <c r="L168" s="115" t="n">
        <f aca="false">IFERROR(D168/C168/12.87*0.633*C168,0)</f>
        <v>38.1373892773893</v>
      </c>
      <c r="M168" s="117" t="n">
        <f aca="false">C170*Scoring!$B$34+D170/Scoring!$C$34+E170*Scoring!$D$34+WR!F170*Scoring!$E$34+WR!G170/Scoring!$F$34+WR!H170*Scoring!$G$34+WR!I170*Scoring!$H$34+K170*Scoring!$I$34+WR!L170*Scoring!$J$34+U168</f>
        <v>112.22</v>
      </c>
      <c r="N168" s="117" t="n">
        <f aca="false">C168*Scoring!$B$34+D168/Scoring!$C$34+E168*Scoring!$D$34+WR!F168*Scoring!$E$34+WR!G168/Scoring!$F$34+WR!H168*Scoring!$G$34+WR!I168*Scoring!$H$34+K168*Scoring!$I$34+WR!L168*Scoring!$J$34+U168</f>
        <v>126.24</v>
      </c>
      <c r="O168" s="117" t="n">
        <f aca="false">C169*Scoring!$B$34+D169/Scoring!$C$34+E169*Scoring!$D$34+WR!F169*Scoring!$E$34+WR!G169/Scoring!$F$34+WR!H169*Scoring!$G$34+WR!I169*Scoring!$H$34+K169*Scoring!$I$34+WR!L169*Scoring!$J$34+U168</f>
        <v>139.4</v>
      </c>
      <c r="P168" s="53" t="n">
        <f aca="false">IF(COUNTIF(Rookies!$A:$A,A168)&gt;0,1,0)</f>
        <v>0</v>
      </c>
      <c r="S168" s="53" t="n">
        <f aca="false">V168/17</f>
        <v>7.42588235294118</v>
      </c>
      <c r="T168" s="53" t="n">
        <f aca="false">IF(P168=1,MAX(0,0.28*(12-S168)),0)</f>
        <v>0</v>
      </c>
      <c r="U168" s="53" t="n">
        <f aca="false">T168*17</f>
        <v>0</v>
      </c>
      <c r="V168" s="53" t="n">
        <f aca="false">C168*Scoring!$B$34+D168/Scoring!$C$34+E168*Scoring!$D$34+WR!F168*Scoring!$E$34+WR!G168/Scoring!$F$34+WR!H168*Scoring!$G$34+WR!I168*Scoring!$H$34+K168*Scoring!$I$34+WR!L168*Scoring!$J$34</f>
        <v>126.24</v>
      </c>
    </row>
    <row r="169" customFormat="false" ht="14.25" hidden="false" customHeight="true" outlineLevel="0" collapsed="false">
      <c r="B169" s="0" t="s">
        <v>491</v>
      </c>
      <c r="C169" s="0" t="n">
        <v>66</v>
      </c>
      <c r="D169" s="0" t="n">
        <v>830</v>
      </c>
      <c r="E169" s="0" t="n">
        <v>4</v>
      </c>
      <c r="F169" s="0" t="n">
        <v>1</v>
      </c>
      <c r="G169" s="0" t="n">
        <v>4</v>
      </c>
      <c r="H169" s="0" t="n">
        <v>0</v>
      </c>
      <c r="I169" s="0" t="n">
        <v>0.5</v>
      </c>
      <c r="J169" s="0" t="n">
        <v>124.5</v>
      </c>
      <c r="K169" s="115" t="n">
        <f aca="false">IFERROR(G169/F169/6.89*0.427*F169,0)</f>
        <v>0.247895500725689</v>
      </c>
      <c r="L169" s="115" t="n">
        <f aca="false">IFERROR(D169/C169/12.87*0.633*C169,0)</f>
        <v>40.8228438228438</v>
      </c>
      <c r="M169" s="118"/>
      <c r="N169" s="118"/>
      <c r="O169" s="118"/>
    </row>
    <row r="170" customFormat="false" ht="14.25" hidden="false" customHeight="true" outlineLevel="0" collapsed="false">
      <c r="B170" s="0" t="s">
        <v>492</v>
      </c>
      <c r="C170" s="0" t="n">
        <v>51.9</v>
      </c>
      <c r="D170" s="0" t="n">
        <v>720.7</v>
      </c>
      <c r="E170" s="0" t="n">
        <v>2.7</v>
      </c>
      <c r="F170" s="0" t="n">
        <v>0</v>
      </c>
      <c r="G170" s="0" t="n">
        <v>0</v>
      </c>
      <c r="H170" s="0" t="n">
        <v>0</v>
      </c>
      <c r="I170" s="0" t="n">
        <v>1</v>
      </c>
      <c r="J170" s="0" t="n">
        <v>117.4</v>
      </c>
      <c r="K170" s="115" t="n">
        <f aca="false">IFERROR(G170/F170/6.89*0.427*F170,0)</f>
        <v>0</v>
      </c>
      <c r="L170" s="115" t="n">
        <f aca="false">IFERROR(D170/C170/12.87*0.633*C170,0)</f>
        <v>35.4470163170163</v>
      </c>
      <c r="M170" s="118"/>
      <c r="N170" s="118"/>
      <c r="O170" s="118"/>
    </row>
    <row r="171" customFormat="false" ht="14.25" hidden="false" customHeight="true" outlineLevel="0" collapsed="false">
      <c r="A171" s="0" t="s">
        <v>778</v>
      </c>
      <c r="B171" s="0" t="s">
        <v>544</v>
      </c>
      <c r="C171" s="0" t="n">
        <v>46.7</v>
      </c>
      <c r="D171" s="0" t="n">
        <v>761.7</v>
      </c>
      <c r="E171" s="0" t="n">
        <v>3.2</v>
      </c>
      <c r="F171" s="0" t="n">
        <v>4.5</v>
      </c>
      <c r="G171" s="0" t="n">
        <v>27.5</v>
      </c>
      <c r="H171" s="0" t="n">
        <v>0.6</v>
      </c>
      <c r="I171" s="0" t="n">
        <v>0.2</v>
      </c>
      <c r="J171" s="0" t="n">
        <v>124.7</v>
      </c>
      <c r="K171" s="115" t="n">
        <f aca="false">IFERROR(G171/F171/6.89*0.427*F171,0)</f>
        <v>1.70428156748911</v>
      </c>
      <c r="L171" s="115" t="n">
        <f aca="false">IFERROR(D171/C171/12.87*0.633*C171,0)</f>
        <v>37.4635664335664</v>
      </c>
      <c r="M171" s="117" t="n">
        <f aca="false">C173*Scoring!$B$34+D173/Scoring!$C$34+E173*Scoring!$D$34+WR!F173*Scoring!$E$34+WR!G173/Scoring!$F$34+WR!H173*Scoring!$G$34+WR!I173*Scoring!$H$34+K173*Scoring!$I$34+WR!L173*Scoring!$J$34+U171</f>
        <v>110.7</v>
      </c>
      <c r="N171" s="117" t="n">
        <f aca="false">C171*Scoring!$B$34+D171/Scoring!$C$34+E171*Scoring!$D$34+WR!F171*Scoring!$E$34+WR!G171/Scoring!$F$34+WR!H171*Scoring!$G$34+WR!I171*Scoring!$H$34+K171*Scoring!$I$34+WR!L171*Scoring!$J$34+U171</f>
        <v>124.67</v>
      </c>
      <c r="O171" s="117" t="n">
        <f aca="false">C172*Scoring!$B$34+D172/Scoring!$C$34+E172*Scoring!$D$34+WR!F172*Scoring!$E$34+WR!G172/Scoring!$F$34+WR!H172*Scoring!$G$34+WR!I172*Scoring!$H$34+K172*Scoring!$I$34+WR!L172*Scoring!$J$34+U171</f>
        <v>139.21</v>
      </c>
      <c r="P171" s="53" t="n">
        <f aca="false">IF(COUNTIF(Rookies!$A:$A,A171)&gt;0,1,0)</f>
        <v>0</v>
      </c>
      <c r="S171" s="53" t="n">
        <f aca="false">V171/17</f>
        <v>7.33352941176471</v>
      </c>
      <c r="T171" s="53" t="n">
        <f aca="false">IF(P171=1,MAX(0,0.28*(12-S171)),0)</f>
        <v>0</v>
      </c>
      <c r="U171" s="53" t="n">
        <f aca="false">T171*17</f>
        <v>0</v>
      </c>
      <c r="V171" s="53" t="n">
        <f aca="false">C171*Scoring!$B$34+D171/Scoring!$C$34+E171*Scoring!$D$34+WR!F171*Scoring!$E$34+WR!G171/Scoring!$F$34+WR!H171*Scoring!$G$34+WR!I171*Scoring!$H$34+K171*Scoring!$I$34+WR!L171*Scoring!$J$34</f>
        <v>124.67</v>
      </c>
    </row>
    <row r="172" customFormat="false" ht="14.25" hidden="false" customHeight="true" outlineLevel="0" collapsed="false">
      <c r="B172" s="0" t="s">
        <v>491</v>
      </c>
      <c r="C172" s="0" t="n">
        <v>50</v>
      </c>
      <c r="D172" s="0" t="n">
        <v>846</v>
      </c>
      <c r="E172" s="0" t="n">
        <v>3.4</v>
      </c>
      <c r="F172" s="0" t="n">
        <v>6.1</v>
      </c>
      <c r="G172" s="0" t="n">
        <v>32.1</v>
      </c>
      <c r="H172" s="0" t="n">
        <v>1</v>
      </c>
      <c r="I172" s="0" t="n">
        <v>0</v>
      </c>
      <c r="J172" s="0" t="n">
        <v>123.3</v>
      </c>
      <c r="K172" s="115" t="n">
        <f aca="false">IFERROR(G172/F172/6.89*0.427*F172,0)</f>
        <v>1.98936139332366</v>
      </c>
      <c r="L172" s="115" t="n">
        <f aca="false">IFERROR(D172/C172/12.87*0.633*C172,0)</f>
        <v>41.6097902097902</v>
      </c>
      <c r="M172" s="118"/>
      <c r="N172" s="118"/>
      <c r="O172" s="118"/>
    </row>
    <row r="173" customFormat="false" ht="14.25" hidden="false" customHeight="true" outlineLevel="0" collapsed="false">
      <c r="B173" s="0" t="s">
        <v>492</v>
      </c>
      <c r="C173" s="0" t="n">
        <v>43.3</v>
      </c>
      <c r="D173" s="0" t="n">
        <v>677.5</v>
      </c>
      <c r="E173" s="0" t="n">
        <v>3</v>
      </c>
      <c r="F173" s="0" t="n">
        <v>3</v>
      </c>
      <c r="G173" s="0" t="n">
        <v>23</v>
      </c>
      <c r="H173" s="0" t="n">
        <v>0.3</v>
      </c>
      <c r="I173" s="0" t="n">
        <v>0.4</v>
      </c>
      <c r="J173" s="0" t="n">
        <v>115.3</v>
      </c>
      <c r="K173" s="115" t="n">
        <f aca="false">IFERROR(G173/F173/6.89*0.427*F173,0)</f>
        <v>1.42539912917271</v>
      </c>
      <c r="L173" s="115" t="n">
        <f aca="false">IFERROR(D173/C173/12.87*0.633*C173,0)</f>
        <v>33.3222610722611</v>
      </c>
      <c r="M173" s="118"/>
      <c r="N173" s="118"/>
      <c r="O173" s="118"/>
    </row>
    <row r="174" customFormat="false" ht="14.25" hidden="false" customHeight="true" outlineLevel="0" collapsed="false">
      <c r="A174" s="0" t="s">
        <v>779</v>
      </c>
      <c r="B174" s="0" t="s">
        <v>500</v>
      </c>
      <c r="C174" s="0" t="n">
        <v>52.6</v>
      </c>
      <c r="D174" s="0" t="n">
        <v>736.8</v>
      </c>
      <c r="E174" s="0" t="n">
        <v>4.3</v>
      </c>
      <c r="F174" s="0" t="n">
        <v>1.5</v>
      </c>
      <c r="G174" s="0" t="n">
        <v>6.5</v>
      </c>
      <c r="H174" s="0" t="n">
        <v>0</v>
      </c>
      <c r="I174" s="0" t="n">
        <v>1.3</v>
      </c>
      <c r="J174" s="0" t="n">
        <v>124.1</v>
      </c>
      <c r="K174" s="115" t="n">
        <f aca="false">IFERROR(G174/F174/6.89*0.427*F174,0)</f>
        <v>0.402830188679245</v>
      </c>
      <c r="L174" s="115" t="n">
        <f aca="false">IFERROR(D174/C174/12.87*0.633*C174,0)</f>
        <v>36.2388811188811</v>
      </c>
      <c r="M174" s="117" t="n">
        <f aca="false">C176*Scoring!$B$34+D176/Scoring!$C$34+E176*Scoring!$D$34+WR!F176*Scoring!$E$34+WR!G176/Scoring!$F$34+WR!H176*Scoring!$G$34+WR!I176*Scoring!$H$34+K176*Scoring!$I$34+WR!L176*Scoring!$J$34+U174</f>
        <v>142.0476</v>
      </c>
      <c r="N174" s="117" t="n">
        <f aca="false">C174*Scoring!$B$34+D174/Scoring!$C$34+E174*Scoring!$D$34+WR!F174*Scoring!$E$34+WR!G174/Scoring!$F$34+WR!H174*Scoring!$G$34+WR!I174*Scoring!$H$34+K174*Scoring!$I$34+WR!L174*Scoring!$J$34+U174</f>
        <v>146.2776</v>
      </c>
      <c r="O174" s="117" t="n">
        <f aca="false">C175*Scoring!$B$34+D175/Scoring!$C$34+E175*Scoring!$D$34+WR!F175*Scoring!$E$34+WR!G175/Scoring!$F$34+WR!H175*Scoring!$G$34+WR!I175*Scoring!$H$34+K175*Scoring!$I$34+WR!L175*Scoring!$J$34+U174</f>
        <v>151.2476</v>
      </c>
      <c r="P174" s="53" t="n">
        <f aca="false">IF(COUNTIF(Rookies!$A:$A,A174)&gt;0,1,0)</f>
        <v>1</v>
      </c>
      <c r="S174" s="53" t="n">
        <f aca="false">V174/17</f>
        <v>7.28411764705882</v>
      </c>
      <c r="T174" s="53" t="n">
        <f aca="false">IF(P174=1,MAX(0,0.28*(12-S174)),0)</f>
        <v>1.32044705882353</v>
      </c>
      <c r="U174" s="53" t="n">
        <f aca="false">T174*17</f>
        <v>22.4476</v>
      </c>
      <c r="V174" s="53" t="n">
        <f aca="false">C174*Scoring!$B$34+D174/Scoring!$C$34+E174*Scoring!$D$34+WR!F174*Scoring!$E$34+WR!G174/Scoring!$F$34+WR!H174*Scoring!$G$34+WR!I174*Scoring!$H$34+K174*Scoring!$I$34+WR!L174*Scoring!$J$34</f>
        <v>123.83</v>
      </c>
    </row>
    <row r="175" customFormat="false" ht="14.25" hidden="false" customHeight="true" outlineLevel="0" collapsed="false">
      <c r="B175" s="0" t="s">
        <v>491</v>
      </c>
      <c r="C175" s="0" t="n">
        <v>53</v>
      </c>
      <c r="D175" s="0" t="n">
        <v>738</v>
      </c>
      <c r="E175" s="0" t="n">
        <v>4.7</v>
      </c>
      <c r="F175" s="0" t="n">
        <v>3</v>
      </c>
      <c r="G175" s="0" t="n">
        <v>13</v>
      </c>
      <c r="H175" s="0" t="n">
        <v>0</v>
      </c>
      <c r="I175" s="0" t="n">
        <v>0.5</v>
      </c>
      <c r="J175" s="0" t="n">
        <v>129.3</v>
      </c>
      <c r="K175" s="115" t="n">
        <f aca="false">IFERROR(G175/F175/6.89*0.427*F175,0)</f>
        <v>0.805660377358491</v>
      </c>
      <c r="L175" s="115" t="n">
        <f aca="false">IFERROR(D175/C175/12.87*0.633*C175,0)</f>
        <v>36.2979020979021</v>
      </c>
      <c r="M175" s="118"/>
      <c r="N175" s="118"/>
      <c r="O175" s="118"/>
    </row>
    <row r="176" customFormat="false" ht="14.25" hidden="false" customHeight="true" outlineLevel="0" collapsed="false">
      <c r="B176" s="0" t="s">
        <v>492</v>
      </c>
      <c r="C176" s="0" t="n">
        <v>52.1</v>
      </c>
      <c r="D176" s="0" t="n">
        <v>735.5</v>
      </c>
      <c r="E176" s="0" t="n">
        <v>4</v>
      </c>
      <c r="F176" s="0" t="n">
        <v>0</v>
      </c>
      <c r="G176" s="0" t="n">
        <v>0</v>
      </c>
      <c r="H176" s="0" t="n">
        <v>0</v>
      </c>
      <c r="I176" s="0" t="n">
        <v>2</v>
      </c>
      <c r="J176" s="0" t="n">
        <v>112.3</v>
      </c>
      <c r="K176" s="115" t="n">
        <f aca="false">IFERROR(G176/F176/6.89*0.427*F176,0)</f>
        <v>0</v>
      </c>
      <c r="L176" s="115" t="n">
        <f aca="false">IFERROR(D176/C176/12.87*0.633*C176,0)</f>
        <v>36.1749417249417</v>
      </c>
      <c r="M176" s="118"/>
      <c r="N176" s="118"/>
      <c r="O176" s="118"/>
    </row>
    <row r="177" customFormat="false" ht="14.25" hidden="false" customHeight="true" outlineLevel="0" collapsed="false">
      <c r="A177" s="0" t="s">
        <v>780</v>
      </c>
      <c r="B177" s="0" t="s">
        <v>554</v>
      </c>
      <c r="C177" s="0" t="n">
        <v>59.2</v>
      </c>
      <c r="D177" s="0" t="n">
        <v>737.6</v>
      </c>
      <c r="E177" s="0" t="n">
        <v>3.5</v>
      </c>
      <c r="F177" s="0" t="n">
        <v>1</v>
      </c>
      <c r="G177" s="0" t="n">
        <v>5</v>
      </c>
      <c r="H177" s="0" t="n">
        <v>0</v>
      </c>
      <c r="I177" s="0" t="n">
        <v>1.3</v>
      </c>
      <c r="J177" s="0" t="n">
        <v>122.1</v>
      </c>
      <c r="K177" s="115" t="n">
        <f aca="false">IFERROR(G177/F177/6.89*0.427*F177,0)</f>
        <v>0.309869375907112</v>
      </c>
      <c r="L177" s="115" t="n">
        <f aca="false">IFERROR(D177/C177/12.87*0.633*C177,0)</f>
        <v>36.2782284382284</v>
      </c>
      <c r="M177" s="117" t="n">
        <f aca="false">C179*Scoring!$B$34+D179/Scoring!$C$34+E179*Scoring!$D$34+WR!F179*Scoring!$E$34+WR!G179/Scoring!$F$34+WR!H179*Scoring!$G$34+WR!I179*Scoring!$H$34+K179*Scoring!$I$34+WR!L179*Scoring!$J$34+U177</f>
        <v>133.9172</v>
      </c>
      <c r="N177" s="117" t="n">
        <f aca="false">C177*Scoring!$B$34+D177/Scoring!$C$34+E177*Scoring!$D$34+WR!F177*Scoring!$E$34+WR!G177/Scoring!$F$34+WR!H177*Scoring!$G$34+WR!I177*Scoring!$H$34+K177*Scoring!$I$34+WR!L177*Scoring!$J$34+U177</f>
        <v>145.1472</v>
      </c>
      <c r="O177" s="117" t="n">
        <f aca="false">C178*Scoring!$B$34+D178/Scoring!$C$34+E178*Scoring!$D$34+WR!F178*Scoring!$E$34+WR!G178/Scoring!$F$34+WR!H178*Scoring!$G$34+WR!I178*Scoring!$H$34+K178*Scoring!$I$34+WR!L178*Scoring!$J$34+U177</f>
        <v>156.3872</v>
      </c>
      <c r="P177" s="53" t="n">
        <f aca="false">IF(COUNTIF(Rookies!$A:$A,A177)&gt;0,1,0)</f>
        <v>1</v>
      </c>
      <c r="S177" s="53" t="n">
        <f aca="false">V177/17</f>
        <v>7.19176470588235</v>
      </c>
      <c r="T177" s="53" t="n">
        <f aca="false">IF(P177=1,MAX(0,0.28*(12-S177)),0)</f>
        <v>1.34630588235294</v>
      </c>
      <c r="U177" s="53" t="n">
        <f aca="false">T177*17</f>
        <v>22.8872</v>
      </c>
      <c r="V177" s="53" t="n">
        <f aca="false">C177*Scoring!$B$34+D177/Scoring!$C$34+E177*Scoring!$D$34+WR!F177*Scoring!$E$34+WR!G177/Scoring!$F$34+WR!H177*Scoring!$G$34+WR!I177*Scoring!$H$34+K177*Scoring!$I$34+WR!L177*Scoring!$J$34</f>
        <v>122.26</v>
      </c>
    </row>
    <row r="178" customFormat="false" ht="14.25" hidden="false" customHeight="true" outlineLevel="0" collapsed="false">
      <c r="B178" s="0" t="s">
        <v>491</v>
      </c>
      <c r="C178" s="0" t="n">
        <v>63</v>
      </c>
      <c r="D178" s="0" t="n">
        <v>782</v>
      </c>
      <c r="E178" s="0" t="n">
        <v>4</v>
      </c>
      <c r="F178" s="0" t="n">
        <v>2</v>
      </c>
      <c r="G178" s="0" t="n">
        <v>10</v>
      </c>
      <c r="H178" s="0" t="n">
        <v>0</v>
      </c>
      <c r="I178" s="0" t="n">
        <v>0.6</v>
      </c>
      <c r="J178" s="0" t="n">
        <v>119.6</v>
      </c>
      <c r="K178" s="115" t="n">
        <f aca="false">IFERROR(G178/F178/6.89*0.427*F178,0)</f>
        <v>0.619738751814224</v>
      </c>
      <c r="L178" s="115" t="n">
        <f aca="false">IFERROR(D178/C178/12.87*0.633*C178,0)</f>
        <v>38.4620046620047</v>
      </c>
      <c r="M178" s="118"/>
      <c r="N178" s="118"/>
      <c r="O178" s="118"/>
    </row>
    <row r="179" customFormat="false" ht="14.25" hidden="false" customHeight="true" outlineLevel="0" collapsed="false">
      <c r="B179" s="0" t="s">
        <v>492</v>
      </c>
      <c r="C179" s="0" t="n">
        <v>55.4</v>
      </c>
      <c r="D179" s="0" t="n">
        <v>693.3</v>
      </c>
      <c r="E179" s="0" t="n">
        <v>3</v>
      </c>
      <c r="F179" s="0" t="n">
        <v>0</v>
      </c>
      <c r="G179" s="0" t="n">
        <v>0</v>
      </c>
      <c r="H179" s="0" t="n">
        <v>0</v>
      </c>
      <c r="I179" s="0" t="n">
        <v>2</v>
      </c>
      <c r="J179" s="0" t="n">
        <v>116.5</v>
      </c>
      <c r="K179" s="115" t="n">
        <f aca="false">IFERROR(G179/F179/6.89*0.427*F179,0)</f>
        <v>0</v>
      </c>
      <c r="L179" s="115" t="n">
        <f aca="false">IFERROR(D179/C179/12.87*0.633*C179,0)</f>
        <v>34.0993706293706</v>
      </c>
      <c r="M179" s="118"/>
      <c r="N179" s="118"/>
      <c r="O179" s="118"/>
    </row>
    <row r="180" customFormat="false" ht="14.25" hidden="false" customHeight="true" outlineLevel="0" collapsed="false">
      <c r="A180" s="0" t="s">
        <v>781</v>
      </c>
      <c r="B180" s="0" t="s">
        <v>550</v>
      </c>
      <c r="C180" s="0" t="n">
        <v>50.2</v>
      </c>
      <c r="D180" s="0" t="n">
        <v>631.8</v>
      </c>
      <c r="E180" s="0" t="n">
        <v>3.8</v>
      </c>
      <c r="F180" s="0" t="n">
        <v>11.2</v>
      </c>
      <c r="G180" s="0" t="n">
        <v>54.7</v>
      </c>
      <c r="H180" s="0" t="n">
        <v>0.2</v>
      </c>
      <c r="I180" s="0" t="n">
        <v>0.1</v>
      </c>
      <c r="J180" s="0" t="n">
        <v>117</v>
      </c>
      <c r="K180" s="115" t="n">
        <f aca="false">IFERROR(G180/F180/6.89*0.427*F180,0)</f>
        <v>3.3899709724238</v>
      </c>
      <c r="L180" s="115" t="n">
        <f aca="false">IFERROR(D180/C180/12.87*0.633*C180,0)</f>
        <v>31.0745454545455</v>
      </c>
      <c r="M180" s="117" t="n">
        <f aca="false">C182*Scoring!$B$34+D182/Scoring!$C$34+E182*Scoring!$D$34+WR!F182*Scoring!$E$34+WR!G182/Scoring!$F$34+WR!H182*Scoring!$G$34+WR!I182*Scoring!$H$34+K182*Scoring!$I$34+WR!L182*Scoring!$J$34+U180</f>
        <v>104.25</v>
      </c>
      <c r="N180" s="117" t="n">
        <f aca="false">C180*Scoring!$B$34+D180/Scoring!$C$34+E180*Scoring!$D$34+WR!F180*Scoring!$E$34+WR!G180/Scoring!$F$34+WR!H180*Scoring!$G$34+WR!I180*Scoring!$H$34+K180*Scoring!$I$34+WR!L180*Scoring!$J$34+U180</f>
        <v>117.55</v>
      </c>
      <c r="O180" s="117" t="n">
        <f aca="false">C181*Scoring!$B$34+D181/Scoring!$C$34+E181*Scoring!$D$34+WR!F181*Scoring!$E$34+WR!G181/Scoring!$F$34+WR!H181*Scoring!$G$34+WR!I181*Scoring!$H$34+K181*Scoring!$I$34+WR!L181*Scoring!$J$34+U180</f>
        <v>129.39</v>
      </c>
      <c r="P180" s="53" t="n">
        <f aca="false">IF(COUNTIF(Rookies!$A:$A,A180)&gt;0,1,0)</f>
        <v>0</v>
      </c>
      <c r="S180" s="53" t="n">
        <f aca="false">V180/17</f>
        <v>6.91470588235294</v>
      </c>
      <c r="T180" s="53" t="n">
        <f aca="false">IF(P180=1,MAX(0,0.28*(12-S180)),0)</f>
        <v>0</v>
      </c>
      <c r="U180" s="53" t="n">
        <f aca="false">T180*17</f>
        <v>0</v>
      </c>
      <c r="V180" s="53" t="n">
        <f aca="false">C180*Scoring!$B$34+D180/Scoring!$C$34+E180*Scoring!$D$34+WR!F180*Scoring!$E$34+WR!G180/Scoring!$F$34+WR!H180*Scoring!$G$34+WR!I180*Scoring!$H$34+K180*Scoring!$I$34+WR!L180*Scoring!$J$34</f>
        <v>117.55</v>
      </c>
    </row>
    <row r="181" customFormat="false" ht="14.25" hidden="false" customHeight="true" outlineLevel="0" collapsed="false">
      <c r="B181" s="0" t="s">
        <v>491</v>
      </c>
      <c r="C181" s="0" t="n">
        <v>52</v>
      </c>
      <c r="D181" s="0" t="n">
        <v>658.6</v>
      </c>
      <c r="E181" s="0" t="n">
        <v>5</v>
      </c>
      <c r="F181" s="0" t="n">
        <v>12</v>
      </c>
      <c r="G181" s="0" t="n">
        <v>57.3</v>
      </c>
      <c r="H181" s="0" t="n">
        <v>0.3</v>
      </c>
      <c r="I181" s="0" t="n">
        <v>0</v>
      </c>
      <c r="J181" s="0" t="n">
        <v>114.7</v>
      </c>
      <c r="K181" s="115" t="n">
        <f aca="false">IFERROR(G181/F181/6.89*0.427*F181,0)</f>
        <v>3.5511030478955</v>
      </c>
      <c r="L181" s="115" t="n">
        <f aca="false">IFERROR(D181/C181/12.87*0.633*C181,0)</f>
        <v>32.3926806526807</v>
      </c>
      <c r="M181" s="118"/>
      <c r="N181" s="118"/>
      <c r="O181" s="118"/>
    </row>
    <row r="182" customFormat="false" ht="14.25" hidden="false" customHeight="true" outlineLevel="0" collapsed="false">
      <c r="B182" s="0" t="s">
        <v>492</v>
      </c>
      <c r="C182" s="0" t="n">
        <v>48.3</v>
      </c>
      <c r="D182" s="0" t="n">
        <v>605</v>
      </c>
      <c r="E182" s="0" t="n">
        <v>2.5</v>
      </c>
      <c r="F182" s="0" t="n">
        <v>10.4</v>
      </c>
      <c r="G182" s="0" t="n">
        <v>52</v>
      </c>
      <c r="H182" s="0" t="n">
        <v>0</v>
      </c>
      <c r="I182" s="0" t="n">
        <v>0.3</v>
      </c>
      <c r="J182" s="0" t="n">
        <v>109.1</v>
      </c>
      <c r="K182" s="115" t="n">
        <f aca="false">IFERROR(G182/F182/6.89*0.427*F182,0)</f>
        <v>3.22264150943396</v>
      </c>
      <c r="L182" s="115" t="n">
        <f aca="false">IFERROR(D182/C182/12.87*0.633*C182,0)</f>
        <v>29.7564102564103</v>
      </c>
      <c r="M182" s="118"/>
      <c r="N182" s="118"/>
      <c r="O182" s="118"/>
    </row>
    <row r="183" customFormat="false" ht="14.25" hidden="false" customHeight="true" outlineLevel="0" collapsed="false">
      <c r="A183" s="0" t="s">
        <v>782</v>
      </c>
      <c r="B183" s="0" t="s">
        <v>494</v>
      </c>
      <c r="C183" s="0" t="n">
        <v>38.8</v>
      </c>
      <c r="D183" s="0" t="n">
        <v>598.2</v>
      </c>
      <c r="E183" s="0" t="n">
        <v>6</v>
      </c>
      <c r="F183" s="0" t="n">
        <v>0</v>
      </c>
      <c r="G183" s="0" t="n">
        <v>0</v>
      </c>
      <c r="H183" s="0" t="n">
        <v>0</v>
      </c>
      <c r="I183" s="0" t="n">
        <v>0.2</v>
      </c>
      <c r="J183" s="0" t="n">
        <v>114.8</v>
      </c>
      <c r="K183" s="115" t="n">
        <f aca="false">IFERROR(G183/F183/6.89*0.427*F183,0)</f>
        <v>0</v>
      </c>
      <c r="L183" s="115" t="n">
        <f aca="false">IFERROR(D183/C183/12.87*0.633*C183,0)</f>
        <v>29.421958041958</v>
      </c>
      <c r="M183" s="117" t="n">
        <f aca="false">C185*Scoring!$B$34+D185/Scoring!$C$34+E185*Scoring!$D$34+WR!F185*Scoring!$E$34+WR!G185/Scoring!$F$34+WR!H185*Scoring!$G$34+WR!I185*Scoring!$H$34+K185*Scoring!$I$34+WR!L185*Scoring!$J$34+U183</f>
        <v>100.55</v>
      </c>
      <c r="N183" s="117" t="n">
        <f aca="false">C183*Scoring!$B$34+D183/Scoring!$C$34+E183*Scoring!$D$34+WR!F183*Scoring!$E$34+WR!G183/Scoring!$F$34+WR!H183*Scoring!$G$34+WR!I183*Scoring!$H$34+K183*Scoring!$I$34+WR!L183*Scoring!$J$34+U183</f>
        <v>114.82</v>
      </c>
      <c r="O183" s="117" t="n">
        <f aca="false">C184*Scoring!$B$34+D184/Scoring!$C$34+E184*Scoring!$D$34+WR!F184*Scoring!$E$34+WR!G184/Scoring!$F$34+WR!H184*Scoring!$G$34+WR!I184*Scoring!$H$34+K184*Scoring!$I$34+WR!L184*Scoring!$J$34+U183</f>
        <v>129.34</v>
      </c>
      <c r="P183" s="53" t="n">
        <f aca="false">IF(COUNTIF(Rookies!$A:$A,A183)&gt;0,1,0)</f>
        <v>0</v>
      </c>
      <c r="S183" s="53" t="n">
        <f aca="false">V183/17</f>
        <v>6.75411764705882</v>
      </c>
      <c r="T183" s="53" t="n">
        <f aca="false">IF(P183=1,MAX(0,0.28*(12-S183)),0)</f>
        <v>0</v>
      </c>
      <c r="U183" s="53" t="n">
        <f aca="false">T183*17</f>
        <v>0</v>
      </c>
      <c r="V183" s="53" t="n">
        <f aca="false">C183*Scoring!$B$34+D183/Scoring!$C$34+E183*Scoring!$D$34+WR!F183*Scoring!$E$34+WR!G183/Scoring!$F$34+WR!H183*Scoring!$G$34+WR!I183*Scoring!$H$34+K183*Scoring!$I$34+WR!L183*Scoring!$J$34</f>
        <v>114.82</v>
      </c>
    </row>
    <row r="184" customFormat="false" ht="14.25" hidden="false" customHeight="true" outlineLevel="0" collapsed="false">
      <c r="B184" s="0" t="s">
        <v>491</v>
      </c>
      <c r="C184" s="0" t="n">
        <v>40</v>
      </c>
      <c r="D184" s="0" t="n">
        <v>613.4</v>
      </c>
      <c r="E184" s="0" t="n">
        <v>8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117.4</v>
      </c>
      <c r="K184" s="115" t="n">
        <f aca="false">IFERROR(G184/F184/6.89*0.427*F184,0)</f>
        <v>0</v>
      </c>
      <c r="L184" s="115" t="n">
        <f aca="false">IFERROR(D184/C184/12.87*0.633*C184,0)</f>
        <v>30.1695571095571</v>
      </c>
      <c r="M184" s="118"/>
      <c r="N184" s="118"/>
      <c r="O184" s="118"/>
    </row>
    <row r="185" customFormat="false" ht="14.25" hidden="false" customHeight="true" outlineLevel="0" collapsed="false">
      <c r="B185" s="0" t="s">
        <v>492</v>
      </c>
      <c r="C185" s="0" t="n">
        <v>37.7</v>
      </c>
      <c r="D185" s="0" t="n">
        <v>583</v>
      </c>
      <c r="E185" s="0" t="n">
        <v>4</v>
      </c>
      <c r="F185" s="0" t="n">
        <v>0</v>
      </c>
      <c r="G185" s="0" t="n">
        <v>0</v>
      </c>
      <c r="H185" s="0" t="n">
        <v>0</v>
      </c>
      <c r="I185" s="0" t="n">
        <v>0.3</v>
      </c>
      <c r="J185" s="0" t="n">
        <v>104.1</v>
      </c>
      <c r="K185" s="115" t="n">
        <f aca="false">IFERROR(G185/F185/6.89*0.427*F185,0)</f>
        <v>0</v>
      </c>
      <c r="L185" s="115" t="n">
        <f aca="false">IFERROR(D185/C185/12.87*0.633*C185,0)</f>
        <v>28.674358974359</v>
      </c>
      <c r="M185" s="118"/>
      <c r="N185" s="118"/>
      <c r="O185" s="118"/>
    </row>
    <row r="186" customFormat="false" ht="14.25" hidden="false" customHeight="true" outlineLevel="0" collapsed="false">
      <c r="A186" s="0" t="s">
        <v>783</v>
      </c>
      <c r="B186" s="0" t="s">
        <v>538</v>
      </c>
      <c r="C186" s="0" t="n">
        <v>45.1</v>
      </c>
      <c r="D186" s="0" t="n">
        <v>628.2</v>
      </c>
      <c r="E186" s="0" t="n">
        <v>4.8</v>
      </c>
      <c r="F186" s="0" t="n">
        <v>0</v>
      </c>
      <c r="G186" s="0" t="n">
        <v>0</v>
      </c>
      <c r="H186" s="0" t="n">
        <v>0</v>
      </c>
      <c r="I186" s="0" t="n">
        <v>0.2</v>
      </c>
      <c r="J186" s="0" t="n">
        <v>113.7</v>
      </c>
      <c r="K186" s="115" t="n">
        <f aca="false">IFERROR(G186/F186/6.89*0.427*F186,0)</f>
        <v>0</v>
      </c>
      <c r="L186" s="115" t="n">
        <f aca="false">IFERROR(D186/C186/12.87*0.633*C186,0)</f>
        <v>30.8974825174825</v>
      </c>
      <c r="M186" s="117" t="n">
        <f aca="false">C188*Scoring!$B$34+D188/Scoring!$C$34+E188*Scoring!$D$34+WR!F188*Scoring!$E$34+WR!G188/Scoring!$F$34+WR!H188*Scoring!$G$34+WR!I188*Scoring!$H$34+K188*Scoring!$I$34+WR!L188*Scoring!$J$34+U186</f>
        <v>99.3</v>
      </c>
      <c r="N186" s="117" t="n">
        <f aca="false">C186*Scoring!$B$34+D186/Scoring!$C$34+E186*Scoring!$D$34+WR!F186*Scoring!$E$34+WR!G186/Scoring!$F$34+WR!H186*Scoring!$G$34+WR!I186*Scoring!$H$34+K186*Scoring!$I$34+WR!L186*Scoring!$J$34+U186</f>
        <v>113.77</v>
      </c>
      <c r="O186" s="117" t="n">
        <f aca="false">C187*Scoring!$B$34+D187/Scoring!$C$34+E187*Scoring!$D$34+WR!F187*Scoring!$E$34+WR!G187/Scoring!$F$34+WR!H187*Scoring!$G$34+WR!I187*Scoring!$H$34+K187*Scoring!$I$34+WR!L187*Scoring!$J$34+U186</f>
        <v>128.19</v>
      </c>
      <c r="P186" s="53" t="n">
        <f aca="false">IF(COUNTIF(Rookies!$A:$A,A186)&gt;0,1,0)</f>
        <v>0</v>
      </c>
      <c r="S186" s="53" t="n">
        <f aca="false">V186/17</f>
        <v>6.69235294117647</v>
      </c>
      <c r="T186" s="53" t="n">
        <f aca="false">IF(P186=1,MAX(0,0.28*(12-S186)),0)</f>
        <v>0</v>
      </c>
      <c r="U186" s="53" t="n">
        <f aca="false">T186*17</f>
        <v>0</v>
      </c>
      <c r="V186" s="53" t="n">
        <f aca="false">C186*Scoring!$B$34+D186/Scoring!$C$34+E186*Scoring!$D$34+WR!F186*Scoring!$E$34+WR!G186/Scoring!$F$34+WR!H186*Scoring!$G$34+WR!I186*Scoring!$H$34+K186*Scoring!$I$34+WR!L186*Scoring!$J$34</f>
        <v>113.77</v>
      </c>
    </row>
    <row r="187" customFormat="false" ht="14.25" hidden="false" customHeight="true" outlineLevel="0" collapsed="false">
      <c r="B187" s="0" t="s">
        <v>491</v>
      </c>
      <c r="C187" s="0" t="n">
        <v>51.1</v>
      </c>
      <c r="D187" s="0" t="n">
        <v>666.4</v>
      </c>
      <c r="E187" s="0" t="n">
        <v>6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110.4</v>
      </c>
      <c r="K187" s="115" t="n">
        <f aca="false">IFERROR(G187/F187/6.89*0.427*F187,0)</f>
        <v>0</v>
      </c>
      <c r="L187" s="115" t="n">
        <f aca="false">IFERROR(D187/C187/12.87*0.633*C187,0)</f>
        <v>32.776317016317</v>
      </c>
      <c r="M187" s="118"/>
      <c r="N187" s="118"/>
      <c r="O187" s="118"/>
    </row>
    <row r="188" customFormat="false" ht="14.25" hidden="false" customHeight="true" outlineLevel="0" collapsed="false">
      <c r="B188" s="0" t="s">
        <v>492</v>
      </c>
      <c r="C188" s="0" t="n">
        <v>39</v>
      </c>
      <c r="D188" s="0" t="n">
        <v>590</v>
      </c>
      <c r="E188" s="0" t="n">
        <v>3.6</v>
      </c>
      <c r="F188" s="0" t="n">
        <v>0</v>
      </c>
      <c r="G188" s="0" t="n">
        <v>0</v>
      </c>
      <c r="H188" s="0" t="n">
        <v>0</v>
      </c>
      <c r="I188" s="0" t="n">
        <v>0.4</v>
      </c>
      <c r="J188" s="0" t="n">
        <v>108.5</v>
      </c>
      <c r="K188" s="115" t="n">
        <f aca="false">IFERROR(G188/F188/6.89*0.427*F188,0)</f>
        <v>0</v>
      </c>
      <c r="L188" s="115" t="n">
        <f aca="false">IFERROR(D188/C188/12.87*0.633*C188,0)</f>
        <v>29.018648018648</v>
      </c>
      <c r="M188" s="118"/>
      <c r="N188" s="118"/>
      <c r="O188" s="118"/>
    </row>
    <row r="189" customFormat="false" ht="14.25" hidden="false" customHeight="true" outlineLevel="0" collapsed="false">
      <c r="A189" s="0" t="s">
        <v>784</v>
      </c>
      <c r="B189" s="0" t="s">
        <v>532</v>
      </c>
      <c r="C189" s="0" t="n">
        <v>58.4</v>
      </c>
      <c r="D189" s="0" t="n">
        <v>606.9</v>
      </c>
      <c r="E189" s="0" t="n">
        <v>3.9</v>
      </c>
      <c r="F189" s="0" t="n">
        <v>0</v>
      </c>
      <c r="G189" s="0" t="n">
        <v>0</v>
      </c>
      <c r="H189" s="0" t="n">
        <v>0</v>
      </c>
      <c r="I189" s="0" t="n">
        <v>0.3</v>
      </c>
      <c r="J189" s="0" t="n">
        <v>112.4</v>
      </c>
      <c r="K189" s="115" t="n">
        <f aca="false">IFERROR(G189/F189/6.89*0.427*F189,0)</f>
        <v>0</v>
      </c>
      <c r="L189" s="115" t="n">
        <f aca="false">IFERROR(D189/C189/12.87*0.633*C189,0)</f>
        <v>29.8498601398601</v>
      </c>
      <c r="M189" s="117" t="n">
        <f aca="false">C191*Scoring!$B$34+D191/Scoring!$C$34+E191*Scoring!$D$34+WR!F191*Scoring!$E$34+WR!G191/Scoring!$F$34+WR!H191*Scoring!$G$34+WR!I191*Scoring!$H$34+K191*Scoring!$I$34+WR!L191*Scoring!$J$34+U189</f>
        <v>96.28</v>
      </c>
      <c r="N189" s="117" t="n">
        <f aca="false">C189*Scoring!$B$34+D189/Scoring!$C$34+E189*Scoring!$D$34+WR!F189*Scoring!$E$34+WR!G189/Scoring!$F$34+WR!H189*Scoring!$G$34+WR!I189*Scoring!$H$34+K189*Scoring!$I$34+WR!L189*Scoring!$J$34+U189</f>
        <v>112.69</v>
      </c>
      <c r="O189" s="117" t="n">
        <f aca="false">C190*Scoring!$B$34+D190/Scoring!$C$34+E190*Scoring!$D$34+WR!F190*Scoring!$E$34+WR!G190/Scoring!$F$34+WR!H190*Scoring!$G$34+WR!I190*Scoring!$H$34+K190*Scoring!$I$34+WR!L190*Scoring!$J$34+U189</f>
        <v>128.5</v>
      </c>
      <c r="P189" s="53" t="n">
        <f aca="false">IF(COUNTIF(Rookies!$A:$A,A189)&gt;0,1,0)</f>
        <v>0</v>
      </c>
      <c r="S189" s="53" t="n">
        <f aca="false">V189/17</f>
        <v>6.62882352941177</v>
      </c>
      <c r="T189" s="53" t="n">
        <f aca="false">IF(P189=1,MAX(0,0.28*(12-S189)),0)</f>
        <v>0</v>
      </c>
      <c r="U189" s="53" t="n">
        <f aca="false">T189*17</f>
        <v>0</v>
      </c>
      <c r="V189" s="53" t="n">
        <f aca="false">C189*Scoring!$B$34+D189/Scoring!$C$34+E189*Scoring!$D$34+WR!F189*Scoring!$E$34+WR!G189/Scoring!$F$34+WR!H189*Scoring!$G$34+WR!I189*Scoring!$H$34+K189*Scoring!$I$34+WR!L189*Scoring!$J$34</f>
        <v>112.69</v>
      </c>
    </row>
    <row r="190" customFormat="false" ht="14.25" hidden="false" customHeight="true" outlineLevel="0" collapsed="false">
      <c r="B190" s="0" t="s">
        <v>491</v>
      </c>
      <c r="C190" s="0" t="n">
        <v>62</v>
      </c>
      <c r="D190" s="0" t="n">
        <v>675</v>
      </c>
      <c r="E190" s="0" t="n">
        <v>5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117.2</v>
      </c>
      <c r="K190" s="115" t="n">
        <f aca="false">IFERROR(G190/F190/6.89*0.427*F190,0)</f>
        <v>0</v>
      </c>
      <c r="L190" s="115" t="n">
        <f aca="false">IFERROR(D190/C190/12.87*0.633*C190,0)</f>
        <v>33.1993006993007</v>
      </c>
      <c r="M190" s="118"/>
      <c r="N190" s="118"/>
      <c r="O190" s="118"/>
    </row>
    <row r="191" customFormat="false" ht="14.25" hidden="false" customHeight="true" outlineLevel="0" collapsed="false">
      <c r="B191" s="0" t="s">
        <v>492</v>
      </c>
      <c r="C191" s="0" t="n">
        <v>54.8</v>
      </c>
      <c r="D191" s="0" t="n">
        <v>538.8</v>
      </c>
      <c r="E191" s="0" t="n">
        <v>2.7</v>
      </c>
      <c r="F191" s="0" t="n">
        <v>0</v>
      </c>
      <c r="G191" s="0" t="n">
        <v>0</v>
      </c>
      <c r="H191" s="0" t="n">
        <v>0</v>
      </c>
      <c r="I191" s="0" t="n">
        <v>0.6</v>
      </c>
      <c r="J191" s="0" t="n">
        <v>98.6</v>
      </c>
      <c r="K191" s="115" t="n">
        <f aca="false">IFERROR(G191/F191/6.89*0.427*F191,0)</f>
        <v>0</v>
      </c>
      <c r="L191" s="115" t="n">
        <f aca="false">IFERROR(D191/C191/12.87*0.633*C191,0)</f>
        <v>26.5004195804196</v>
      </c>
      <c r="M191" s="118"/>
      <c r="N191" s="118"/>
      <c r="O191" s="118"/>
    </row>
    <row r="192" customFormat="false" ht="14.25" hidden="false" customHeight="true" outlineLevel="0" collapsed="false">
      <c r="A192" s="0" t="s">
        <v>785</v>
      </c>
      <c r="B192" s="0" t="s">
        <v>494</v>
      </c>
      <c r="C192" s="0" t="n">
        <v>39.2</v>
      </c>
      <c r="D192" s="0" t="n">
        <v>591.6</v>
      </c>
      <c r="E192" s="0" t="n">
        <v>5.4</v>
      </c>
      <c r="F192" s="0" t="n">
        <v>1.5</v>
      </c>
      <c r="G192" s="0" t="n">
        <v>8.5</v>
      </c>
      <c r="H192" s="0" t="n">
        <v>0</v>
      </c>
      <c r="I192" s="0" t="n">
        <v>0.7</v>
      </c>
      <c r="J192" s="0" t="n">
        <v>110.6</v>
      </c>
      <c r="K192" s="115" t="n">
        <f aca="false">IFERROR(G192/F192/6.89*0.427*F192,0)</f>
        <v>0.52677793904209</v>
      </c>
      <c r="L192" s="115" t="n">
        <f aca="false">IFERROR(D192/C192/12.87*0.633*C192,0)</f>
        <v>29.0973426573427</v>
      </c>
      <c r="M192" s="117" t="n">
        <f aca="false">C194*Scoring!$B$34+D194/Scoring!$C$34+E194*Scoring!$D$34+WR!F194*Scoring!$E$34+WR!G194/Scoring!$F$34+WR!H194*Scoring!$G$34+WR!I194*Scoring!$H$34+K194*Scoring!$I$34+WR!L194*Scoring!$J$34+U192</f>
        <v>117.1792</v>
      </c>
      <c r="N192" s="117" t="n">
        <f aca="false">C192*Scoring!$B$34+D192/Scoring!$C$34+E192*Scoring!$D$34+WR!F192*Scoring!$E$34+WR!G192/Scoring!$F$34+WR!H192*Scoring!$G$34+WR!I192*Scoring!$H$34+K192*Scoring!$I$34+WR!L192*Scoring!$J$34+U192</f>
        <v>136.7592</v>
      </c>
      <c r="O192" s="117" t="n">
        <f aca="false">C193*Scoring!$B$34+D193/Scoring!$C$34+E193*Scoring!$D$34+WR!F193*Scoring!$E$34+WR!G193/Scoring!$F$34+WR!H193*Scoring!$G$34+WR!I193*Scoring!$H$34+K193*Scoring!$I$34+WR!L193*Scoring!$J$34+U192</f>
        <v>156.3492</v>
      </c>
      <c r="P192" s="53" t="n">
        <f aca="false">IF(COUNTIF(Rookies!$A:$A,A192)&gt;0,1,0)</f>
        <v>1</v>
      </c>
      <c r="S192" s="53" t="n">
        <f aca="false">V192/17</f>
        <v>6.50647058823529</v>
      </c>
      <c r="T192" s="53" t="n">
        <f aca="false">IF(P192=1,MAX(0,0.28*(12-S192)),0)</f>
        <v>1.53818823529412</v>
      </c>
      <c r="U192" s="53" t="n">
        <f aca="false">T192*17</f>
        <v>26.1492</v>
      </c>
      <c r="V192" s="53" t="n">
        <f aca="false">C192*Scoring!$B$34+D192/Scoring!$C$34+E192*Scoring!$D$34+WR!F192*Scoring!$E$34+WR!G192/Scoring!$F$34+WR!H192*Scoring!$G$34+WR!I192*Scoring!$H$34+K192*Scoring!$I$34+WR!L192*Scoring!$J$34</f>
        <v>110.61</v>
      </c>
    </row>
    <row r="193" customFormat="false" ht="14.25" hidden="false" customHeight="true" outlineLevel="0" collapsed="false">
      <c r="B193" s="0" t="s">
        <v>491</v>
      </c>
      <c r="C193" s="0" t="n">
        <v>44</v>
      </c>
      <c r="D193" s="0" t="n">
        <v>653</v>
      </c>
      <c r="E193" s="0" t="n">
        <v>7</v>
      </c>
      <c r="F193" s="0" t="n">
        <v>3</v>
      </c>
      <c r="G193" s="0" t="n">
        <v>17</v>
      </c>
      <c r="H193" s="0" t="n">
        <v>0</v>
      </c>
      <c r="I193" s="0" t="n">
        <v>0.4</v>
      </c>
      <c r="J193" s="0" t="n">
        <v>116.6</v>
      </c>
      <c r="K193" s="115" t="n">
        <f aca="false">IFERROR(G193/F193/6.89*0.427*F193,0)</f>
        <v>1.05355587808418</v>
      </c>
      <c r="L193" s="115" t="n">
        <f aca="false">IFERROR(D193/C193/12.87*0.633*C193,0)</f>
        <v>32.1172494172494</v>
      </c>
      <c r="M193" s="118"/>
      <c r="N193" s="118"/>
      <c r="O193" s="118"/>
    </row>
    <row r="194" customFormat="false" ht="14.25" hidden="false" customHeight="true" outlineLevel="0" collapsed="false">
      <c r="B194" s="0" t="s">
        <v>492</v>
      </c>
      <c r="C194" s="0" t="n">
        <v>34.4</v>
      </c>
      <c r="D194" s="0" t="n">
        <v>530.3</v>
      </c>
      <c r="E194" s="0" t="n">
        <v>3.8</v>
      </c>
      <c r="F194" s="0" t="n">
        <v>0</v>
      </c>
      <c r="G194" s="0" t="n">
        <v>0</v>
      </c>
      <c r="H194" s="0" t="n">
        <v>0</v>
      </c>
      <c r="I194" s="0" t="n">
        <v>1</v>
      </c>
      <c r="J194" s="0" t="n">
        <v>94.9</v>
      </c>
      <c r="K194" s="115" t="n">
        <f aca="false">IFERROR(G194/F194/6.89*0.427*F194,0)</f>
        <v>0</v>
      </c>
      <c r="L194" s="115" t="n">
        <f aca="false">IFERROR(D194/C194/12.87*0.633*C194,0)</f>
        <v>26.0823543123543</v>
      </c>
      <c r="M194" s="118"/>
      <c r="N194" s="118"/>
      <c r="O194" s="118"/>
    </row>
    <row r="195" customFormat="false" ht="14.25" hidden="false" customHeight="true" outlineLevel="0" collapsed="false">
      <c r="A195" s="0" t="s">
        <v>786</v>
      </c>
      <c r="B195" s="0" t="s">
        <v>528</v>
      </c>
      <c r="C195" s="0" t="n">
        <v>46.6</v>
      </c>
      <c r="D195" s="0" t="n">
        <v>606.1</v>
      </c>
      <c r="E195" s="0" t="n">
        <v>3.9</v>
      </c>
      <c r="F195" s="0" t="n">
        <v>4.7</v>
      </c>
      <c r="G195" s="0" t="n">
        <v>26.8</v>
      </c>
      <c r="H195" s="0" t="n">
        <v>0.1</v>
      </c>
      <c r="I195" s="0" t="n">
        <v>0.2</v>
      </c>
      <c r="J195" s="0" t="n">
        <v>110.4</v>
      </c>
      <c r="K195" s="115" t="n">
        <f aca="false">IFERROR(G195/F195/6.89*0.427*F195,0)</f>
        <v>1.66089985486212</v>
      </c>
      <c r="L195" s="115" t="n">
        <f aca="false">IFERROR(D195/C195/12.87*0.633*C195,0)</f>
        <v>29.8105128205128</v>
      </c>
      <c r="M195" s="117" t="n">
        <f aca="false">C197*Scoring!$B$34+D197/Scoring!$C$34+E197*Scoring!$D$34+WR!F197*Scoring!$E$34+WR!G197/Scoring!$F$34+WR!H197*Scoring!$G$34+WR!I197*Scoring!$H$34+K197*Scoring!$I$34+WR!L197*Scoring!$J$34+U195</f>
        <v>106.89</v>
      </c>
      <c r="N195" s="117" t="n">
        <f aca="false">C195*Scoring!$B$34+D195/Scoring!$C$34+E195*Scoring!$D$34+WR!F195*Scoring!$E$34+WR!G195/Scoring!$F$34+WR!H195*Scoring!$G$34+WR!I195*Scoring!$H$34+K195*Scoring!$I$34+WR!L195*Scoring!$J$34+U195</f>
        <v>110.19</v>
      </c>
      <c r="O195" s="117" t="n">
        <f aca="false">C196*Scoring!$B$34+D196/Scoring!$C$34+E196*Scoring!$D$34+WR!F196*Scoring!$E$34+WR!G196/Scoring!$F$34+WR!H196*Scoring!$G$34+WR!I196*Scoring!$H$34+K196*Scoring!$I$34+WR!L196*Scoring!$J$34+U195</f>
        <v>114.15</v>
      </c>
      <c r="P195" s="53" t="n">
        <f aca="false">IF(COUNTIF(Rookies!$A:$A,A195)&gt;0,1,0)</f>
        <v>0</v>
      </c>
      <c r="S195" s="53" t="n">
        <f aca="false">V195/17</f>
        <v>6.48176470588235</v>
      </c>
      <c r="T195" s="53" t="n">
        <f aca="false">IF(P195=1,MAX(0,0.28*(12-S195)),0)</f>
        <v>0</v>
      </c>
      <c r="U195" s="53" t="n">
        <f aca="false">T195*17</f>
        <v>0</v>
      </c>
      <c r="V195" s="53" t="n">
        <f aca="false">C195*Scoring!$B$34+D195/Scoring!$C$34+E195*Scoring!$D$34+WR!F195*Scoring!$E$34+WR!G195/Scoring!$F$34+WR!H195*Scoring!$G$34+WR!I195*Scoring!$H$34+K195*Scoring!$I$34+WR!L195*Scoring!$J$34</f>
        <v>110.19</v>
      </c>
    </row>
    <row r="196" customFormat="false" ht="14.25" hidden="false" customHeight="true" outlineLevel="0" collapsed="false">
      <c r="B196" s="0" t="s">
        <v>491</v>
      </c>
      <c r="C196" s="0" t="n">
        <v>47.3</v>
      </c>
      <c r="D196" s="0" t="n">
        <v>624</v>
      </c>
      <c r="E196" s="0" t="n">
        <v>4</v>
      </c>
      <c r="F196" s="0" t="n">
        <v>5</v>
      </c>
      <c r="G196" s="0" t="n">
        <v>29</v>
      </c>
      <c r="H196" s="0" t="n">
        <v>0.2</v>
      </c>
      <c r="I196" s="0" t="n">
        <v>0</v>
      </c>
      <c r="J196" s="0" t="n">
        <v>108.9</v>
      </c>
      <c r="K196" s="115" t="n">
        <f aca="false">IFERROR(G196/F196/6.89*0.427*F196,0)</f>
        <v>1.79724238026125</v>
      </c>
      <c r="L196" s="115" t="n">
        <f aca="false">IFERROR(D196/C196/12.87*0.633*C196,0)</f>
        <v>30.6909090909091</v>
      </c>
      <c r="M196" s="118"/>
      <c r="N196" s="118"/>
      <c r="O196" s="118"/>
    </row>
    <row r="197" customFormat="false" ht="14.25" hidden="false" customHeight="true" outlineLevel="0" collapsed="false">
      <c r="B197" s="0" t="s">
        <v>492</v>
      </c>
      <c r="C197" s="0" t="n">
        <v>46</v>
      </c>
      <c r="D197" s="0" t="n">
        <v>588.3</v>
      </c>
      <c r="E197" s="0" t="n">
        <v>3.9</v>
      </c>
      <c r="F197" s="0" t="n">
        <v>4.4</v>
      </c>
      <c r="G197" s="0" t="n">
        <v>24.6</v>
      </c>
      <c r="H197" s="0" t="n">
        <v>0</v>
      </c>
      <c r="I197" s="0" t="n">
        <v>0.4</v>
      </c>
      <c r="J197" s="0" t="n">
        <v>101.3</v>
      </c>
      <c r="K197" s="115" t="n">
        <f aca="false">IFERROR(G197/F197/6.89*0.427*F197,0)</f>
        <v>1.52455732946299</v>
      </c>
      <c r="L197" s="115" t="n">
        <f aca="false">IFERROR(D197/C197/12.87*0.633*C197,0)</f>
        <v>28.935034965035</v>
      </c>
      <c r="M197" s="118"/>
      <c r="N197" s="118"/>
      <c r="O197" s="118"/>
    </row>
    <row r="198" customFormat="false" ht="14.25" hidden="false" customHeight="true" outlineLevel="0" collapsed="false">
      <c r="A198" s="0" t="s">
        <v>787</v>
      </c>
      <c r="B198" s="0" t="s">
        <v>522</v>
      </c>
      <c r="C198" s="0" t="n">
        <v>48.9</v>
      </c>
      <c r="D198" s="0" t="n">
        <v>558.2</v>
      </c>
      <c r="E198" s="0" t="n">
        <v>5.2</v>
      </c>
      <c r="F198" s="0" t="n">
        <v>0</v>
      </c>
      <c r="G198" s="0" t="n">
        <v>0</v>
      </c>
      <c r="H198" s="0" t="n">
        <v>0</v>
      </c>
      <c r="I198" s="0" t="n">
        <v>0.7</v>
      </c>
      <c r="J198" s="0" t="n">
        <v>109.9</v>
      </c>
      <c r="K198" s="115" t="n">
        <f aca="false">IFERROR(G198/F198/6.89*0.427*F198,0)</f>
        <v>0</v>
      </c>
      <c r="L198" s="115" t="n">
        <f aca="false">IFERROR(D198/C198/12.87*0.633*C198,0)</f>
        <v>27.4545920745921</v>
      </c>
      <c r="M198" s="117" t="n">
        <f aca="false">C200*Scoring!$B$34+D200/Scoring!$C$34+E200*Scoring!$D$34+WR!F200*Scoring!$E$34+WR!G200/Scoring!$F$34+WR!H200*Scoring!$G$34+WR!I200*Scoring!$H$34+K200*Scoring!$I$34+WR!L200*Scoring!$J$34+U198</f>
        <v>90.34</v>
      </c>
      <c r="N198" s="117" t="n">
        <f aca="false">C198*Scoring!$B$34+D198/Scoring!$C$34+E198*Scoring!$D$34+WR!F198*Scoring!$E$34+WR!G198/Scoring!$F$34+WR!H198*Scoring!$G$34+WR!I198*Scoring!$H$34+K198*Scoring!$I$34+WR!L198*Scoring!$J$34+U198</f>
        <v>110.07</v>
      </c>
      <c r="O198" s="117" t="n">
        <f aca="false">C199*Scoring!$B$34+D199/Scoring!$C$34+E199*Scoring!$D$34+WR!F199*Scoring!$E$34+WR!G199/Scoring!$F$34+WR!H199*Scoring!$G$34+WR!I199*Scoring!$H$34+K199*Scoring!$I$34+WR!L199*Scoring!$J$34+U198</f>
        <v>129.6</v>
      </c>
      <c r="P198" s="53" t="n">
        <f aca="false">IF(COUNTIF(Rookies!$A:$A,A198)&gt;0,1,0)</f>
        <v>0</v>
      </c>
      <c r="S198" s="53" t="n">
        <f aca="false">V198/17</f>
        <v>6.47470588235294</v>
      </c>
      <c r="T198" s="53" t="n">
        <f aca="false">IF(P198=1,MAX(0,0.28*(12-S198)),0)</f>
        <v>0</v>
      </c>
      <c r="U198" s="53" t="n">
        <f aca="false">T198*17</f>
        <v>0</v>
      </c>
      <c r="V198" s="53" t="n">
        <f aca="false">C198*Scoring!$B$34+D198/Scoring!$C$34+E198*Scoring!$D$34+WR!F198*Scoring!$E$34+WR!G198/Scoring!$F$34+WR!H198*Scoring!$G$34+WR!I198*Scoring!$H$34+K198*Scoring!$I$34+WR!L198*Scoring!$J$34</f>
        <v>110.07</v>
      </c>
    </row>
    <row r="199" customFormat="false" ht="14.25" hidden="false" customHeight="true" outlineLevel="0" collapsed="false">
      <c r="B199" s="0" t="s">
        <v>491</v>
      </c>
      <c r="C199" s="0" t="n">
        <v>51</v>
      </c>
      <c r="D199" s="0" t="n">
        <v>631</v>
      </c>
      <c r="E199" s="0" t="n">
        <v>7</v>
      </c>
      <c r="F199" s="0" t="n">
        <v>0</v>
      </c>
      <c r="G199" s="0" t="n">
        <v>0</v>
      </c>
      <c r="H199" s="0" t="n">
        <v>0</v>
      </c>
      <c r="I199" s="0" t="n">
        <v>0.5</v>
      </c>
      <c r="J199" s="0" t="n">
        <v>119.5</v>
      </c>
      <c r="K199" s="115" t="n">
        <f aca="false">IFERROR(G199/F199/6.89*0.427*F199,0)</f>
        <v>0</v>
      </c>
      <c r="L199" s="115" t="n">
        <f aca="false">IFERROR(D199/C199/12.87*0.633*C199,0)</f>
        <v>31.0351981351981</v>
      </c>
      <c r="M199" s="118"/>
      <c r="N199" s="118"/>
      <c r="O199" s="118"/>
    </row>
    <row r="200" customFormat="false" ht="14.25" hidden="false" customHeight="true" outlineLevel="0" collapsed="false">
      <c r="B200" s="0" t="s">
        <v>492</v>
      </c>
      <c r="C200" s="0" t="n">
        <v>46.8</v>
      </c>
      <c r="D200" s="0" t="n">
        <v>485.4</v>
      </c>
      <c r="E200" s="0" t="n">
        <v>3.4</v>
      </c>
      <c r="F200" s="0" t="n">
        <v>0</v>
      </c>
      <c r="G200" s="0" t="n">
        <v>0</v>
      </c>
      <c r="H200" s="0" t="n">
        <v>0</v>
      </c>
      <c r="I200" s="0" t="n">
        <v>1</v>
      </c>
      <c r="J200" s="0" t="n">
        <v>92.7</v>
      </c>
      <c r="K200" s="115" t="n">
        <f aca="false">IFERROR(G200/F200/6.89*0.427*F200,0)</f>
        <v>0</v>
      </c>
      <c r="L200" s="115" t="n">
        <f aca="false">IFERROR(D200/C200/12.87*0.633*C200,0)</f>
        <v>23.873986013986</v>
      </c>
      <c r="M200" s="118"/>
      <c r="N200" s="118"/>
      <c r="O200" s="118"/>
    </row>
    <row r="201" customFormat="false" ht="14.25" hidden="false" customHeight="true" outlineLevel="0" collapsed="false">
      <c r="A201" s="0" t="s">
        <v>788</v>
      </c>
      <c r="B201" s="0" t="s">
        <v>550</v>
      </c>
      <c r="C201" s="0" t="n">
        <v>43.6</v>
      </c>
      <c r="D201" s="0" t="n">
        <v>587.8</v>
      </c>
      <c r="E201" s="0" t="n">
        <v>4</v>
      </c>
      <c r="F201" s="0" t="n">
        <v>2</v>
      </c>
      <c r="G201" s="0" t="n">
        <v>9</v>
      </c>
      <c r="H201" s="0" t="n">
        <v>0</v>
      </c>
      <c r="I201" s="0" t="n">
        <v>0.2</v>
      </c>
      <c r="J201" s="0" t="n">
        <v>105.4</v>
      </c>
      <c r="K201" s="115" t="n">
        <f aca="false">IFERROR(G201/F201/6.89*0.427*F201,0)</f>
        <v>0.557764876632801</v>
      </c>
      <c r="L201" s="115" t="n">
        <f aca="false">IFERROR(D201/C201/12.87*0.633*C201,0)</f>
        <v>28.9104428904429</v>
      </c>
      <c r="M201" s="117" t="n">
        <f aca="false">C203*Scoring!$B$34+D203/Scoring!$C$34+E203*Scoring!$D$34+WR!F203*Scoring!$E$34+WR!G203/Scoring!$F$34+WR!H203*Scoring!$G$34+WR!I203*Scoring!$H$34+K203*Scoring!$I$34+WR!L203*Scoring!$J$34+U201</f>
        <v>96.2</v>
      </c>
      <c r="N201" s="117" t="n">
        <f aca="false">C201*Scoring!$B$34+D201/Scoring!$C$34+E201*Scoring!$D$34+WR!F201*Scoring!$E$34+WR!G201/Scoring!$F$34+WR!H201*Scoring!$G$34+WR!I201*Scoring!$H$34+K201*Scoring!$I$34+WR!L201*Scoring!$J$34+U201</f>
        <v>105.08</v>
      </c>
      <c r="O201" s="117" t="n">
        <f aca="false">C202*Scoring!$B$34+D202/Scoring!$C$34+E202*Scoring!$D$34+WR!F202*Scoring!$E$34+WR!G202/Scoring!$F$34+WR!H202*Scoring!$G$34+WR!I202*Scoring!$H$34+K202*Scoring!$I$34+WR!L202*Scoring!$J$34+U201</f>
        <v>114.62</v>
      </c>
      <c r="P201" s="53" t="n">
        <f aca="false">IF(COUNTIF(Rookies!$A:$A,A201)&gt;0,1,0)</f>
        <v>0</v>
      </c>
      <c r="S201" s="53" t="n">
        <f aca="false">V201/17</f>
        <v>6.18117647058824</v>
      </c>
      <c r="T201" s="53" t="n">
        <f aca="false">IF(P201=1,MAX(0,0.28*(12-S201)),0)</f>
        <v>0</v>
      </c>
      <c r="U201" s="53" t="n">
        <f aca="false">T201*17</f>
        <v>0</v>
      </c>
      <c r="V201" s="53" t="n">
        <f aca="false">C201*Scoring!$B$34+D201/Scoring!$C$34+E201*Scoring!$D$34+WR!F201*Scoring!$E$34+WR!G201/Scoring!$F$34+WR!H201*Scoring!$G$34+WR!I201*Scoring!$H$34+K201*Scoring!$I$34+WR!L201*Scoring!$J$34</f>
        <v>105.08</v>
      </c>
    </row>
    <row r="202" customFormat="false" ht="14.25" hidden="false" customHeight="true" outlineLevel="0" collapsed="false">
      <c r="B202" s="0" t="s">
        <v>491</v>
      </c>
      <c r="C202" s="0" t="n">
        <v>44.3</v>
      </c>
      <c r="D202" s="0" t="n">
        <v>607.7</v>
      </c>
      <c r="E202" s="0" t="n">
        <v>5</v>
      </c>
      <c r="F202" s="0" t="n">
        <v>2.1</v>
      </c>
      <c r="G202" s="0" t="n">
        <v>11</v>
      </c>
      <c r="H202" s="0" t="n">
        <v>0.1</v>
      </c>
      <c r="I202" s="0" t="n">
        <v>0</v>
      </c>
      <c r="J202" s="0" t="n">
        <v>101.8</v>
      </c>
      <c r="K202" s="115" t="n">
        <f aca="false">IFERROR(G202/F202/6.89*0.427*F202,0)</f>
        <v>0.681712626995646</v>
      </c>
      <c r="L202" s="115" t="n">
        <f aca="false">IFERROR(D202/C202/12.87*0.633*C202,0)</f>
        <v>29.8892074592075</v>
      </c>
      <c r="M202" s="118"/>
      <c r="N202" s="118"/>
      <c r="O202" s="118"/>
    </row>
    <row r="203" customFormat="false" ht="14.25" hidden="false" customHeight="true" outlineLevel="0" collapsed="false">
      <c r="B203" s="0" t="s">
        <v>492</v>
      </c>
      <c r="C203" s="0" t="n">
        <v>43</v>
      </c>
      <c r="D203" s="0" t="n">
        <v>568</v>
      </c>
      <c r="E203" s="0" t="n">
        <v>3</v>
      </c>
      <c r="F203" s="0" t="n">
        <v>2</v>
      </c>
      <c r="G203" s="0" t="n">
        <v>7</v>
      </c>
      <c r="H203" s="0" t="n">
        <v>0</v>
      </c>
      <c r="I203" s="0" t="n">
        <v>0.4</v>
      </c>
      <c r="J203" s="0" t="n">
        <v>100.8</v>
      </c>
      <c r="K203" s="115" t="n">
        <f aca="false">IFERROR(G203/F203/6.89*0.427*F203,0)</f>
        <v>0.433817126269957</v>
      </c>
      <c r="L203" s="115" t="n">
        <f aca="false">IFERROR(D203/C203/12.87*0.633*C203,0)</f>
        <v>27.9365967365967</v>
      </c>
      <c r="M203" s="118"/>
      <c r="N203" s="118"/>
      <c r="O203" s="118"/>
    </row>
    <row r="204" customFormat="false" ht="14.25" hidden="false" customHeight="true" outlineLevel="0" collapsed="false">
      <c r="A204" s="0" t="s">
        <v>789</v>
      </c>
      <c r="B204" s="0" t="s">
        <v>526</v>
      </c>
      <c r="C204" s="0" t="n">
        <v>47.7</v>
      </c>
      <c r="D204" s="0" t="n">
        <v>567.4</v>
      </c>
      <c r="E204" s="0" t="n">
        <v>3.7</v>
      </c>
      <c r="F204" s="0" t="n">
        <v>0</v>
      </c>
      <c r="G204" s="0" t="n">
        <v>0</v>
      </c>
      <c r="H204" s="0" t="n">
        <v>0</v>
      </c>
      <c r="I204" s="0" t="n">
        <v>0.2</v>
      </c>
      <c r="J204" s="0" t="n">
        <v>102.3</v>
      </c>
      <c r="K204" s="115" t="n">
        <f aca="false">IFERROR(G204/F204/6.89*0.427*F204,0)</f>
        <v>0</v>
      </c>
      <c r="L204" s="115" t="n">
        <f aca="false">IFERROR(D204/C204/12.87*0.633*C204,0)</f>
        <v>27.9070862470862</v>
      </c>
      <c r="M204" s="117" t="n">
        <f aca="false">C206*Scoring!$B$34+D206/Scoring!$C$34+E206*Scoring!$D$34+WR!F206*Scoring!$E$34+WR!G206/Scoring!$F$34+WR!H206*Scoring!$G$34+WR!I206*Scoring!$H$34+K206*Scoring!$I$34+WR!L206*Scoring!$J$34+U204</f>
        <v>96.89</v>
      </c>
      <c r="N204" s="117" t="n">
        <f aca="false">C204*Scoring!$B$34+D204/Scoring!$C$34+E204*Scoring!$D$34+WR!F204*Scoring!$E$34+WR!G204/Scoring!$F$34+WR!H204*Scoring!$G$34+WR!I204*Scoring!$H$34+K204*Scoring!$I$34+WR!L204*Scoring!$J$34+U204</f>
        <v>102.39</v>
      </c>
      <c r="O204" s="117" t="n">
        <f aca="false">C205*Scoring!$B$34+D205/Scoring!$C$34+E205*Scoring!$D$34+WR!F205*Scoring!$E$34+WR!G205/Scoring!$F$34+WR!H205*Scoring!$G$34+WR!I205*Scoring!$H$34+K205*Scoring!$I$34+WR!L205*Scoring!$J$34+U204</f>
        <v>107.9</v>
      </c>
      <c r="P204" s="53" t="n">
        <f aca="false">IF(COUNTIF(Rookies!$A:$A,A204)&gt;0,1,0)</f>
        <v>0</v>
      </c>
      <c r="S204" s="53" t="n">
        <f aca="false">V204/17</f>
        <v>6.02294117647059</v>
      </c>
      <c r="T204" s="53" t="n">
        <f aca="false">IF(P204=1,MAX(0,0.28*(12-S204)),0)</f>
        <v>0</v>
      </c>
      <c r="U204" s="53" t="n">
        <f aca="false">T204*17</f>
        <v>0</v>
      </c>
      <c r="V204" s="53" t="n">
        <f aca="false">C204*Scoring!$B$34+D204/Scoring!$C$34+E204*Scoring!$D$34+WR!F204*Scoring!$E$34+WR!G204/Scoring!$F$34+WR!H204*Scoring!$G$34+WR!I204*Scoring!$H$34+K204*Scoring!$I$34+WR!L204*Scoring!$J$34</f>
        <v>102.39</v>
      </c>
    </row>
    <row r="205" customFormat="false" ht="14.25" hidden="false" customHeight="true" outlineLevel="0" collapsed="false">
      <c r="B205" s="0" t="s">
        <v>491</v>
      </c>
      <c r="C205" s="0" t="n">
        <v>49.4</v>
      </c>
      <c r="D205" s="0" t="n">
        <v>592</v>
      </c>
      <c r="E205" s="0" t="n">
        <v>4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97.9</v>
      </c>
      <c r="K205" s="115" t="n">
        <f aca="false">IFERROR(G205/F205/6.89*0.427*F205,0)</f>
        <v>0</v>
      </c>
      <c r="L205" s="115" t="n">
        <f aca="false">IFERROR(D205/C205/12.87*0.633*C205,0)</f>
        <v>29.1170163170163</v>
      </c>
      <c r="M205" s="118"/>
      <c r="N205" s="118"/>
      <c r="O205" s="118"/>
    </row>
    <row r="206" customFormat="false" ht="14.25" hidden="false" customHeight="true" outlineLevel="0" collapsed="false">
      <c r="B206" s="0" t="s">
        <v>492</v>
      </c>
      <c r="C206" s="0" t="n">
        <v>46</v>
      </c>
      <c r="D206" s="0" t="n">
        <v>542.9</v>
      </c>
      <c r="E206" s="0" t="n">
        <v>3.4</v>
      </c>
      <c r="F206" s="0" t="n">
        <v>0</v>
      </c>
      <c r="G206" s="0" t="n">
        <v>0</v>
      </c>
      <c r="H206" s="0" t="n">
        <v>0</v>
      </c>
      <c r="I206" s="0" t="n">
        <v>0.4</v>
      </c>
      <c r="J206" s="0" t="n">
        <v>97.8</v>
      </c>
      <c r="K206" s="115" t="n">
        <f aca="false">IFERROR(G206/F206/6.89*0.427*F206,0)</f>
        <v>0</v>
      </c>
      <c r="L206" s="115" t="n">
        <f aca="false">IFERROR(D206/C206/12.87*0.633*C206,0)</f>
        <v>26.7020745920746</v>
      </c>
      <c r="M206" s="118"/>
      <c r="N206" s="118"/>
      <c r="O206" s="118"/>
    </row>
    <row r="207" customFormat="false" ht="14.25" hidden="false" customHeight="true" outlineLevel="0" collapsed="false">
      <c r="A207" s="0" t="s">
        <v>790</v>
      </c>
      <c r="B207" s="0" t="s">
        <v>536</v>
      </c>
      <c r="C207" s="0" t="n">
        <v>47.4</v>
      </c>
      <c r="D207" s="0" t="n">
        <v>582.8</v>
      </c>
      <c r="E207" s="0" t="n">
        <v>3.4</v>
      </c>
      <c r="F207" s="0" t="n">
        <v>0.5</v>
      </c>
      <c r="G207" s="0" t="n">
        <v>1.5</v>
      </c>
      <c r="H207" s="0" t="n">
        <v>0</v>
      </c>
      <c r="I207" s="0" t="n">
        <v>0.7</v>
      </c>
      <c r="J207" s="0" t="n">
        <v>101.3</v>
      </c>
      <c r="K207" s="115" t="n">
        <f aca="false">IFERROR(G207/F207/6.89*0.427*F207,0)</f>
        <v>0.0929608127721335</v>
      </c>
      <c r="L207" s="115" t="n">
        <f aca="false">IFERROR(D207/C207/12.87*0.633*C207,0)</f>
        <v>28.6645221445221</v>
      </c>
      <c r="M207" s="117" t="n">
        <f aca="false">C209*Scoring!$B$34+D209/Scoring!$C$34+E209*Scoring!$D$34+WR!F209*Scoring!$E$34+WR!G209/Scoring!$F$34+WR!H209*Scoring!$G$34+WR!I209*Scoring!$H$34+K209*Scoring!$I$34+WR!L209*Scoring!$J$34+U207</f>
        <v>80.86</v>
      </c>
      <c r="N207" s="117" t="n">
        <f aca="false">C207*Scoring!$B$34+D207/Scoring!$C$34+E207*Scoring!$D$34+WR!F207*Scoring!$E$34+WR!G207/Scoring!$F$34+WR!H207*Scoring!$G$34+WR!I207*Scoring!$H$34+K207*Scoring!$I$34+WR!L207*Scoring!$J$34+U207</f>
        <v>101.13</v>
      </c>
      <c r="O207" s="117" t="n">
        <f aca="false">C208*Scoring!$B$34+D208/Scoring!$C$34+E208*Scoring!$D$34+WR!F208*Scoring!$E$34+WR!G208/Scoring!$F$34+WR!H208*Scoring!$G$34+WR!I208*Scoring!$H$34+K208*Scoring!$I$34+WR!L208*Scoring!$J$34+U207</f>
        <v>121.6</v>
      </c>
      <c r="P207" s="53" t="n">
        <f aca="false">IF(COUNTIF(Rookies!$A:$A,A207)&gt;0,1,0)</f>
        <v>0</v>
      </c>
      <c r="S207" s="53" t="n">
        <f aca="false">V207/17</f>
        <v>5.94882352941176</v>
      </c>
      <c r="T207" s="53" t="n">
        <f aca="false">IF(P207=1,MAX(0,0.28*(12-S207)),0)</f>
        <v>0</v>
      </c>
      <c r="U207" s="53" t="n">
        <f aca="false">T207*17</f>
        <v>0</v>
      </c>
      <c r="V207" s="53" t="n">
        <f aca="false">C207*Scoring!$B$34+D207/Scoring!$C$34+E207*Scoring!$D$34+WR!F207*Scoring!$E$34+WR!G207/Scoring!$F$34+WR!H207*Scoring!$G$34+WR!I207*Scoring!$H$34+K207*Scoring!$I$34+WR!L207*Scoring!$J$34</f>
        <v>101.13</v>
      </c>
    </row>
    <row r="208" customFormat="false" ht="14.25" hidden="false" customHeight="true" outlineLevel="0" collapsed="false">
      <c r="B208" s="0" t="s">
        <v>491</v>
      </c>
      <c r="C208" s="0" t="n">
        <v>57</v>
      </c>
      <c r="D208" s="0" t="n">
        <v>694</v>
      </c>
      <c r="E208" s="0" t="n">
        <v>4</v>
      </c>
      <c r="F208" s="0" t="n">
        <v>1</v>
      </c>
      <c r="G208" s="0" t="n">
        <v>3</v>
      </c>
      <c r="H208" s="0" t="n">
        <v>0</v>
      </c>
      <c r="I208" s="0" t="n">
        <v>0.3</v>
      </c>
      <c r="J208" s="0" t="n">
        <v>106.7</v>
      </c>
      <c r="K208" s="115" t="n">
        <f aca="false">IFERROR(G208/F208/6.89*0.427*F208,0)</f>
        <v>0.185921625544267</v>
      </c>
      <c r="L208" s="115" t="n">
        <f aca="false">IFERROR(D208/C208/12.87*0.633*C208,0)</f>
        <v>34.1337995337995</v>
      </c>
      <c r="M208" s="118"/>
      <c r="N208" s="118"/>
      <c r="O208" s="118"/>
    </row>
    <row r="209" customFormat="false" ht="14.25" hidden="false" customHeight="true" outlineLevel="0" collapsed="false">
      <c r="B209" s="0" t="s">
        <v>492</v>
      </c>
      <c r="C209" s="0" t="n">
        <v>37.8</v>
      </c>
      <c r="D209" s="0" t="n">
        <v>471.6</v>
      </c>
      <c r="E209" s="0" t="n">
        <v>2.8</v>
      </c>
      <c r="F209" s="0" t="n">
        <v>0</v>
      </c>
      <c r="G209" s="0" t="n">
        <v>0</v>
      </c>
      <c r="H209" s="0" t="n">
        <v>0</v>
      </c>
      <c r="I209" s="0" t="n">
        <v>1</v>
      </c>
      <c r="J209" s="0" t="n">
        <v>87.4</v>
      </c>
      <c r="K209" s="115" t="n">
        <f aca="false">IFERROR(G209/F209/6.89*0.427*F209,0)</f>
        <v>0</v>
      </c>
      <c r="L209" s="115" t="n">
        <f aca="false">IFERROR(D209/C209/12.87*0.633*C209,0)</f>
        <v>23.1952447552448</v>
      </c>
      <c r="M209" s="118"/>
      <c r="N209" s="118"/>
      <c r="O209" s="118"/>
    </row>
    <row r="210" customFormat="false" ht="14.25" hidden="false" customHeight="true" outlineLevel="0" collapsed="false">
      <c r="A210" s="0" t="s">
        <v>791</v>
      </c>
      <c r="B210" s="0" t="s">
        <v>538</v>
      </c>
      <c r="C210" s="0" t="n">
        <v>45.3</v>
      </c>
      <c r="D210" s="0" t="n">
        <v>517</v>
      </c>
      <c r="E210" s="0" t="n">
        <v>3.6</v>
      </c>
      <c r="F210" s="0" t="n">
        <v>5.1</v>
      </c>
      <c r="G210" s="0" t="n">
        <v>17.6</v>
      </c>
      <c r="H210" s="0" t="n">
        <v>0.1</v>
      </c>
      <c r="I210" s="0" t="n">
        <v>0.3</v>
      </c>
      <c r="J210" s="0" t="n">
        <v>97.5</v>
      </c>
      <c r="K210" s="115" t="n">
        <f aca="false">IFERROR(G210/F210/6.89*0.427*F210,0)</f>
        <v>1.09074020319303</v>
      </c>
      <c r="L210" s="115" t="n">
        <f aca="false">IFERROR(D210/C210/12.87*0.633*C210,0)</f>
        <v>25.4282051282051</v>
      </c>
      <c r="M210" s="117" t="n">
        <f aca="false">C212*Scoring!$B$34+D212/Scoring!$C$34+E212*Scoring!$D$34+WR!F212*Scoring!$E$34+WR!G212/Scoring!$F$34+WR!H212*Scoring!$G$34+WR!I212*Scoring!$H$34+K212*Scoring!$I$34+WR!L212*Scoring!$J$34+U210</f>
        <v>84.9</v>
      </c>
      <c r="N210" s="117" t="n">
        <f aca="false">C210*Scoring!$B$34+D210/Scoring!$C$34+E210*Scoring!$D$34+WR!F210*Scoring!$E$34+WR!G210/Scoring!$F$34+WR!H210*Scoring!$G$34+WR!I210*Scoring!$H$34+K210*Scoring!$I$34+WR!L210*Scoring!$J$34+U210</f>
        <v>97.71</v>
      </c>
      <c r="O210" s="117" t="n">
        <f aca="false">C211*Scoring!$B$34+D211/Scoring!$C$34+E211*Scoring!$D$34+WR!F211*Scoring!$E$34+WR!G211/Scoring!$F$34+WR!H211*Scoring!$G$34+WR!I211*Scoring!$H$34+K211*Scoring!$I$34+WR!L211*Scoring!$J$34+U210</f>
        <v>109.87</v>
      </c>
      <c r="P210" s="53" t="n">
        <f aca="false">IF(COUNTIF(Rookies!$A:$A,A210)&gt;0,1,0)</f>
        <v>0</v>
      </c>
      <c r="S210" s="53" t="n">
        <f aca="false">V210/17</f>
        <v>5.74764705882353</v>
      </c>
      <c r="T210" s="53" t="n">
        <f aca="false">IF(P210=1,MAX(0,0.28*(12-S210)),0)</f>
        <v>0</v>
      </c>
      <c r="U210" s="53" t="n">
        <f aca="false">T210*17</f>
        <v>0</v>
      </c>
      <c r="V210" s="53" t="n">
        <f aca="false">C210*Scoring!$B$34+D210/Scoring!$C$34+E210*Scoring!$D$34+WR!F210*Scoring!$E$34+WR!G210/Scoring!$F$34+WR!H210*Scoring!$G$34+WR!I210*Scoring!$H$34+K210*Scoring!$I$34+WR!L210*Scoring!$J$34</f>
        <v>97.71</v>
      </c>
    </row>
    <row r="211" customFormat="false" ht="14.25" hidden="false" customHeight="true" outlineLevel="0" collapsed="false">
      <c r="B211" s="0" t="s">
        <v>491</v>
      </c>
      <c r="C211" s="0" t="n">
        <v>50.5</v>
      </c>
      <c r="D211" s="0" t="n">
        <v>578</v>
      </c>
      <c r="E211" s="0" t="n">
        <v>4</v>
      </c>
      <c r="F211" s="0" t="n">
        <v>6</v>
      </c>
      <c r="G211" s="0" t="n">
        <v>22.2</v>
      </c>
      <c r="H211" s="0" t="n">
        <v>0.1</v>
      </c>
      <c r="I211" s="0" t="n">
        <v>0</v>
      </c>
      <c r="J211" s="0" t="n">
        <v>103.7</v>
      </c>
      <c r="K211" s="115" t="n">
        <f aca="false">IFERROR(G211/F211/6.89*0.427*F211,0)</f>
        <v>1.37582002902758</v>
      </c>
      <c r="L211" s="115" t="n">
        <f aca="false">IFERROR(D211/C211/12.87*0.633*C211,0)</f>
        <v>28.4284382284382</v>
      </c>
      <c r="M211" s="118"/>
      <c r="N211" s="118"/>
      <c r="O211" s="118"/>
    </row>
    <row r="212" customFormat="false" ht="14.25" hidden="false" customHeight="true" outlineLevel="0" collapsed="false">
      <c r="B212" s="0" t="s">
        <v>492</v>
      </c>
      <c r="C212" s="0" t="n">
        <v>40</v>
      </c>
      <c r="D212" s="0" t="n">
        <v>456</v>
      </c>
      <c r="E212" s="0" t="n">
        <v>3.2</v>
      </c>
      <c r="F212" s="0" t="n">
        <v>4.2</v>
      </c>
      <c r="G212" s="0" t="n">
        <v>13</v>
      </c>
      <c r="H212" s="0" t="n">
        <v>0</v>
      </c>
      <c r="I212" s="0" t="n">
        <v>0.6</v>
      </c>
      <c r="J212" s="0" t="n">
        <v>82.6</v>
      </c>
      <c r="K212" s="115" t="n">
        <f aca="false">IFERROR(G212/F212/6.89*0.427*F212,0)</f>
        <v>0.805660377358491</v>
      </c>
      <c r="L212" s="115" t="n">
        <f aca="false">IFERROR(D212/C212/12.87*0.633*C212,0)</f>
        <v>22.427972027972</v>
      </c>
      <c r="M212" s="118"/>
      <c r="N212" s="118"/>
      <c r="O212" s="118"/>
    </row>
    <row r="213" customFormat="false" ht="14.25" hidden="false" customHeight="true" outlineLevel="0" collapsed="false">
      <c r="A213" s="0" t="s">
        <v>792</v>
      </c>
      <c r="B213" s="0" t="s">
        <v>542</v>
      </c>
      <c r="C213" s="0" t="n">
        <v>40</v>
      </c>
      <c r="D213" s="0" t="n">
        <v>551.3</v>
      </c>
      <c r="E213" s="0" t="n">
        <v>3.3</v>
      </c>
      <c r="F213" s="0" t="n">
        <v>2.1</v>
      </c>
      <c r="G213" s="0" t="n">
        <v>5.1</v>
      </c>
      <c r="H213" s="0" t="n">
        <v>0.1</v>
      </c>
      <c r="I213" s="0" t="n">
        <v>0.7</v>
      </c>
      <c r="J213" s="0" t="n">
        <v>94.4</v>
      </c>
      <c r="K213" s="115" t="n">
        <f aca="false">IFERROR(G213/F213/6.89*0.427*F213,0)</f>
        <v>0.316066763425254</v>
      </c>
      <c r="L213" s="115" t="n">
        <f aca="false">IFERROR(D213/C213/12.87*0.633*C213,0)</f>
        <v>27.1152214452214</v>
      </c>
      <c r="M213" s="117" t="n">
        <f aca="false">C215*Scoring!$B$34+D215/Scoring!$C$34+E215*Scoring!$D$34+WR!F215*Scoring!$E$34+WR!G215/Scoring!$F$34+WR!H215*Scoring!$G$34+WR!I215*Scoring!$H$34+K215*Scoring!$I$34+WR!L215*Scoring!$J$34+U213</f>
        <v>82.9</v>
      </c>
      <c r="N213" s="117" t="n">
        <f aca="false">C213*Scoring!$B$34+D213/Scoring!$C$34+E213*Scoring!$D$34+WR!F213*Scoring!$E$34+WR!G213/Scoring!$F$34+WR!H213*Scoring!$G$34+WR!I213*Scoring!$H$34+K213*Scoring!$I$34+WR!L213*Scoring!$J$34+U213</f>
        <v>94.64</v>
      </c>
      <c r="O213" s="117" t="n">
        <f aca="false">C214*Scoring!$B$34+D214/Scoring!$C$34+E214*Scoring!$D$34+WR!F214*Scoring!$E$34+WR!G214/Scoring!$F$34+WR!H214*Scoring!$G$34+WR!I214*Scoring!$H$34+K214*Scoring!$I$34+WR!L214*Scoring!$J$34+U213</f>
        <v>106.18</v>
      </c>
      <c r="P213" s="53" t="n">
        <f aca="false">IF(COUNTIF(Rookies!$A:$A,A213)&gt;0,1,0)</f>
        <v>0</v>
      </c>
      <c r="S213" s="53" t="n">
        <f aca="false">V213/17</f>
        <v>5.56705882352941</v>
      </c>
      <c r="T213" s="53" t="n">
        <f aca="false">IF(P213=1,MAX(0,0.28*(12-S213)),0)</f>
        <v>0</v>
      </c>
      <c r="U213" s="53" t="n">
        <f aca="false">T213*17</f>
        <v>0</v>
      </c>
      <c r="V213" s="53" t="n">
        <f aca="false">C213*Scoring!$B$34+D213/Scoring!$C$34+E213*Scoring!$D$34+WR!F213*Scoring!$E$34+WR!G213/Scoring!$F$34+WR!H213*Scoring!$G$34+WR!I213*Scoring!$H$34+K213*Scoring!$I$34+WR!L213*Scoring!$J$34</f>
        <v>94.64</v>
      </c>
    </row>
    <row r="214" customFormat="false" ht="14.25" hidden="false" customHeight="true" outlineLevel="0" collapsed="false">
      <c r="B214" s="0" t="s">
        <v>491</v>
      </c>
      <c r="C214" s="0" t="n">
        <v>42</v>
      </c>
      <c r="D214" s="0" t="n">
        <v>622.6</v>
      </c>
      <c r="E214" s="0" t="n">
        <v>3.7</v>
      </c>
      <c r="F214" s="0" t="n">
        <v>2.2</v>
      </c>
      <c r="G214" s="0" t="n">
        <v>11.2</v>
      </c>
      <c r="H214" s="0" t="n">
        <v>0.1</v>
      </c>
      <c r="I214" s="0" t="n">
        <v>0.5</v>
      </c>
      <c r="J214" s="0" t="n">
        <v>105.9</v>
      </c>
      <c r="K214" s="115" t="n">
        <f aca="false">IFERROR(G214/F214/6.89*0.427*F214,0)</f>
        <v>0.69410740203193</v>
      </c>
      <c r="L214" s="115" t="n">
        <f aca="false">IFERROR(D214/C214/12.87*0.633*C214,0)</f>
        <v>30.6220512820513</v>
      </c>
      <c r="M214" s="118"/>
      <c r="N214" s="118"/>
      <c r="O214" s="118"/>
    </row>
    <row r="215" customFormat="false" ht="14.25" hidden="false" customHeight="true" outlineLevel="0" collapsed="false">
      <c r="B215" s="0" t="s">
        <v>492</v>
      </c>
      <c r="C215" s="0" t="n">
        <v>38</v>
      </c>
      <c r="D215" s="0" t="n">
        <v>480</v>
      </c>
      <c r="E215" s="0" t="n">
        <v>3</v>
      </c>
      <c r="F215" s="0" t="n">
        <v>2</v>
      </c>
      <c r="G215" s="0" t="n">
        <v>-1</v>
      </c>
      <c r="H215" s="0" t="n">
        <v>0</v>
      </c>
      <c r="I215" s="0" t="n">
        <v>1</v>
      </c>
      <c r="J215" s="0" t="n">
        <v>75</v>
      </c>
      <c r="K215" s="115" t="n">
        <f aca="false">IFERROR(G215/F215/6.89*0.427*F215,0)</f>
        <v>-0.0619738751814224</v>
      </c>
      <c r="L215" s="115" t="n">
        <f aca="false">IFERROR(D215/C215/12.87*0.633*C215,0)</f>
        <v>23.6083916083916</v>
      </c>
      <c r="M215" s="118"/>
      <c r="N215" s="118"/>
      <c r="O215" s="118"/>
    </row>
    <row r="216" customFormat="false" ht="14.25" hidden="false" customHeight="true" outlineLevel="0" collapsed="false">
      <c r="A216" s="0" t="s">
        <v>793</v>
      </c>
      <c r="B216" s="0" t="s">
        <v>526</v>
      </c>
      <c r="C216" s="0" t="n">
        <v>38.8</v>
      </c>
      <c r="D216" s="0" t="n">
        <v>538.6</v>
      </c>
      <c r="E216" s="0" t="n">
        <v>2.9</v>
      </c>
      <c r="F216" s="0" t="n">
        <v>1</v>
      </c>
      <c r="G216" s="0" t="n">
        <v>4</v>
      </c>
      <c r="H216" s="0" t="n">
        <v>0</v>
      </c>
      <c r="I216" s="0" t="n">
        <v>0.7</v>
      </c>
      <c r="J216" s="0" t="n">
        <v>89.4</v>
      </c>
      <c r="K216" s="115" t="n">
        <f aca="false">IFERROR(G216/F216/6.89*0.427*F216,0)</f>
        <v>0.247895500725689</v>
      </c>
      <c r="L216" s="115" t="n">
        <f aca="false">IFERROR(D216/C216/12.87*0.633*C216,0)</f>
        <v>26.4905827505828</v>
      </c>
      <c r="M216" s="117" t="n">
        <f aca="false">C218*Scoring!$B$34+D218/Scoring!$C$34+E218*Scoring!$D$34+WR!F218*Scoring!$E$34+WR!G218/Scoring!$F$34+WR!H218*Scoring!$G$34+WR!I218*Scoring!$H$34+K218*Scoring!$I$34+WR!L218*Scoring!$J$34+U216</f>
        <v>112.4452</v>
      </c>
      <c r="N216" s="117" t="n">
        <f aca="false">C216*Scoring!$B$34+D216/Scoring!$C$34+E216*Scoring!$D$34+WR!F216*Scoring!$E$34+WR!G216/Scoring!$F$34+WR!H216*Scoring!$G$34+WR!I216*Scoring!$H$34+K216*Scoring!$I$34+WR!L216*Scoring!$J$34+U216</f>
        <v>121.6752</v>
      </c>
      <c r="O216" s="117" t="n">
        <f aca="false">C217*Scoring!$B$34+D217/Scoring!$C$34+E217*Scoring!$D$34+WR!F217*Scoring!$E$34+WR!G217/Scoring!$F$34+WR!H217*Scoring!$G$34+WR!I217*Scoring!$H$34+K217*Scoring!$I$34+WR!L217*Scoring!$J$34+U216</f>
        <v>130.3152</v>
      </c>
      <c r="P216" s="53" t="n">
        <f aca="false">IF(COUNTIF(Rookies!$A:$A,A216)&gt;0,1,0)</f>
        <v>1</v>
      </c>
      <c r="S216" s="53" t="n">
        <f aca="false">V216/17</f>
        <v>5.27411764705882</v>
      </c>
      <c r="T216" s="53" t="n">
        <f aca="false">IF(P216=1,MAX(0,0.28*(12-S216)),0)</f>
        <v>1.88324705882353</v>
      </c>
      <c r="U216" s="53" t="n">
        <f aca="false">T216*17</f>
        <v>32.0152</v>
      </c>
      <c r="V216" s="53" t="n">
        <f aca="false">C216*Scoring!$B$34+D216/Scoring!$C$34+E216*Scoring!$D$34+WR!F216*Scoring!$E$34+WR!G216/Scoring!$F$34+WR!H216*Scoring!$G$34+WR!I216*Scoring!$H$34+K216*Scoring!$I$34+WR!L216*Scoring!$J$34</f>
        <v>89.66</v>
      </c>
    </row>
    <row r="217" customFormat="false" ht="14.25" hidden="false" customHeight="true" outlineLevel="0" collapsed="false">
      <c r="B217" s="0" t="s">
        <v>491</v>
      </c>
      <c r="C217" s="0" t="n">
        <v>42</v>
      </c>
      <c r="D217" s="0" t="n">
        <v>593</v>
      </c>
      <c r="E217" s="0" t="n">
        <v>3</v>
      </c>
      <c r="F217" s="0" t="n">
        <v>2</v>
      </c>
      <c r="G217" s="0" t="n">
        <v>8</v>
      </c>
      <c r="H217" s="0" t="n">
        <v>0</v>
      </c>
      <c r="I217" s="0" t="n">
        <v>0.4</v>
      </c>
      <c r="J217" s="0" t="n">
        <v>85.4</v>
      </c>
      <c r="K217" s="115" t="n">
        <f aca="false">IFERROR(G217/F217/6.89*0.427*F217,0)</f>
        <v>0.495791001451379</v>
      </c>
      <c r="L217" s="115" t="n">
        <f aca="false">IFERROR(D217/C217/12.87*0.633*C217,0)</f>
        <v>29.1662004662005</v>
      </c>
      <c r="M217" s="118"/>
      <c r="N217" s="118"/>
      <c r="O217" s="118"/>
    </row>
    <row r="218" customFormat="false" ht="14.25" hidden="false" customHeight="true" outlineLevel="0" collapsed="false">
      <c r="B218" s="0" t="s">
        <v>492</v>
      </c>
      <c r="C218" s="0" t="n">
        <v>35.6</v>
      </c>
      <c r="D218" s="0" t="n">
        <v>484.3</v>
      </c>
      <c r="E218" s="0" t="n">
        <v>2.7</v>
      </c>
      <c r="F218" s="0" t="n">
        <v>0</v>
      </c>
      <c r="G218" s="0" t="n">
        <v>0</v>
      </c>
      <c r="H218" s="0" t="n">
        <v>0</v>
      </c>
      <c r="I218" s="0" t="n">
        <v>1</v>
      </c>
      <c r="J218" s="0" t="n">
        <v>83.6</v>
      </c>
      <c r="K218" s="115" t="n">
        <f aca="false">IFERROR(G218/F218/6.89*0.427*F218,0)</f>
        <v>0</v>
      </c>
      <c r="L218" s="115" t="n">
        <f aca="false">IFERROR(D218/C218/12.87*0.633*C218,0)</f>
        <v>23.8198834498835</v>
      </c>
      <c r="M218" s="118"/>
      <c r="N218" s="118"/>
      <c r="O218" s="118"/>
    </row>
    <row r="219" customFormat="false" ht="14.25" hidden="false" customHeight="true" outlineLevel="0" collapsed="false">
      <c r="A219" s="0" t="s">
        <v>794</v>
      </c>
      <c r="B219" s="0" t="s">
        <v>548</v>
      </c>
      <c r="C219" s="0" t="n">
        <v>41.2</v>
      </c>
      <c r="D219" s="0" t="n">
        <v>507.6</v>
      </c>
      <c r="E219" s="0" t="n">
        <v>2.9</v>
      </c>
      <c r="F219" s="0" t="n">
        <v>2.1</v>
      </c>
      <c r="G219" s="0" t="n">
        <v>10.8</v>
      </c>
      <c r="H219" s="0" t="n">
        <v>0</v>
      </c>
      <c r="I219" s="0" t="n">
        <v>0.7</v>
      </c>
      <c r="J219" s="0" t="n">
        <v>88.5</v>
      </c>
      <c r="K219" s="115" t="n">
        <f aca="false">IFERROR(G219/F219/6.89*0.427*F219,0)</f>
        <v>0.669317851959362</v>
      </c>
      <c r="L219" s="115" t="n">
        <f aca="false">IFERROR(D219/C219/12.87*0.633*C219,0)</f>
        <v>24.9658741258741</v>
      </c>
      <c r="M219" s="117" t="n">
        <f aca="false">C221*Scoring!$B$34+D221/Scoring!$C$34+E221*Scoring!$D$34+WR!F221*Scoring!$E$34+WR!G221/Scoring!$F$34+WR!H221*Scoring!$G$34+WR!I221*Scoring!$H$34+K221*Scoring!$I$34+WR!L221*Scoring!$J$34+U219</f>
        <v>118.7668</v>
      </c>
      <c r="N219" s="117" t="n">
        <f aca="false">C219*Scoring!$B$34+D219/Scoring!$C$34+E219*Scoring!$D$34+WR!F219*Scoring!$E$34+WR!G219/Scoring!$F$34+WR!H219*Scoring!$G$34+WR!I219*Scoring!$H$34+K219*Scoring!$I$34+WR!L219*Scoring!$J$34+U219</f>
        <v>120.7968</v>
      </c>
      <c r="O219" s="117" t="n">
        <f aca="false">C220*Scoring!$B$34+D220/Scoring!$C$34+E220*Scoring!$D$34+WR!F220*Scoring!$E$34+WR!G220/Scoring!$F$34+WR!H220*Scoring!$G$34+WR!I220*Scoring!$H$34+K220*Scoring!$I$34+WR!L220*Scoring!$J$34+U219</f>
        <v>123.4268</v>
      </c>
      <c r="P219" s="53" t="n">
        <f aca="false">IF(COUNTIF(Rookies!$A:$A,A219)&gt;0,1,0)</f>
        <v>1</v>
      </c>
      <c r="S219" s="53" t="n">
        <f aca="false">V219/17</f>
        <v>5.20235294117647</v>
      </c>
      <c r="T219" s="53" t="n">
        <f aca="false">IF(P219=1,MAX(0,0.28*(12-S219)),0)</f>
        <v>1.90334117647059</v>
      </c>
      <c r="U219" s="53" t="n">
        <f aca="false">T219*17</f>
        <v>32.3568</v>
      </c>
      <c r="V219" s="53" t="n">
        <f aca="false">C219*Scoring!$B$34+D219/Scoring!$C$34+E219*Scoring!$D$34+WR!F219*Scoring!$E$34+WR!G219/Scoring!$F$34+WR!H219*Scoring!$G$34+WR!I219*Scoring!$H$34+K219*Scoring!$I$34+WR!L219*Scoring!$J$34</f>
        <v>88.44</v>
      </c>
    </row>
    <row r="220" customFormat="false" ht="14.25" hidden="false" customHeight="true" outlineLevel="0" collapsed="false">
      <c r="B220" s="0" t="s">
        <v>491</v>
      </c>
      <c r="C220" s="0" t="n">
        <v>42</v>
      </c>
      <c r="D220" s="0" t="n">
        <v>511</v>
      </c>
      <c r="E220" s="0" t="n">
        <v>3</v>
      </c>
      <c r="F220" s="0" t="n">
        <v>2.1</v>
      </c>
      <c r="G220" s="0" t="n">
        <v>11.7</v>
      </c>
      <c r="H220" s="0" t="n">
        <v>0.1</v>
      </c>
      <c r="I220" s="0" t="n">
        <v>0.4</v>
      </c>
      <c r="J220" s="0" t="n">
        <v>88.9</v>
      </c>
      <c r="K220" s="115" t="n">
        <f aca="false">IFERROR(G220/F220/6.89*0.427*F220,0)</f>
        <v>0.725094339622642</v>
      </c>
      <c r="L220" s="115" t="n">
        <f aca="false">IFERROR(D220/C220/12.87*0.633*C220,0)</f>
        <v>25.1331002331002</v>
      </c>
      <c r="M220" s="118"/>
      <c r="N220" s="118"/>
      <c r="O220" s="118"/>
    </row>
    <row r="221" customFormat="false" ht="14.25" hidden="false" customHeight="true" outlineLevel="0" collapsed="false">
      <c r="B221" s="0" t="s">
        <v>492</v>
      </c>
      <c r="C221" s="0" t="n">
        <v>40.4</v>
      </c>
      <c r="D221" s="0" t="n">
        <v>504.1</v>
      </c>
      <c r="E221" s="0" t="n">
        <v>2.8</v>
      </c>
      <c r="F221" s="0" t="n">
        <v>2</v>
      </c>
      <c r="G221" s="0" t="n">
        <v>10</v>
      </c>
      <c r="H221" s="0" t="n">
        <v>0</v>
      </c>
      <c r="I221" s="0" t="n">
        <v>1</v>
      </c>
      <c r="J221" s="0" t="n">
        <v>80.6</v>
      </c>
      <c r="K221" s="115" t="n">
        <f aca="false">IFERROR(G221/F221/6.89*0.427*F221,0)</f>
        <v>0.619738751814224</v>
      </c>
      <c r="L221" s="115" t="n">
        <f aca="false">IFERROR(D221/C221/12.87*0.633*C221,0)</f>
        <v>24.7937296037296</v>
      </c>
      <c r="M221" s="118"/>
      <c r="N221" s="118"/>
      <c r="O221" s="118"/>
    </row>
    <row r="222" customFormat="false" ht="14.25" hidden="false" customHeight="true" outlineLevel="0" collapsed="false">
      <c r="A222" s="0" t="s">
        <v>795</v>
      </c>
      <c r="B222" s="0" t="s">
        <v>534</v>
      </c>
      <c r="C222" s="0" t="n">
        <v>45.1</v>
      </c>
      <c r="D222" s="0" t="n">
        <v>410.2</v>
      </c>
      <c r="E222" s="0" t="n">
        <v>2.3</v>
      </c>
      <c r="F222" s="0" t="n">
        <v>13.5</v>
      </c>
      <c r="G222" s="0" t="n">
        <v>80.4</v>
      </c>
      <c r="H222" s="0" t="n">
        <v>0.7</v>
      </c>
      <c r="I222" s="0" t="n">
        <v>0.8</v>
      </c>
      <c r="J222" s="0" t="n">
        <v>88.4</v>
      </c>
      <c r="K222" s="115" t="n">
        <f aca="false">IFERROR(G222/F222/6.89*0.427*F222,0)</f>
        <v>4.98269956458636</v>
      </c>
      <c r="L222" s="115" t="n">
        <f aca="false">IFERROR(D222/C222/12.87*0.633*C222,0)</f>
        <v>20.175337995338</v>
      </c>
      <c r="M222" s="117" t="n">
        <f aca="false">C224*Scoring!$B$34+D224/Scoring!$C$34+E224*Scoring!$D$34+WR!F224*Scoring!$E$34+WR!G224/Scoring!$F$34+WR!H224*Scoring!$G$34+WR!I224*Scoring!$H$34+K224*Scoring!$I$34+WR!L224*Scoring!$J$34+U222</f>
        <v>75.43</v>
      </c>
      <c r="N222" s="117" t="n">
        <f aca="false">C222*Scoring!$B$34+D222/Scoring!$C$34+E222*Scoring!$D$34+WR!F222*Scoring!$E$34+WR!G222/Scoring!$F$34+WR!H222*Scoring!$G$34+WR!I222*Scoring!$H$34+K222*Scoring!$I$34+WR!L222*Scoring!$J$34+U222</f>
        <v>88.01</v>
      </c>
      <c r="O222" s="117" t="n">
        <f aca="false">C223*Scoring!$B$34+D223/Scoring!$C$34+E223*Scoring!$D$34+WR!F223*Scoring!$E$34+WR!G223/Scoring!$F$34+WR!H223*Scoring!$G$34+WR!I223*Scoring!$H$34+K223*Scoring!$I$34+WR!L223*Scoring!$J$34+U222</f>
        <v>101.24</v>
      </c>
      <c r="P222" s="53" t="n">
        <f aca="false">IF(COUNTIF(Rookies!$A:$A,A222)&gt;0,1,0)</f>
        <v>0</v>
      </c>
      <c r="S222" s="53" t="n">
        <f aca="false">V222/17</f>
        <v>5.17705882352941</v>
      </c>
      <c r="T222" s="53" t="n">
        <f aca="false">IF(P222=1,MAX(0,0.28*(12-S222)),0)</f>
        <v>0</v>
      </c>
      <c r="U222" s="53" t="n">
        <f aca="false">T222*17</f>
        <v>0</v>
      </c>
      <c r="V222" s="53" t="n">
        <f aca="false">C222*Scoring!$B$34+D222/Scoring!$C$34+E222*Scoring!$D$34+WR!F222*Scoring!$E$34+WR!G222/Scoring!$F$34+WR!H222*Scoring!$G$34+WR!I222*Scoring!$H$34+K222*Scoring!$I$34+WR!L222*Scoring!$J$34</f>
        <v>88.01</v>
      </c>
    </row>
    <row r="223" customFormat="false" ht="14.25" hidden="false" customHeight="true" outlineLevel="0" collapsed="false">
      <c r="B223" s="0" t="s">
        <v>491</v>
      </c>
      <c r="C223" s="0" t="n">
        <v>46</v>
      </c>
      <c r="D223" s="0" t="n">
        <v>471.4</v>
      </c>
      <c r="E223" s="0" t="n">
        <v>3</v>
      </c>
      <c r="F223" s="0" t="n">
        <v>14</v>
      </c>
      <c r="G223" s="0" t="n">
        <v>83</v>
      </c>
      <c r="H223" s="0" t="n">
        <v>1</v>
      </c>
      <c r="I223" s="0" t="n">
        <v>0.6</v>
      </c>
      <c r="J223" s="0" t="n">
        <v>92.1</v>
      </c>
      <c r="K223" s="115" t="n">
        <f aca="false">IFERROR(G223/F223/6.89*0.427*F223,0)</f>
        <v>5.14383164005806</v>
      </c>
      <c r="L223" s="115" t="n">
        <f aca="false">IFERROR(D223/C223/12.87*0.633*C223,0)</f>
        <v>23.1854079254079</v>
      </c>
      <c r="M223" s="118"/>
      <c r="N223" s="118"/>
      <c r="O223" s="118"/>
    </row>
    <row r="224" customFormat="false" ht="14.25" hidden="false" customHeight="true" outlineLevel="0" collapsed="false">
      <c r="B224" s="0" t="s">
        <v>492</v>
      </c>
      <c r="C224" s="0" t="n">
        <v>44.3</v>
      </c>
      <c r="D224" s="0" t="n">
        <v>349</v>
      </c>
      <c r="E224" s="0" t="n">
        <v>1.7</v>
      </c>
      <c r="F224" s="0" t="n">
        <v>12.9</v>
      </c>
      <c r="G224" s="0" t="n">
        <v>77.8</v>
      </c>
      <c r="H224" s="0" t="n">
        <v>0.4</v>
      </c>
      <c r="I224" s="0" t="n">
        <v>1</v>
      </c>
      <c r="J224" s="0" t="n">
        <v>74.6</v>
      </c>
      <c r="K224" s="115" t="n">
        <f aca="false">IFERROR(G224/F224/6.89*0.427*F224,0)</f>
        <v>4.82156748911466</v>
      </c>
      <c r="L224" s="115" t="n">
        <f aca="false">IFERROR(D224/C224/12.87*0.633*C224,0)</f>
        <v>17.1652680652681</v>
      </c>
      <c r="M224" s="118"/>
      <c r="N224" s="118"/>
      <c r="O224" s="118"/>
    </row>
    <row r="225" customFormat="false" ht="14.25" hidden="false" customHeight="true" outlineLevel="0" collapsed="false">
      <c r="A225" s="0" t="s">
        <v>796</v>
      </c>
      <c r="B225" s="0" t="s">
        <v>534</v>
      </c>
      <c r="C225" s="0" t="n">
        <v>40.6</v>
      </c>
      <c r="D225" s="0" t="n">
        <v>516.1</v>
      </c>
      <c r="E225" s="0" t="n">
        <v>2.8</v>
      </c>
      <c r="F225" s="0" t="n">
        <v>1</v>
      </c>
      <c r="G225" s="0" t="n">
        <v>5.5</v>
      </c>
      <c r="H225" s="0" t="n">
        <v>0</v>
      </c>
      <c r="I225" s="0" t="n">
        <v>0.7</v>
      </c>
      <c r="J225" s="0" t="n">
        <v>88</v>
      </c>
      <c r="K225" s="115" t="n">
        <f aca="false">IFERROR(G225/F225/6.89*0.427*F225,0)</f>
        <v>0.340856313497823</v>
      </c>
      <c r="L225" s="115" t="n">
        <f aca="false">IFERROR(D225/C225/12.87*0.633*C225,0)</f>
        <v>25.3839393939394</v>
      </c>
      <c r="M225" s="117" t="n">
        <f aca="false">C227*Scoring!$B$34+D227/Scoring!$C$34+E227*Scoring!$D$34+WR!F227*Scoring!$E$34+WR!G227/Scoring!$F$34+WR!H227*Scoring!$G$34+WR!I227*Scoring!$H$34+K227*Scoring!$I$34+WR!L227*Scoring!$J$34+U225</f>
        <v>102.0892</v>
      </c>
      <c r="N225" s="117" t="n">
        <f aca="false">C225*Scoring!$B$34+D225/Scoring!$C$34+E225*Scoring!$D$34+WR!F225*Scoring!$E$34+WR!G225/Scoring!$F$34+WR!H225*Scoring!$G$34+WR!I225*Scoring!$H$34+K225*Scoring!$I$34+WR!L225*Scoring!$J$34+U225</f>
        <v>120.3792</v>
      </c>
      <c r="O225" s="117" t="n">
        <f aca="false">C226*Scoring!$B$34+D226/Scoring!$C$34+E226*Scoring!$D$34+WR!F226*Scoring!$E$34+WR!G226/Scoring!$F$34+WR!H226*Scoring!$G$34+WR!I226*Scoring!$H$34+K226*Scoring!$I$34+WR!L226*Scoring!$J$34+U225</f>
        <v>138.6192</v>
      </c>
      <c r="P225" s="53" t="n">
        <f aca="false">IF(COUNTIF(Rookies!$A:$A,A225)&gt;0,1,0)</f>
        <v>1</v>
      </c>
      <c r="S225" s="53" t="n">
        <f aca="false">V225/17</f>
        <v>5.16823529411765</v>
      </c>
      <c r="T225" s="53" t="n">
        <f aca="false">IF(P225=1,MAX(0,0.28*(12-S225)),0)</f>
        <v>1.91289411764706</v>
      </c>
      <c r="U225" s="53" t="n">
        <f aca="false">T225*17</f>
        <v>32.5192</v>
      </c>
      <c r="V225" s="53" t="n">
        <f aca="false">C225*Scoring!$B$34+D225/Scoring!$C$34+E225*Scoring!$D$34+WR!F225*Scoring!$E$34+WR!G225/Scoring!$F$34+WR!H225*Scoring!$G$34+WR!I225*Scoring!$H$34+K225*Scoring!$I$34+WR!L225*Scoring!$J$34</f>
        <v>87.86</v>
      </c>
    </row>
    <row r="226" customFormat="false" ht="14.25" hidden="false" customHeight="true" outlineLevel="0" collapsed="false">
      <c r="B226" s="0" t="s">
        <v>491</v>
      </c>
      <c r="C226" s="0" t="n">
        <v>47</v>
      </c>
      <c r="D226" s="0" t="n">
        <v>583</v>
      </c>
      <c r="E226" s="0" t="n">
        <v>4</v>
      </c>
      <c r="F226" s="0" t="n">
        <v>2</v>
      </c>
      <c r="G226" s="0" t="n">
        <v>11</v>
      </c>
      <c r="H226" s="0" t="n">
        <v>0</v>
      </c>
      <c r="I226" s="0" t="n">
        <v>0.4</v>
      </c>
      <c r="J226" s="0" t="n">
        <v>92.3</v>
      </c>
      <c r="K226" s="115" t="n">
        <f aca="false">IFERROR(G226/F226/6.89*0.427*F226,0)</f>
        <v>0.681712626995646</v>
      </c>
      <c r="L226" s="115" t="n">
        <f aca="false">IFERROR(D226/C226/12.87*0.633*C226,0)</f>
        <v>28.674358974359</v>
      </c>
      <c r="M226" s="118"/>
      <c r="N226" s="118"/>
      <c r="O226" s="118"/>
    </row>
    <row r="227" customFormat="false" ht="14.25" hidden="false" customHeight="true" outlineLevel="0" collapsed="false">
      <c r="B227" s="0" t="s">
        <v>492</v>
      </c>
      <c r="C227" s="0" t="n">
        <v>34.1</v>
      </c>
      <c r="D227" s="0" t="n">
        <v>449.2</v>
      </c>
      <c r="E227" s="0" t="n">
        <v>1.6</v>
      </c>
      <c r="F227" s="0" t="n">
        <v>0</v>
      </c>
      <c r="G227" s="0" t="n">
        <v>0</v>
      </c>
      <c r="H227" s="0" t="n">
        <v>0</v>
      </c>
      <c r="I227" s="0" t="n">
        <v>1</v>
      </c>
      <c r="J227" s="0" t="n">
        <v>74.5</v>
      </c>
      <c r="K227" s="115" t="n">
        <f aca="false">IFERROR(G227/F227/6.89*0.427*F227,0)</f>
        <v>0</v>
      </c>
      <c r="L227" s="115" t="n">
        <f aca="false">IFERROR(D227/C227/12.87*0.633*C227,0)</f>
        <v>22.0935198135198</v>
      </c>
      <c r="M227" s="118"/>
      <c r="N227" s="118"/>
      <c r="O227" s="118"/>
    </row>
    <row r="228" customFormat="false" ht="14.25" hidden="false" customHeight="true" outlineLevel="0" collapsed="false">
      <c r="A228" s="0" t="s">
        <v>797</v>
      </c>
      <c r="B228" s="0" t="s">
        <v>496</v>
      </c>
      <c r="C228" s="0" t="n">
        <v>35.4</v>
      </c>
      <c r="D228" s="0" t="n">
        <v>495.9</v>
      </c>
      <c r="E228" s="0" t="n">
        <v>3.1</v>
      </c>
      <c r="F228" s="0" t="n">
        <v>3.5</v>
      </c>
      <c r="G228" s="0" t="n">
        <v>18.7</v>
      </c>
      <c r="H228" s="0" t="n">
        <v>0.1</v>
      </c>
      <c r="I228" s="0" t="n">
        <v>1.2</v>
      </c>
      <c r="J228" s="0" t="n">
        <v>86.3</v>
      </c>
      <c r="K228" s="115" t="n">
        <f aca="false">IFERROR(G228/F228/6.89*0.427*F228,0)</f>
        <v>1.1589114658926</v>
      </c>
      <c r="L228" s="115" t="n">
        <f aca="false">IFERROR(D228/C228/12.87*0.633*C228,0)</f>
        <v>24.3904195804196</v>
      </c>
      <c r="M228" s="117" t="n">
        <f aca="false">C230*Scoring!$B$34+D230/Scoring!$C$34+E230*Scoring!$D$34+WR!F230*Scoring!$E$34+WR!G230/Scoring!$F$34+WR!H230*Scoring!$G$34+WR!I230*Scoring!$H$34+K230*Scoring!$I$34+WR!L230*Scoring!$J$34+U228</f>
        <v>91.6712</v>
      </c>
      <c r="N228" s="117" t="n">
        <f aca="false">C228*Scoring!$B$34+D228/Scoring!$C$34+E228*Scoring!$D$34+WR!F228*Scoring!$E$34+WR!G228/Scoring!$F$34+WR!H228*Scoring!$G$34+WR!I228*Scoring!$H$34+K228*Scoring!$I$34+WR!L228*Scoring!$J$34+U228</f>
        <v>119.0112</v>
      </c>
      <c r="O228" s="117" t="n">
        <f aca="false">C229*Scoring!$B$34+D229/Scoring!$C$34+E229*Scoring!$D$34+WR!F229*Scoring!$E$34+WR!G229/Scoring!$F$34+WR!H229*Scoring!$G$34+WR!I229*Scoring!$H$34+K229*Scoring!$I$34+WR!L229*Scoring!$J$34+U228</f>
        <v>147.1812</v>
      </c>
      <c r="P228" s="53" t="n">
        <f aca="false">IF(COUNTIF(Rookies!$A:$A,A228)&gt;0,1,0)</f>
        <v>1</v>
      </c>
      <c r="S228" s="53" t="n">
        <f aca="false">V228/17</f>
        <v>5.05647058823529</v>
      </c>
      <c r="T228" s="53" t="n">
        <f aca="false">IF(P228=1,MAX(0,0.28*(12-S228)),0)</f>
        <v>1.94418823529412</v>
      </c>
      <c r="U228" s="53" t="n">
        <f aca="false">T228*17</f>
        <v>33.0512</v>
      </c>
      <c r="V228" s="53" t="n">
        <f aca="false">C228*Scoring!$B$34+D228/Scoring!$C$34+E228*Scoring!$D$34+WR!F228*Scoring!$E$34+WR!G228/Scoring!$F$34+WR!H228*Scoring!$G$34+WR!I228*Scoring!$H$34+K228*Scoring!$I$34+WR!L228*Scoring!$J$34</f>
        <v>85.96</v>
      </c>
    </row>
    <row r="229" customFormat="false" ht="14.25" hidden="false" customHeight="true" outlineLevel="0" collapsed="false">
      <c r="B229" s="0" t="s">
        <v>491</v>
      </c>
      <c r="C229" s="0" t="n">
        <v>45</v>
      </c>
      <c r="D229" s="0" t="n">
        <v>648</v>
      </c>
      <c r="E229" s="0" t="n">
        <v>4</v>
      </c>
      <c r="F229" s="0" t="n">
        <v>4.1</v>
      </c>
      <c r="G229" s="0" t="n">
        <v>22.3</v>
      </c>
      <c r="H229" s="0" t="n">
        <v>0.2</v>
      </c>
      <c r="I229" s="0" t="n">
        <v>0.3</v>
      </c>
      <c r="J229" s="0" t="n">
        <v>93.7</v>
      </c>
      <c r="K229" s="115" t="n">
        <f aca="false">IFERROR(G229/F229/6.89*0.427*F229,0)</f>
        <v>1.38201741654572</v>
      </c>
      <c r="L229" s="115" t="n">
        <f aca="false">IFERROR(D229/C229/12.87*0.633*C229,0)</f>
        <v>31.8713286713287</v>
      </c>
      <c r="M229" s="118"/>
      <c r="N229" s="118"/>
      <c r="O229" s="118"/>
    </row>
    <row r="230" customFormat="false" ht="14.25" hidden="false" customHeight="true" outlineLevel="0" collapsed="false">
      <c r="B230" s="0" t="s">
        <v>492</v>
      </c>
      <c r="C230" s="0" t="n">
        <v>25.9</v>
      </c>
      <c r="D230" s="0" t="n">
        <v>343.7</v>
      </c>
      <c r="E230" s="0" t="n">
        <v>2.3</v>
      </c>
      <c r="F230" s="0" t="n">
        <v>3</v>
      </c>
      <c r="G230" s="0" t="n">
        <v>15</v>
      </c>
      <c r="H230" s="0" t="n">
        <v>0</v>
      </c>
      <c r="I230" s="0" t="n">
        <v>2</v>
      </c>
      <c r="J230" s="0" t="n">
        <v>69.5</v>
      </c>
      <c r="K230" s="115" t="n">
        <f aca="false">IFERROR(G230/F230/6.89*0.427*F230,0)</f>
        <v>0.929608127721335</v>
      </c>
      <c r="L230" s="115" t="n">
        <f aca="false">IFERROR(D230/C230/12.87*0.633*C230,0)</f>
        <v>16.9045920745921</v>
      </c>
      <c r="M230" s="118"/>
      <c r="N230" s="118"/>
      <c r="O230" s="118"/>
    </row>
    <row r="231" customFormat="false" ht="14.25" hidden="false" customHeight="true" outlineLevel="0" collapsed="false">
      <c r="A231" s="0" t="s">
        <v>798</v>
      </c>
      <c r="B231" s="0" t="s">
        <v>534</v>
      </c>
      <c r="C231" s="0" t="n">
        <v>39.2</v>
      </c>
      <c r="D231" s="0" t="n">
        <v>507.4</v>
      </c>
      <c r="E231" s="0" t="n">
        <v>2.5</v>
      </c>
      <c r="F231" s="0" t="n">
        <v>1</v>
      </c>
      <c r="G231" s="0" t="n">
        <v>5.5</v>
      </c>
      <c r="H231" s="0" t="n">
        <v>0</v>
      </c>
      <c r="I231" s="0" t="n">
        <v>0.7</v>
      </c>
      <c r="J231" s="0" t="n">
        <v>84.7</v>
      </c>
      <c r="K231" s="115" t="n">
        <f aca="false">IFERROR(G231/F231/6.89*0.427*F231,0)</f>
        <v>0.340856313497823</v>
      </c>
      <c r="L231" s="115" t="n">
        <f aca="false">IFERROR(D231/C231/12.87*0.633*C231,0)</f>
        <v>24.9560372960373</v>
      </c>
      <c r="M231" s="117" t="n">
        <f aca="false">C233*Scoring!$B$34+D233/Scoring!$C$34+E233*Scoring!$D$34+WR!F233*Scoring!$E$34+WR!G233/Scoring!$F$34+WR!H233*Scoring!$G$34+WR!I233*Scoring!$H$34+K233*Scoring!$I$34+WR!L233*Scoring!$J$34+U231</f>
        <v>104.9628</v>
      </c>
      <c r="N231" s="117" t="n">
        <f aca="false">C231*Scoring!$B$34+D231/Scoring!$C$34+E231*Scoring!$D$34+WR!F231*Scoring!$E$34+WR!G231/Scoring!$F$34+WR!H231*Scoring!$G$34+WR!I231*Scoring!$H$34+K231*Scoring!$I$34+WR!L231*Scoring!$J$34+U231</f>
        <v>117.9528</v>
      </c>
      <c r="O231" s="117" t="n">
        <f aca="false">C232*Scoring!$B$34+D232/Scoring!$C$34+E232*Scoring!$D$34+WR!F232*Scoring!$E$34+WR!G232/Scoring!$F$34+WR!H232*Scoring!$G$34+WR!I232*Scoring!$H$34+K232*Scoring!$I$34+WR!L232*Scoring!$J$34+U231</f>
        <v>131.5328</v>
      </c>
      <c r="P231" s="53" t="n">
        <f aca="false">IF(COUNTIF(Rookies!$A:$A,A231)&gt;0,1,0)</f>
        <v>1</v>
      </c>
      <c r="S231" s="53" t="n">
        <f aca="false">V231/17</f>
        <v>4.97</v>
      </c>
      <c r="T231" s="53" t="n">
        <f aca="false">IF(P231=1,MAX(0,0.28*(12-S231)),0)</f>
        <v>1.9684</v>
      </c>
      <c r="U231" s="53" t="n">
        <f aca="false">T231*17</f>
        <v>33.4628</v>
      </c>
      <c r="V231" s="53" t="n">
        <f aca="false">C231*Scoring!$B$34+D231/Scoring!$C$34+E231*Scoring!$D$34+WR!F231*Scoring!$E$34+WR!G231/Scoring!$F$34+WR!H231*Scoring!$G$34+WR!I231*Scoring!$H$34+K231*Scoring!$I$34+WR!L231*Scoring!$J$34</f>
        <v>84.49</v>
      </c>
    </row>
    <row r="232" customFormat="false" ht="14.25" hidden="false" customHeight="true" outlineLevel="0" collapsed="false">
      <c r="B232" s="0" t="s">
        <v>491</v>
      </c>
      <c r="C232" s="0" t="n">
        <v>43.4</v>
      </c>
      <c r="D232" s="0" t="n">
        <v>580.7</v>
      </c>
      <c r="E232" s="0" t="n">
        <v>3</v>
      </c>
      <c r="F232" s="0" t="n">
        <v>2</v>
      </c>
      <c r="G232" s="0" t="n">
        <v>11</v>
      </c>
      <c r="H232" s="0" t="n">
        <v>0</v>
      </c>
      <c r="I232" s="0" t="n">
        <v>0.4</v>
      </c>
      <c r="J232" s="0" t="n">
        <v>89.6</v>
      </c>
      <c r="K232" s="115" t="n">
        <f aca="false">IFERROR(G232/F232/6.89*0.427*F232,0)</f>
        <v>0.681712626995646</v>
      </c>
      <c r="L232" s="115" t="n">
        <f aca="false">IFERROR(D232/C232/12.87*0.633*C232,0)</f>
        <v>28.5612354312354</v>
      </c>
      <c r="M232" s="118"/>
      <c r="N232" s="118"/>
      <c r="O232" s="118"/>
    </row>
    <row r="233" customFormat="false" ht="14.25" hidden="false" customHeight="true" outlineLevel="0" collapsed="false">
      <c r="B233" s="0" t="s">
        <v>492</v>
      </c>
      <c r="C233" s="0" t="n">
        <v>35</v>
      </c>
      <c r="D233" s="0" t="n">
        <v>434</v>
      </c>
      <c r="E233" s="0" t="n">
        <v>2.1</v>
      </c>
      <c r="F233" s="0" t="n">
        <v>0</v>
      </c>
      <c r="G233" s="0" t="n">
        <v>0</v>
      </c>
      <c r="H233" s="0" t="n">
        <v>0</v>
      </c>
      <c r="I233" s="0" t="n">
        <v>1</v>
      </c>
      <c r="J233" s="0" t="n">
        <v>70.6</v>
      </c>
      <c r="K233" s="115" t="n">
        <f aca="false">IFERROR(G233/F233/6.89*0.427*F233,0)</f>
        <v>0</v>
      </c>
      <c r="L233" s="115" t="n">
        <f aca="false">IFERROR(D233/C233/12.87*0.633*C233,0)</f>
        <v>21.3459207459208</v>
      </c>
      <c r="M233" s="118"/>
      <c r="N233" s="118"/>
      <c r="O233" s="118"/>
    </row>
    <row r="234" customFormat="false" ht="14.25" hidden="false" customHeight="true" outlineLevel="0" collapsed="false">
      <c r="A234" s="0" t="s">
        <v>799</v>
      </c>
      <c r="B234" s="0" t="s">
        <v>542</v>
      </c>
      <c r="C234" s="0" t="n">
        <v>38.5</v>
      </c>
      <c r="D234" s="0" t="n">
        <v>458</v>
      </c>
      <c r="E234" s="0" t="n">
        <v>3.1</v>
      </c>
      <c r="F234" s="0" t="n">
        <v>2.1</v>
      </c>
      <c r="G234" s="0" t="n">
        <v>12.5</v>
      </c>
      <c r="H234" s="0" t="n">
        <v>0.1</v>
      </c>
      <c r="I234" s="0" t="n">
        <v>0.7</v>
      </c>
      <c r="J234" s="0" t="n">
        <v>84</v>
      </c>
      <c r="K234" s="115" t="n">
        <f aca="false">IFERROR(G234/F234/6.89*0.427*F234,0)</f>
        <v>0.77467343976778</v>
      </c>
      <c r="L234" s="115" t="n">
        <f aca="false">IFERROR(D234/C234/12.87*0.633*C234,0)</f>
        <v>22.5263403263403</v>
      </c>
      <c r="M234" s="117" t="n">
        <f aca="false">C236*Scoring!$B$34+D236/Scoring!$C$34+E236*Scoring!$D$34+WR!F236*Scoring!$E$34+WR!G236/Scoring!$F$34+WR!H236*Scoring!$G$34+WR!I236*Scoring!$H$34+K236*Scoring!$I$34+WR!L236*Scoring!$J$34+U234</f>
        <v>102.072</v>
      </c>
      <c r="N234" s="117" t="n">
        <f aca="false">C234*Scoring!$B$34+D234/Scoring!$C$34+E234*Scoring!$D$34+WR!F234*Scoring!$E$34+WR!G234/Scoring!$F$34+WR!H234*Scoring!$G$34+WR!I234*Scoring!$H$34+K234*Scoring!$I$34+WR!L234*Scoring!$J$34+U234</f>
        <v>117.672</v>
      </c>
      <c r="O234" s="117" t="n">
        <f aca="false">C235*Scoring!$B$34+D235/Scoring!$C$34+E235*Scoring!$D$34+WR!F235*Scoring!$E$34+WR!G235/Scoring!$F$34+WR!H235*Scoring!$G$34+WR!I235*Scoring!$H$34+K235*Scoring!$I$34+WR!L235*Scoring!$J$34+U234</f>
        <v>132.672</v>
      </c>
      <c r="P234" s="53" t="n">
        <f aca="false">IF(COUNTIF(Rookies!$A:$A,A234)&gt;0,1,0)</f>
        <v>1</v>
      </c>
      <c r="S234" s="53" t="n">
        <f aca="false">V234/17</f>
        <v>4.94705882352941</v>
      </c>
      <c r="T234" s="53" t="n">
        <f aca="false">IF(P234=1,MAX(0,0.28*(12-S234)),0)</f>
        <v>1.97482352941177</v>
      </c>
      <c r="U234" s="53" t="n">
        <f aca="false">T234*17</f>
        <v>33.572</v>
      </c>
      <c r="V234" s="53" t="n">
        <f aca="false">C234*Scoring!$B$34+D234/Scoring!$C$34+E234*Scoring!$D$34+WR!F234*Scoring!$E$34+WR!G234/Scoring!$F$34+WR!H234*Scoring!$G$34+WR!I234*Scoring!$H$34+K234*Scoring!$I$34+WR!L234*Scoring!$J$34</f>
        <v>84.1</v>
      </c>
    </row>
    <row r="235" customFormat="false" ht="14.25" hidden="false" customHeight="true" outlineLevel="0" collapsed="false">
      <c r="B235" s="0" t="s">
        <v>491</v>
      </c>
      <c r="C235" s="0" t="n">
        <v>44</v>
      </c>
      <c r="D235" s="0" t="n">
        <v>520</v>
      </c>
      <c r="E235" s="0" t="n">
        <v>4</v>
      </c>
      <c r="F235" s="0" t="n">
        <v>2.2</v>
      </c>
      <c r="G235" s="0" t="n">
        <v>13</v>
      </c>
      <c r="H235" s="0" t="n">
        <v>0.1</v>
      </c>
      <c r="I235" s="0" t="n">
        <v>0.4</v>
      </c>
      <c r="J235" s="0" t="n">
        <v>85.2</v>
      </c>
      <c r="K235" s="115" t="n">
        <f aca="false">IFERROR(G235/F235/6.89*0.427*F235,0)</f>
        <v>0.805660377358491</v>
      </c>
      <c r="L235" s="115" t="n">
        <f aca="false">IFERROR(D235/C235/12.87*0.633*C235,0)</f>
        <v>25.5757575757576</v>
      </c>
      <c r="M235" s="118"/>
      <c r="N235" s="118"/>
      <c r="O235" s="118"/>
    </row>
    <row r="236" customFormat="false" ht="14.25" hidden="false" customHeight="true" outlineLevel="0" collapsed="false">
      <c r="B236" s="0" t="s">
        <v>492</v>
      </c>
      <c r="C236" s="0" t="n">
        <v>33</v>
      </c>
      <c r="D236" s="0" t="n">
        <v>396</v>
      </c>
      <c r="E236" s="0" t="n">
        <v>2.2</v>
      </c>
      <c r="F236" s="0" t="n">
        <v>2</v>
      </c>
      <c r="G236" s="0" t="n">
        <v>12</v>
      </c>
      <c r="H236" s="0" t="n">
        <v>0</v>
      </c>
      <c r="I236" s="0" t="n">
        <v>1</v>
      </c>
      <c r="J236" s="0" t="n">
        <v>74</v>
      </c>
      <c r="K236" s="115" t="n">
        <f aca="false">IFERROR(G236/F236/6.89*0.427*F236,0)</f>
        <v>0.743686502177068</v>
      </c>
      <c r="L236" s="115" t="n">
        <f aca="false">IFERROR(D236/C236/12.87*0.633*C236,0)</f>
        <v>19.4769230769231</v>
      </c>
      <c r="M236" s="118"/>
      <c r="N236" s="118"/>
      <c r="O236" s="118"/>
    </row>
    <row r="237" customFormat="false" ht="14.25" hidden="false" customHeight="true" outlineLevel="0" collapsed="false">
      <c r="A237" s="0" t="s">
        <v>800</v>
      </c>
      <c r="B237" s="0" t="s">
        <v>506</v>
      </c>
      <c r="C237" s="0" t="n">
        <v>38.1</v>
      </c>
      <c r="D237" s="0" t="n">
        <v>451.6</v>
      </c>
      <c r="E237" s="0" t="n">
        <v>3.1</v>
      </c>
      <c r="F237" s="0" t="n">
        <v>2</v>
      </c>
      <c r="G237" s="0" t="n">
        <v>10.8</v>
      </c>
      <c r="H237" s="0" t="n">
        <v>0.1</v>
      </c>
      <c r="I237" s="0" t="n">
        <v>0.4</v>
      </c>
      <c r="J237" s="0" t="n">
        <v>83.2</v>
      </c>
      <c r="K237" s="115" t="n">
        <f aca="false">IFERROR(G237/F237/6.89*0.427*F237,0)</f>
        <v>0.669317851959362</v>
      </c>
      <c r="L237" s="115" t="n">
        <f aca="false">IFERROR(D237/C237/12.87*0.633*C237,0)</f>
        <v>22.2115617715618</v>
      </c>
      <c r="M237" s="117" t="n">
        <f aca="false">C239*Scoring!$B$34+D239/Scoring!$C$34+E239*Scoring!$D$34+WR!F239*Scoring!$E$34+WR!G239/Scoring!$F$34+WR!H239*Scoring!$G$34+WR!I239*Scoring!$H$34+K239*Scoring!$I$34+WR!L239*Scoring!$J$34+U237</f>
        <v>83.69</v>
      </c>
      <c r="N237" s="117" t="n">
        <f aca="false">C237*Scoring!$B$34+D237/Scoring!$C$34+E237*Scoring!$D$34+WR!F237*Scoring!$E$34+WR!G237/Scoring!$F$34+WR!H237*Scoring!$G$34+WR!I237*Scoring!$H$34+K237*Scoring!$I$34+WR!L237*Scoring!$J$34+U237</f>
        <v>83.69</v>
      </c>
      <c r="O237" s="117" t="n">
        <f aca="false">C238*Scoring!$B$34+D238/Scoring!$C$34+E238*Scoring!$D$34+WR!F238*Scoring!$E$34+WR!G238/Scoring!$F$34+WR!H238*Scoring!$G$34+WR!I238*Scoring!$H$34+K238*Scoring!$I$34+WR!L238*Scoring!$J$34+U237</f>
        <v>83.69</v>
      </c>
      <c r="P237" s="53" t="n">
        <f aca="false">IF(COUNTIF(Rookies!$A:$A,A237)&gt;0,1,0)</f>
        <v>0</v>
      </c>
      <c r="S237" s="53" t="n">
        <f aca="false">V237/17</f>
        <v>4.92294117647059</v>
      </c>
      <c r="T237" s="53" t="n">
        <f aca="false">IF(P237=1,MAX(0,0.28*(12-S237)),0)</f>
        <v>0</v>
      </c>
      <c r="U237" s="53" t="n">
        <f aca="false">T237*17</f>
        <v>0</v>
      </c>
      <c r="V237" s="53" t="n">
        <f aca="false">C237*Scoring!$B$34+D237/Scoring!$C$34+E237*Scoring!$D$34+WR!F237*Scoring!$E$34+WR!G237/Scoring!$F$34+WR!H237*Scoring!$G$34+WR!I237*Scoring!$H$34+K237*Scoring!$I$34+WR!L237*Scoring!$J$34</f>
        <v>83.69</v>
      </c>
    </row>
    <row r="238" customFormat="false" ht="14.25" hidden="false" customHeight="true" outlineLevel="0" collapsed="false">
      <c r="B238" s="0" t="s">
        <v>491</v>
      </c>
      <c r="C238" s="0" t="n">
        <v>38.1</v>
      </c>
      <c r="D238" s="0" t="n">
        <v>451.6</v>
      </c>
      <c r="E238" s="0" t="n">
        <v>3.1</v>
      </c>
      <c r="F238" s="0" t="n">
        <v>2</v>
      </c>
      <c r="G238" s="0" t="n">
        <v>10.8</v>
      </c>
      <c r="H238" s="0" t="n">
        <v>0.1</v>
      </c>
      <c r="I238" s="0" t="n">
        <v>0.4</v>
      </c>
      <c r="J238" s="0" t="n">
        <v>84.5</v>
      </c>
      <c r="K238" s="115" t="n">
        <f aca="false">IFERROR(G238/F238/6.89*0.427*F238,0)</f>
        <v>0.669317851959362</v>
      </c>
      <c r="L238" s="115" t="n">
        <f aca="false">IFERROR(D238/C238/12.87*0.633*C238,0)</f>
        <v>22.2115617715618</v>
      </c>
      <c r="M238" s="118"/>
      <c r="N238" s="118"/>
      <c r="O238" s="118"/>
    </row>
    <row r="239" customFormat="false" ht="14.25" hidden="false" customHeight="true" outlineLevel="0" collapsed="false">
      <c r="B239" s="0" t="s">
        <v>492</v>
      </c>
      <c r="C239" s="0" t="n">
        <v>38.1</v>
      </c>
      <c r="D239" s="0" t="n">
        <v>451.6</v>
      </c>
      <c r="E239" s="0" t="n">
        <v>3.1</v>
      </c>
      <c r="F239" s="0" t="n">
        <v>2</v>
      </c>
      <c r="G239" s="0" t="n">
        <v>10.8</v>
      </c>
      <c r="H239" s="0" t="n">
        <v>0.1</v>
      </c>
      <c r="I239" s="0" t="n">
        <v>0.4</v>
      </c>
      <c r="J239" s="0" t="n">
        <v>84.5</v>
      </c>
      <c r="K239" s="115" t="n">
        <f aca="false">IFERROR(G239/F239/6.89*0.427*F239,0)</f>
        <v>0.669317851959362</v>
      </c>
      <c r="L239" s="115" t="n">
        <f aca="false">IFERROR(D239/C239/12.87*0.633*C239,0)</f>
        <v>22.2115617715618</v>
      </c>
      <c r="M239" s="118"/>
      <c r="N239" s="118"/>
      <c r="O239" s="118"/>
    </row>
    <row r="240" customFormat="false" ht="14.25" hidden="false" customHeight="true" outlineLevel="0" collapsed="false">
      <c r="A240" s="0" t="s">
        <v>801</v>
      </c>
      <c r="B240" s="0" t="s">
        <v>538</v>
      </c>
      <c r="C240" s="0" t="n">
        <v>38.7</v>
      </c>
      <c r="D240" s="0" t="n">
        <v>473.4</v>
      </c>
      <c r="E240" s="0" t="n">
        <v>2.5</v>
      </c>
      <c r="F240" s="0" t="n">
        <v>2.1</v>
      </c>
      <c r="G240" s="0" t="n">
        <v>14.2</v>
      </c>
      <c r="H240" s="0" t="n">
        <v>0</v>
      </c>
      <c r="I240" s="0" t="n">
        <v>0.2</v>
      </c>
      <c r="J240" s="0" t="n">
        <v>83.1</v>
      </c>
      <c r="K240" s="115" t="n">
        <f aca="false">IFERROR(G240/F240/6.89*0.427*F240,0)</f>
        <v>0.880029027576197</v>
      </c>
      <c r="L240" s="115" t="n">
        <f aca="false">IFERROR(D240/C240/12.87*0.633*C240,0)</f>
        <v>23.2837762237762</v>
      </c>
      <c r="M240" s="117" t="n">
        <f aca="false">C242*Scoring!$B$34+D242/Scoring!$C$34+E242*Scoring!$D$34+WR!F242*Scoring!$E$34+WR!G242/Scoring!$F$34+WR!H242*Scoring!$G$34+WR!I242*Scoring!$H$34+K242*Scoring!$I$34+WR!L242*Scoring!$J$34+U240</f>
        <v>73.01</v>
      </c>
      <c r="N240" s="117" t="n">
        <f aca="false">C240*Scoring!$B$34+D240/Scoring!$C$34+E240*Scoring!$D$34+WR!F240*Scoring!$E$34+WR!G240/Scoring!$F$34+WR!H240*Scoring!$G$34+WR!I240*Scoring!$H$34+K240*Scoring!$I$34+WR!L240*Scoring!$J$34+U240</f>
        <v>82.71</v>
      </c>
      <c r="O240" s="117" t="n">
        <f aca="false">C241*Scoring!$B$34+D241/Scoring!$C$34+E241*Scoring!$D$34+WR!F241*Scoring!$E$34+WR!G241/Scoring!$F$34+WR!H241*Scoring!$G$34+WR!I241*Scoring!$H$34+K241*Scoring!$I$34+WR!L241*Scoring!$J$34+U240</f>
        <v>93.2</v>
      </c>
      <c r="P240" s="53" t="n">
        <f aca="false">IF(COUNTIF(Rookies!$A:$A,A240)&gt;0,1,0)</f>
        <v>0</v>
      </c>
      <c r="S240" s="53" t="n">
        <f aca="false">V240/17</f>
        <v>4.86529411764706</v>
      </c>
      <c r="T240" s="53" t="n">
        <f aca="false">IF(P240=1,MAX(0,0.28*(12-S240)),0)</f>
        <v>0</v>
      </c>
      <c r="U240" s="53" t="n">
        <f aca="false">T240*17</f>
        <v>0</v>
      </c>
      <c r="V240" s="53" t="n">
        <f aca="false">C240*Scoring!$B$34+D240/Scoring!$C$34+E240*Scoring!$D$34+WR!F240*Scoring!$E$34+WR!G240/Scoring!$F$34+WR!H240*Scoring!$G$34+WR!I240*Scoring!$H$34+K240*Scoring!$I$34+WR!L240*Scoring!$J$34</f>
        <v>82.71</v>
      </c>
    </row>
    <row r="241" customFormat="false" ht="14.25" hidden="false" customHeight="true" outlineLevel="0" collapsed="false">
      <c r="B241" s="0" t="s">
        <v>491</v>
      </c>
      <c r="C241" s="0" t="n">
        <v>43</v>
      </c>
      <c r="D241" s="0" t="n">
        <v>515</v>
      </c>
      <c r="E241" s="0" t="n">
        <v>3</v>
      </c>
      <c r="F241" s="0" t="n">
        <v>2.1</v>
      </c>
      <c r="G241" s="0" t="n">
        <v>16</v>
      </c>
      <c r="H241" s="0" t="n">
        <v>0.1</v>
      </c>
      <c r="I241" s="0" t="n">
        <v>0</v>
      </c>
      <c r="J241" s="0" t="n">
        <v>81.3</v>
      </c>
      <c r="K241" s="115" t="n">
        <f aca="false">IFERROR(G241/F241/6.89*0.427*F241,0)</f>
        <v>0.991582002902758</v>
      </c>
      <c r="L241" s="115" t="n">
        <f aca="false">IFERROR(D241/C241/12.87*0.633*C241,0)</f>
        <v>25.3298368298368</v>
      </c>
      <c r="M241" s="118"/>
      <c r="N241" s="118"/>
      <c r="O241" s="118"/>
    </row>
    <row r="242" customFormat="false" ht="14.25" hidden="false" customHeight="true" outlineLevel="0" collapsed="false">
      <c r="B242" s="0" t="s">
        <v>492</v>
      </c>
      <c r="C242" s="0" t="n">
        <v>34.4</v>
      </c>
      <c r="D242" s="0" t="n">
        <v>431.7</v>
      </c>
      <c r="E242" s="0" t="n">
        <v>2</v>
      </c>
      <c r="F242" s="0" t="n">
        <v>2</v>
      </c>
      <c r="G242" s="0" t="n">
        <v>12.4</v>
      </c>
      <c r="H242" s="0" t="n">
        <v>0</v>
      </c>
      <c r="I242" s="0" t="n">
        <v>0.3</v>
      </c>
      <c r="J242" s="0" t="n">
        <v>76.1</v>
      </c>
      <c r="K242" s="115" t="n">
        <f aca="false">IFERROR(G242/F242/6.89*0.427*F242,0)</f>
        <v>0.768476052249637</v>
      </c>
      <c r="L242" s="115" t="n">
        <f aca="false">IFERROR(D242/C242/12.87*0.633*C242,0)</f>
        <v>21.2327972027972</v>
      </c>
      <c r="M242" s="118"/>
      <c r="N242" s="118"/>
      <c r="O242" s="118"/>
    </row>
    <row r="243" customFormat="false" ht="14.25" hidden="false" customHeight="true" outlineLevel="0" collapsed="false">
      <c r="A243" s="0" t="s">
        <v>802</v>
      </c>
      <c r="B243" s="0" t="s">
        <v>500</v>
      </c>
      <c r="C243" s="0" t="n">
        <v>38.8</v>
      </c>
      <c r="D243" s="0" t="n">
        <v>460.6</v>
      </c>
      <c r="E243" s="0" t="n">
        <v>3</v>
      </c>
      <c r="F243" s="0" t="n">
        <v>0.5</v>
      </c>
      <c r="G243" s="0" t="n">
        <v>2.5</v>
      </c>
      <c r="H243" s="0" t="n">
        <v>0</v>
      </c>
      <c r="I243" s="0" t="n">
        <v>0.2</v>
      </c>
      <c r="J243" s="0" t="n">
        <v>83.1</v>
      </c>
      <c r="K243" s="115" t="n">
        <f aca="false">IFERROR(G243/F243/6.89*0.427*F243,0)</f>
        <v>0.154934687953556</v>
      </c>
      <c r="L243" s="115" t="n">
        <f aca="false">IFERROR(D243/C243/12.87*0.633*C243,0)</f>
        <v>22.6542191142191</v>
      </c>
      <c r="M243" s="117" t="n">
        <f aca="false">C245*Scoring!$B$34+D245/Scoring!$C$34+E245*Scoring!$D$34+WR!F245*Scoring!$E$34+WR!G245/Scoring!$F$34+WR!H245*Scoring!$G$34+WR!I245*Scoring!$H$34+K245*Scoring!$I$34+WR!L245*Scoring!$J$34+U243</f>
        <v>75.7</v>
      </c>
      <c r="N243" s="117" t="n">
        <f aca="false">C243*Scoring!$B$34+D243/Scoring!$C$34+E243*Scoring!$D$34+WR!F243*Scoring!$E$34+WR!G243/Scoring!$F$34+WR!H243*Scoring!$G$34+WR!I243*Scoring!$H$34+K243*Scoring!$I$34+WR!L243*Scoring!$J$34+U243</f>
        <v>83.31</v>
      </c>
      <c r="O243" s="117" t="n">
        <f aca="false">C244*Scoring!$B$34+D244/Scoring!$C$34+E244*Scoring!$D$34+WR!F244*Scoring!$E$34+WR!G244/Scoring!$F$34+WR!H244*Scoring!$G$34+WR!I244*Scoring!$H$34+K244*Scoring!$I$34+WR!L244*Scoring!$J$34+U243</f>
        <v>90.36</v>
      </c>
      <c r="P243" s="53" t="n">
        <f aca="false">IF(COUNTIF(Rookies!$A:$A,A243)&gt;0,1,0)</f>
        <v>0</v>
      </c>
      <c r="S243" s="53" t="n">
        <f aca="false">V243/17</f>
        <v>4.90058823529412</v>
      </c>
      <c r="T243" s="53" t="n">
        <f aca="false">IF(P243=1,MAX(0,0.28*(12-S243)),0)</f>
        <v>0</v>
      </c>
      <c r="U243" s="53" t="n">
        <f aca="false">T243*17</f>
        <v>0</v>
      </c>
      <c r="V243" s="53" t="n">
        <f aca="false">C243*Scoring!$B$34+D243/Scoring!$C$34+E243*Scoring!$D$34+WR!F243*Scoring!$E$34+WR!G243/Scoring!$F$34+WR!H243*Scoring!$G$34+WR!I243*Scoring!$H$34+K243*Scoring!$I$34+WR!L243*Scoring!$J$34</f>
        <v>83.31</v>
      </c>
    </row>
    <row r="244" customFormat="false" ht="14.25" hidden="false" customHeight="true" outlineLevel="0" collapsed="false">
      <c r="B244" s="0" t="s">
        <v>491</v>
      </c>
      <c r="C244" s="0" t="n">
        <v>39.7</v>
      </c>
      <c r="D244" s="0" t="n">
        <v>520.1</v>
      </c>
      <c r="E244" s="0" t="n">
        <v>3</v>
      </c>
      <c r="F244" s="0" t="n">
        <v>1</v>
      </c>
      <c r="G244" s="0" t="n">
        <v>5</v>
      </c>
      <c r="H244" s="0" t="n">
        <v>0</v>
      </c>
      <c r="I244" s="0" t="n">
        <v>0</v>
      </c>
      <c r="J244" s="0" t="n">
        <v>88.4</v>
      </c>
      <c r="K244" s="115" t="n">
        <f aca="false">IFERROR(G244/F244/6.89*0.427*F244,0)</f>
        <v>0.309869375907112</v>
      </c>
      <c r="L244" s="115" t="n">
        <f aca="false">IFERROR(D244/C244/12.87*0.633*C244,0)</f>
        <v>25.580675990676</v>
      </c>
      <c r="M244" s="118"/>
      <c r="N244" s="118"/>
      <c r="O244" s="118"/>
    </row>
    <row r="245" customFormat="false" ht="14.25" hidden="false" customHeight="true" outlineLevel="0" collapsed="false">
      <c r="B245" s="0" t="s">
        <v>492</v>
      </c>
      <c r="C245" s="0" t="n">
        <v>38</v>
      </c>
      <c r="D245" s="0" t="n">
        <v>401</v>
      </c>
      <c r="E245" s="0" t="n">
        <v>2.9</v>
      </c>
      <c r="F245" s="0" t="n">
        <v>0</v>
      </c>
      <c r="G245" s="0" t="n">
        <v>0</v>
      </c>
      <c r="H245" s="0" t="n">
        <v>0</v>
      </c>
      <c r="I245" s="0" t="n">
        <v>0.4</v>
      </c>
      <c r="J245" s="0" t="n">
        <v>69.4</v>
      </c>
      <c r="K245" s="115" t="n">
        <f aca="false">IFERROR(G245/F245/6.89*0.427*F245,0)</f>
        <v>0</v>
      </c>
      <c r="L245" s="115" t="n">
        <f aca="false">IFERROR(D245/C245/12.87*0.633*C245,0)</f>
        <v>19.7228438228438</v>
      </c>
      <c r="M245" s="118"/>
      <c r="N245" s="118"/>
      <c r="O245" s="118"/>
    </row>
    <row r="246" customFormat="false" ht="14.25" hidden="false" customHeight="true" outlineLevel="0" collapsed="false">
      <c r="A246" s="0" t="s">
        <v>803</v>
      </c>
      <c r="B246" s="0" t="s">
        <v>512</v>
      </c>
      <c r="C246" s="0" t="n">
        <v>25.4</v>
      </c>
      <c r="D246" s="0" t="n">
        <v>466</v>
      </c>
      <c r="E246" s="0" t="n">
        <v>3.5</v>
      </c>
      <c r="F246" s="0" t="n">
        <v>0</v>
      </c>
      <c r="G246" s="0" t="n">
        <v>0</v>
      </c>
      <c r="H246" s="0" t="n">
        <v>0</v>
      </c>
      <c r="I246" s="0" t="n">
        <v>0.1</v>
      </c>
      <c r="J246" s="0" t="n">
        <v>80</v>
      </c>
      <c r="K246" s="115" t="n">
        <f aca="false">IFERROR(G246/F246/6.89*0.427*F246,0)</f>
        <v>0</v>
      </c>
      <c r="L246" s="115" t="n">
        <f aca="false">IFERROR(D246/C246/12.87*0.633*C246,0)</f>
        <v>22.9198135198135</v>
      </c>
      <c r="M246" s="117" t="n">
        <f aca="false">C248*Scoring!$B$34+D248/Scoring!$C$34+E248*Scoring!$D$34+WR!F248*Scoring!$E$34+WR!G248/Scoring!$F$34+WR!H248*Scoring!$G$34+WR!I248*Scoring!$H$34+K248*Scoring!$I$34+WR!L248*Scoring!$J$34+U246</f>
        <v>65.39</v>
      </c>
      <c r="N246" s="117" t="n">
        <f aca="false">C246*Scoring!$B$34+D246/Scoring!$C$34+E246*Scoring!$D$34+WR!F246*Scoring!$E$34+WR!G246/Scoring!$F$34+WR!H246*Scoring!$G$34+WR!I246*Scoring!$H$34+K246*Scoring!$I$34+WR!L246*Scoring!$J$34+U246</f>
        <v>80.1</v>
      </c>
      <c r="O246" s="117" t="n">
        <f aca="false">C247*Scoring!$B$34+D247/Scoring!$C$34+E247*Scoring!$D$34+WR!F247*Scoring!$E$34+WR!G247/Scoring!$F$34+WR!H247*Scoring!$G$34+WR!I247*Scoring!$H$34+K247*Scoring!$I$34+WR!L247*Scoring!$J$34+U246</f>
        <v>94.8</v>
      </c>
      <c r="P246" s="53" t="n">
        <f aca="false">IF(COUNTIF(Rookies!$A:$A,A246)&gt;0,1,0)</f>
        <v>0</v>
      </c>
      <c r="S246" s="53" t="n">
        <f aca="false">V246/17</f>
        <v>4.71176470588235</v>
      </c>
      <c r="T246" s="53" t="n">
        <f aca="false">IF(P246=1,MAX(0,0.28*(12-S246)),0)</f>
        <v>0</v>
      </c>
      <c r="U246" s="53" t="n">
        <f aca="false">T246*17</f>
        <v>0</v>
      </c>
      <c r="V246" s="53" t="n">
        <f aca="false">C246*Scoring!$B$34+D246/Scoring!$C$34+E246*Scoring!$D$34+WR!F246*Scoring!$E$34+WR!G246/Scoring!$F$34+WR!H246*Scoring!$G$34+WR!I246*Scoring!$H$34+K246*Scoring!$I$34+WR!L246*Scoring!$J$34</f>
        <v>80.1</v>
      </c>
    </row>
    <row r="247" customFormat="false" ht="14.25" hidden="false" customHeight="true" outlineLevel="0" collapsed="false">
      <c r="B247" s="0" t="s">
        <v>491</v>
      </c>
      <c r="C247" s="0" t="n">
        <v>27</v>
      </c>
      <c r="D247" s="0" t="n">
        <v>573</v>
      </c>
      <c r="E247" s="0" t="n">
        <v>4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85.7</v>
      </c>
      <c r="K247" s="115" t="n">
        <f aca="false">IFERROR(G247/F247/6.89*0.427*F247,0)</f>
        <v>0</v>
      </c>
      <c r="L247" s="115" t="n">
        <f aca="false">IFERROR(D247/C247/12.87*0.633*C247,0)</f>
        <v>28.1825174825175</v>
      </c>
      <c r="M247" s="118"/>
      <c r="N247" s="118"/>
      <c r="O247" s="118"/>
    </row>
    <row r="248" customFormat="false" ht="14.25" hidden="false" customHeight="true" outlineLevel="0" collapsed="false">
      <c r="B248" s="0" t="s">
        <v>492</v>
      </c>
      <c r="C248" s="0" t="n">
        <v>23.8</v>
      </c>
      <c r="D248" s="0" t="n">
        <v>358.9</v>
      </c>
      <c r="E248" s="0" t="n">
        <v>3</v>
      </c>
      <c r="F248" s="0" t="n">
        <v>0</v>
      </c>
      <c r="G248" s="0" t="n">
        <v>0</v>
      </c>
      <c r="H248" s="0" t="n">
        <v>0</v>
      </c>
      <c r="I248" s="0" t="n">
        <v>0.2</v>
      </c>
      <c r="J248" s="0" t="n">
        <v>66.2</v>
      </c>
      <c r="K248" s="115" t="n">
        <f aca="false">IFERROR(G248/F248/6.89*0.427*F248,0)</f>
        <v>0</v>
      </c>
      <c r="L248" s="115" t="n">
        <f aca="false">IFERROR(D248/C248/12.87*0.633*C248,0)</f>
        <v>17.6521911421911</v>
      </c>
      <c r="M248" s="118"/>
      <c r="N248" s="118"/>
      <c r="O248" s="118"/>
    </row>
    <row r="249" customFormat="false" ht="14.25" hidden="false" customHeight="true" outlineLevel="0" collapsed="false">
      <c r="A249" s="0" t="s">
        <v>804</v>
      </c>
      <c r="B249" s="0" t="s">
        <v>504</v>
      </c>
      <c r="C249" s="0" t="n">
        <v>35.2</v>
      </c>
      <c r="D249" s="0" t="n">
        <v>503.4</v>
      </c>
      <c r="E249" s="0" t="n">
        <v>1.9</v>
      </c>
      <c r="F249" s="0" t="n">
        <v>1.6</v>
      </c>
      <c r="G249" s="0" t="n">
        <v>8.6</v>
      </c>
      <c r="H249" s="0" t="n">
        <v>0</v>
      </c>
      <c r="I249" s="0" t="n">
        <v>0.7</v>
      </c>
      <c r="J249" s="0" t="n">
        <v>79.2</v>
      </c>
      <c r="K249" s="115" t="n">
        <f aca="false">IFERROR(G249/F249/6.89*0.427*F249,0)</f>
        <v>0.532975326560232</v>
      </c>
      <c r="L249" s="115" t="n">
        <f aca="false">IFERROR(D249/C249/12.87*0.633*C249,0)</f>
        <v>24.7593006993007</v>
      </c>
      <c r="M249" s="117" t="n">
        <f aca="false">C251*Scoring!$B$34+D251/Scoring!$C$34+E251*Scoring!$D$34+WR!F251*Scoring!$E$34+WR!G251/Scoring!$F$34+WR!H251*Scoring!$G$34+WR!I251*Scoring!$H$34+K251*Scoring!$I$34+WR!L251*Scoring!$J$34+U249</f>
        <v>63.08</v>
      </c>
      <c r="N249" s="117" t="n">
        <f aca="false">C249*Scoring!$B$34+D249/Scoring!$C$34+E249*Scoring!$D$34+WR!F249*Scoring!$E$34+WR!G249/Scoring!$F$34+WR!H249*Scoring!$G$34+WR!I249*Scoring!$H$34+K249*Scoring!$I$34+WR!L249*Scoring!$J$34+U249</f>
        <v>78.8</v>
      </c>
      <c r="O249" s="117" t="n">
        <f aca="false">C250*Scoring!$B$34+D250/Scoring!$C$34+E250*Scoring!$D$34+WR!F250*Scoring!$E$34+WR!G250/Scoring!$F$34+WR!H250*Scoring!$G$34+WR!I250*Scoring!$H$34+K250*Scoring!$I$34+WR!L250*Scoring!$J$34+U249</f>
        <v>95.33</v>
      </c>
      <c r="P249" s="53" t="n">
        <f aca="false">IF(COUNTIF(Rookies!$A:$A,A249)&gt;0,1,0)</f>
        <v>0</v>
      </c>
      <c r="S249" s="53" t="n">
        <f aca="false">V249/17</f>
        <v>4.63529411764706</v>
      </c>
      <c r="T249" s="53" t="n">
        <f aca="false">IF(P249=1,MAX(0,0.28*(12-S249)),0)</f>
        <v>0</v>
      </c>
      <c r="U249" s="53" t="n">
        <f aca="false">T249*17</f>
        <v>0</v>
      </c>
      <c r="V249" s="53" t="n">
        <f aca="false">C249*Scoring!$B$34+D249/Scoring!$C$34+E249*Scoring!$D$34+WR!F249*Scoring!$E$34+WR!G249/Scoring!$F$34+WR!H249*Scoring!$G$34+WR!I249*Scoring!$H$34+K249*Scoring!$I$34+WR!L249*Scoring!$J$34</f>
        <v>78.8</v>
      </c>
    </row>
    <row r="250" customFormat="false" ht="14.25" hidden="false" customHeight="true" outlineLevel="0" collapsed="false">
      <c r="B250" s="0" t="s">
        <v>491</v>
      </c>
      <c r="C250" s="0" t="n">
        <v>42</v>
      </c>
      <c r="D250" s="0" t="n">
        <v>611</v>
      </c>
      <c r="E250" s="0" t="n">
        <v>2</v>
      </c>
      <c r="F250" s="0" t="n">
        <v>2.2</v>
      </c>
      <c r="G250" s="0" t="n">
        <v>12.3</v>
      </c>
      <c r="H250" s="0" t="n">
        <v>0.1</v>
      </c>
      <c r="I250" s="0" t="n">
        <v>0.3</v>
      </c>
      <c r="J250" s="0" t="n">
        <v>79.6</v>
      </c>
      <c r="K250" s="115" t="n">
        <f aca="false">IFERROR(G250/F250/6.89*0.427*F250,0)</f>
        <v>0.762278664731495</v>
      </c>
      <c r="L250" s="115" t="n">
        <f aca="false">IFERROR(D250/C250/12.87*0.633*C250,0)</f>
        <v>30.0515151515152</v>
      </c>
      <c r="M250" s="118"/>
      <c r="N250" s="118"/>
      <c r="O250" s="118"/>
    </row>
    <row r="251" customFormat="false" ht="14.25" hidden="false" customHeight="true" outlineLevel="0" collapsed="false">
      <c r="B251" s="0" t="s">
        <v>492</v>
      </c>
      <c r="C251" s="0" t="n">
        <v>28.4</v>
      </c>
      <c r="D251" s="0" t="n">
        <v>395.8</v>
      </c>
      <c r="E251" s="0" t="n">
        <v>1.8</v>
      </c>
      <c r="F251" s="0" t="n">
        <v>1</v>
      </c>
      <c r="G251" s="0" t="n">
        <v>5</v>
      </c>
      <c r="H251" s="0" t="n">
        <v>0</v>
      </c>
      <c r="I251" s="0" t="n">
        <v>1</v>
      </c>
      <c r="J251" s="0" t="n">
        <v>69.3</v>
      </c>
      <c r="K251" s="115" t="n">
        <f aca="false">IFERROR(G251/F251/6.89*0.427*F251,0)</f>
        <v>0.309869375907112</v>
      </c>
      <c r="L251" s="115" t="n">
        <f aca="false">IFERROR(D251/C251/12.87*0.633*C251,0)</f>
        <v>19.4670862470862</v>
      </c>
      <c r="M251" s="118"/>
      <c r="N251" s="118"/>
      <c r="O251" s="118"/>
    </row>
    <row r="252" customFormat="false" ht="14.25" hidden="false" customHeight="true" outlineLevel="0" collapsed="false">
      <c r="A252" s="0" t="s">
        <v>805</v>
      </c>
      <c r="B252" s="0" t="s">
        <v>518</v>
      </c>
      <c r="C252" s="0" t="n">
        <v>36.5</v>
      </c>
      <c r="D252" s="0" t="n">
        <v>403.1</v>
      </c>
      <c r="E252" s="0" t="n">
        <v>3.4</v>
      </c>
      <c r="F252" s="0" t="n">
        <v>3</v>
      </c>
      <c r="G252" s="0" t="n">
        <v>10.8</v>
      </c>
      <c r="H252" s="0" t="n">
        <v>0</v>
      </c>
      <c r="I252" s="0" t="n">
        <v>0.6</v>
      </c>
      <c r="J252" s="0" t="n">
        <v>79</v>
      </c>
      <c r="K252" s="115" t="n">
        <f aca="false">IFERROR(G252/F252/6.89*0.427*F252,0)</f>
        <v>0.669317851959361</v>
      </c>
      <c r="L252" s="115" t="n">
        <f aca="false">IFERROR(D252/C252/12.87*0.633*C252,0)</f>
        <v>19.8261305361305</v>
      </c>
      <c r="M252" s="117" t="n">
        <f aca="false">C254*Scoring!$B$34+D254/Scoring!$C$34+E254*Scoring!$D$34+WR!F254*Scoring!$E$34+WR!G254/Scoring!$F$34+WR!H254*Scoring!$G$34+WR!I254*Scoring!$H$34+K254*Scoring!$I$34+WR!L254*Scoring!$J$34+U252</f>
        <v>39.98</v>
      </c>
      <c r="N252" s="117" t="n">
        <f aca="false">C252*Scoring!$B$34+D252/Scoring!$C$34+E252*Scoring!$D$34+WR!F252*Scoring!$E$34+WR!G252/Scoring!$F$34+WR!H252*Scoring!$G$34+WR!I252*Scoring!$H$34+K252*Scoring!$I$34+WR!L252*Scoring!$J$34+U252</f>
        <v>78.84</v>
      </c>
      <c r="O252" s="117" t="n">
        <f aca="false">C253*Scoring!$B$34+D253/Scoring!$C$34+E253*Scoring!$D$34+WR!F253*Scoring!$E$34+WR!G253/Scoring!$F$34+WR!H253*Scoring!$G$34+WR!I253*Scoring!$H$34+K253*Scoring!$I$34+WR!L253*Scoring!$J$34+U252</f>
        <v>118.3</v>
      </c>
      <c r="P252" s="53" t="n">
        <f aca="false">IF(COUNTIF(Rookies!$A:$A,A252)&gt;0,1,0)</f>
        <v>0</v>
      </c>
      <c r="S252" s="53" t="n">
        <f aca="false">V252/17</f>
        <v>4.63764705882353</v>
      </c>
      <c r="T252" s="53" t="n">
        <f aca="false">IF(P252=1,MAX(0,0.28*(12-S252)),0)</f>
        <v>0</v>
      </c>
      <c r="U252" s="53" t="n">
        <f aca="false">T252*17</f>
        <v>0</v>
      </c>
      <c r="V252" s="53" t="n">
        <f aca="false">C252*Scoring!$B$34+D252/Scoring!$C$34+E252*Scoring!$D$34+WR!F252*Scoring!$E$34+WR!G252/Scoring!$F$34+WR!H252*Scoring!$G$34+WR!I252*Scoring!$H$34+K252*Scoring!$I$34+WR!L252*Scoring!$J$34</f>
        <v>78.84</v>
      </c>
    </row>
    <row r="253" customFormat="false" ht="14.25" hidden="false" customHeight="true" outlineLevel="0" collapsed="false">
      <c r="B253" s="0" t="s">
        <v>491</v>
      </c>
      <c r="C253" s="0" t="n">
        <v>56</v>
      </c>
      <c r="D253" s="0" t="n">
        <v>590</v>
      </c>
      <c r="E253" s="0" t="n">
        <v>5</v>
      </c>
      <c r="F253" s="0" t="n">
        <v>4</v>
      </c>
      <c r="G253" s="0" t="n">
        <v>11</v>
      </c>
      <c r="H253" s="0" t="n">
        <v>0.1</v>
      </c>
      <c r="I253" s="0" t="n">
        <v>0.2</v>
      </c>
      <c r="J253" s="0" t="n">
        <v>96.2</v>
      </c>
      <c r="K253" s="115" t="n">
        <f aca="false">IFERROR(G253/F253/6.89*0.427*F253,0)</f>
        <v>0.681712626995646</v>
      </c>
      <c r="L253" s="115" t="n">
        <f aca="false">IFERROR(D253/C253/12.87*0.633*C253,0)</f>
        <v>29.018648018648</v>
      </c>
      <c r="M253" s="118"/>
      <c r="N253" s="118"/>
      <c r="O253" s="118"/>
    </row>
    <row r="254" customFormat="false" ht="14.25" hidden="false" customHeight="true" outlineLevel="0" collapsed="false">
      <c r="B254" s="0" t="s">
        <v>492</v>
      </c>
      <c r="C254" s="0" t="n">
        <v>17</v>
      </c>
      <c r="D254" s="0" t="n">
        <v>216.2</v>
      </c>
      <c r="E254" s="0" t="n">
        <v>1.8</v>
      </c>
      <c r="F254" s="0" t="n">
        <v>2.1</v>
      </c>
      <c r="G254" s="0" t="n">
        <v>10.6</v>
      </c>
      <c r="H254" s="0" t="n">
        <v>0</v>
      </c>
      <c r="I254" s="0" t="n">
        <v>1</v>
      </c>
      <c r="J254" s="0" t="n">
        <v>52</v>
      </c>
      <c r="K254" s="115" t="n">
        <f aca="false">IFERROR(G254/F254/6.89*0.427*F254,0)</f>
        <v>0.656923076923077</v>
      </c>
      <c r="L254" s="115" t="n">
        <f aca="false">IFERROR(D254/C254/12.87*0.633*C254,0)</f>
        <v>10.6336130536131</v>
      </c>
      <c r="M254" s="118"/>
      <c r="N254" s="118"/>
      <c r="O254" s="118"/>
    </row>
    <row r="255" customFormat="false" ht="14.25" hidden="false" customHeight="true" outlineLevel="0" collapsed="false">
      <c r="A255" s="0" t="s">
        <v>806</v>
      </c>
      <c r="B255" s="0" t="s">
        <v>536</v>
      </c>
      <c r="C255" s="0" t="n">
        <v>29.8</v>
      </c>
      <c r="D255" s="0" t="n">
        <v>400</v>
      </c>
      <c r="E255" s="0" t="n">
        <v>4.2</v>
      </c>
      <c r="F255" s="0" t="n">
        <v>0.5</v>
      </c>
      <c r="G255" s="0" t="n">
        <v>3</v>
      </c>
      <c r="H255" s="0" t="n">
        <v>0</v>
      </c>
      <c r="I255" s="0" t="n">
        <v>0.6</v>
      </c>
      <c r="J255" s="0" t="n">
        <v>78.9</v>
      </c>
      <c r="K255" s="115" t="n">
        <f aca="false">IFERROR(G255/F255/6.89*0.427*F255,0)</f>
        <v>0.185921625544267</v>
      </c>
      <c r="L255" s="115" t="n">
        <f aca="false">IFERROR(D255/C255/12.87*0.633*C255,0)</f>
        <v>19.6736596736597</v>
      </c>
      <c r="M255" s="117" t="n">
        <f aca="false">C257*Scoring!$B$34+D257/Scoring!$C$34+E257*Scoring!$D$34+WR!F257*Scoring!$E$34+WR!G257/Scoring!$F$34+WR!H257*Scoring!$G$34+WR!I257*Scoring!$H$34+K257*Scoring!$I$34+WR!L257*Scoring!$J$34+U255</f>
        <v>52.49</v>
      </c>
      <c r="N255" s="117" t="n">
        <f aca="false">C255*Scoring!$B$34+D255/Scoring!$C$34+E255*Scoring!$D$34+WR!F255*Scoring!$E$34+WR!G255/Scoring!$F$34+WR!H255*Scoring!$G$34+WR!I255*Scoring!$H$34+K255*Scoring!$I$34+WR!L255*Scoring!$J$34+U255</f>
        <v>79.2</v>
      </c>
      <c r="O255" s="117" t="n">
        <f aca="false">C256*Scoring!$B$34+D256/Scoring!$C$34+E256*Scoring!$D$34+WR!F256*Scoring!$E$34+WR!G256/Scoring!$F$34+WR!H256*Scoring!$G$34+WR!I256*Scoring!$H$34+K256*Scoring!$I$34+WR!L256*Scoring!$J$34+U255</f>
        <v>105.3</v>
      </c>
      <c r="P255" s="53" t="n">
        <f aca="false">IF(COUNTIF(Rookies!$A:$A,A255)&gt;0,1,0)</f>
        <v>0</v>
      </c>
      <c r="S255" s="53" t="n">
        <f aca="false">V255/17</f>
        <v>4.65882352941176</v>
      </c>
      <c r="T255" s="53" t="n">
        <f aca="false">IF(P255=1,MAX(0,0.28*(12-S255)),0)</f>
        <v>0</v>
      </c>
      <c r="U255" s="53" t="n">
        <f aca="false">T255*17</f>
        <v>0</v>
      </c>
      <c r="V255" s="53" t="n">
        <f aca="false">C255*Scoring!$B$34+D255/Scoring!$C$34+E255*Scoring!$D$34+WR!F255*Scoring!$E$34+WR!G255/Scoring!$F$34+WR!H255*Scoring!$G$34+WR!I255*Scoring!$H$34+K255*Scoring!$I$34+WR!L255*Scoring!$J$34</f>
        <v>79.2</v>
      </c>
    </row>
    <row r="256" customFormat="false" ht="14.25" hidden="false" customHeight="true" outlineLevel="0" collapsed="false">
      <c r="B256" s="0" t="s">
        <v>491</v>
      </c>
      <c r="C256" s="0" t="n">
        <v>38</v>
      </c>
      <c r="D256" s="0" t="n">
        <v>501</v>
      </c>
      <c r="E256" s="0" t="n">
        <v>6</v>
      </c>
      <c r="F256" s="0" t="n">
        <v>1</v>
      </c>
      <c r="G256" s="0" t="n">
        <v>6</v>
      </c>
      <c r="H256" s="0" t="n">
        <v>0</v>
      </c>
      <c r="I256" s="0" t="n">
        <v>0.2</v>
      </c>
      <c r="J256" s="0" t="n">
        <v>89.9</v>
      </c>
      <c r="K256" s="115" t="n">
        <f aca="false">IFERROR(G256/F256/6.89*0.427*F256,0)</f>
        <v>0.371843251088534</v>
      </c>
      <c r="L256" s="115" t="n">
        <f aca="false">IFERROR(D256/C256/12.87*0.633*C256,0)</f>
        <v>24.6412587412587</v>
      </c>
      <c r="M256" s="118"/>
      <c r="N256" s="118"/>
      <c r="O256" s="118"/>
    </row>
    <row r="257" customFormat="false" ht="14.25" hidden="false" customHeight="true" outlineLevel="0" collapsed="false">
      <c r="B257" s="0" t="s">
        <v>492</v>
      </c>
      <c r="C257" s="0" t="n">
        <v>21.6</v>
      </c>
      <c r="D257" s="0" t="n">
        <v>298.9</v>
      </c>
      <c r="E257" s="0" t="n">
        <v>2.3</v>
      </c>
      <c r="F257" s="0" t="n">
        <v>0</v>
      </c>
      <c r="G257" s="0" t="n">
        <v>0</v>
      </c>
      <c r="H257" s="0" t="n">
        <v>0</v>
      </c>
      <c r="I257" s="0" t="n">
        <v>1</v>
      </c>
      <c r="J257" s="0" t="n">
        <v>58.8</v>
      </c>
      <c r="K257" s="115" t="n">
        <f aca="false">IFERROR(G257/F257/6.89*0.427*F257,0)</f>
        <v>0</v>
      </c>
      <c r="L257" s="115" t="n">
        <f aca="false">IFERROR(D257/C257/12.87*0.633*C257,0)</f>
        <v>14.7011421911422</v>
      </c>
      <c r="M257" s="118"/>
      <c r="N257" s="118"/>
      <c r="O257" s="118"/>
    </row>
    <row r="258" customFormat="false" ht="14.25" hidden="false" customHeight="true" outlineLevel="0" collapsed="false">
      <c r="A258" s="0" t="s">
        <v>807</v>
      </c>
      <c r="B258" s="0" t="s">
        <v>540</v>
      </c>
      <c r="C258" s="0" t="n">
        <v>35.7</v>
      </c>
      <c r="D258" s="0" t="n">
        <v>416.9</v>
      </c>
      <c r="E258" s="0" t="n">
        <v>2.6</v>
      </c>
      <c r="F258" s="0" t="n">
        <v>2.1</v>
      </c>
      <c r="G258" s="0" t="n">
        <v>10.9</v>
      </c>
      <c r="H258" s="0" t="n">
        <v>0.1</v>
      </c>
      <c r="I258" s="0" t="n">
        <v>0.4</v>
      </c>
      <c r="J258" s="0" t="n">
        <v>75.8</v>
      </c>
      <c r="K258" s="115" t="n">
        <f aca="false">IFERROR(G258/F258/6.89*0.427*F258,0)</f>
        <v>0.675515239477504</v>
      </c>
      <c r="L258" s="115" t="n">
        <f aca="false">IFERROR(D258/C258/12.87*0.633*C258,0)</f>
        <v>20.5048717948718</v>
      </c>
      <c r="M258" s="117" t="n">
        <f aca="false">C260*Scoring!$B$34+D260/Scoring!$C$34+E260*Scoring!$D$34+WR!F260*Scoring!$E$34+WR!G260/Scoring!$F$34+WR!H260*Scoring!$G$34+WR!I260*Scoring!$H$34+K260*Scoring!$I$34+WR!L260*Scoring!$J$34+U258</f>
        <v>76.03</v>
      </c>
      <c r="N258" s="117" t="n">
        <f aca="false">C258*Scoring!$B$34+D258/Scoring!$C$34+E258*Scoring!$D$34+WR!F258*Scoring!$E$34+WR!G258/Scoring!$F$34+WR!H258*Scoring!$G$34+WR!I258*Scoring!$H$34+K258*Scoring!$I$34+WR!L258*Scoring!$J$34+U258</f>
        <v>76.03</v>
      </c>
      <c r="O258" s="117" t="n">
        <f aca="false">C259*Scoring!$B$34+D259/Scoring!$C$34+E259*Scoring!$D$34+WR!F259*Scoring!$E$34+WR!G259/Scoring!$F$34+WR!H259*Scoring!$G$34+WR!I259*Scoring!$H$34+K259*Scoring!$I$34+WR!L259*Scoring!$J$34+U258</f>
        <v>76.03</v>
      </c>
      <c r="P258" s="53" t="n">
        <f aca="false">IF(COUNTIF(Rookies!$A:$A,A258)&gt;0,1,0)</f>
        <v>0</v>
      </c>
      <c r="S258" s="53" t="n">
        <f aca="false">V258/17</f>
        <v>4.47235294117647</v>
      </c>
      <c r="T258" s="53" t="n">
        <f aca="false">IF(P258=1,MAX(0,0.28*(12-S258)),0)</f>
        <v>0</v>
      </c>
      <c r="U258" s="53" t="n">
        <f aca="false">T258*17</f>
        <v>0</v>
      </c>
      <c r="V258" s="53" t="n">
        <f aca="false">C258*Scoring!$B$34+D258/Scoring!$C$34+E258*Scoring!$D$34+WR!F258*Scoring!$E$34+WR!G258/Scoring!$F$34+WR!H258*Scoring!$G$34+WR!I258*Scoring!$H$34+K258*Scoring!$I$34+WR!L258*Scoring!$J$34</f>
        <v>76.03</v>
      </c>
    </row>
    <row r="259" customFormat="false" ht="14.25" hidden="false" customHeight="true" outlineLevel="0" collapsed="false">
      <c r="B259" s="0" t="s">
        <v>491</v>
      </c>
      <c r="C259" s="0" t="n">
        <v>35.7</v>
      </c>
      <c r="D259" s="0" t="n">
        <v>416.9</v>
      </c>
      <c r="E259" s="0" t="n">
        <v>2.6</v>
      </c>
      <c r="F259" s="0" t="n">
        <v>2.1</v>
      </c>
      <c r="G259" s="0" t="n">
        <v>10.9</v>
      </c>
      <c r="H259" s="0" t="n">
        <v>0.1</v>
      </c>
      <c r="I259" s="0" t="n">
        <v>0.4</v>
      </c>
      <c r="J259" s="0" t="n">
        <v>76.2</v>
      </c>
      <c r="K259" s="115" t="n">
        <f aca="false">IFERROR(G259/F259/6.89*0.427*F259,0)</f>
        <v>0.675515239477504</v>
      </c>
      <c r="L259" s="115" t="n">
        <f aca="false">IFERROR(D259/C259/12.87*0.633*C259,0)</f>
        <v>20.5048717948718</v>
      </c>
      <c r="M259" s="118"/>
      <c r="N259" s="118"/>
      <c r="O259" s="118"/>
    </row>
    <row r="260" customFormat="false" ht="14.25" hidden="false" customHeight="true" outlineLevel="0" collapsed="false">
      <c r="B260" s="0" t="s">
        <v>492</v>
      </c>
      <c r="C260" s="0" t="n">
        <v>35.7</v>
      </c>
      <c r="D260" s="0" t="n">
        <v>416.9</v>
      </c>
      <c r="E260" s="0" t="n">
        <v>2.6</v>
      </c>
      <c r="F260" s="0" t="n">
        <v>2.1</v>
      </c>
      <c r="G260" s="0" t="n">
        <v>10.9</v>
      </c>
      <c r="H260" s="0" t="n">
        <v>0.1</v>
      </c>
      <c r="I260" s="0" t="n">
        <v>0.4</v>
      </c>
      <c r="J260" s="0" t="n">
        <v>76.2</v>
      </c>
      <c r="K260" s="115" t="n">
        <f aca="false">IFERROR(G260/F260/6.89*0.427*F260,0)</f>
        <v>0.675515239477504</v>
      </c>
      <c r="L260" s="115" t="n">
        <f aca="false">IFERROR(D260/C260/12.87*0.633*C260,0)</f>
        <v>20.5048717948718</v>
      </c>
      <c r="M260" s="118"/>
      <c r="N260" s="118"/>
      <c r="O260" s="118"/>
    </row>
    <row r="261" customFormat="false" ht="14.25" hidden="false" customHeight="true" outlineLevel="0" collapsed="false">
      <c r="A261" s="0" t="s">
        <v>808</v>
      </c>
      <c r="B261" s="0" t="s">
        <v>552</v>
      </c>
      <c r="C261" s="0" t="n">
        <v>35.2</v>
      </c>
      <c r="D261" s="0" t="n">
        <v>443.3</v>
      </c>
      <c r="E261" s="0" t="n">
        <v>2.3</v>
      </c>
      <c r="F261" s="0" t="n">
        <v>0</v>
      </c>
      <c r="G261" s="0" t="n">
        <v>0</v>
      </c>
      <c r="H261" s="0" t="n">
        <v>0</v>
      </c>
      <c r="I261" s="0" t="n">
        <v>0.3</v>
      </c>
      <c r="J261" s="0" t="n">
        <v>74.9</v>
      </c>
      <c r="K261" s="115" t="n">
        <f aca="false">IFERROR(G261/F261/6.89*0.427*F261,0)</f>
        <v>0</v>
      </c>
      <c r="L261" s="115" t="n">
        <f aca="false">IFERROR(D261/C261/12.87*0.633*C261,0)</f>
        <v>21.8033333333333</v>
      </c>
      <c r="M261" s="117" t="n">
        <f aca="false">C263*Scoring!$B$34+D263/Scoring!$C$34+E263*Scoring!$D$34+WR!F263*Scoring!$E$34+WR!G263/Scoring!$F$34+WR!H263*Scoring!$G$34+WR!I263*Scoring!$H$34+K263*Scoring!$I$34+WR!L263*Scoring!$J$34+U261</f>
        <v>75.13</v>
      </c>
      <c r="N261" s="117" t="n">
        <f aca="false">C261*Scoring!$B$34+D261/Scoring!$C$34+E261*Scoring!$D$34+WR!F261*Scoring!$E$34+WR!G261/Scoring!$F$34+WR!H261*Scoring!$G$34+WR!I261*Scoring!$H$34+K261*Scoring!$I$34+WR!L261*Scoring!$J$34+U261</f>
        <v>75.13</v>
      </c>
      <c r="O261" s="117" t="n">
        <f aca="false">C262*Scoring!$B$34+D262/Scoring!$C$34+E262*Scoring!$D$34+WR!F262*Scoring!$E$34+WR!G262/Scoring!$F$34+WR!H262*Scoring!$G$34+WR!I262*Scoring!$H$34+K262*Scoring!$I$34+WR!L262*Scoring!$J$34+U261</f>
        <v>75.13</v>
      </c>
      <c r="P261" s="53" t="n">
        <f aca="false">IF(COUNTIF(Rookies!$A:$A,A261)&gt;0,1,0)</f>
        <v>0</v>
      </c>
      <c r="S261" s="53" t="n">
        <f aca="false">V261/17</f>
        <v>4.41941176470588</v>
      </c>
      <c r="T261" s="53" t="n">
        <f aca="false">IF(P261=1,MAX(0,0.28*(12-S261)),0)</f>
        <v>0</v>
      </c>
      <c r="U261" s="53" t="n">
        <f aca="false">T261*17</f>
        <v>0</v>
      </c>
      <c r="V261" s="53" t="n">
        <f aca="false">C261*Scoring!$B$34+D261/Scoring!$C$34+E261*Scoring!$D$34+WR!F261*Scoring!$E$34+WR!G261/Scoring!$F$34+WR!H261*Scoring!$G$34+WR!I261*Scoring!$H$34+K261*Scoring!$I$34+WR!L261*Scoring!$J$34</f>
        <v>75.13</v>
      </c>
    </row>
    <row r="262" customFormat="false" ht="14.25" hidden="false" customHeight="true" outlineLevel="0" collapsed="false">
      <c r="B262" s="0" t="s">
        <v>491</v>
      </c>
      <c r="C262" s="0" t="n">
        <v>35.2</v>
      </c>
      <c r="D262" s="0" t="n">
        <v>443.3</v>
      </c>
      <c r="E262" s="0" t="n">
        <v>2.3</v>
      </c>
      <c r="F262" s="0" t="n">
        <v>0</v>
      </c>
      <c r="G262" s="0" t="n">
        <v>0</v>
      </c>
      <c r="H262" s="0" t="n">
        <v>0</v>
      </c>
      <c r="I262" s="0" t="n">
        <v>0.3</v>
      </c>
      <c r="J262" s="0" t="n">
        <v>75.2</v>
      </c>
      <c r="K262" s="115" t="n">
        <f aca="false">IFERROR(G262/F262/6.89*0.427*F262,0)</f>
        <v>0</v>
      </c>
      <c r="L262" s="115" t="n">
        <f aca="false">IFERROR(D262/C262/12.87*0.633*C262,0)</f>
        <v>21.8033333333333</v>
      </c>
      <c r="M262" s="118"/>
      <c r="N262" s="118"/>
      <c r="O262" s="118"/>
    </row>
    <row r="263" customFormat="false" ht="14.25" hidden="false" customHeight="true" outlineLevel="0" collapsed="false">
      <c r="B263" s="0" t="s">
        <v>492</v>
      </c>
      <c r="C263" s="0" t="n">
        <v>35.2</v>
      </c>
      <c r="D263" s="0" t="n">
        <v>443.3</v>
      </c>
      <c r="E263" s="0" t="n">
        <v>2.3</v>
      </c>
      <c r="F263" s="0" t="n">
        <v>0</v>
      </c>
      <c r="G263" s="0" t="n">
        <v>0</v>
      </c>
      <c r="H263" s="0" t="n">
        <v>0</v>
      </c>
      <c r="I263" s="0" t="n">
        <v>0.3</v>
      </c>
      <c r="J263" s="0" t="n">
        <v>75.2</v>
      </c>
      <c r="K263" s="115" t="n">
        <f aca="false">IFERROR(G263/F263/6.89*0.427*F263,0)</f>
        <v>0</v>
      </c>
      <c r="L263" s="115" t="n">
        <f aca="false">IFERROR(D263/C263/12.87*0.633*C263,0)</f>
        <v>21.8033333333333</v>
      </c>
      <c r="M263" s="118"/>
      <c r="N263" s="118"/>
      <c r="O263" s="118"/>
    </row>
    <row r="264" customFormat="false" ht="14.25" hidden="false" customHeight="true" outlineLevel="0" collapsed="false">
      <c r="A264" s="0" t="s">
        <v>809</v>
      </c>
      <c r="B264" s="0" t="s">
        <v>526</v>
      </c>
      <c r="C264" s="0" t="n">
        <v>34.7</v>
      </c>
      <c r="D264" s="0" t="n">
        <v>460.8</v>
      </c>
      <c r="E264" s="0" t="n">
        <v>2</v>
      </c>
      <c r="F264" s="0" t="n">
        <v>1</v>
      </c>
      <c r="G264" s="0" t="n">
        <v>5</v>
      </c>
      <c r="H264" s="0" t="n">
        <v>0</v>
      </c>
      <c r="I264" s="0" t="n">
        <v>1.1</v>
      </c>
      <c r="J264" s="0" t="n">
        <v>73.6</v>
      </c>
      <c r="K264" s="115" t="n">
        <f aca="false">IFERROR(G264/F264/6.89*0.427*F264,0)</f>
        <v>0.309869375907112</v>
      </c>
      <c r="L264" s="115" t="n">
        <f aca="false">IFERROR(D264/C264/12.87*0.633*C264,0)</f>
        <v>22.6640559440559</v>
      </c>
      <c r="M264" s="117" t="n">
        <f aca="false">C266*Scoring!$B$34+D266/Scoring!$C$34+E266*Scoring!$D$34+WR!F266*Scoring!$E$34+WR!G266/Scoring!$F$34+WR!H266*Scoring!$G$34+WR!I266*Scoring!$H$34+K266*Scoring!$I$34+WR!L266*Scoring!$J$34+U264</f>
        <v>67.7356</v>
      </c>
      <c r="N264" s="117" t="n">
        <f aca="false">C264*Scoring!$B$34+D264/Scoring!$C$34+E264*Scoring!$D$34+WR!F264*Scoring!$E$34+WR!G264/Scoring!$F$34+WR!H264*Scoring!$G$34+WR!I264*Scoring!$H$34+K264*Scoring!$I$34+WR!L264*Scoring!$J$34+U264</f>
        <v>110.2056</v>
      </c>
      <c r="O264" s="117" t="n">
        <f aca="false">C265*Scoring!$B$34+D265/Scoring!$C$34+E265*Scoring!$D$34+WR!F265*Scoring!$E$34+WR!G265/Scoring!$F$34+WR!H265*Scoring!$G$34+WR!I265*Scoring!$H$34+K265*Scoring!$I$34+WR!L265*Scoring!$J$34+U264</f>
        <v>152.6756</v>
      </c>
      <c r="P264" s="53" t="n">
        <f aca="false">IF(COUNTIF(Rookies!$A:$A,A264)&gt;0,1,0)</f>
        <v>1</v>
      </c>
      <c r="S264" s="53" t="n">
        <f aca="false">V264/17</f>
        <v>4.33705882352941</v>
      </c>
      <c r="T264" s="53" t="n">
        <f aca="false">IF(P264=1,MAX(0,0.28*(12-S264)),0)</f>
        <v>2.14562352941177</v>
      </c>
      <c r="U264" s="53" t="n">
        <f aca="false">T264*17</f>
        <v>36.4756</v>
      </c>
      <c r="V264" s="53" t="n">
        <f aca="false">C264*Scoring!$B$34+D264/Scoring!$C$34+E264*Scoring!$D$34+WR!F264*Scoring!$E$34+WR!G264/Scoring!$F$34+WR!H264*Scoring!$G$34+WR!I264*Scoring!$H$34+K264*Scoring!$I$34+WR!L264*Scoring!$J$34</f>
        <v>73.73</v>
      </c>
    </row>
    <row r="265" customFormat="false" ht="14.25" hidden="false" customHeight="true" outlineLevel="0" collapsed="false">
      <c r="B265" s="0" t="s">
        <v>491</v>
      </c>
      <c r="C265" s="0" t="n">
        <v>53</v>
      </c>
      <c r="D265" s="0" t="n">
        <v>711</v>
      </c>
      <c r="E265" s="0" t="n">
        <v>3</v>
      </c>
      <c r="F265" s="0" t="n">
        <v>2</v>
      </c>
      <c r="G265" s="0" t="n">
        <v>10</v>
      </c>
      <c r="H265" s="0" t="n">
        <v>0</v>
      </c>
      <c r="I265" s="0" t="n">
        <v>0.2</v>
      </c>
      <c r="J265" s="0" t="n">
        <v>94.4</v>
      </c>
      <c r="K265" s="115" t="n">
        <f aca="false">IFERROR(G265/F265/6.89*0.427*F265,0)</f>
        <v>0.619738751814224</v>
      </c>
      <c r="L265" s="115" t="n">
        <f aca="false">IFERROR(D265/C265/12.87*0.633*C265,0)</f>
        <v>34.9699300699301</v>
      </c>
      <c r="M265" s="118"/>
      <c r="N265" s="118"/>
      <c r="O265" s="118"/>
    </row>
    <row r="266" customFormat="false" ht="14.25" hidden="false" customHeight="true" outlineLevel="0" collapsed="false">
      <c r="B266" s="0" t="s">
        <v>492</v>
      </c>
      <c r="C266" s="0" t="n">
        <v>16.4</v>
      </c>
      <c r="D266" s="0" t="n">
        <v>210.6</v>
      </c>
      <c r="E266" s="0" t="n">
        <v>1</v>
      </c>
      <c r="F266" s="0" t="n">
        <v>0</v>
      </c>
      <c r="G266" s="0" t="n">
        <v>0</v>
      </c>
      <c r="H266" s="0" t="n">
        <v>0</v>
      </c>
      <c r="I266" s="0" t="n">
        <v>2</v>
      </c>
      <c r="J266" s="0" t="n">
        <v>43.9</v>
      </c>
      <c r="K266" s="115" t="n">
        <f aca="false">IFERROR(G266/F266/6.89*0.427*F266,0)</f>
        <v>0</v>
      </c>
      <c r="L266" s="115" t="n">
        <f aca="false">IFERROR(D266/C266/12.87*0.633*C266,0)</f>
        <v>10.3581818181818</v>
      </c>
      <c r="M266" s="118"/>
      <c r="N266" s="118"/>
      <c r="O266" s="118"/>
    </row>
    <row r="267" customFormat="false" ht="14.25" hidden="false" customHeight="true" outlineLevel="0" collapsed="false">
      <c r="A267" s="0" t="s">
        <v>810</v>
      </c>
      <c r="B267" s="0" t="s">
        <v>516</v>
      </c>
      <c r="C267" s="0" t="n">
        <v>34.5</v>
      </c>
      <c r="D267" s="0" t="n">
        <v>410.5</v>
      </c>
      <c r="E267" s="0" t="n">
        <v>2.5</v>
      </c>
      <c r="F267" s="0" t="n">
        <v>0</v>
      </c>
      <c r="G267" s="0" t="n">
        <v>0</v>
      </c>
      <c r="H267" s="0" t="n">
        <v>0</v>
      </c>
      <c r="I267" s="0" t="n">
        <v>0.4</v>
      </c>
      <c r="J267" s="0" t="n">
        <v>72.5</v>
      </c>
      <c r="K267" s="115" t="n">
        <f aca="false">IFERROR(G267/F267/6.89*0.427*F267,0)</f>
        <v>0</v>
      </c>
      <c r="L267" s="115" t="n">
        <f aca="false">IFERROR(D267/C267/12.87*0.633*C267,0)</f>
        <v>20.1900932400932</v>
      </c>
      <c r="M267" s="117" t="n">
        <f aca="false">C269*Scoring!$B$34+D269/Scoring!$C$34+E269*Scoring!$D$34+WR!F269*Scoring!$E$34+WR!G269/Scoring!$F$34+WR!H269*Scoring!$G$34+WR!I269*Scoring!$H$34+K269*Scoring!$I$34+WR!L269*Scoring!$J$34+U267</f>
        <v>72.5</v>
      </c>
      <c r="N267" s="117" t="n">
        <f aca="false">C267*Scoring!$B$34+D267/Scoring!$C$34+E267*Scoring!$D$34+WR!F267*Scoring!$E$34+WR!G267/Scoring!$F$34+WR!H267*Scoring!$G$34+WR!I267*Scoring!$H$34+K267*Scoring!$I$34+WR!L267*Scoring!$J$34+U267</f>
        <v>72.5</v>
      </c>
      <c r="O267" s="117" t="n">
        <f aca="false">C268*Scoring!$B$34+D268/Scoring!$C$34+E268*Scoring!$D$34+WR!F268*Scoring!$E$34+WR!G268/Scoring!$F$34+WR!H268*Scoring!$G$34+WR!I268*Scoring!$H$34+K268*Scoring!$I$34+WR!L268*Scoring!$J$34+U267</f>
        <v>72.5</v>
      </c>
      <c r="P267" s="53" t="n">
        <f aca="false">IF(COUNTIF(Rookies!$A:$A,A267)&gt;0,1,0)</f>
        <v>0</v>
      </c>
      <c r="S267" s="53" t="n">
        <f aca="false">V267/17</f>
        <v>4.26470588235294</v>
      </c>
      <c r="T267" s="53" t="n">
        <f aca="false">IF(P267=1,MAX(0,0.28*(12-S267)),0)</f>
        <v>0</v>
      </c>
      <c r="U267" s="53" t="n">
        <f aca="false">T267*17</f>
        <v>0</v>
      </c>
      <c r="V267" s="53" t="n">
        <f aca="false">C267*Scoring!$B$34+D267/Scoring!$C$34+E267*Scoring!$D$34+WR!F267*Scoring!$E$34+WR!G267/Scoring!$F$34+WR!H267*Scoring!$G$34+WR!I267*Scoring!$H$34+K267*Scoring!$I$34+WR!L267*Scoring!$J$34</f>
        <v>72.5</v>
      </c>
    </row>
    <row r="268" customFormat="false" ht="14.25" hidden="false" customHeight="true" outlineLevel="0" collapsed="false">
      <c r="B268" s="0" t="s">
        <v>491</v>
      </c>
      <c r="C268" s="0" t="n">
        <v>34.5</v>
      </c>
      <c r="D268" s="0" t="n">
        <v>410.5</v>
      </c>
      <c r="E268" s="0" t="n">
        <v>2.5</v>
      </c>
      <c r="F268" s="0" t="n">
        <v>0</v>
      </c>
      <c r="G268" s="0" t="n">
        <v>0</v>
      </c>
      <c r="H268" s="0" t="n">
        <v>0</v>
      </c>
      <c r="I268" s="0" t="n">
        <v>0.4</v>
      </c>
      <c r="J268" s="0" t="n">
        <v>72.6</v>
      </c>
      <c r="K268" s="115" t="n">
        <f aca="false">IFERROR(G268/F268/6.89*0.427*F268,0)</f>
        <v>0</v>
      </c>
      <c r="L268" s="115" t="n">
        <f aca="false">IFERROR(D268/C268/12.87*0.633*C268,0)</f>
        <v>20.1900932400932</v>
      </c>
      <c r="M268" s="118"/>
      <c r="N268" s="118"/>
      <c r="O268" s="118"/>
    </row>
    <row r="269" customFormat="false" ht="14.25" hidden="false" customHeight="true" outlineLevel="0" collapsed="false">
      <c r="B269" s="0" t="s">
        <v>492</v>
      </c>
      <c r="C269" s="0" t="n">
        <v>34.5</v>
      </c>
      <c r="D269" s="0" t="n">
        <v>410.5</v>
      </c>
      <c r="E269" s="0" t="n">
        <v>2.5</v>
      </c>
      <c r="F269" s="0" t="n">
        <v>0</v>
      </c>
      <c r="G269" s="0" t="n">
        <v>0</v>
      </c>
      <c r="H269" s="0" t="n">
        <v>0</v>
      </c>
      <c r="I269" s="0" t="n">
        <v>0.4</v>
      </c>
      <c r="J269" s="0" t="n">
        <v>72.6</v>
      </c>
      <c r="K269" s="115" t="n">
        <f aca="false">IFERROR(G269/F269/6.89*0.427*F269,0)</f>
        <v>0</v>
      </c>
      <c r="L269" s="115" t="n">
        <f aca="false">IFERROR(D269/C269/12.87*0.633*C269,0)</f>
        <v>20.1900932400932</v>
      </c>
      <c r="M269" s="118"/>
      <c r="N269" s="118"/>
      <c r="O269" s="118"/>
    </row>
    <row r="270" customFormat="false" ht="14.25" hidden="false" customHeight="true" outlineLevel="0" collapsed="false">
      <c r="A270" s="0" t="s">
        <v>811</v>
      </c>
      <c r="B270" s="0" t="s">
        <v>524</v>
      </c>
      <c r="C270" s="0" t="n">
        <v>25.4</v>
      </c>
      <c r="D270" s="0" t="n">
        <v>352.4</v>
      </c>
      <c r="E270" s="0" t="n">
        <v>4.1</v>
      </c>
      <c r="F270" s="0" t="n">
        <v>0</v>
      </c>
      <c r="G270" s="0" t="n">
        <v>0</v>
      </c>
      <c r="H270" s="0" t="n">
        <v>0</v>
      </c>
      <c r="I270" s="0" t="n">
        <v>0.1</v>
      </c>
      <c r="J270" s="0" t="n">
        <v>72.4</v>
      </c>
      <c r="K270" s="115" t="n">
        <f aca="false">IFERROR(G270/F270/6.89*0.427*F270,0)</f>
        <v>0</v>
      </c>
      <c r="L270" s="115" t="n">
        <f aca="false">IFERROR(D270/C270/12.87*0.633*C270,0)</f>
        <v>17.3324941724942</v>
      </c>
      <c r="M270" s="117" t="n">
        <f aca="false">C272*Scoring!$B$34+D272/Scoring!$C$34+E272*Scoring!$D$34+WR!F272*Scoring!$E$34+WR!G272/Scoring!$F$34+WR!H272*Scoring!$G$34+WR!I272*Scoring!$H$34+K272*Scoring!$I$34+WR!L272*Scoring!$J$34+U270</f>
        <v>60.79</v>
      </c>
      <c r="N270" s="117" t="n">
        <f aca="false">C270*Scoring!$B$34+D270/Scoring!$C$34+E270*Scoring!$D$34+WR!F270*Scoring!$E$34+WR!G270/Scoring!$F$34+WR!H270*Scoring!$G$34+WR!I270*Scoring!$H$34+K270*Scoring!$I$34+WR!L270*Scoring!$J$34+U270</f>
        <v>72.34</v>
      </c>
      <c r="O270" s="117" t="n">
        <f aca="false">C271*Scoring!$B$34+D271/Scoring!$C$34+E271*Scoring!$D$34+WR!F271*Scoring!$E$34+WR!G271/Scoring!$F$34+WR!H271*Scoring!$G$34+WR!I271*Scoring!$H$34+K271*Scoring!$I$34+WR!L271*Scoring!$J$34+U270</f>
        <v>83.9</v>
      </c>
      <c r="P270" s="53" t="n">
        <f aca="false">IF(COUNTIF(Rookies!$A:$A,A270)&gt;0,1,0)</f>
        <v>0</v>
      </c>
      <c r="S270" s="53" t="n">
        <f aca="false">V270/17</f>
        <v>4.25529411764706</v>
      </c>
      <c r="T270" s="53" t="n">
        <f aca="false">IF(P270=1,MAX(0,0.28*(12-S270)),0)</f>
        <v>0</v>
      </c>
      <c r="U270" s="53" t="n">
        <f aca="false">T270*17</f>
        <v>0</v>
      </c>
      <c r="V270" s="53" t="n">
        <f aca="false">C270*Scoring!$B$34+D270/Scoring!$C$34+E270*Scoring!$D$34+WR!F270*Scoring!$E$34+WR!G270/Scoring!$F$34+WR!H270*Scoring!$G$34+WR!I270*Scoring!$H$34+K270*Scoring!$I$34+WR!L270*Scoring!$J$34</f>
        <v>72.34</v>
      </c>
    </row>
    <row r="271" customFormat="false" ht="14.25" hidden="false" customHeight="true" outlineLevel="0" collapsed="false">
      <c r="B271" s="0" t="s">
        <v>491</v>
      </c>
      <c r="C271" s="0" t="n">
        <v>27</v>
      </c>
      <c r="D271" s="0" t="n">
        <v>404</v>
      </c>
      <c r="E271" s="0" t="n">
        <v>5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74.7</v>
      </c>
      <c r="K271" s="115" t="n">
        <f aca="false">IFERROR(G271/F271/6.89*0.427*F271,0)</f>
        <v>0</v>
      </c>
      <c r="L271" s="115" t="n">
        <f aca="false">IFERROR(D271/C271/12.87*0.633*C271,0)</f>
        <v>19.8703962703963</v>
      </c>
      <c r="M271" s="118"/>
      <c r="N271" s="118"/>
      <c r="O271" s="118"/>
    </row>
    <row r="272" customFormat="false" ht="14.25" hidden="false" customHeight="true" outlineLevel="0" collapsed="false">
      <c r="B272" s="0" t="s">
        <v>492</v>
      </c>
      <c r="C272" s="0" t="n">
        <v>23.8</v>
      </c>
      <c r="D272" s="0" t="n">
        <v>300.9</v>
      </c>
      <c r="E272" s="0" t="n">
        <v>3.2</v>
      </c>
      <c r="F272" s="0" t="n">
        <v>0</v>
      </c>
      <c r="G272" s="0" t="n">
        <v>0</v>
      </c>
      <c r="H272" s="0" t="n">
        <v>0</v>
      </c>
      <c r="I272" s="0" t="n">
        <v>0.2</v>
      </c>
      <c r="J272" s="0" t="n">
        <v>61.8</v>
      </c>
      <c r="K272" s="115" t="n">
        <f aca="false">IFERROR(G272/F272/6.89*0.427*F272,0)</f>
        <v>0</v>
      </c>
      <c r="L272" s="115" t="n">
        <f aca="false">IFERROR(D272/C272/12.87*0.633*C272,0)</f>
        <v>14.7995104895105</v>
      </c>
      <c r="M272" s="118"/>
      <c r="N272" s="118"/>
      <c r="O272" s="118"/>
    </row>
    <row r="273" customFormat="false" ht="14.25" hidden="false" customHeight="true" outlineLevel="0" collapsed="false">
      <c r="A273" s="0" t="s">
        <v>812</v>
      </c>
      <c r="B273" s="0" t="s">
        <v>510</v>
      </c>
      <c r="C273" s="0" t="n">
        <v>33.8</v>
      </c>
      <c r="D273" s="0" t="n">
        <v>383.1</v>
      </c>
      <c r="E273" s="0" t="n">
        <v>2.7</v>
      </c>
      <c r="F273" s="0" t="n">
        <v>2.2</v>
      </c>
      <c r="G273" s="0" t="n">
        <v>12.4</v>
      </c>
      <c r="H273" s="0" t="n">
        <v>0.1</v>
      </c>
      <c r="I273" s="0" t="n">
        <v>0.4</v>
      </c>
      <c r="J273" s="0" t="n">
        <v>72.2</v>
      </c>
      <c r="K273" s="115" t="n">
        <f aca="false">IFERROR(G273/F273/6.89*0.427*F273,0)</f>
        <v>0.768476052249637</v>
      </c>
      <c r="L273" s="115" t="n">
        <f aca="false">IFERROR(D273/C273/12.87*0.633*C273,0)</f>
        <v>18.8424475524476</v>
      </c>
      <c r="M273" s="117" t="n">
        <f aca="false">C275*Scoring!$B$34+D275/Scoring!$C$34+E275*Scoring!$D$34+WR!F275*Scoring!$E$34+WR!G275/Scoring!$F$34+WR!H275*Scoring!$G$34+WR!I275*Scoring!$H$34+K275*Scoring!$I$34+WR!L275*Scoring!$J$34+U273</f>
        <v>72.45</v>
      </c>
      <c r="N273" s="117" t="n">
        <f aca="false">C273*Scoring!$B$34+D273/Scoring!$C$34+E273*Scoring!$D$34+WR!F273*Scoring!$E$34+WR!G273/Scoring!$F$34+WR!H273*Scoring!$G$34+WR!I273*Scoring!$H$34+K273*Scoring!$I$34+WR!L273*Scoring!$J$34+U273</f>
        <v>72.45</v>
      </c>
      <c r="O273" s="117" t="n">
        <f aca="false">C274*Scoring!$B$34+D274/Scoring!$C$34+E274*Scoring!$D$34+WR!F274*Scoring!$E$34+WR!G274/Scoring!$F$34+WR!H274*Scoring!$G$34+WR!I274*Scoring!$H$34+K274*Scoring!$I$34+WR!L274*Scoring!$J$34+U273</f>
        <v>72.45</v>
      </c>
      <c r="P273" s="53" t="n">
        <f aca="false">IF(COUNTIF(Rookies!$A:$A,A273)&gt;0,1,0)</f>
        <v>0</v>
      </c>
      <c r="S273" s="53" t="n">
        <f aca="false">V273/17</f>
        <v>4.26176470588235</v>
      </c>
      <c r="T273" s="53" t="n">
        <f aca="false">IF(P273=1,MAX(0,0.28*(12-S273)),0)</f>
        <v>0</v>
      </c>
      <c r="U273" s="53" t="n">
        <f aca="false">T273*17</f>
        <v>0</v>
      </c>
      <c r="V273" s="53" t="n">
        <f aca="false">C273*Scoring!$B$34+D273/Scoring!$C$34+E273*Scoring!$D$34+WR!F273*Scoring!$E$34+WR!G273/Scoring!$F$34+WR!H273*Scoring!$G$34+WR!I273*Scoring!$H$34+K273*Scoring!$I$34+WR!L273*Scoring!$J$34</f>
        <v>72.45</v>
      </c>
    </row>
    <row r="274" customFormat="false" ht="14.25" hidden="false" customHeight="true" outlineLevel="0" collapsed="false">
      <c r="B274" s="0" t="s">
        <v>491</v>
      </c>
      <c r="C274" s="0" t="n">
        <v>33.8</v>
      </c>
      <c r="D274" s="0" t="n">
        <v>383.1</v>
      </c>
      <c r="E274" s="0" t="n">
        <v>2.7</v>
      </c>
      <c r="F274" s="0" t="n">
        <v>2.2</v>
      </c>
      <c r="G274" s="0" t="n">
        <v>12.4</v>
      </c>
      <c r="H274" s="0" t="n">
        <v>0.1</v>
      </c>
      <c r="I274" s="0" t="n">
        <v>0.4</v>
      </c>
      <c r="J274" s="0" t="n">
        <v>72.4</v>
      </c>
      <c r="K274" s="115" t="n">
        <f aca="false">IFERROR(G274/F274/6.89*0.427*F274,0)</f>
        <v>0.768476052249637</v>
      </c>
      <c r="L274" s="115" t="n">
        <f aca="false">IFERROR(D274/C274/12.87*0.633*C274,0)</f>
        <v>18.8424475524476</v>
      </c>
      <c r="M274" s="118"/>
      <c r="N274" s="118"/>
      <c r="O274" s="118"/>
    </row>
    <row r="275" customFormat="false" ht="14.25" hidden="false" customHeight="true" outlineLevel="0" collapsed="false">
      <c r="B275" s="0" t="s">
        <v>492</v>
      </c>
      <c r="C275" s="0" t="n">
        <v>33.8</v>
      </c>
      <c r="D275" s="0" t="n">
        <v>383.1</v>
      </c>
      <c r="E275" s="0" t="n">
        <v>2.7</v>
      </c>
      <c r="F275" s="0" t="n">
        <v>2.2</v>
      </c>
      <c r="G275" s="0" t="n">
        <v>12.4</v>
      </c>
      <c r="H275" s="0" t="n">
        <v>0.1</v>
      </c>
      <c r="I275" s="0" t="n">
        <v>0.4</v>
      </c>
      <c r="J275" s="0" t="n">
        <v>72.4</v>
      </c>
      <c r="K275" s="115" t="n">
        <f aca="false">IFERROR(G275/F275/6.89*0.427*F275,0)</f>
        <v>0.768476052249637</v>
      </c>
      <c r="L275" s="115" t="n">
        <f aca="false">IFERROR(D275/C275/12.87*0.633*C275,0)</f>
        <v>18.8424475524476</v>
      </c>
      <c r="M275" s="118"/>
      <c r="N275" s="118"/>
      <c r="O275" s="118"/>
    </row>
    <row r="276" customFormat="false" ht="14.25" hidden="false" customHeight="true" outlineLevel="0" collapsed="false">
      <c r="A276" s="0" t="s">
        <v>813</v>
      </c>
      <c r="B276" s="0" t="s">
        <v>534</v>
      </c>
      <c r="C276" s="0" t="n">
        <v>35.3</v>
      </c>
      <c r="D276" s="0" t="n">
        <v>442.1</v>
      </c>
      <c r="E276" s="0" t="n">
        <v>1.7</v>
      </c>
      <c r="F276" s="0" t="n">
        <v>0</v>
      </c>
      <c r="G276" s="0" t="n">
        <v>0</v>
      </c>
      <c r="H276" s="0" t="n">
        <v>0</v>
      </c>
      <c r="I276" s="0" t="n">
        <v>0.3</v>
      </c>
      <c r="J276" s="0" t="n">
        <v>71.6</v>
      </c>
      <c r="K276" s="115" t="n">
        <f aca="false">IFERROR(G276/F276/6.89*0.427*F276,0)</f>
        <v>0</v>
      </c>
      <c r="L276" s="115" t="n">
        <f aca="false">IFERROR(D276/C276/12.87*0.633*C276,0)</f>
        <v>21.7443123543124</v>
      </c>
      <c r="M276" s="117" t="n">
        <f aca="false">C278*Scoring!$B$34+D278/Scoring!$C$34+E278*Scoring!$D$34+WR!F278*Scoring!$E$34+WR!G278/Scoring!$F$34+WR!H278*Scoring!$G$34+WR!I278*Scoring!$H$34+K278*Scoring!$I$34+WR!L278*Scoring!$J$34+U276</f>
        <v>71.46</v>
      </c>
      <c r="N276" s="117" t="n">
        <f aca="false">C276*Scoring!$B$34+D276/Scoring!$C$34+E276*Scoring!$D$34+WR!F276*Scoring!$E$34+WR!G276/Scoring!$F$34+WR!H276*Scoring!$G$34+WR!I276*Scoring!$H$34+K276*Scoring!$I$34+WR!L276*Scoring!$J$34+U276</f>
        <v>71.46</v>
      </c>
      <c r="O276" s="117" t="n">
        <f aca="false">C277*Scoring!$B$34+D277/Scoring!$C$34+E277*Scoring!$D$34+WR!F277*Scoring!$E$34+WR!G277/Scoring!$F$34+WR!H277*Scoring!$G$34+WR!I277*Scoring!$H$34+K277*Scoring!$I$34+WR!L277*Scoring!$J$34+U276</f>
        <v>71.46</v>
      </c>
      <c r="P276" s="53" t="n">
        <f aca="false">IF(COUNTIF(Rookies!$A:$A,A276)&gt;0,1,0)</f>
        <v>0</v>
      </c>
      <c r="S276" s="53" t="n">
        <f aca="false">V276/17</f>
        <v>4.20352941176471</v>
      </c>
      <c r="T276" s="53" t="n">
        <f aca="false">IF(P276=1,MAX(0,0.28*(12-S276)),0)</f>
        <v>0</v>
      </c>
      <c r="U276" s="53" t="n">
        <f aca="false">T276*17</f>
        <v>0</v>
      </c>
      <c r="V276" s="53" t="n">
        <f aca="false">C276*Scoring!$B$34+D276/Scoring!$C$34+E276*Scoring!$D$34+WR!F276*Scoring!$E$34+WR!G276/Scoring!$F$34+WR!H276*Scoring!$G$34+WR!I276*Scoring!$H$34+K276*Scoring!$I$34+WR!L276*Scoring!$J$34</f>
        <v>71.46</v>
      </c>
    </row>
    <row r="277" customFormat="false" ht="14.25" hidden="false" customHeight="true" outlineLevel="0" collapsed="false">
      <c r="B277" s="0" t="s">
        <v>491</v>
      </c>
      <c r="C277" s="0" t="n">
        <v>35.3</v>
      </c>
      <c r="D277" s="0" t="n">
        <v>442.1</v>
      </c>
      <c r="E277" s="0" t="n">
        <v>1.7</v>
      </c>
      <c r="F277" s="0" t="n">
        <v>0</v>
      </c>
      <c r="G277" s="0" t="n">
        <v>0</v>
      </c>
      <c r="H277" s="0" t="n">
        <v>0</v>
      </c>
      <c r="I277" s="0" t="n">
        <v>0.3</v>
      </c>
      <c r="J277" s="0" t="n">
        <v>71.8</v>
      </c>
      <c r="K277" s="115" t="n">
        <f aca="false">IFERROR(G277/F277/6.89*0.427*F277,0)</f>
        <v>0</v>
      </c>
      <c r="L277" s="115" t="n">
        <f aca="false">IFERROR(D277/C277/12.87*0.633*C277,0)</f>
        <v>21.7443123543124</v>
      </c>
      <c r="M277" s="118"/>
      <c r="N277" s="118"/>
      <c r="O277" s="118"/>
    </row>
    <row r="278" customFormat="false" ht="14.25" hidden="false" customHeight="true" outlineLevel="0" collapsed="false">
      <c r="B278" s="0" t="s">
        <v>492</v>
      </c>
      <c r="C278" s="0" t="n">
        <v>35.3</v>
      </c>
      <c r="D278" s="0" t="n">
        <v>442.1</v>
      </c>
      <c r="E278" s="0" t="n">
        <v>1.7</v>
      </c>
      <c r="F278" s="0" t="n">
        <v>0</v>
      </c>
      <c r="G278" s="0" t="n">
        <v>0</v>
      </c>
      <c r="H278" s="0" t="n">
        <v>0</v>
      </c>
      <c r="I278" s="0" t="n">
        <v>0.3</v>
      </c>
      <c r="J278" s="0" t="n">
        <v>71.8</v>
      </c>
      <c r="K278" s="115" t="n">
        <f aca="false">IFERROR(G278/F278/6.89*0.427*F278,0)</f>
        <v>0</v>
      </c>
      <c r="L278" s="115" t="n">
        <f aca="false">IFERROR(D278/C278/12.87*0.633*C278,0)</f>
        <v>21.7443123543124</v>
      </c>
      <c r="M278" s="118"/>
      <c r="N278" s="118"/>
      <c r="O278" s="118"/>
    </row>
    <row r="279" customFormat="false" ht="14.25" hidden="false" customHeight="true" outlineLevel="0" collapsed="false">
      <c r="A279" s="0" t="s">
        <v>814</v>
      </c>
      <c r="B279" s="0" t="s">
        <v>504</v>
      </c>
      <c r="C279" s="0" t="n">
        <v>32.7</v>
      </c>
      <c r="D279" s="0" t="n">
        <v>408</v>
      </c>
      <c r="E279" s="0" t="n">
        <v>2.2</v>
      </c>
      <c r="F279" s="0" t="n">
        <v>0</v>
      </c>
      <c r="G279" s="0" t="n">
        <v>0</v>
      </c>
      <c r="H279" s="0" t="n">
        <v>0</v>
      </c>
      <c r="I279" s="0" t="n">
        <v>0.3</v>
      </c>
      <c r="J279" s="0" t="n">
        <v>69.7</v>
      </c>
      <c r="K279" s="115" t="n">
        <f aca="false">IFERROR(G279/F279/6.89*0.427*F279,0)</f>
        <v>0</v>
      </c>
      <c r="L279" s="115" t="n">
        <f aca="false">IFERROR(D279/C279/12.87*0.633*C279,0)</f>
        <v>20.0671328671329</v>
      </c>
      <c r="M279" s="117" t="n">
        <f aca="false">C281*Scoring!$B$34+D281/Scoring!$C$34+E281*Scoring!$D$34+WR!F281*Scoring!$E$34+WR!G281/Scoring!$F$34+WR!H281*Scoring!$G$34+WR!I281*Scoring!$H$34+K281*Scoring!$I$34+WR!L281*Scoring!$J$34+U279</f>
        <v>107.34</v>
      </c>
      <c r="N279" s="117" t="n">
        <f aca="false">C279*Scoring!$B$34+D279/Scoring!$C$34+E279*Scoring!$D$34+WR!F279*Scoring!$E$34+WR!G279/Scoring!$F$34+WR!H279*Scoring!$G$34+WR!I279*Scoring!$H$34+K279*Scoring!$I$34+WR!L279*Scoring!$J$34+U279</f>
        <v>107.34</v>
      </c>
      <c r="O279" s="117" t="n">
        <f aca="false">C280*Scoring!$B$34+D280/Scoring!$C$34+E280*Scoring!$D$34+WR!F280*Scoring!$E$34+WR!G280/Scoring!$F$34+WR!H280*Scoring!$G$34+WR!I280*Scoring!$H$34+K280*Scoring!$I$34+WR!L280*Scoring!$J$34+U279</f>
        <v>107.34</v>
      </c>
      <c r="P279" s="53" t="n">
        <f aca="false">IF(COUNTIF(Rookies!$A:$A,A279)&gt;0,1,0)</f>
        <v>1</v>
      </c>
      <c r="S279" s="53" t="n">
        <f aca="false">V279/17</f>
        <v>4.10294117647059</v>
      </c>
      <c r="T279" s="53" t="n">
        <f aca="false">IF(P279=1,MAX(0,0.28*(12-S279)),0)</f>
        <v>2.21117647058824</v>
      </c>
      <c r="U279" s="53" t="n">
        <f aca="false">T279*17</f>
        <v>37.59</v>
      </c>
      <c r="V279" s="53" t="n">
        <f aca="false">C279*Scoring!$B$34+D279/Scoring!$C$34+E279*Scoring!$D$34+WR!F279*Scoring!$E$34+WR!G279/Scoring!$F$34+WR!H279*Scoring!$G$34+WR!I279*Scoring!$H$34+K279*Scoring!$I$34+WR!L279*Scoring!$J$34</f>
        <v>69.75</v>
      </c>
    </row>
    <row r="280" customFormat="false" ht="14.25" hidden="false" customHeight="true" outlineLevel="0" collapsed="false">
      <c r="B280" s="0" t="s">
        <v>491</v>
      </c>
      <c r="C280" s="0" t="n">
        <v>32.7</v>
      </c>
      <c r="D280" s="0" t="n">
        <v>408</v>
      </c>
      <c r="E280" s="0" t="n">
        <v>2.2</v>
      </c>
      <c r="F280" s="0" t="n">
        <v>0</v>
      </c>
      <c r="G280" s="0" t="n">
        <v>0</v>
      </c>
      <c r="H280" s="0" t="n">
        <v>0</v>
      </c>
      <c r="I280" s="0" t="n">
        <v>0.3</v>
      </c>
      <c r="J280" s="0" t="n">
        <v>69.9</v>
      </c>
      <c r="K280" s="115" t="n">
        <f aca="false">IFERROR(G280/F280/6.89*0.427*F280,0)</f>
        <v>0</v>
      </c>
      <c r="L280" s="115" t="n">
        <f aca="false">IFERROR(D280/C280/12.87*0.633*C280,0)</f>
        <v>20.0671328671329</v>
      </c>
      <c r="M280" s="118"/>
      <c r="N280" s="118"/>
      <c r="O280" s="118"/>
    </row>
    <row r="281" customFormat="false" ht="14.25" hidden="false" customHeight="true" outlineLevel="0" collapsed="false">
      <c r="B281" s="0" t="s">
        <v>492</v>
      </c>
      <c r="C281" s="0" t="n">
        <v>32.7</v>
      </c>
      <c r="D281" s="0" t="n">
        <v>408</v>
      </c>
      <c r="E281" s="0" t="n">
        <v>2.2</v>
      </c>
      <c r="F281" s="0" t="n">
        <v>0</v>
      </c>
      <c r="G281" s="0" t="n">
        <v>0</v>
      </c>
      <c r="H281" s="0" t="n">
        <v>0</v>
      </c>
      <c r="I281" s="0" t="n">
        <v>0.3</v>
      </c>
      <c r="J281" s="0" t="n">
        <v>69.9</v>
      </c>
      <c r="K281" s="115" t="n">
        <f aca="false">IFERROR(G281/F281/6.89*0.427*F281,0)</f>
        <v>0</v>
      </c>
      <c r="L281" s="115" t="n">
        <f aca="false">IFERROR(D281/C281/12.87*0.633*C281,0)</f>
        <v>20.0671328671329</v>
      </c>
      <c r="M281" s="118"/>
      <c r="N281" s="118"/>
      <c r="O281" s="118"/>
    </row>
    <row r="282" customFormat="false" ht="14.25" hidden="false" customHeight="true" outlineLevel="0" collapsed="false">
      <c r="A282" s="0" t="s">
        <v>815</v>
      </c>
      <c r="B282" s="0" t="s">
        <v>502</v>
      </c>
      <c r="C282" s="0" t="n">
        <v>29.5</v>
      </c>
      <c r="D282" s="0" t="n">
        <v>373.3</v>
      </c>
      <c r="E282" s="0" t="n">
        <v>2.7</v>
      </c>
      <c r="F282" s="0" t="n">
        <v>2.5</v>
      </c>
      <c r="G282" s="0" t="n">
        <v>11</v>
      </c>
      <c r="H282" s="0" t="n">
        <v>0</v>
      </c>
      <c r="I282" s="0" t="n">
        <v>0.1</v>
      </c>
      <c r="J282" s="0" t="n">
        <v>69.6</v>
      </c>
      <c r="K282" s="115" t="n">
        <f aca="false">IFERROR(G282/F282/6.89*0.427*F282,0)</f>
        <v>0.681712626995646</v>
      </c>
      <c r="L282" s="115" t="n">
        <f aca="false">IFERROR(D282/C282/12.87*0.633*C282,0)</f>
        <v>18.3604428904429</v>
      </c>
      <c r="M282" s="117" t="n">
        <f aca="false">C284*Scoring!$B$34+D284/Scoring!$C$34+E284*Scoring!$D$34+WR!F284*Scoring!$E$34+WR!G284/Scoring!$F$34+WR!H284*Scoring!$G$34+WR!I284*Scoring!$H$34+K284*Scoring!$I$34+WR!L284*Scoring!$J$34+U282</f>
        <v>55.26</v>
      </c>
      <c r="N282" s="117" t="n">
        <f aca="false">C282*Scoring!$B$34+D282/Scoring!$C$34+E282*Scoring!$D$34+WR!F282*Scoring!$E$34+WR!G282/Scoring!$F$34+WR!H282*Scoring!$G$34+WR!I282*Scoring!$H$34+K282*Scoring!$I$34+WR!L282*Scoring!$J$34+U282</f>
        <v>69.18</v>
      </c>
      <c r="O282" s="117" t="n">
        <f aca="false">C283*Scoring!$B$34+D283/Scoring!$C$34+E283*Scoring!$D$34+WR!F283*Scoring!$E$34+WR!G283/Scoring!$F$34+WR!H283*Scoring!$G$34+WR!I283*Scoring!$H$34+K283*Scoring!$I$34+WR!L283*Scoring!$J$34+U282</f>
        <v>84.31</v>
      </c>
      <c r="P282" s="53" t="n">
        <f aca="false">IF(COUNTIF(Rookies!$A:$A,A282)&gt;0,1,0)</f>
        <v>0</v>
      </c>
      <c r="S282" s="53" t="n">
        <f aca="false">V282/17</f>
        <v>4.06941176470588</v>
      </c>
      <c r="T282" s="53" t="n">
        <f aca="false">IF(P282=1,MAX(0,0.28*(12-S282)),0)</f>
        <v>0</v>
      </c>
      <c r="U282" s="53" t="n">
        <f aca="false">T282*17</f>
        <v>0</v>
      </c>
      <c r="V282" s="53" t="n">
        <f aca="false">C282*Scoring!$B$34+D282/Scoring!$C$34+E282*Scoring!$D$34+WR!F282*Scoring!$E$34+WR!G282/Scoring!$F$34+WR!H282*Scoring!$G$34+WR!I282*Scoring!$H$34+K282*Scoring!$I$34+WR!L282*Scoring!$J$34</f>
        <v>69.18</v>
      </c>
    </row>
    <row r="283" customFormat="false" ht="14.25" hidden="false" customHeight="true" outlineLevel="0" collapsed="false">
      <c r="B283" s="0" t="s">
        <v>491</v>
      </c>
      <c r="C283" s="0" t="n">
        <v>35</v>
      </c>
      <c r="D283" s="0" t="n">
        <v>471</v>
      </c>
      <c r="E283" s="0" t="n">
        <v>3</v>
      </c>
      <c r="F283" s="0" t="n">
        <v>3</v>
      </c>
      <c r="G283" s="0" t="n">
        <v>11.1</v>
      </c>
      <c r="H283" s="0" t="n">
        <v>0.1</v>
      </c>
      <c r="I283" s="0" t="n">
        <v>0</v>
      </c>
      <c r="J283" s="0" t="n">
        <v>70.7</v>
      </c>
      <c r="K283" s="115" t="n">
        <f aca="false">IFERROR(G283/F283/6.89*0.427*F283,0)</f>
        <v>0.687910014513788</v>
      </c>
      <c r="L283" s="115" t="n">
        <f aca="false">IFERROR(D283/C283/12.87*0.633*C283,0)</f>
        <v>23.1657342657343</v>
      </c>
      <c r="M283" s="118"/>
      <c r="N283" s="118"/>
      <c r="O283" s="118"/>
    </row>
    <row r="284" customFormat="false" ht="14.25" hidden="false" customHeight="true" outlineLevel="0" collapsed="false">
      <c r="B284" s="0" t="s">
        <v>492</v>
      </c>
      <c r="C284" s="0" t="n">
        <v>24</v>
      </c>
      <c r="D284" s="0" t="n">
        <v>275.6</v>
      </c>
      <c r="E284" s="0" t="n">
        <v>2.5</v>
      </c>
      <c r="F284" s="0" t="n">
        <v>2</v>
      </c>
      <c r="G284" s="0" t="n">
        <v>11</v>
      </c>
      <c r="H284" s="0" t="n">
        <v>0</v>
      </c>
      <c r="I284" s="0" t="n">
        <v>0.2</v>
      </c>
      <c r="J284" s="0" t="n">
        <v>58.4</v>
      </c>
      <c r="K284" s="115" t="n">
        <f aca="false">IFERROR(G284/F284/6.89*0.427*F284,0)</f>
        <v>0.681712626995646</v>
      </c>
      <c r="L284" s="115" t="n">
        <f aca="false">IFERROR(D284/C284/12.87*0.633*C284,0)</f>
        <v>13.5551515151515</v>
      </c>
      <c r="M284" s="118"/>
      <c r="N284" s="118"/>
      <c r="O284" s="118"/>
    </row>
    <row r="285" customFormat="false" ht="14.25" hidden="false" customHeight="true" outlineLevel="0" collapsed="false">
      <c r="A285" s="0" t="s">
        <v>816</v>
      </c>
      <c r="B285" s="0" t="s">
        <v>550</v>
      </c>
      <c r="C285" s="0" t="n">
        <v>35.3</v>
      </c>
      <c r="D285" s="0" t="n">
        <v>419</v>
      </c>
      <c r="E285" s="0" t="n">
        <v>2</v>
      </c>
      <c r="F285" s="0" t="n">
        <v>1</v>
      </c>
      <c r="G285" s="0" t="n">
        <v>4</v>
      </c>
      <c r="H285" s="0" t="n">
        <v>0</v>
      </c>
      <c r="I285" s="0" t="n">
        <v>1.1</v>
      </c>
      <c r="J285" s="0" t="n">
        <v>69.5</v>
      </c>
      <c r="K285" s="115" t="n">
        <f aca="false">IFERROR(G285/F285/6.89*0.427*F285,0)</f>
        <v>0.247895500725689</v>
      </c>
      <c r="L285" s="115" t="n">
        <f aca="false">IFERROR(D285/C285/12.87*0.633*C285,0)</f>
        <v>20.6081585081585</v>
      </c>
      <c r="M285" s="117" t="n">
        <f aca="false">C287*Scoring!$B$34+D287/Scoring!$C$34+E287*Scoring!$D$34+WR!F287*Scoring!$E$34+WR!G287/Scoring!$F$34+WR!H287*Scoring!$G$34+WR!I287*Scoring!$H$34+K287*Scoring!$I$34+WR!L287*Scoring!$J$34+U285</f>
        <v>79</v>
      </c>
      <c r="N285" s="117" t="n">
        <f aca="false">C285*Scoring!$B$34+D285/Scoring!$C$34+E285*Scoring!$D$34+WR!F285*Scoring!$E$34+WR!G285/Scoring!$F$34+WR!H285*Scoring!$G$34+WR!I285*Scoring!$H$34+K285*Scoring!$I$34+WR!L285*Scoring!$J$34+U285</f>
        <v>107.34</v>
      </c>
      <c r="O285" s="117" t="n">
        <f aca="false">C286*Scoring!$B$34+D286/Scoring!$C$34+E286*Scoring!$D$34+WR!F286*Scoring!$E$34+WR!G286/Scoring!$F$34+WR!H286*Scoring!$G$34+WR!I286*Scoring!$H$34+K286*Scoring!$I$34+WR!L286*Scoring!$J$34+U285</f>
        <v>135.09</v>
      </c>
      <c r="P285" s="53" t="n">
        <f aca="false">IF(COUNTIF(Rookies!$A:$A,A285)&gt;0,1,0)</f>
        <v>1</v>
      </c>
      <c r="S285" s="53" t="n">
        <f aca="false">V285/17</f>
        <v>4.10294117647059</v>
      </c>
      <c r="T285" s="53" t="n">
        <f aca="false">IF(P285=1,MAX(0,0.28*(12-S285)),0)</f>
        <v>2.21117647058824</v>
      </c>
      <c r="U285" s="53" t="n">
        <f aca="false">T285*17</f>
        <v>37.59</v>
      </c>
      <c r="V285" s="53" t="n">
        <f aca="false">C285*Scoring!$B$34+D285/Scoring!$C$34+E285*Scoring!$D$34+WR!F285*Scoring!$E$34+WR!G285/Scoring!$F$34+WR!H285*Scoring!$G$34+WR!I285*Scoring!$H$34+K285*Scoring!$I$34+WR!L285*Scoring!$J$34</f>
        <v>69.75</v>
      </c>
    </row>
    <row r="286" customFormat="false" ht="14.25" hidden="false" customHeight="true" outlineLevel="0" collapsed="false">
      <c r="B286" s="0" t="s">
        <v>491</v>
      </c>
      <c r="C286" s="0" t="n">
        <v>48</v>
      </c>
      <c r="D286" s="0" t="n">
        <v>551</v>
      </c>
      <c r="E286" s="0" t="n">
        <v>3</v>
      </c>
      <c r="F286" s="0" t="n">
        <v>2</v>
      </c>
      <c r="G286" s="0" t="n">
        <v>8</v>
      </c>
      <c r="H286" s="0" t="n">
        <v>0</v>
      </c>
      <c r="I286" s="0" t="n">
        <v>0.2</v>
      </c>
      <c r="J286" s="0" t="n">
        <v>78.7</v>
      </c>
      <c r="K286" s="115" t="n">
        <f aca="false">IFERROR(G286/F286/6.89*0.427*F286,0)</f>
        <v>0.495791001451379</v>
      </c>
      <c r="L286" s="115" t="n">
        <f aca="false">IFERROR(D286/C286/12.87*0.633*C286,0)</f>
        <v>27.1004662004662</v>
      </c>
      <c r="M286" s="118"/>
      <c r="N286" s="118"/>
      <c r="O286" s="118"/>
    </row>
    <row r="287" customFormat="false" ht="14.25" hidden="false" customHeight="true" outlineLevel="0" collapsed="false">
      <c r="B287" s="0" t="s">
        <v>492</v>
      </c>
      <c r="C287" s="0" t="n">
        <v>22.6</v>
      </c>
      <c r="D287" s="0" t="n">
        <v>287.1</v>
      </c>
      <c r="E287" s="0" t="n">
        <v>0.9</v>
      </c>
      <c r="F287" s="0" t="n">
        <v>0</v>
      </c>
      <c r="G287" s="0" t="n">
        <v>0</v>
      </c>
      <c r="H287" s="0" t="n">
        <v>0</v>
      </c>
      <c r="I287" s="0" t="n">
        <v>2</v>
      </c>
      <c r="J287" s="0" t="n">
        <v>51.6</v>
      </c>
      <c r="K287" s="115" t="n">
        <f aca="false">IFERROR(G287/F287/6.89*0.427*F287,0)</f>
        <v>0</v>
      </c>
      <c r="L287" s="115" t="n">
        <f aca="false">IFERROR(D287/C287/12.87*0.633*C287,0)</f>
        <v>14.1207692307692</v>
      </c>
      <c r="M287" s="118"/>
      <c r="N287" s="118"/>
      <c r="O287" s="118"/>
    </row>
    <row r="288" customFormat="false" ht="14.25" hidden="false" customHeight="true" outlineLevel="0" collapsed="false">
      <c r="A288" s="0" t="s">
        <v>817</v>
      </c>
      <c r="B288" s="0" t="s">
        <v>528</v>
      </c>
      <c r="C288" s="0" t="n">
        <v>28.9</v>
      </c>
      <c r="D288" s="0" t="n">
        <v>389.3</v>
      </c>
      <c r="E288" s="0" t="n">
        <v>2.6</v>
      </c>
      <c r="F288" s="0" t="n">
        <v>1</v>
      </c>
      <c r="G288" s="0" t="n">
        <v>6.5</v>
      </c>
      <c r="H288" s="0" t="n">
        <v>0</v>
      </c>
      <c r="I288" s="0" t="n">
        <v>0.6</v>
      </c>
      <c r="J288" s="0" t="n">
        <v>68.2</v>
      </c>
      <c r="K288" s="115" t="n">
        <f aca="false">IFERROR(G288/F288/6.89*0.427*F288,0)</f>
        <v>0.402830188679245</v>
      </c>
      <c r="L288" s="115" t="n">
        <f aca="false">IFERROR(D288/C288/12.87*0.633*C288,0)</f>
        <v>19.1473892773893</v>
      </c>
      <c r="M288" s="117" t="n">
        <f aca="false">C290*Scoring!$B$34+D290/Scoring!$C$34+E290*Scoring!$D$34+WR!F290*Scoring!$E$34+WR!G290/Scoring!$F$34+WR!H290*Scoring!$G$34+WR!I290*Scoring!$H$34+K290*Scoring!$I$34+WR!L290*Scoring!$J$34+U288</f>
        <v>89.4096</v>
      </c>
      <c r="N288" s="117" t="n">
        <f aca="false">C288*Scoring!$B$34+D288/Scoring!$C$34+E288*Scoring!$D$34+WR!F288*Scoring!$E$34+WR!G288/Scoring!$F$34+WR!H288*Scoring!$G$34+WR!I288*Scoring!$H$34+K288*Scoring!$I$34+WR!L288*Scoring!$J$34+U288</f>
        <v>106.3896</v>
      </c>
      <c r="O288" s="117" t="n">
        <f aca="false">C289*Scoring!$B$34+D289/Scoring!$C$34+E289*Scoring!$D$34+WR!F289*Scoring!$E$34+WR!G289/Scoring!$F$34+WR!H289*Scoring!$G$34+WR!I289*Scoring!$H$34+K289*Scoring!$I$34+WR!L289*Scoring!$J$34+U288</f>
        <v>122.7596</v>
      </c>
      <c r="P288" s="53" t="n">
        <f aca="false">IF(COUNTIF(Rookies!$A:$A,A288)&gt;0,1,0)</f>
        <v>1</v>
      </c>
      <c r="S288" s="53" t="n">
        <f aca="false">V288/17</f>
        <v>4.02529411764706</v>
      </c>
      <c r="T288" s="53" t="n">
        <f aca="false">IF(P288=1,MAX(0,0.28*(12-S288)),0)</f>
        <v>2.23291764705882</v>
      </c>
      <c r="U288" s="53" t="n">
        <f aca="false">T288*17</f>
        <v>37.9596</v>
      </c>
      <c r="V288" s="53" t="n">
        <f aca="false">C288*Scoring!$B$34+D288/Scoring!$C$34+E288*Scoring!$D$34+WR!F288*Scoring!$E$34+WR!G288/Scoring!$F$34+WR!H288*Scoring!$G$34+WR!I288*Scoring!$H$34+K288*Scoring!$I$34+WR!L288*Scoring!$J$34</f>
        <v>68.43</v>
      </c>
    </row>
    <row r="289" customFormat="false" ht="14.25" hidden="false" customHeight="true" outlineLevel="0" collapsed="false">
      <c r="B289" s="0" t="s">
        <v>491</v>
      </c>
      <c r="C289" s="0" t="n">
        <v>35</v>
      </c>
      <c r="D289" s="0" t="n">
        <v>484</v>
      </c>
      <c r="E289" s="0" t="n">
        <v>3</v>
      </c>
      <c r="F289" s="0" t="n">
        <v>2</v>
      </c>
      <c r="G289" s="0" t="n">
        <v>13</v>
      </c>
      <c r="H289" s="0" t="n">
        <v>0</v>
      </c>
      <c r="I289" s="0" t="n">
        <v>0.2</v>
      </c>
      <c r="J289" s="0" t="n">
        <v>69.4</v>
      </c>
      <c r="K289" s="115" t="n">
        <f aca="false">IFERROR(G289/F289/6.89*0.427*F289,0)</f>
        <v>0.805660377358491</v>
      </c>
      <c r="L289" s="115" t="n">
        <f aca="false">IFERROR(D289/C289/12.87*0.633*C289,0)</f>
        <v>23.8051282051282</v>
      </c>
      <c r="M289" s="118"/>
      <c r="N289" s="118"/>
      <c r="O289" s="118"/>
    </row>
    <row r="290" customFormat="false" ht="14.25" hidden="false" customHeight="true" outlineLevel="0" collapsed="false">
      <c r="B290" s="0" t="s">
        <v>492</v>
      </c>
      <c r="C290" s="0" t="n">
        <v>22.8</v>
      </c>
      <c r="D290" s="0" t="n">
        <v>294.5</v>
      </c>
      <c r="E290" s="0" t="n">
        <v>2.1</v>
      </c>
      <c r="F290" s="0" t="n">
        <v>0</v>
      </c>
      <c r="G290" s="0" t="n">
        <v>0</v>
      </c>
      <c r="H290" s="0" t="n">
        <v>0</v>
      </c>
      <c r="I290" s="0" t="n">
        <v>1</v>
      </c>
      <c r="J290" s="0" t="n">
        <v>56.6</v>
      </c>
      <c r="K290" s="115" t="n">
        <f aca="false">IFERROR(G290/F290/6.89*0.427*F290,0)</f>
        <v>0</v>
      </c>
      <c r="L290" s="115" t="n">
        <f aca="false">IFERROR(D290/C290/12.87*0.633*C290,0)</f>
        <v>14.4847319347319</v>
      </c>
      <c r="M290" s="118"/>
      <c r="N290" s="118"/>
      <c r="O290" s="118"/>
    </row>
    <row r="291" customFormat="false" ht="14.25" hidden="false" customHeight="true" outlineLevel="0" collapsed="false">
      <c r="A291" s="0" t="s">
        <v>818</v>
      </c>
      <c r="B291" s="0" t="s">
        <v>500</v>
      </c>
      <c r="C291" s="0" t="n">
        <v>28.3</v>
      </c>
      <c r="D291" s="0" t="n">
        <v>352.1</v>
      </c>
      <c r="E291" s="0" t="n">
        <v>3</v>
      </c>
      <c r="F291" s="0" t="n">
        <v>0</v>
      </c>
      <c r="G291" s="0" t="n">
        <v>0</v>
      </c>
      <c r="H291" s="0" t="n">
        <v>0</v>
      </c>
      <c r="I291" s="0" t="n">
        <v>0.1</v>
      </c>
      <c r="J291" s="0" t="n">
        <v>67.3</v>
      </c>
      <c r="K291" s="115" t="n">
        <f aca="false">IFERROR(G291/F291/6.89*0.427*F291,0)</f>
        <v>0</v>
      </c>
      <c r="L291" s="115" t="n">
        <f aca="false">IFERROR(D291/C291/12.87*0.633*C291,0)</f>
        <v>17.3177389277389</v>
      </c>
      <c r="M291" s="117" t="n">
        <f aca="false">C293*Scoring!$B$34+D293/Scoring!$C$34+E293*Scoring!$D$34+WR!F293*Scoring!$E$34+WR!G293/Scoring!$F$34+WR!H293*Scoring!$G$34+WR!I293*Scoring!$H$34+K293*Scoring!$I$34+WR!L293*Scoring!$J$34+U291</f>
        <v>27.71</v>
      </c>
      <c r="N291" s="117" t="n">
        <f aca="false">C291*Scoring!$B$34+D291/Scoring!$C$34+E291*Scoring!$D$34+WR!F291*Scoring!$E$34+WR!G291/Scoring!$F$34+WR!H291*Scoring!$G$34+WR!I291*Scoring!$H$34+K291*Scoring!$I$34+WR!L291*Scoring!$J$34+U291</f>
        <v>67.16</v>
      </c>
      <c r="O291" s="117" t="n">
        <f aca="false">C292*Scoring!$B$34+D292/Scoring!$C$34+E292*Scoring!$D$34+WR!F292*Scoring!$E$34+WR!G292/Scoring!$F$34+WR!H292*Scoring!$G$34+WR!I292*Scoring!$H$34+K292*Scoring!$I$34+WR!L292*Scoring!$J$34+U291</f>
        <v>106.8</v>
      </c>
      <c r="P291" s="53" t="n">
        <f aca="false">IF(COUNTIF(Rookies!$A:$A,A291)&gt;0,1,0)</f>
        <v>0</v>
      </c>
      <c r="S291" s="53" t="n">
        <f aca="false">V291/17</f>
        <v>3.95058823529412</v>
      </c>
      <c r="T291" s="53" t="n">
        <f aca="false">IF(P291=1,MAX(0,0.28*(12-S291)),0)</f>
        <v>0</v>
      </c>
      <c r="U291" s="53" t="n">
        <f aca="false">T291*17</f>
        <v>0</v>
      </c>
      <c r="V291" s="53" t="n">
        <f aca="false">C291*Scoring!$B$34+D291/Scoring!$C$34+E291*Scoring!$D$34+WR!F291*Scoring!$E$34+WR!G291/Scoring!$F$34+WR!H291*Scoring!$G$34+WR!I291*Scoring!$H$34+K291*Scoring!$I$34+WR!L291*Scoring!$J$34</f>
        <v>67.16</v>
      </c>
    </row>
    <row r="292" customFormat="false" ht="14.25" hidden="false" customHeight="true" outlineLevel="0" collapsed="false">
      <c r="B292" s="0" t="s">
        <v>491</v>
      </c>
      <c r="C292" s="0" t="n">
        <v>44</v>
      </c>
      <c r="D292" s="0" t="n">
        <v>548</v>
      </c>
      <c r="E292" s="0" t="n">
        <v>5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91.2</v>
      </c>
      <c r="K292" s="115" t="n">
        <f aca="false">IFERROR(G292/F292/6.89*0.427*F292,0)</f>
        <v>0</v>
      </c>
      <c r="L292" s="115" t="n">
        <f aca="false">IFERROR(D292/C292/12.87*0.633*C292,0)</f>
        <v>26.9529137529138</v>
      </c>
      <c r="M292" s="118"/>
      <c r="N292" s="118"/>
      <c r="O292" s="118"/>
    </row>
    <row r="293" customFormat="false" ht="14.25" hidden="false" customHeight="true" outlineLevel="0" collapsed="false">
      <c r="B293" s="0" t="s">
        <v>492</v>
      </c>
      <c r="C293" s="0" t="n">
        <v>12.6</v>
      </c>
      <c r="D293" s="0" t="n">
        <v>156.1</v>
      </c>
      <c r="E293" s="0" t="n">
        <v>1</v>
      </c>
      <c r="F293" s="0" t="n">
        <v>0</v>
      </c>
      <c r="G293" s="0" t="n">
        <v>0</v>
      </c>
      <c r="H293" s="0" t="n">
        <v>0</v>
      </c>
      <c r="I293" s="0" t="n">
        <v>0.1</v>
      </c>
      <c r="J293" s="0" t="n">
        <v>35.8</v>
      </c>
      <c r="K293" s="115" t="n">
        <f aca="false">IFERROR(G293/F293/6.89*0.427*F293,0)</f>
        <v>0</v>
      </c>
      <c r="L293" s="115" t="n">
        <f aca="false">IFERROR(D293/C293/12.87*0.633*C293,0)</f>
        <v>7.67764568764569</v>
      </c>
      <c r="M293" s="118"/>
      <c r="N293" s="118"/>
      <c r="O293" s="118"/>
    </row>
    <row r="294" customFormat="false" ht="14.25" hidden="false" customHeight="true" outlineLevel="0" collapsed="false">
      <c r="A294" s="0" t="s">
        <v>819</v>
      </c>
      <c r="B294" s="0" t="s">
        <v>544</v>
      </c>
      <c r="C294" s="0" t="n">
        <v>25.4</v>
      </c>
      <c r="D294" s="0" t="n">
        <v>342.2</v>
      </c>
      <c r="E294" s="0" t="n">
        <v>3.3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66.7</v>
      </c>
      <c r="K294" s="115" t="n">
        <f aca="false">IFERROR(G294/F294/6.89*0.427*F294,0)</f>
        <v>0</v>
      </c>
      <c r="L294" s="115" t="n">
        <f aca="false">IFERROR(D294/C294/12.87*0.633*C294,0)</f>
        <v>16.8308158508159</v>
      </c>
      <c r="M294" s="117" t="n">
        <f aca="false">C296*Scoring!$B$34+D296/Scoring!$C$34+E296*Scoring!$D$34+WR!F296*Scoring!$E$34+WR!G296/Scoring!$F$34+WR!H296*Scoring!$G$34+WR!I296*Scoring!$H$34+K296*Scoring!$I$34+WR!L296*Scoring!$J$34+U294</f>
        <v>19.35</v>
      </c>
      <c r="N294" s="117" t="n">
        <f aca="false">C294*Scoring!$B$34+D294/Scoring!$C$34+E294*Scoring!$D$34+WR!F294*Scoring!$E$34+WR!G294/Scoring!$F$34+WR!H294*Scoring!$G$34+WR!I294*Scoring!$H$34+K294*Scoring!$I$34+WR!L294*Scoring!$J$34+U294</f>
        <v>66.72</v>
      </c>
      <c r="O294" s="117" t="n">
        <f aca="false">C295*Scoring!$B$34+D295/Scoring!$C$34+E295*Scoring!$D$34+WR!F295*Scoring!$E$34+WR!G295/Scoring!$F$34+WR!H295*Scoring!$G$34+WR!I295*Scoring!$H$34+K295*Scoring!$I$34+WR!L295*Scoring!$J$34+U294</f>
        <v>113.9</v>
      </c>
      <c r="P294" s="53" t="n">
        <f aca="false">IF(COUNTIF(Rookies!$A:$A,A294)&gt;0,1,0)</f>
        <v>0</v>
      </c>
      <c r="S294" s="53" t="n">
        <f aca="false">V294/17</f>
        <v>3.92470588235294</v>
      </c>
      <c r="T294" s="53" t="n">
        <f aca="false">IF(P294=1,MAX(0,0.28*(12-S294)),0)</f>
        <v>0</v>
      </c>
      <c r="U294" s="53" t="n">
        <f aca="false">T294*17</f>
        <v>0</v>
      </c>
      <c r="V294" s="53" t="n">
        <f aca="false">C294*Scoring!$B$34+D294/Scoring!$C$34+E294*Scoring!$D$34+WR!F294*Scoring!$E$34+WR!G294/Scoring!$F$34+WR!H294*Scoring!$G$34+WR!I294*Scoring!$H$34+K294*Scoring!$I$34+WR!L294*Scoring!$J$34</f>
        <v>66.72</v>
      </c>
    </row>
    <row r="295" customFormat="false" ht="14.25" hidden="false" customHeight="true" outlineLevel="0" collapsed="false">
      <c r="B295" s="0" t="s">
        <v>491</v>
      </c>
      <c r="C295" s="0" t="n">
        <v>42</v>
      </c>
      <c r="D295" s="0" t="n">
        <v>569</v>
      </c>
      <c r="E295" s="0" t="n">
        <v>6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97.7</v>
      </c>
      <c r="K295" s="115" t="n">
        <f aca="false">IFERROR(G295/F295/6.89*0.427*F295,0)</f>
        <v>0</v>
      </c>
      <c r="L295" s="115" t="n">
        <f aca="false">IFERROR(D295/C295/12.87*0.633*C295,0)</f>
        <v>27.9857808857809</v>
      </c>
      <c r="M295" s="118"/>
      <c r="N295" s="118"/>
      <c r="O295" s="118"/>
    </row>
    <row r="296" customFormat="false" ht="14.25" hidden="false" customHeight="true" outlineLevel="0" collapsed="false">
      <c r="B296" s="0" t="s">
        <v>492</v>
      </c>
      <c r="C296" s="0" t="n">
        <v>8.8</v>
      </c>
      <c r="D296" s="0" t="n">
        <v>115.5</v>
      </c>
      <c r="E296" s="0" t="n">
        <v>0.6</v>
      </c>
      <c r="F296" s="0" t="n">
        <v>0</v>
      </c>
      <c r="G296" s="0" t="n">
        <v>0</v>
      </c>
      <c r="H296" s="0" t="n">
        <v>0</v>
      </c>
      <c r="I296" s="0" t="n">
        <v>0.1</v>
      </c>
      <c r="J296" s="0" t="n">
        <v>27.8</v>
      </c>
      <c r="K296" s="115" t="n">
        <f aca="false">IFERROR(G296/F296/6.89*0.427*F296,0)</f>
        <v>0</v>
      </c>
      <c r="L296" s="115" t="n">
        <f aca="false">IFERROR(D296/C296/12.87*0.633*C296,0)</f>
        <v>5.68076923076923</v>
      </c>
      <c r="M296" s="118"/>
      <c r="N296" s="118"/>
      <c r="O296" s="118"/>
    </row>
    <row r="297" customFormat="false" ht="14.25" hidden="false" customHeight="true" outlineLevel="0" collapsed="false">
      <c r="A297" s="0" t="s">
        <v>820</v>
      </c>
      <c r="B297" s="0" t="s">
        <v>498</v>
      </c>
      <c r="C297" s="0" t="n">
        <v>30.2</v>
      </c>
      <c r="D297" s="0" t="n">
        <v>365.5</v>
      </c>
      <c r="E297" s="0" t="n">
        <v>2</v>
      </c>
      <c r="F297" s="0" t="n">
        <v>4.1</v>
      </c>
      <c r="G297" s="0" t="n">
        <v>21.5</v>
      </c>
      <c r="H297" s="0" t="n">
        <v>0.2</v>
      </c>
      <c r="I297" s="0" t="n">
        <v>0.4</v>
      </c>
      <c r="J297" s="0" t="n">
        <v>66.3</v>
      </c>
      <c r="K297" s="115" t="n">
        <f aca="false">IFERROR(G297/F297/6.89*0.427*F297,0)</f>
        <v>1.33243831640058</v>
      </c>
      <c r="L297" s="115" t="n">
        <f aca="false">IFERROR(D297/C297/12.87*0.633*C297,0)</f>
        <v>17.9768065268065</v>
      </c>
      <c r="M297" s="117" t="n">
        <f aca="false">C299*Scoring!$B$34+D299/Scoring!$C$34+E299*Scoring!$D$34+WR!F299*Scoring!$E$34+WR!G299/Scoring!$F$34+WR!H299*Scoring!$G$34+WR!I299*Scoring!$H$34+K299*Scoring!$I$34+WR!L299*Scoring!$J$34+U297</f>
        <v>66.2</v>
      </c>
      <c r="N297" s="117" t="n">
        <f aca="false">C297*Scoring!$B$34+D297/Scoring!$C$34+E297*Scoring!$D$34+WR!F297*Scoring!$E$34+WR!G297/Scoring!$F$34+WR!H297*Scoring!$G$34+WR!I297*Scoring!$H$34+K297*Scoring!$I$34+WR!L297*Scoring!$J$34+U297</f>
        <v>66.2</v>
      </c>
      <c r="O297" s="117" t="n">
        <f aca="false">C298*Scoring!$B$34+D298/Scoring!$C$34+E298*Scoring!$D$34+WR!F298*Scoring!$E$34+WR!G298/Scoring!$F$34+WR!H298*Scoring!$G$34+WR!I298*Scoring!$H$34+K298*Scoring!$I$34+WR!L298*Scoring!$J$34+U297</f>
        <v>66.2</v>
      </c>
      <c r="P297" s="53" t="n">
        <f aca="false">IF(COUNTIF(Rookies!$A:$A,A297)&gt;0,1,0)</f>
        <v>0</v>
      </c>
      <c r="S297" s="53" t="n">
        <f aca="false">V297/17</f>
        <v>3.89411764705882</v>
      </c>
      <c r="T297" s="53" t="n">
        <f aca="false">IF(P297=1,MAX(0,0.28*(12-S297)),0)</f>
        <v>0</v>
      </c>
      <c r="U297" s="53" t="n">
        <f aca="false">T297*17</f>
        <v>0</v>
      </c>
      <c r="V297" s="53" t="n">
        <f aca="false">C297*Scoring!$B$34+D297/Scoring!$C$34+E297*Scoring!$D$34+WR!F297*Scoring!$E$34+WR!G297/Scoring!$F$34+WR!H297*Scoring!$G$34+WR!I297*Scoring!$H$34+K297*Scoring!$I$34+WR!L297*Scoring!$J$34</f>
        <v>66.2</v>
      </c>
    </row>
    <row r="298" customFormat="false" ht="14.25" hidden="false" customHeight="true" outlineLevel="0" collapsed="false">
      <c r="B298" s="0" t="s">
        <v>491</v>
      </c>
      <c r="C298" s="0" t="n">
        <v>30.2</v>
      </c>
      <c r="D298" s="0" t="n">
        <v>365.5</v>
      </c>
      <c r="E298" s="0" t="n">
        <v>2</v>
      </c>
      <c r="F298" s="0" t="n">
        <v>4.1</v>
      </c>
      <c r="G298" s="0" t="n">
        <v>21.5</v>
      </c>
      <c r="H298" s="0" t="n">
        <v>0.2</v>
      </c>
      <c r="I298" s="0" t="n">
        <v>0.4</v>
      </c>
      <c r="J298" s="0" t="n">
        <v>66.4</v>
      </c>
      <c r="K298" s="115" t="n">
        <f aca="false">IFERROR(G298/F298/6.89*0.427*F298,0)</f>
        <v>1.33243831640058</v>
      </c>
      <c r="L298" s="115" t="n">
        <f aca="false">IFERROR(D298/C298/12.87*0.633*C298,0)</f>
        <v>17.9768065268065</v>
      </c>
      <c r="M298" s="118"/>
      <c r="N298" s="118"/>
      <c r="O298" s="118"/>
    </row>
    <row r="299" customFormat="false" ht="14.25" hidden="false" customHeight="true" outlineLevel="0" collapsed="false">
      <c r="B299" s="0" t="s">
        <v>492</v>
      </c>
      <c r="C299" s="0" t="n">
        <v>30.2</v>
      </c>
      <c r="D299" s="0" t="n">
        <v>365.5</v>
      </c>
      <c r="E299" s="0" t="n">
        <v>2</v>
      </c>
      <c r="F299" s="0" t="n">
        <v>4.1</v>
      </c>
      <c r="G299" s="0" t="n">
        <v>21.5</v>
      </c>
      <c r="H299" s="0" t="n">
        <v>0.2</v>
      </c>
      <c r="I299" s="0" t="n">
        <v>0.4</v>
      </c>
      <c r="J299" s="0" t="n">
        <v>66.4</v>
      </c>
      <c r="K299" s="115" t="n">
        <f aca="false">IFERROR(G299/F299/6.89*0.427*F299,0)</f>
        <v>1.33243831640058</v>
      </c>
      <c r="L299" s="115" t="n">
        <f aca="false">IFERROR(D299/C299/12.87*0.633*C299,0)</f>
        <v>17.9768065268065</v>
      </c>
      <c r="M299" s="118"/>
      <c r="N299" s="118"/>
      <c r="O299" s="118"/>
    </row>
    <row r="300" customFormat="false" ht="14.25" hidden="false" customHeight="true" outlineLevel="0" collapsed="false">
      <c r="A300" s="0" t="s">
        <v>821</v>
      </c>
      <c r="B300" s="0" t="s">
        <v>544</v>
      </c>
      <c r="C300" s="0" t="n">
        <v>27.8</v>
      </c>
      <c r="D300" s="0" t="n">
        <v>271.1</v>
      </c>
      <c r="E300" s="0" t="n">
        <v>3.4</v>
      </c>
      <c r="F300" s="0" t="n">
        <v>10.1</v>
      </c>
      <c r="G300" s="0" t="n">
        <v>33.6</v>
      </c>
      <c r="H300" s="0" t="n">
        <v>0.3</v>
      </c>
      <c r="I300" s="0" t="n">
        <v>0.6</v>
      </c>
      <c r="J300" s="0" t="n">
        <v>65.2</v>
      </c>
      <c r="K300" s="115" t="n">
        <f aca="false">IFERROR(G300/F300/6.89*0.427*F300,0)</f>
        <v>2.08232220609579</v>
      </c>
      <c r="L300" s="115" t="n">
        <f aca="false">IFERROR(D300/C300/12.87*0.633*C300,0)</f>
        <v>13.3338228438228</v>
      </c>
      <c r="M300" s="117" t="n">
        <f aca="false">C302*Scoring!$B$34+D302/Scoring!$C$34+E302*Scoring!$D$34+WR!F302*Scoring!$E$34+WR!G302/Scoring!$F$34+WR!H302*Scoring!$G$34+WR!I302*Scoring!$H$34+K302*Scoring!$I$34+WR!L302*Scoring!$J$34+U300</f>
        <v>21.02</v>
      </c>
      <c r="N300" s="117" t="n">
        <f aca="false">C300*Scoring!$B$34+D300/Scoring!$C$34+E300*Scoring!$D$34+WR!F300*Scoring!$E$34+WR!G300/Scoring!$F$34+WR!H300*Scoring!$G$34+WR!I300*Scoring!$H$34+K300*Scoring!$I$34+WR!L300*Scoring!$J$34+U300</f>
        <v>65.37</v>
      </c>
      <c r="O300" s="117" t="n">
        <f aca="false">C301*Scoring!$B$34+D301/Scoring!$C$34+E301*Scoring!$D$34+WR!F301*Scoring!$E$34+WR!G301/Scoring!$F$34+WR!H301*Scoring!$G$34+WR!I301*Scoring!$H$34+K301*Scoring!$I$34+WR!L301*Scoring!$J$34+U300</f>
        <v>109.73</v>
      </c>
      <c r="P300" s="53" t="n">
        <f aca="false">IF(COUNTIF(Rookies!$A:$A,A300)&gt;0,1,0)</f>
        <v>0</v>
      </c>
      <c r="S300" s="53" t="n">
        <f aca="false">V300/17</f>
        <v>3.84529411764706</v>
      </c>
      <c r="T300" s="53" t="n">
        <f aca="false">IF(P300=1,MAX(0,0.28*(12-S300)),0)</f>
        <v>0</v>
      </c>
      <c r="U300" s="53" t="n">
        <f aca="false">T300*17</f>
        <v>0</v>
      </c>
      <c r="V300" s="53" t="n">
        <f aca="false">C300*Scoring!$B$34+D300/Scoring!$C$34+E300*Scoring!$D$34+WR!F300*Scoring!$E$34+WR!G300/Scoring!$F$34+WR!H300*Scoring!$G$34+WR!I300*Scoring!$H$34+K300*Scoring!$I$34+WR!L300*Scoring!$J$34</f>
        <v>65.37</v>
      </c>
    </row>
    <row r="301" customFormat="false" ht="14.25" hidden="false" customHeight="true" outlineLevel="0" collapsed="false">
      <c r="B301" s="0" t="s">
        <v>491</v>
      </c>
      <c r="C301" s="0" t="n">
        <v>45</v>
      </c>
      <c r="D301" s="0" t="n">
        <v>430</v>
      </c>
      <c r="E301" s="0" t="n">
        <v>6</v>
      </c>
      <c r="F301" s="0" t="n">
        <v>10.1</v>
      </c>
      <c r="G301" s="0" t="n">
        <v>50.3</v>
      </c>
      <c r="H301" s="0" t="n">
        <v>0.6</v>
      </c>
      <c r="I301" s="0" t="n">
        <v>0.2</v>
      </c>
      <c r="J301" s="0" t="n">
        <v>83.9</v>
      </c>
      <c r="K301" s="115" t="n">
        <f aca="false">IFERROR(G301/F301/6.89*0.427*F301,0)</f>
        <v>3.11728592162554</v>
      </c>
      <c r="L301" s="115" t="n">
        <f aca="false">IFERROR(D301/C301/12.87*0.633*C301,0)</f>
        <v>21.1491841491842</v>
      </c>
      <c r="M301" s="118"/>
      <c r="N301" s="118"/>
      <c r="O301" s="118"/>
    </row>
    <row r="302" customFormat="false" ht="14.25" hidden="false" customHeight="true" outlineLevel="0" collapsed="false">
      <c r="B302" s="0" t="s">
        <v>492</v>
      </c>
      <c r="C302" s="0" t="n">
        <v>10.6</v>
      </c>
      <c r="D302" s="0" t="n">
        <v>112.2</v>
      </c>
      <c r="E302" s="0" t="n">
        <v>0.8</v>
      </c>
      <c r="F302" s="0" t="n">
        <v>10</v>
      </c>
      <c r="G302" s="0" t="n">
        <v>17</v>
      </c>
      <c r="H302" s="0" t="n">
        <v>0</v>
      </c>
      <c r="I302" s="0" t="n">
        <v>1</v>
      </c>
      <c r="J302" s="0" t="n">
        <v>42.9</v>
      </c>
      <c r="K302" s="115" t="n">
        <f aca="false">IFERROR(G302/F302/6.89*0.427*F302,0)</f>
        <v>1.05355587808418</v>
      </c>
      <c r="L302" s="115" t="n">
        <f aca="false">IFERROR(D302/C302/12.87*0.633*C302,0)</f>
        <v>5.51846153846154</v>
      </c>
      <c r="M302" s="118"/>
      <c r="N302" s="118"/>
      <c r="O302" s="118"/>
    </row>
    <row r="303" customFormat="false" ht="14.25" hidden="false" customHeight="true" outlineLevel="0" collapsed="false">
      <c r="A303" s="0" t="s">
        <v>822</v>
      </c>
      <c r="B303" s="0" t="s">
        <v>552</v>
      </c>
      <c r="C303" s="0" t="n">
        <v>31.4</v>
      </c>
      <c r="D303" s="0" t="n">
        <v>381.7</v>
      </c>
      <c r="E303" s="0" t="n">
        <v>1.9</v>
      </c>
      <c r="F303" s="0" t="n">
        <v>0</v>
      </c>
      <c r="G303" s="0" t="n">
        <v>0</v>
      </c>
      <c r="H303" s="0" t="n">
        <v>0</v>
      </c>
      <c r="I303" s="0" t="n">
        <v>0.3</v>
      </c>
      <c r="J303" s="0" t="n">
        <v>64.6</v>
      </c>
      <c r="K303" s="115" t="n">
        <f aca="false">IFERROR(G303/F303/6.89*0.427*F303,0)</f>
        <v>0</v>
      </c>
      <c r="L303" s="115" t="n">
        <f aca="false">IFERROR(D303/C303/12.87*0.633*C303,0)</f>
        <v>18.7735897435897</v>
      </c>
      <c r="M303" s="117" t="n">
        <f aca="false">C305*Scoring!$B$34+D305/Scoring!$C$34+E305*Scoring!$D$34+WR!F305*Scoring!$E$34+WR!G305/Scoring!$F$34+WR!H305*Scoring!$G$34+WR!I305*Scoring!$H$34+K305*Scoring!$I$34+WR!L305*Scoring!$J$34+U303</f>
        <v>103.6824</v>
      </c>
      <c r="N303" s="117" t="n">
        <f aca="false">C303*Scoring!$B$34+D303/Scoring!$C$34+E303*Scoring!$D$34+WR!F303*Scoring!$E$34+WR!G303/Scoring!$F$34+WR!H303*Scoring!$G$34+WR!I303*Scoring!$H$34+K303*Scoring!$I$34+WR!L303*Scoring!$J$34+U303</f>
        <v>103.6824</v>
      </c>
      <c r="O303" s="117" t="n">
        <f aca="false">C304*Scoring!$B$34+D304/Scoring!$C$34+E304*Scoring!$D$34+WR!F304*Scoring!$E$34+WR!G304/Scoring!$F$34+WR!H304*Scoring!$G$34+WR!I304*Scoring!$H$34+K304*Scoring!$I$34+WR!L304*Scoring!$J$34+U303</f>
        <v>103.6824</v>
      </c>
      <c r="P303" s="53" t="n">
        <f aca="false">IF(COUNTIF(Rookies!$A:$A,A303)&gt;0,1,0)</f>
        <v>1</v>
      </c>
      <c r="S303" s="53" t="n">
        <f aca="false">V303/17</f>
        <v>3.80411764705882</v>
      </c>
      <c r="T303" s="53" t="n">
        <f aca="false">IF(P303=1,MAX(0,0.28*(12-S303)),0)</f>
        <v>2.29484705882353</v>
      </c>
      <c r="U303" s="53" t="n">
        <f aca="false">T303*17</f>
        <v>39.0124</v>
      </c>
      <c r="V303" s="53" t="n">
        <f aca="false">C303*Scoring!$B$34+D303/Scoring!$C$34+E303*Scoring!$D$34+WR!F303*Scoring!$E$34+WR!G303/Scoring!$F$34+WR!H303*Scoring!$G$34+WR!I303*Scoring!$H$34+K303*Scoring!$I$34+WR!L303*Scoring!$J$34</f>
        <v>64.67</v>
      </c>
    </row>
    <row r="304" customFormat="false" ht="14.25" hidden="false" customHeight="true" outlineLevel="0" collapsed="false">
      <c r="B304" s="0" t="s">
        <v>491</v>
      </c>
      <c r="C304" s="0" t="n">
        <v>31.4</v>
      </c>
      <c r="D304" s="0" t="n">
        <v>381.7</v>
      </c>
      <c r="E304" s="0" t="n">
        <v>1.9</v>
      </c>
      <c r="F304" s="0" t="n">
        <v>0</v>
      </c>
      <c r="G304" s="0" t="n">
        <v>0</v>
      </c>
      <c r="H304" s="0" t="n">
        <v>0</v>
      </c>
      <c r="I304" s="0" t="n">
        <v>0.3</v>
      </c>
      <c r="J304" s="0" t="n">
        <v>66.8</v>
      </c>
      <c r="K304" s="115" t="n">
        <f aca="false">IFERROR(G304/F304/6.89*0.427*F304,0)</f>
        <v>0</v>
      </c>
      <c r="L304" s="115" t="n">
        <f aca="false">IFERROR(D304/C304/12.87*0.633*C304,0)</f>
        <v>18.7735897435897</v>
      </c>
      <c r="M304" s="118"/>
      <c r="N304" s="118"/>
      <c r="O304" s="118"/>
    </row>
    <row r="305" customFormat="false" ht="14.25" hidden="false" customHeight="true" outlineLevel="0" collapsed="false">
      <c r="B305" s="0" t="s">
        <v>492</v>
      </c>
      <c r="C305" s="0" t="n">
        <v>31.4</v>
      </c>
      <c r="D305" s="0" t="n">
        <v>381.7</v>
      </c>
      <c r="E305" s="0" t="n">
        <v>1.9</v>
      </c>
      <c r="F305" s="0" t="n">
        <v>0</v>
      </c>
      <c r="G305" s="0" t="n">
        <v>0</v>
      </c>
      <c r="H305" s="0" t="n">
        <v>0</v>
      </c>
      <c r="I305" s="0" t="n">
        <v>0.3</v>
      </c>
      <c r="J305" s="0" t="n">
        <v>66.8</v>
      </c>
      <c r="K305" s="115" t="n">
        <f aca="false">IFERROR(G305/F305/6.89*0.427*F305,0)</f>
        <v>0</v>
      </c>
      <c r="L305" s="115" t="n">
        <f aca="false">IFERROR(D305/C305/12.87*0.633*C305,0)</f>
        <v>18.7735897435897</v>
      </c>
      <c r="M305" s="118"/>
      <c r="N305" s="118"/>
      <c r="O305" s="118"/>
    </row>
    <row r="306" customFormat="false" ht="14.25" hidden="false" customHeight="true" outlineLevel="0" collapsed="false">
      <c r="A306" s="0" t="s">
        <v>823</v>
      </c>
      <c r="B306" s="0" t="s">
        <v>490</v>
      </c>
      <c r="C306" s="0" t="n">
        <v>24.4</v>
      </c>
      <c r="D306" s="0" t="n">
        <v>337.9</v>
      </c>
      <c r="E306" s="0" t="n">
        <v>2.8</v>
      </c>
      <c r="F306" s="0" t="n">
        <v>0</v>
      </c>
      <c r="G306" s="0" t="n">
        <v>0</v>
      </c>
      <c r="H306" s="0" t="n">
        <v>0</v>
      </c>
      <c r="I306" s="0" t="n">
        <v>0.2</v>
      </c>
      <c r="J306" s="0" t="n">
        <v>62.5</v>
      </c>
      <c r="K306" s="115" t="n">
        <f aca="false">IFERROR(G306/F306/6.89*0.427*F306,0)</f>
        <v>0</v>
      </c>
      <c r="L306" s="115" t="n">
        <f aca="false">IFERROR(D306/C306/12.87*0.633*C306,0)</f>
        <v>16.619324009324</v>
      </c>
      <c r="M306" s="117" t="n">
        <f aca="false">C308*Scoring!$B$34+D308/Scoring!$C$34+E308*Scoring!$D$34+WR!F308*Scoring!$E$34+WR!G308/Scoring!$F$34+WR!H308*Scoring!$G$34+WR!I308*Scoring!$H$34+K308*Scoring!$I$34+WR!L308*Scoring!$J$34+U306</f>
        <v>62.39</v>
      </c>
      <c r="N306" s="117" t="n">
        <f aca="false">C306*Scoring!$B$34+D306/Scoring!$C$34+E306*Scoring!$D$34+WR!F306*Scoring!$E$34+WR!G306/Scoring!$F$34+WR!H306*Scoring!$G$34+WR!I306*Scoring!$H$34+K306*Scoring!$I$34+WR!L306*Scoring!$J$34+U306</f>
        <v>62.39</v>
      </c>
      <c r="O306" s="117" t="n">
        <f aca="false">C307*Scoring!$B$34+D307/Scoring!$C$34+E307*Scoring!$D$34+WR!F307*Scoring!$E$34+WR!G307/Scoring!$F$34+WR!H307*Scoring!$G$34+WR!I307*Scoring!$H$34+K307*Scoring!$I$34+WR!L307*Scoring!$J$34+U306</f>
        <v>62.39</v>
      </c>
      <c r="P306" s="53" t="n">
        <f aca="false">IF(COUNTIF(Rookies!$A:$A,A306)&gt;0,1,0)</f>
        <v>0</v>
      </c>
      <c r="S306" s="53" t="n">
        <f aca="false">V306/17</f>
        <v>3.67</v>
      </c>
      <c r="T306" s="53" t="n">
        <f aca="false">IF(P306=1,MAX(0,0.28*(12-S306)),0)</f>
        <v>0</v>
      </c>
      <c r="U306" s="53" t="n">
        <f aca="false">T306*17</f>
        <v>0</v>
      </c>
      <c r="V306" s="53" t="n">
        <f aca="false">C306*Scoring!$B$34+D306/Scoring!$C$34+E306*Scoring!$D$34+WR!F306*Scoring!$E$34+WR!G306/Scoring!$F$34+WR!H306*Scoring!$G$34+WR!I306*Scoring!$H$34+K306*Scoring!$I$34+WR!L306*Scoring!$J$34</f>
        <v>62.39</v>
      </c>
    </row>
    <row r="307" customFormat="false" ht="14.25" hidden="false" customHeight="true" outlineLevel="0" collapsed="false">
      <c r="B307" s="0" t="s">
        <v>491</v>
      </c>
      <c r="C307" s="0" t="n">
        <v>24.4</v>
      </c>
      <c r="D307" s="0" t="n">
        <v>337.9</v>
      </c>
      <c r="E307" s="0" t="n">
        <v>2.8</v>
      </c>
      <c r="F307" s="0" t="n">
        <v>0</v>
      </c>
      <c r="G307" s="0" t="n">
        <v>0</v>
      </c>
      <c r="H307" s="0" t="n">
        <v>0</v>
      </c>
      <c r="I307" s="0" t="n">
        <v>0.2</v>
      </c>
      <c r="J307" s="0" t="n">
        <v>63.3</v>
      </c>
      <c r="K307" s="115" t="n">
        <f aca="false">IFERROR(G307/F307/6.89*0.427*F307,0)</f>
        <v>0</v>
      </c>
      <c r="L307" s="115" t="n">
        <f aca="false">IFERROR(D307/C307/12.87*0.633*C307,0)</f>
        <v>16.619324009324</v>
      </c>
      <c r="M307" s="118"/>
      <c r="N307" s="118"/>
      <c r="O307" s="118"/>
    </row>
    <row r="308" customFormat="false" ht="14.25" hidden="false" customHeight="true" outlineLevel="0" collapsed="false">
      <c r="B308" s="0" t="s">
        <v>492</v>
      </c>
      <c r="C308" s="0" t="n">
        <v>24.4</v>
      </c>
      <c r="D308" s="0" t="n">
        <v>337.9</v>
      </c>
      <c r="E308" s="0" t="n">
        <v>2.8</v>
      </c>
      <c r="F308" s="0" t="n">
        <v>0</v>
      </c>
      <c r="G308" s="0" t="n">
        <v>0</v>
      </c>
      <c r="H308" s="0" t="n">
        <v>0</v>
      </c>
      <c r="I308" s="0" t="n">
        <v>0.2</v>
      </c>
      <c r="J308" s="0" t="n">
        <v>63.3</v>
      </c>
      <c r="K308" s="115" t="n">
        <f aca="false">IFERROR(G308/F308/6.89*0.427*F308,0)</f>
        <v>0</v>
      </c>
      <c r="L308" s="115" t="n">
        <f aca="false">IFERROR(D308/C308/12.87*0.633*C308,0)</f>
        <v>16.619324009324</v>
      </c>
      <c r="M308" s="118"/>
      <c r="N308" s="118"/>
      <c r="O308" s="118"/>
    </row>
    <row r="309" customFormat="false" ht="14.25" hidden="false" customHeight="true" outlineLevel="0" collapsed="false">
      <c r="A309" s="0" t="s">
        <v>824</v>
      </c>
      <c r="B309" s="0" t="s">
        <v>490</v>
      </c>
      <c r="C309" s="0" t="n">
        <v>26.9</v>
      </c>
      <c r="D309" s="0" t="n">
        <v>354.7</v>
      </c>
      <c r="E309" s="0" t="n">
        <v>1.7</v>
      </c>
      <c r="F309" s="0" t="n">
        <v>0</v>
      </c>
      <c r="G309" s="0" t="n">
        <v>0</v>
      </c>
      <c r="H309" s="0" t="n">
        <v>0</v>
      </c>
      <c r="I309" s="0" t="n">
        <v>0.1</v>
      </c>
      <c r="J309" s="0" t="n">
        <v>59</v>
      </c>
      <c r="K309" s="115" t="n">
        <f aca="false">IFERROR(G309/F309/6.89*0.427*F309,0)</f>
        <v>0</v>
      </c>
      <c r="L309" s="115" t="n">
        <f aca="false">IFERROR(D309/C309/12.87*0.633*C309,0)</f>
        <v>17.4456177156177</v>
      </c>
      <c r="M309" s="117" t="n">
        <f aca="false">C311*Scoring!$B$34+D311/Scoring!$C$34+E311*Scoring!$D$34+WR!F311*Scoring!$E$34+WR!G311/Scoring!$F$34+WR!H311*Scoring!$G$34+WR!I311*Scoring!$H$34+K311*Scoring!$I$34+WR!L311*Scoring!$J$34+U309</f>
        <v>40.58</v>
      </c>
      <c r="N309" s="117" t="n">
        <f aca="false">C309*Scoring!$B$34+D309/Scoring!$C$34+E309*Scoring!$D$34+WR!F309*Scoring!$E$34+WR!G309/Scoring!$F$34+WR!H309*Scoring!$G$34+WR!I309*Scoring!$H$34+K309*Scoring!$I$34+WR!L309*Scoring!$J$34+U309</f>
        <v>58.92</v>
      </c>
      <c r="O309" s="117" t="n">
        <f aca="false">C310*Scoring!$B$34+D310/Scoring!$C$34+E310*Scoring!$D$34+WR!F310*Scoring!$E$34+WR!G310/Scoring!$F$34+WR!H310*Scoring!$G$34+WR!I310*Scoring!$H$34+K310*Scoring!$I$34+WR!L310*Scoring!$J$34+U309</f>
        <v>77.3</v>
      </c>
      <c r="P309" s="53" t="n">
        <f aca="false">IF(COUNTIF(Rookies!$A:$A,A309)&gt;0,1,0)</f>
        <v>0</v>
      </c>
      <c r="S309" s="53" t="n">
        <f aca="false">V309/17</f>
        <v>3.46588235294118</v>
      </c>
      <c r="T309" s="53" t="n">
        <f aca="false">IF(P309=1,MAX(0,0.28*(12-S309)),0)</f>
        <v>0</v>
      </c>
      <c r="U309" s="53" t="n">
        <f aca="false">T309*17</f>
        <v>0</v>
      </c>
      <c r="V309" s="53" t="n">
        <f aca="false">C309*Scoring!$B$34+D309/Scoring!$C$34+E309*Scoring!$D$34+WR!F309*Scoring!$E$34+WR!G309/Scoring!$F$34+WR!H309*Scoring!$G$34+WR!I309*Scoring!$H$34+K309*Scoring!$I$34+WR!L309*Scoring!$J$34</f>
        <v>58.92</v>
      </c>
    </row>
    <row r="310" customFormat="false" ht="14.25" hidden="false" customHeight="true" outlineLevel="0" collapsed="false">
      <c r="B310" s="0" t="s">
        <v>491</v>
      </c>
      <c r="C310" s="0" t="n">
        <v>35</v>
      </c>
      <c r="D310" s="0" t="n">
        <v>478</v>
      </c>
      <c r="E310" s="0" t="n">
        <v>2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64.5</v>
      </c>
      <c r="K310" s="115" t="n">
        <f aca="false">IFERROR(G310/F310/6.89*0.427*F310,0)</f>
        <v>0</v>
      </c>
      <c r="L310" s="115" t="n">
        <f aca="false">IFERROR(D310/C310/12.87*0.633*C310,0)</f>
        <v>23.5100233100233</v>
      </c>
      <c r="M310" s="118"/>
      <c r="N310" s="118"/>
      <c r="O310" s="118"/>
    </row>
    <row r="311" customFormat="false" ht="14.25" hidden="false" customHeight="true" outlineLevel="0" collapsed="false">
      <c r="B311" s="0" t="s">
        <v>492</v>
      </c>
      <c r="C311" s="0" t="n">
        <v>18.9</v>
      </c>
      <c r="D311" s="0" t="n">
        <v>231.3</v>
      </c>
      <c r="E311" s="0" t="n">
        <v>1.4</v>
      </c>
      <c r="F311" s="0" t="n">
        <v>0</v>
      </c>
      <c r="G311" s="0" t="n">
        <v>0</v>
      </c>
      <c r="H311" s="0" t="n">
        <v>0</v>
      </c>
      <c r="I311" s="0" t="n">
        <v>0.2</v>
      </c>
      <c r="J311" s="0" t="n">
        <v>44.9</v>
      </c>
      <c r="K311" s="115" t="n">
        <f aca="false">IFERROR(G311/F311/6.89*0.427*F311,0)</f>
        <v>0</v>
      </c>
      <c r="L311" s="115" t="n">
        <f aca="false">IFERROR(D311/C311/12.87*0.633*C311,0)</f>
        <v>11.3762937062937</v>
      </c>
      <c r="M311" s="118"/>
      <c r="N311" s="118"/>
      <c r="O311" s="118"/>
    </row>
    <row r="312" customFormat="false" ht="14.25" hidden="false" customHeight="true" outlineLevel="0" collapsed="false">
      <c r="A312" s="0" t="s">
        <v>825</v>
      </c>
      <c r="B312" s="0" t="s">
        <v>518</v>
      </c>
      <c r="C312" s="0" t="n">
        <v>28.4</v>
      </c>
      <c r="D312" s="0" t="n">
        <v>320.2</v>
      </c>
      <c r="E312" s="0" t="n">
        <v>2.1</v>
      </c>
      <c r="F312" s="0" t="n">
        <v>0</v>
      </c>
      <c r="G312" s="0" t="n">
        <v>0</v>
      </c>
      <c r="H312" s="0" t="n">
        <v>0</v>
      </c>
      <c r="I312" s="0" t="n">
        <v>0.3</v>
      </c>
      <c r="J312" s="0" t="n">
        <v>58.3</v>
      </c>
      <c r="K312" s="115" t="n">
        <f aca="false">IFERROR(G312/F312/6.89*0.427*F312,0)</f>
        <v>0</v>
      </c>
      <c r="L312" s="115" t="n">
        <f aca="false">IFERROR(D312/C312/12.87*0.633*C312,0)</f>
        <v>15.7487645687646</v>
      </c>
      <c r="M312" s="117" t="n">
        <f aca="false">C314*Scoring!$B$34+D314/Scoring!$C$34+E314*Scoring!$D$34+WR!F314*Scoring!$E$34+WR!G314/Scoring!$F$34+WR!H314*Scoring!$G$34+WR!I314*Scoring!$H$34+K314*Scoring!$I$34+WR!L314*Scoring!$J$34+U312</f>
        <v>58.22</v>
      </c>
      <c r="N312" s="117" t="n">
        <f aca="false">C312*Scoring!$B$34+D312/Scoring!$C$34+E312*Scoring!$D$34+WR!F312*Scoring!$E$34+WR!G312/Scoring!$F$34+WR!H312*Scoring!$G$34+WR!I312*Scoring!$H$34+K312*Scoring!$I$34+WR!L312*Scoring!$J$34+U312</f>
        <v>58.22</v>
      </c>
      <c r="O312" s="117" t="n">
        <f aca="false">C313*Scoring!$B$34+D313/Scoring!$C$34+E313*Scoring!$D$34+WR!F313*Scoring!$E$34+WR!G313/Scoring!$F$34+WR!H313*Scoring!$G$34+WR!I313*Scoring!$H$34+K313*Scoring!$I$34+WR!L313*Scoring!$J$34+U312</f>
        <v>58.22</v>
      </c>
      <c r="P312" s="53" t="n">
        <f aca="false">IF(COUNTIF(Rookies!$A:$A,A312)&gt;0,1,0)</f>
        <v>0</v>
      </c>
      <c r="S312" s="53" t="n">
        <f aca="false">V312/17</f>
        <v>3.42470588235294</v>
      </c>
      <c r="T312" s="53" t="n">
        <f aca="false">IF(P312=1,MAX(0,0.28*(12-S312)),0)</f>
        <v>0</v>
      </c>
      <c r="U312" s="53" t="n">
        <f aca="false">T312*17</f>
        <v>0</v>
      </c>
      <c r="V312" s="53" t="n">
        <f aca="false">C312*Scoring!$B$34+D312/Scoring!$C$34+E312*Scoring!$D$34+WR!F312*Scoring!$E$34+WR!G312/Scoring!$F$34+WR!H312*Scoring!$G$34+WR!I312*Scoring!$H$34+K312*Scoring!$I$34+WR!L312*Scoring!$J$34</f>
        <v>58.22</v>
      </c>
    </row>
    <row r="313" customFormat="false" ht="14.25" hidden="false" customHeight="true" outlineLevel="0" collapsed="false">
      <c r="B313" s="0" t="s">
        <v>491</v>
      </c>
      <c r="C313" s="0" t="n">
        <v>28.4</v>
      </c>
      <c r="D313" s="0" t="n">
        <v>320.2</v>
      </c>
      <c r="E313" s="0" t="n">
        <v>2.1</v>
      </c>
      <c r="F313" s="0" t="n">
        <v>0</v>
      </c>
      <c r="G313" s="0" t="n">
        <v>0</v>
      </c>
      <c r="H313" s="0" t="n">
        <v>0</v>
      </c>
      <c r="I313" s="0" t="n">
        <v>0.3</v>
      </c>
      <c r="J313" s="0" t="n">
        <v>58.6</v>
      </c>
      <c r="K313" s="115" t="n">
        <f aca="false">IFERROR(G313/F313/6.89*0.427*F313,0)</f>
        <v>0</v>
      </c>
      <c r="L313" s="115" t="n">
        <f aca="false">IFERROR(D313/C313/12.87*0.633*C313,0)</f>
        <v>15.7487645687646</v>
      </c>
      <c r="M313" s="118"/>
      <c r="N313" s="118"/>
      <c r="O313" s="118"/>
    </row>
    <row r="314" customFormat="false" ht="14.25" hidden="false" customHeight="true" outlineLevel="0" collapsed="false">
      <c r="B314" s="0" t="s">
        <v>492</v>
      </c>
      <c r="C314" s="0" t="n">
        <v>28.4</v>
      </c>
      <c r="D314" s="0" t="n">
        <v>320.2</v>
      </c>
      <c r="E314" s="0" t="n">
        <v>2.1</v>
      </c>
      <c r="F314" s="0" t="n">
        <v>0</v>
      </c>
      <c r="G314" s="0" t="n">
        <v>0</v>
      </c>
      <c r="H314" s="0" t="n">
        <v>0</v>
      </c>
      <c r="I314" s="0" t="n">
        <v>0.3</v>
      </c>
      <c r="J314" s="0" t="n">
        <v>58.6</v>
      </c>
      <c r="K314" s="115" t="n">
        <f aca="false">IFERROR(G314/F314/6.89*0.427*F314,0)</f>
        <v>0</v>
      </c>
      <c r="L314" s="115" t="n">
        <f aca="false">IFERROR(D314/C314/12.87*0.633*C314,0)</f>
        <v>15.7487645687646</v>
      </c>
      <c r="M314" s="118"/>
      <c r="N314" s="118"/>
      <c r="O314" s="118"/>
    </row>
    <row r="315" customFormat="false" ht="14.25" hidden="false" customHeight="true" outlineLevel="0" collapsed="false">
      <c r="A315" s="0" t="s">
        <v>826</v>
      </c>
      <c r="B315" s="0" t="s">
        <v>532</v>
      </c>
      <c r="C315" s="0" t="n">
        <v>17.6</v>
      </c>
      <c r="D315" s="0" t="n">
        <v>338.9</v>
      </c>
      <c r="E315" s="0" t="n">
        <v>1.3</v>
      </c>
      <c r="F315" s="0" t="n">
        <v>5.1</v>
      </c>
      <c r="G315" s="0" t="n">
        <v>46.2</v>
      </c>
      <c r="H315" s="0" t="n">
        <v>0.1</v>
      </c>
      <c r="I315" s="0" t="n">
        <v>0.1</v>
      </c>
      <c r="J315" s="0" t="n">
        <v>55.5</v>
      </c>
      <c r="K315" s="115" t="n">
        <f aca="false">IFERROR(G315/F315/6.89*0.427*F315,0)</f>
        <v>2.86319303338171</v>
      </c>
      <c r="L315" s="115" t="n">
        <f aca="false">IFERROR(D315/C315/12.87*0.633*C315,0)</f>
        <v>16.6685081585082</v>
      </c>
      <c r="M315" s="117" t="n">
        <f aca="false">C317*Scoring!$B$34+D317/Scoring!$C$34+E317*Scoring!$D$34+WR!F317*Scoring!$E$34+WR!G317/Scoring!$F$34+WR!H317*Scoring!$G$34+WR!I317*Scoring!$H$34+K317*Scoring!$I$34+WR!L317*Scoring!$J$34+U315</f>
        <v>23.92</v>
      </c>
      <c r="N315" s="117" t="n">
        <f aca="false">C315*Scoring!$B$34+D315/Scoring!$C$34+E315*Scoring!$D$34+WR!F315*Scoring!$E$34+WR!G315/Scoring!$F$34+WR!H315*Scoring!$G$34+WR!I315*Scoring!$H$34+K315*Scoring!$I$34+WR!L315*Scoring!$J$34+U315</f>
        <v>55.51</v>
      </c>
      <c r="O315" s="117" t="n">
        <f aca="false">C316*Scoring!$B$34+D316/Scoring!$C$34+E316*Scoring!$D$34+WR!F316*Scoring!$E$34+WR!G316/Scoring!$F$34+WR!H316*Scoring!$G$34+WR!I316*Scoring!$H$34+K316*Scoring!$I$34+WR!L316*Scoring!$J$34+U315</f>
        <v>87.3</v>
      </c>
      <c r="P315" s="53" t="n">
        <f aca="false">IF(COUNTIF(Rookies!$A:$A,A315)&gt;0,1,0)</f>
        <v>0</v>
      </c>
      <c r="S315" s="53" t="n">
        <f aca="false">V315/17</f>
        <v>3.26529411764706</v>
      </c>
      <c r="T315" s="53" t="n">
        <f aca="false">IF(P315=1,MAX(0,0.28*(12-S315)),0)</f>
        <v>0</v>
      </c>
      <c r="U315" s="53" t="n">
        <f aca="false">T315*17</f>
        <v>0</v>
      </c>
      <c r="V315" s="53" t="n">
        <f aca="false">C315*Scoring!$B$34+D315/Scoring!$C$34+E315*Scoring!$D$34+WR!F315*Scoring!$E$34+WR!G315/Scoring!$F$34+WR!H315*Scoring!$G$34+WR!I315*Scoring!$H$34+K315*Scoring!$I$34+WR!L315*Scoring!$J$34</f>
        <v>55.51</v>
      </c>
    </row>
    <row r="316" customFormat="false" ht="14.25" hidden="false" customHeight="true" outlineLevel="0" collapsed="false">
      <c r="B316" s="0" t="s">
        <v>491</v>
      </c>
      <c r="C316" s="0" t="n">
        <v>25</v>
      </c>
      <c r="D316" s="0" t="n">
        <v>550</v>
      </c>
      <c r="E316" s="0" t="n">
        <v>2</v>
      </c>
      <c r="F316" s="0" t="n">
        <v>6</v>
      </c>
      <c r="G316" s="0" t="n">
        <v>66</v>
      </c>
      <c r="H316" s="0" t="n">
        <v>0.2</v>
      </c>
      <c r="I316" s="0" t="n">
        <v>0</v>
      </c>
      <c r="J316" s="0" t="n">
        <v>69.8</v>
      </c>
      <c r="K316" s="115" t="n">
        <f aca="false">IFERROR(G316/F316/6.89*0.427*F316,0)</f>
        <v>4.09027576197388</v>
      </c>
      <c r="L316" s="115" t="n">
        <f aca="false">IFERROR(D316/C316/12.87*0.633*C316,0)</f>
        <v>27.0512820512821</v>
      </c>
      <c r="M316" s="118"/>
      <c r="N316" s="118"/>
      <c r="O316" s="118"/>
    </row>
    <row r="317" customFormat="false" ht="14.25" hidden="false" customHeight="true" outlineLevel="0" collapsed="false">
      <c r="B317" s="0" t="s">
        <v>492</v>
      </c>
      <c r="C317" s="0" t="n">
        <v>10.2</v>
      </c>
      <c r="D317" s="0" t="n">
        <v>127.9</v>
      </c>
      <c r="E317" s="0" t="n">
        <v>0.6</v>
      </c>
      <c r="F317" s="0" t="n">
        <v>4.2</v>
      </c>
      <c r="G317" s="0" t="n">
        <v>26.3</v>
      </c>
      <c r="H317" s="0" t="n">
        <v>0</v>
      </c>
      <c r="I317" s="0" t="n">
        <v>0.1</v>
      </c>
      <c r="J317" s="0" t="n">
        <v>30.3</v>
      </c>
      <c r="K317" s="115" t="n">
        <f aca="false">IFERROR(G317/F317/6.89*0.427*F317,0)</f>
        <v>1.62991291727141</v>
      </c>
      <c r="L317" s="115" t="n">
        <f aca="false">IFERROR(D317/C317/12.87*0.633*C317,0)</f>
        <v>6.29065268065268</v>
      </c>
      <c r="M317" s="118"/>
      <c r="N317" s="118"/>
      <c r="O317" s="118"/>
    </row>
    <row r="318" customFormat="false" ht="14.25" hidden="false" customHeight="true" outlineLevel="0" collapsed="false">
      <c r="A318" s="0" t="s">
        <v>827</v>
      </c>
      <c r="B318" s="0" t="s">
        <v>518</v>
      </c>
      <c r="C318" s="0" t="n">
        <v>24.1</v>
      </c>
      <c r="D318" s="0" t="n">
        <v>272.9</v>
      </c>
      <c r="E318" s="0" t="n">
        <v>1.6</v>
      </c>
      <c r="F318" s="0" t="n">
        <v>8.2</v>
      </c>
      <c r="G318" s="0" t="n">
        <v>45.1</v>
      </c>
      <c r="H318" s="0" t="n">
        <v>0.3</v>
      </c>
      <c r="I318" s="0" t="n">
        <v>0.4</v>
      </c>
      <c r="J318" s="0" t="n">
        <v>54.7</v>
      </c>
      <c r="K318" s="115" t="n">
        <f aca="false">IFERROR(G318/F318/6.89*0.427*F318,0)</f>
        <v>2.79502177068215</v>
      </c>
      <c r="L318" s="115" t="n">
        <f aca="false">IFERROR(D318/C318/12.87*0.633*C318,0)</f>
        <v>13.4223543123543</v>
      </c>
      <c r="M318" s="117" t="n">
        <f aca="false">C320*Scoring!$B$34+D320/Scoring!$C$34+E320*Scoring!$D$34+WR!F320*Scoring!$E$34+WR!G320/Scoring!$F$34+WR!H320*Scoring!$G$34+WR!I320*Scoring!$H$34+K320*Scoring!$I$34+WR!L320*Scoring!$J$34+U318</f>
        <v>54.45</v>
      </c>
      <c r="N318" s="117" t="n">
        <f aca="false">C318*Scoring!$B$34+D318/Scoring!$C$34+E318*Scoring!$D$34+WR!F318*Scoring!$E$34+WR!G318/Scoring!$F$34+WR!H318*Scoring!$G$34+WR!I318*Scoring!$H$34+K318*Scoring!$I$34+WR!L318*Scoring!$J$34+U318</f>
        <v>54.45</v>
      </c>
      <c r="O318" s="117" t="n">
        <f aca="false">C319*Scoring!$B$34+D319/Scoring!$C$34+E319*Scoring!$D$34+WR!F319*Scoring!$E$34+WR!G319/Scoring!$F$34+WR!H319*Scoring!$G$34+WR!I319*Scoring!$H$34+K319*Scoring!$I$34+WR!L319*Scoring!$J$34+U318</f>
        <v>54.45</v>
      </c>
      <c r="P318" s="53" t="n">
        <f aca="false">IF(COUNTIF(Rookies!$A:$A,A318)&gt;0,1,0)</f>
        <v>0</v>
      </c>
      <c r="S318" s="53" t="n">
        <f aca="false">V318/17</f>
        <v>3.20294117647059</v>
      </c>
      <c r="T318" s="53" t="n">
        <f aca="false">IF(P318=1,MAX(0,0.28*(12-S318)),0)</f>
        <v>0</v>
      </c>
      <c r="U318" s="53" t="n">
        <f aca="false">T318*17</f>
        <v>0</v>
      </c>
      <c r="V318" s="53" t="n">
        <f aca="false">C318*Scoring!$B$34+D318/Scoring!$C$34+E318*Scoring!$D$34+WR!F318*Scoring!$E$34+WR!G318/Scoring!$F$34+WR!H318*Scoring!$G$34+WR!I318*Scoring!$H$34+K318*Scoring!$I$34+WR!L318*Scoring!$J$34</f>
        <v>54.45</v>
      </c>
    </row>
    <row r="319" customFormat="false" ht="14.25" hidden="false" customHeight="true" outlineLevel="0" collapsed="false">
      <c r="B319" s="0" t="s">
        <v>491</v>
      </c>
      <c r="C319" s="0" t="n">
        <v>24.1</v>
      </c>
      <c r="D319" s="0" t="n">
        <v>272.9</v>
      </c>
      <c r="E319" s="0" t="n">
        <v>1.6</v>
      </c>
      <c r="F319" s="0" t="n">
        <v>8.2</v>
      </c>
      <c r="G319" s="0" t="n">
        <v>45.1</v>
      </c>
      <c r="H319" s="0" t="n">
        <v>0.3</v>
      </c>
      <c r="I319" s="0" t="n">
        <v>0.4</v>
      </c>
      <c r="J319" s="0" t="n">
        <v>58</v>
      </c>
      <c r="K319" s="115" t="n">
        <f aca="false">IFERROR(G319/F319/6.89*0.427*F319,0)</f>
        <v>2.79502177068215</v>
      </c>
      <c r="L319" s="115" t="n">
        <f aca="false">IFERROR(D319/C319/12.87*0.633*C319,0)</f>
        <v>13.4223543123543</v>
      </c>
      <c r="M319" s="118"/>
      <c r="N319" s="118"/>
      <c r="O319" s="118"/>
    </row>
    <row r="320" customFormat="false" ht="14.25" hidden="false" customHeight="true" outlineLevel="0" collapsed="false">
      <c r="B320" s="0" t="s">
        <v>492</v>
      </c>
      <c r="C320" s="0" t="n">
        <v>24.1</v>
      </c>
      <c r="D320" s="0" t="n">
        <v>272.9</v>
      </c>
      <c r="E320" s="0" t="n">
        <v>1.6</v>
      </c>
      <c r="F320" s="0" t="n">
        <v>8.2</v>
      </c>
      <c r="G320" s="0" t="n">
        <v>45.1</v>
      </c>
      <c r="H320" s="0" t="n">
        <v>0.3</v>
      </c>
      <c r="I320" s="0" t="n">
        <v>0.4</v>
      </c>
      <c r="J320" s="0" t="n">
        <v>58</v>
      </c>
      <c r="K320" s="115" t="n">
        <f aca="false">IFERROR(G320/F320/6.89*0.427*F320,0)</f>
        <v>2.79502177068215</v>
      </c>
      <c r="L320" s="115" t="n">
        <f aca="false">IFERROR(D320/C320/12.87*0.633*C320,0)</f>
        <v>13.4223543123543</v>
      </c>
      <c r="M320" s="118"/>
      <c r="N320" s="118"/>
      <c r="O320" s="118"/>
    </row>
    <row r="321" customFormat="false" ht="14.25" hidden="false" customHeight="true" outlineLevel="0" collapsed="false">
      <c r="A321" s="0" t="s">
        <v>828</v>
      </c>
      <c r="B321" s="0" t="s">
        <v>510</v>
      </c>
      <c r="C321" s="0" t="n">
        <v>17.9</v>
      </c>
      <c r="D321" s="0" t="n">
        <v>226.8</v>
      </c>
      <c r="E321" s="0" t="n">
        <v>1.7</v>
      </c>
      <c r="F321" s="0" t="n">
        <v>17.8</v>
      </c>
      <c r="G321" s="0" t="n">
        <v>103</v>
      </c>
      <c r="H321" s="0" t="n">
        <v>0.4</v>
      </c>
      <c r="I321" s="0" t="n">
        <v>0.4</v>
      </c>
      <c r="J321" s="0" t="n">
        <v>54</v>
      </c>
      <c r="K321" s="115" t="n">
        <f aca="false">IFERROR(G321/F321/6.89*0.427*F321,0)</f>
        <v>6.3833091436865</v>
      </c>
      <c r="L321" s="115" t="n">
        <f aca="false">IFERROR(D321/C321/12.87*0.633*C321,0)</f>
        <v>11.154965034965</v>
      </c>
      <c r="M321" s="117" t="n">
        <f aca="false">C323*Scoring!$B$34+D323/Scoring!$C$34+E323*Scoring!$D$34+WR!F323*Scoring!$E$34+WR!G323/Scoring!$F$34+WR!H323*Scoring!$G$34+WR!I323*Scoring!$H$34+K323*Scoring!$I$34+WR!L323*Scoring!$J$34+U321</f>
        <v>53.73</v>
      </c>
      <c r="N321" s="117" t="n">
        <f aca="false">C321*Scoring!$B$34+D321/Scoring!$C$34+E321*Scoring!$D$34+WR!F321*Scoring!$E$34+WR!G321/Scoring!$F$34+WR!H321*Scoring!$G$34+WR!I321*Scoring!$H$34+K321*Scoring!$I$34+WR!L321*Scoring!$J$34+U321</f>
        <v>53.73</v>
      </c>
      <c r="O321" s="117" t="n">
        <f aca="false">C322*Scoring!$B$34+D322/Scoring!$C$34+E322*Scoring!$D$34+WR!F322*Scoring!$E$34+WR!G322/Scoring!$F$34+WR!H322*Scoring!$G$34+WR!I322*Scoring!$H$34+K322*Scoring!$I$34+WR!L322*Scoring!$J$34+U321</f>
        <v>53.73</v>
      </c>
      <c r="P321" s="53" t="n">
        <f aca="false">IF(COUNTIF(Rookies!$A:$A,A321)&gt;0,1,0)</f>
        <v>0</v>
      </c>
      <c r="S321" s="53" t="n">
        <f aca="false">V321/17</f>
        <v>3.16058823529412</v>
      </c>
      <c r="T321" s="53" t="n">
        <f aca="false">IF(P321=1,MAX(0,0.28*(12-S321)),0)</f>
        <v>0</v>
      </c>
      <c r="U321" s="53" t="n">
        <f aca="false">T321*17</f>
        <v>0</v>
      </c>
      <c r="V321" s="53" t="n">
        <f aca="false">C321*Scoring!$B$34+D321/Scoring!$C$34+E321*Scoring!$D$34+WR!F321*Scoring!$E$34+WR!G321/Scoring!$F$34+WR!H321*Scoring!$G$34+WR!I321*Scoring!$H$34+K321*Scoring!$I$34+WR!L321*Scoring!$J$34</f>
        <v>53.73</v>
      </c>
    </row>
    <row r="322" customFormat="false" ht="14.25" hidden="false" customHeight="true" outlineLevel="0" collapsed="false">
      <c r="B322" s="0" t="s">
        <v>491</v>
      </c>
      <c r="C322" s="0" t="n">
        <v>17.9</v>
      </c>
      <c r="D322" s="0" t="n">
        <v>226.8</v>
      </c>
      <c r="E322" s="0" t="n">
        <v>1.7</v>
      </c>
      <c r="F322" s="0" t="n">
        <v>17.8</v>
      </c>
      <c r="G322" s="0" t="n">
        <v>103</v>
      </c>
      <c r="H322" s="0" t="n">
        <v>0.4</v>
      </c>
      <c r="I322" s="0" t="n">
        <v>0.4</v>
      </c>
      <c r="J322" s="0" t="n">
        <v>57.4</v>
      </c>
      <c r="K322" s="115" t="n">
        <f aca="false">IFERROR(G322/F322/6.89*0.427*F322,0)</f>
        <v>6.3833091436865</v>
      </c>
      <c r="L322" s="115" t="n">
        <f aca="false">IFERROR(D322/C322/12.87*0.633*C322,0)</f>
        <v>11.154965034965</v>
      </c>
      <c r="M322" s="118"/>
      <c r="N322" s="118"/>
      <c r="O322" s="118"/>
    </row>
    <row r="323" customFormat="false" ht="14.25" hidden="false" customHeight="true" outlineLevel="0" collapsed="false">
      <c r="B323" s="0" t="s">
        <v>492</v>
      </c>
      <c r="C323" s="0" t="n">
        <v>17.9</v>
      </c>
      <c r="D323" s="0" t="n">
        <v>226.8</v>
      </c>
      <c r="E323" s="0" t="n">
        <v>1.7</v>
      </c>
      <c r="F323" s="0" t="n">
        <v>17.8</v>
      </c>
      <c r="G323" s="0" t="n">
        <v>103</v>
      </c>
      <c r="H323" s="0" t="n">
        <v>0.4</v>
      </c>
      <c r="I323" s="0" t="n">
        <v>0.4</v>
      </c>
      <c r="J323" s="0" t="n">
        <v>57.4</v>
      </c>
      <c r="K323" s="115" t="n">
        <f aca="false">IFERROR(G323/F323/6.89*0.427*F323,0)</f>
        <v>6.3833091436865</v>
      </c>
      <c r="L323" s="115" t="n">
        <f aca="false">IFERROR(D323/C323/12.87*0.633*C323,0)</f>
        <v>11.154965034965</v>
      </c>
      <c r="M323" s="118"/>
      <c r="N323" s="118"/>
      <c r="O323" s="118"/>
    </row>
    <row r="324" customFormat="false" ht="14.25" hidden="false" customHeight="true" outlineLevel="0" collapsed="false">
      <c r="A324" s="0" t="s">
        <v>829</v>
      </c>
      <c r="B324" s="0" t="s">
        <v>534</v>
      </c>
      <c r="C324" s="0" t="n">
        <v>27.1</v>
      </c>
      <c r="D324" s="0" t="n">
        <v>352</v>
      </c>
      <c r="E324" s="0" t="n">
        <v>0.9</v>
      </c>
      <c r="F324" s="0" t="n">
        <v>0</v>
      </c>
      <c r="G324" s="0" t="n">
        <v>0</v>
      </c>
      <c r="H324" s="0" t="n">
        <v>0</v>
      </c>
      <c r="I324" s="0" t="n">
        <v>0.3</v>
      </c>
      <c r="J324" s="0" t="n">
        <v>53.3</v>
      </c>
      <c r="K324" s="115" t="n">
        <f aca="false">IFERROR(G324/F324/6.89*0.427*F324,0)</f>
        <v>0</v>
      </c>
      <c r="L324" s="115" t="n">
        <f aca="false">IFERROR(D324/C324/12.87*0.633*C324,0)</f>
        <v>17.3128205128205</v>
      </c>
      <c r="M324" s="117" t="n">
        <f aca="false">C326*Scoring!$B$34+D326/Scoring!$C$34+E326*Scoring!$D$34+WR!F326*Scoring!$E$34+WR!G326/Scoring!$F$34+WR!H326*Scoring!$G$34+WR!I326*Scoring!$H$34+K326*Scoring!$I$34+WR!L326*Scoring!$J$34+U324</f>
        <v>95.676</v>
      </c>
      <c r="N324" s="117" t="n">
        <f aca="false">C324*Scoring!$B$34+D324/Scoring!$C$34+E324*Scoring!$D$34+WR!F324*Scoring!$E$34+WR!G324/Scoring!$F$34+WR!H324*Scoring!$G$34+WR!I324*Scoring!$H$34+K324*Scoring!$I$34+WR!L324*Scoring!$J$34+U324</f>
        <v>95.676</v>
      </c>
      <c r="O324" s="117" t="n">
        <f aca="false">C325*Scoring!$B$34+D325/Scoring!$C$34+E325*Scoring!$D$34+WR!F325*Scoring!$E$34+WR!G325/Scoring!$F$34+WR!H325*Scoring!$G$34+WR!I325*Scoring!$H$34+K325*Scoring!$I$34+WR!L325*Scoring!$J$34+U324</f>
        <v>95.676</v>
      </c>
      <c r="P324" s="53" t="n">
        <f aca="false">IF(COUNTIF(Rookies!$A:$A,A324)&gt;0,1,0)</f>
        <v>1</v>
      </c>
      <c r="S324" s="53" t="n">
        <f aca="false">V324/17</f>
        <v>3.15</v>
      </c>
      <c r="T324" s="53" t="n">
        <f aca="false">IF(P324=1,MAX(0,0.28*(12-S324)),0)</f>
        <v>2.478</v>
      </c>
      <c r="U324" s="53" t="n">
        <f aca="false">T324*17</f>
        <v>42.126</v>
      </c>
      <c r="V324" s="53" t="n">
        <f aca="false">C324*Scoring!$B$34+D324/Scoring!$C$34+E324*Scoring!$D$34+WR!F324*Scoring!$E$34+WR!G324/Scoring!$F$34+WR!H324*Scoring!$G$34+WR!I324*Scoring!$H$34+K324*Scoring!$I$34+WR!L324*Scoring!$J$34</f>
        <v>53.55</v>
      </c>
    </row>
    <row r="325" customFormat="false" ht="14.25" hidden="false" customHeight="true" outlineLevel="0" collapsed="false">
      <c r="B325" s="0" t="s">
        <v>491</v>
      </c>
      <c r="C325" s="0" t="n">
        <v>27.1</v>
      </c>
      <c r="D325" s="0" t="n">
        <v>352</v>
      </c>
      <c r="E325" s="0" t="n">
        <v>0.9</v>
      </c>
      <c r="F325" s="0" t="n">
        <v>0</v>
      </c>
      <c r="G325" s="0" t="n">
        <v>0</v>
      </c>
      <c r="H325" s="0" t="n">
        <v>0</v>
      </c>
      <c r="I325" s="0" t="n">
        <v>0.3</v>
      </c>
      <c r="J325" s="0" t="n">
        <v>53.4</v>
      </c>
      <c r="K325" s="115" t="n">
        <f aca="false">IFERROR(G325/F325/6.89*0.427*F325,0)</f>
        <v>0</v>
      </c>
      <c r="L325" s="115" t="n">
        <f aca="false">IFERROR(D325/C325/12.87*0.633*C325,0)</f>
        <v>17.3128205128205</v>
      </c>
      <c r="M325" s="118"/>
      <c r="N325" s="118"/>
      <c r="O325" s="118"/>
    </row>
    <row r="326" customFormat="false" ht="14.25" hidden="false" customHeight="true" outlineLevel="0" collapsed="false">
      <c r="B326" s="0" t="s">
        <v>492</v>
      </c>
      <c r="C326" s="0" t="n">
        <v>27.1</v>
      </c>
      <c r="D326" s="0" t="n">
        <v>352</v>
      </c>
      <c r="E326" s="0" t="n">
        <v>0.9</v>
      </c>
      <c r="F326" s="0" t="n">
        <v>0</v>
      </c>
      <c r="G326" s="0" t="n">
        <v>0</v>
      </c>
      <c r="H326" s="0" t="n">
        <v>0</v>
      </c>
      <c r="I326" s="0" t="n">
        <v>0.3</v>
      </c>
      <c r="J326" s="0" t="n">
        <v>53.4</v>
      </c>
      <c r="K326" s="115" t="n">
        <f aca="false">IFERROR(G326/F326/6.89*0.427*F326,0)</f>
        <v>0</v>
      </c>
      <c r="L326" s="115" t="n">
        <f aca="false">IFERROR(D326/C326/12.87*0.633*C326,0)</f>
        <v>17.3128205128205</v>
      </c>
      <c r="M326" s="118"/>
      <c r="N326" s="118"/>
      <c r="O326" s="118"/>
    </row>
    <row r="327" customFormat="false" ht="14.25" hidden="false" customHeight="true" outlineLevel="0" collapsed="false">
      <c r="A327" s="0" t="s">
        <v>830</v>
      </c>
      <c r="B327" s="0" t="s">
        <v>494</v>
      </c>
      <c r="C327" s="0" t="n">
        <v>18.2</v>
      </c>
      <c r="D327" s="0" t="n">
        <v>304.8</v>
      </c>
      <c r="E327" s="0" t="n">
        <v>2.2</v>
      </c>
      <c r="F327" s="0" t="n">
        <v>0</v>
      </c>
      <c r="G327" s="0" t="n">
        <v>1.5</v>
      </c>
      <c r="H327" s="0" t="n">
        <v>0</v>
      </c>
      <c r="I327" s="0" t="n">
        <v>0.1</v>
      </c>
      <c r="J327" s="0" t="n">
        <v>53</v>
      </c>
      <c r="K327" s="115" t="n">
        <f aca="false">IFERROR(G327/F327/6.89*0.427*F327,0)</f>
        <v>0</v>
      </c>
      <c r="L327" s="115" t="n">
        <f aca="false">IFERROR(D327/C327/12.87*0.633*C327,0)</f>
        <v>14.9913286713287</v>
      </c>
      <c r="M327" s="117" t="n">
        <f aca="false">C329*Scoring!$B$34+D329/Scoring!$C$34+E329*Scoring!$D$34+WR!F329*Scoring!$E$34+WR!G329/Scoring!$F$34+WR!H329*Scoring!$G$34+WR!I329*Scoring!$H$34+K329*Scoring!$I$34+WR!L329*Scoring!$J$34+U327</f>
        <v>36.7</v>
      </c>
      <c r="N327" s="117" t="n">
        <f aca="false">C327*Scoring!$B$34+D327/Scoring!$C$34+E327*Scoring!$D$34+WR!F327*Scoring!$E$34+WR!G327/Scoring!$F$34+WR!H327*Scoring!$G$34+WR!I327*Scoring!$H$34+K327*Scoring!$I$34+WR!L327*Scoring!$J$34+U327</f>
        <v>52.73</v>
      </c>
      <c r="O327" s="117" t="n">
        <f aca="false">C328*Scoring!$B$34+D328/Scoring!$C$34+E328*Scoring!$D$34+WR!F328*Scoring!$E$34+WR!G328/Scoring!$F$34+WR!H328*Scoring!$G$34+WR!I328*Scoring!$H$34+K328*Scoring!$I$34+WR!L328*Scoring!$J$34+U327</f>
        <v>69.4</v>
      </c>
      <c r="P327" s="53" t="n">
        <f aca="false">IF(COUNTIF(Rookies!$A:$A,A327)&gt;0,1,0)</f>
        <v>0</v>
      </c>
      <c r="S327" s="53" t="n">
        <f aca="false">V327/17</f>
        <v>3.10176470588235</v>
      </c>
      <c r="T327" s="53" t="n">
        <f aca="false">IF(P327=1,MAX(0,0.28*(12-S327)),0)</f>
        <v>0</v>
      </c>
      <c r="U327" s="53" t="n">
        <f aca="false">T327*17</f>
        <v>0</v>
      </c>
      <c r="V327" s="53" t="n">
        <f aca="false">C327*Scoring!$B$34+D327/Scoring!$C$34+E327*Scoring!$D$34+WR!F327*Scoring!$E$34+WR!G327/Scoring!$F$34+WR!H327*Scoring!$G$34+WR!I327*Scoring!$H$34+K327*Scoring!$I$34+WR!L327*Scoring!$J$34</f>
        <v>52.73</v>
      </c>
    </row>
    <row r="328" customFormat="false" ht="14.25" hidden="false" customHeight="true" outlineLevel="0" collapsed="false">
      <c r="B328" s="0" t="s">
        <v>491</v>
      </c>
      <c r="C328" s="0" t="n">
        <v>22</v>
      </c>
      <c r="D328" s="0" t="n">
        <v>401</v>
      </c>
      <c r="E328" s="0" t="n">
        <v>3</v>
      </c>
      <c r="F328" s="0" t="n">
        <v>0</v>
      </c>
      <c r="G328" s="0" t="n">
        <v>3</v>
      </c>
      <c r="H328" s="0" t="n">
        <v>0</v>
      </c>
      <c r="I328" s="0" t="n">
        <v>0</v>
      </c>
      <c r="J328" s="0" t="n">
        <v>59.1</v>
      </c>
      <c r="K328" s="115" t="n">
        <f aca="false">IFERROR(G328/F328/6.89*0.427*F328,0)</f>
        <v>0</v>
      </c>
      <c r="L328" s="115" t="n">
        <f aca="false">IFERROR(D328/C328/12.87*0.633*C328,0)</f>
        <v>19.7228438228438</v>
      </c>
      <c r="M328" s="118"/>
      <c r="N328" s="118"/>
      <c r="O328" s="118"/>
    </row>
    <row r="329" customFormat="false" ht="14.25" hidden="false" customHeight="true" outlineLevel="0" collapsed="false">
      <c r="B329" s="0" t="s">
        <v>492</v>
      </c>
      <c r="C329" s="0" t="n">
        <v>14.5</v>
      </c>
      <c r="D329" s="0" t="n">
        <v>208.5</v>
      </c>
      <c r="E329" s="0" t="n">
        <v>1.5</v>
      </c>
      <c r="F329" s="0" t="n">
        <v>0</v>
      </c>
      <c r="G329" s="0" t="n">
        <v>0</v>
      </c>
      <c r="H329" s="0" t="n">
        <v>0</v>
      </c>
      <c r="I329" s="0" t="n">
        <v>0.2</v>
      </c>
      <c r="J329" s="0" t="n">
        <v>38.5</v>
      </c>
      <c r="K329" s="115" t="n">
        <f aca="false">IFERROR(G329/F329/6.89*0.427*F329,0)</f>
        <v>0</v>
      </c>
      <c r="L329" s="115" t="n">
        <f aca="false">IFERROR(D329/C329/12.87*0.633*C329,0)</f>
        <v>10.2548951048951</v>
      </c>
      <c r="M329" s="118"/>
      <c r="N329" s="118"/>
      <c r="O329" s="118"/>
    </row>
    <row r="330" customFormat="false" ht="14.25" hidden="false" customHeight="true" outlineLevel="0" collapsed="false">
      <c r="A330" s="0" t="s">
        <v>831</v>
      </c>
      <c r="B330" s="0" t="s">
        <v>504</v>
      </c>
      <c r="C330" s="0" t="n">
        <v>21.5</v>
      </c>
      <c r="D330" s="0" t="n">
        <v>308.4</v>
      </c>
      <c r="E330" s="0" t="n">
        <v>1.7</v>
      </c>
      <c r="F330" s="0" t="n">
        <v>2.2</v>
      </c>
      <c r="G330" s="0" t="n">
        <v>11.9</v>
      </c>
      <c r="H330" s="0" t="n">
        <v>0.1</v>
      </c>
      <c r="I330" s="0" t="n">
        <v>0.2</v>
      </c>
      <c r="J330" s="0" t="n">
        <v>52.8</v>
      </c>
      <c r="K330" s="115" t="n">
        <f aca="false">IFERROR(G330/F330/6.89*0.427*F330,0)</f>
        <v>0.737489114658926</v>
      </c>
      <c r="L330" s="115" t="n">
        <f aca="false">IFERROR(D330/C330/12.87*0.633*C330,0)</f>
        <v>15.1683916083916</v>
      </c>
      <c r="M330" s="117" t="n">
        <f aca="false">C332*Scoring!$B$34+D332/Scoring!$C$34+E332*Scoring!$D$34+WR!F332*Scoring!$E$34+WR!G332/Scoring!$F$34+WR!H332*Scoring!$G$34+WR!I332*Scoring!$H$34+K332*Scoring!$I$34+WR!L332*Scoring!$J$34+U330</f>
        <v>53.18</v>
      </c>
      <c r="N330" s="117" t="n">
        <f aca="false">C330*Scoring!$B$34+D330/Scoring!$C$34+E330*Scoring!$D$34+WR!F330*Scoring!$E$34+WR!G330/Scoring!$F$34+WR!H330*Scoring!$G$34+WR!I330*Scoring!$H$34+K330*Scoring!$I$34+WR!L330*Scoring!$J$34+U330</f>
        <v>53.18</v>
      </c>
      <c r="O330" s="117" t="n">
        <f aca="false">C331*Scoring!$B$34+D331/Scoring!$C$34+E331*Scoring!$D$34+WR!F331*Scoring!$E$34+WR!G331/Scoring!$F$34+WR!H331*Scoring!$G$34+WR!I331*Scoring!$H$34+K331*Scoring!$I$34+WR!L331*Scoring!$J$34+U330</f>
        <v>53.18</v>
      </c>
      <c r="P330" s="53" t="n">
        <f aca="false">IF(COUNTIF(Rookies!$A:$A,A330)&gt;0,1,0)</f>
        <v>0</v>
      </c>
      <c r="S330" s="53" t="n">
        <f aca="false">V330/17</f>
        <v>3.12823529411765</v>
      </c>
      <c r="T330" s="53" t="n">
        <f aca="false">IF(P330=1,MAX(0,0.28*(12-S330)),0)</f>
        <v>0</v>
      </c>
      <c r="U330" s="53" t="n">
        <f aca="false">T330*17</f>
        <v>0</v>
      </c>
      <c r="V330" s="53" t="n">
        <f aca="false">C330*Scoring!$B$34+D330/Scoring!$C$34+E330*Scoring!$D$34+WR!F330*Scoring!$E$34+WR!G330/Scoring!$F$34+WR!H330*Scoring!$G$34+WR!I330*Scoring!$H$34+K330*Scoring!$I$34+WR!L330*Scoring!$J$34</f>
        <v>53.18</v>
      </c>
    </row>
    <row r="331" customFormat="false" ht="14.25" hidden="false" customHeight="true" outlineLevel="0" collapsed="false">
      <c r="B331" s="0" t="s">
        <v>491</v>
      </c>
      <c r="C331" s="0" t="n">
        <v>21.5</v>
      </c>
      <c r="D331" s="0" t="n">
        <v>308.4</v>
      </c>
      <c r="E331" s="0" t="n">
        <v>1.7</v>
      </c>
      <c r="F331" s="0" t="n">
        <v>2.2</v>
      </c>
      <c r="G331" s="0" t="n">
        <v>11.9</v>
      </c>
      <c r="H331" s="0" t="n">
        <v>0.1</v>
      </c>
      <c r="I331" s="0" t="n">
        <v>0.2</v>
      </c>
      <c r="J331" s="0" t="n">
        <v>53</v>
      </c>
      <c r="K331" s="115" t="n">
        <f aca="false">IFERROR(G331/F331/6.89*0.427*F331,0)</f>
        <v>0.737489114658926</v>
      </c>
      <c r="L331" s="115" t="n">
        <f aca="false">IFERROR(D331/C331/12.87*0.633*C331,0)</f>
        <v>15.1683916083916</v>
      </c>
      <c r="M331" s="118"/>
      <c r="N331" s="118"/>
      <c r="O331" s="118"/>
    </row>
    <row r="332" customFormat="false" ht="14.25" hidden="false" customHeight="true" outlineLevel="0" collapsed="false">
      <c r="B332" s="0" t="s">
        <v>492</v>
      </c>
      <c r="C332" s="0" t="n">
        <v>21.5</v>
      </c>
      <c r="D332" s="0" t="n">
        <v>308.4</v>
      </c>
      <c r="E332" s="0" t="n">
        <v>1.7</v>
      </c>
      <c r="F332" s="0" t="n">
        <v>2.2</v>
      </c>
      <c r="G332" s="0" t="n">
        <v>11.9</v>
      </c>
      <c r="H332" s="0" t="n">
        <v>0.1</v>
      </c>
      <c r="I332" s="0" t="n">
        <v>0.2</v>
      </c>
      <c r="J332" s="0" t="n">
        <v>53</v>
      </c>
      <c r="K332" s="115" t="n">
        <f aca="false">IFERROR(G332/F332/6.89*0.427*F332,0)</f>
        <v>0.737489114658926</v>
      </c>
      <c r="L332" s="115" t="n">
        <f aca="false">IFERROR(D332/C332/12.87*0.633*C332,0)</f>
        <v>15.1683916083916</v>
      </c>
      <c r="M332" s="118"/>
      <c r="N332" s="118"/>
      <c r="O332" s="118"/>
    </row>
    <row r="333" customFormat="false" ht="14.25" hidden="false" customHeight="true" outlineLevel="0" collapsed="false">
      <c r="A333" s="0" t="s">
        <v>832</v>
      </c>
      <c r="B333" s="0" t="s">
        <v>550</v>
      </c>
      <c r="C333" s="0" t="n">
        <v>27.7</v>
      </c>
      <c r="D333" s="0" t="n">
        <v>315.2</v>
      </c>
      <c r="E333" s="0" t="n">
        <v>1.2</v>
      </c>
      <c r="F333" s="0" t="n">
        <v>0</v>
      </c>
      <c r="G333" s="0" t="n">
        <v>0</v>
      </c>
      <c r="H333" s="0" t="n">
        <v>0</v>
      </c>
      <c r="I333" s="0" t="n">
        <v>0.3</v>
      </c>
      <c r="J333" s="0" t="n">
        <v>51.9</v>
      </c>
      <c r="K333" s="115" t="n">
        <f aca="false">IFERROR(G333/F333/6.89*0.427*F333,0)</f>
        <v>0</v>
      </c>
      <c r="L333" s="115" t="n">
        <f aca="false">IFERROR(D333/C333/12.87*0.633*C333,0)</f>
        <v>15.5028438228438</v>
      </c>
      <c r="M333" s="117" t="n">
        <f aca="false">C335*Scoring!$B$34+D335/Scoring!$C$34+E335*Scoring!$D$34+WR!F335*Scoring!$E$34+WR!G335/Scoring!$F$34+WR!H335*Scoring!$G$34+WR!I335*Scoring!$H$34+K335*Scoring!$I$34+WR!L335*Scoring!$J$34+U333</f>
        <v>51.97</v>
      </c>
      <c r="N333" s="117" t="n">
        <f aca="false">C333*Scoring!$B$34+D333/Scoring!$C$34+E333*Scoring!$D$34+WR!F333*Scoring!$E$34+WR!G333/Scoring!$F$34+WR!H333*Scoring!$G$34+WR!I333*Scoring!$H$34+K333*Scoring!$I$34+WR!L333*Scoring!$J$34+U333</f>
        <v>51.97</v>
      </c>
      <c r="O333" s="117" t="n">
        <f aca="false">C334*Scoring!$B$34+D334/Scoring!$C$34+E334*Scoring!$D$34+WR!F334*Scoring!$E$34+WR!G334/Scoring!$F$34+WR!H334*Scoring!$G$34+WR!I334*Scoring!$H$34+K334*Scoring!$I$34+WR!L334*Scoring!$J$34+U333</f>
        <v>51.97</v>
      </c>
      <c r="P333" s="53" t="n">
        <f aca="false">IF(COUNTIF(Rookies!$A:$A,A333)&gt;0,1,0)</f>
        <v>0</v>
      </c>
      <c r="S333" s="53" t="n">
        <f aca="false">V333/17</f>
        <v>3.05705882352941</v>
      </c>
      <c r="T333" s="53" t="n">
        <f aca="false">IF(P333=1,MAX(0,0.28*(12-S333)),0)</f>
        <v>0</v>
      </c>
      <c r="U333" s="53" t="n">
        <f aca="false">T333*17</f>
        <v>0</v>
      </c>
      <c r="V333" s="53" t="n">
        <f aca="false">C333*Scoring!$B$34+D333/Scoring!$C$34+E333*Scoring!$D$34+WR!F333*Scoring!$E$34+WR!G333/Scoring!$F$34+WR!H333*Scoring!$G$34+WR!I333*Scoring!$H$34+K333*Scoring!$I$34+WR!L333*Scoring!$J$34</f>
        <v>51.97</v>
      </c>
    </row>
    <row r="334" customFormat="false" ht="14.25" hidden="false" customHeight="true" outlineLevel="0" collapsed="false">
      <c r="B334" s="0" t="s">
        <v>491</v>
      </c>
      <c r="C334" s="0" t="n">
        <v>27.7</v>
      </c>
      <c r="D334" s="0" t="n">
        <v>315.2</v>
      </c>
      <c r="E334" s="0" t="n">
        <v>1.2</v>
      </c>
      <c r="F334" s="0" t="n">
        <v>0</v>
      </c>
      <c r="G334" s="0" t="n">
        <v>0</v>
      </c>
      <c r="H334" s="0" t="n">
        <v>0</v>
      </c>
      <c r="I334" s="0" t="n">
        <v>0.3</v>
      </c>
      <c r="J334" s="0" t="n">
        <v>52.1</v>
      </c>
      <c r="K334" s="115" t="n">
        <f aca="false">IFERROR(G334/F334/6.89*0.427*F334,0)</f>
        <v>0</v>
      </c>
      <c r="L334" s="115" t="n">
        <f aca="false">IFERROR(D334/C334/12.87*0.633*C334,0)</f>
        <v>15.5028438228438</v>
      </c>
      <c r="M334" s="118"/>
      <c r="N334" s="118"/>
      <c r="O334" s="118"/>
    </row>
    <row r="335" customFormat="false" ht="14.25" hidden="false" customHeight="true" outlineLevel="0" collapsed="false">
      <c r="B335" s="0" t="s">
        <v>492</v>
      </c>
      <c r="C335" s="0" t="n">
        <v>27.7</v>
      </c>
      <c r="D335" s="0" t="n">
        <v>315.2</v>
      </c>
      <c r="E335" s="0" t="n">
        <v>1.2</v>
      </c>
      <c r="F335" s="0" t="n">
        <v>0</v>
      </c>
      <c r="G335" s="0" t="n">
        <v>0</v>
      </c>
      <c r="H335" s="0" t="n">
        <v>0</v>
      </c>
      <c r="I335" s="0" t="n">
        <v>0.3</v>
      </c>
      <c r="J335" s="0" t="n">
        <v>52.1</v>
      </c>
      <c r="K335" s="115" t="n">
        <f aca="false">IFERROR(G335/F335/6.89*0.427*F335,0)</f>
        <v>0</v>
      </c>
      <c r="L335" s="115" t="n">
        <f aca="false">IFERROR(D335/C335/12.87*0.633*C335,0)</f>
        <v>15.5028438228438</v>
      </c>
      <c r="M335" s="118"/>
      <c r="N335" s="118"/>
      <c r="O335" s="118"/>
    </row>
    <row r="336" customFormat="false" ht="14.25" hidden="false" customHeight="true" outlineLevel="0" collapsed="false">
      <c r="A336" s="0" t="s">
        <v>833</v>
      </c>
      <c r="B336" s="0" t="s">
        <v>514</v>
      </c>
      <c r="C336" s="0" t="n">
        <v>17.6</v>
      </c>
      <c r="D336" s="0" t="n">
        <v>232.8</v>
      </c>
      <c r="E336" s="0" t="n">
        <v>2.7</v>
      </c>
      <c r="F336" s="0" t="n">
        <v>0.5</v>
      </c>
      <c r="G336" s="0" t="n">
        <v>3.5</v>
      </c>
      <c r="H336" s="0" t="n">
        <v>0</v>
      </c>
      <c r="I336" s="0" t="n">
        <v>0</v>
      </c>
      <c r="J336" s="0" t="n">
        <v>48.4</v>
      </c>
      <c r="K336" s="115" t="n">
        <f aca="false">IFERROR(G336/F336/6.89*0.427*F336,0)</f>
        <v>0.216908563134978</v>
      </c>
      <c r="L336" s="115" t="n">
        <f aca="false">IFERROR(D336/C336/12.87*0.633*C336,0)</f>
        <v>11.4500699300699</v>
      </c>
      <c r="M336" s="117" t="n">
        <f aca="false">C338*Scoring!$B$34+D338/Scoring!$C$34+E338*Scoring!$D$34+WR!F338*Scoring!$E$34+WR!G338/Scoring!$F$34+WR!H338*Scoring!$G$34+WR!I338*Scoring!$H$34+K338*Scoring!$I$34+WR!L338*Scoring!$J$34+U336</f>
        <v>6.97</v>
      </c>
      <c r="N336" s="117" t="n">
        <f aca="false">C336*Scoring!$B$34+D336/Scoring!$C$34+E336*Scoring!$D$34+WR!F336*Scoring!$E$34+WR!G336/Scoring!$F$34+WR!H336*Scoring!$G$34+WR!I336*Scoring!$H$34+K336*Scoring!$I$34+WR!L336*Scoring!$J$34+U336</f>
        <v>48.63</v>
      </c>
      <c r="O336" s="117" t="n">
        <f aca="false">C337*Scoring!$B$34+D337/Scoring!$C$34+E337*Scoring!$D$34+WR!F337*Scoring!$E$34+WR!G337/Scoring!$F$34+WR!H337*Scoring!$G$34+WR!I337*Scoring!$H$34+K337*Scoring!$I$34+WR!L337*Scoring!$J$34+U336</f>
        <v>89.7</v>
      </c>
      <c r="P336" s="53" t="n">
        <f aca="false">IF(COUNTIF(Rookies!$A:$A,A336)&gt;0,1,0)</f>
        <v>0</v>
      </c>
      <c r="S336" s="53" t="n">
        <f aca="false">V336/17</f>
        <v>2.86058823529412</v>
      </c>
      <c r="T336" s="53" t="n">
        <f aca="false">IF(P336=1,MAX(0,0.28*(12-S336)),0)</f>
        <v>0</v>
      </c>
      <c r="U336" s="53" t="n">
        <f aca="false">T336*17</f>
        <v>0</v>
      </c>
      <c r="V336" s="53" t="n">
        <f aca="false">C336*Scoring!$B$34+D336/Scoring!$C$34+E336*Scoring!$D$34+WR!F336*Scoring!$E$34+WR!G336/Scoring!$F$34+WR!H336*Scoring!$G$34+WR!I336*Scoring!$H$34+K336*Scoring!$I$34+WR!L336*Scoring!$J$34</f>
        <v>48.63</v>
      </c>
    </row>
    <row r="337" customFormat="false" ht="14.25" hidden="false" customHeight="true" outlineLevel="0" collapsed="false">
      <c r="B337" s="0" t="s">
        <v>491</v>
      </c>
      <c r="C337" s="0" t="n">
        <v>32</v>
      </c>
      <c r="D337" s="0" t="n">
        <v>430</v>
      </c>
      <c r="E337" s="0" t="n">
        <v>5</v>
      </c>
      <c r="F337" s="0" t="n">
        <v>1</v>
      </c>
      <c r="G337" s="0" t="n">
        <v>7</v>
      </c>
      <c r="H337" s="0" t="n">
        <v>0</v>
      </c>
      <c r="I337" s="0" t="n">
        <v>0</v>
      </c>
      <c r="J337" s="0" t="n">
        <v>73.8</v>
      </c>
      <c r="K337" s="115" t="n">
        <f aca="false">IFERROR(G337/F337/6.89*0.427*F337,0)</f>
        <v>0.433817126269957</v>
      </c>
      <c r="L337" s="115" t="n">
        <f aca="false">IFERROR(D337/C337/12.87*0.633*C337,0)</f>
        <v>21.1491841491842</v>
      </c>
      <c r="M337" s="118"/>
      <c r="N337" s="118"/>
      <c r="O337" s="118"/>
    </row>
    <row r="338" customFormat="false" ht="14.25" hidden="false" customHeight="true" outlineLevel="0" collapsed="false">
      <c r="B338" s="0" t="s">
        <v>492</v>
      </c>
      <c r="C338" s="0" t="n">
        <v>3.2</v>
      </c>
      <c r="D338" s="0" t="n">
        <v>35.7</v>
      </c>
      <c r="E338" s="0" t="n">
        <v>0.3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14.3</v>
      </c>
      <c r="K338" s="115" t="n">
        <f aca="false">IFERROR(G338/F338/6.89*0.427*F338,0)</f>
        <v>0</v>
      </c>
      <c r="L338" s="115" t="n">
        <f aca="false">IFERROR(D338/C338/12.87*0.633*C338,0)</f>
        <v>1.75587412587413</v>
      </c>
      <c r="M338" s="118"/>
      <c r="N338" s="118"/>
      <c r="O338" s="118"/>
    </row>
    <row r="339" customFormat="false" ht="14.25" hidden="false" customHeight="true" outlineLevel="0" collapsed="false">
      <c r="A339" s="0" t="s">
        <v>834</v>
      </c>
      <c r="B339" s="0" t="s">
        <v>508</v>
      </c>
      <c r="C339" s="0" t="n">
        <v>19.3</v>
      </c>
      <c r="D339" s="0" t="n">
        <v>275.9</v>
      </c>
      <c r="E339" s="0" t="n">
        <v>1.8</v>
      </c>
      <c r="F339" s="0" t="n">
        <v>0.5</v>
      </c>
      <c r="G339" s="0" t="n">
        <v>2.5</v>
      </c>
      <c r="H339" s="0" t="n">
        <v>0</v>
      </c>
      <c r="I339" s="0" t="n">
        <v>0</v>
      </c>
      <c r="J339" s="0" t="n">
        <v>48.2</v>
      </c>
      <c r="K339" s="115" t="n">
        <f aca="false">IFERROR(G339/F339/6.89*0.427*F339,0)</f>
        <v>0.154934687953556</v>
      </c>
      <c r="L339" s="115" t="n">
        <f aca="false">IFERROR(D339/C339/12.87*0.633*C339,0)</f>
        <v>13.5699067599068</v>
      </c>
      <c r="M339" s="117" t="n">
        <f aca="false">C341*Scoring!$B$34+D341/Scoring!$C$34+E341*Scoring!$D$34+WR!F341*Scoring!$E$34+WR!G341/Scoring!$F$34+WR!H341*Scoring!$G$34+WR!I341*Scoring!$H$34+K341*Scoring!$I$34+WR!L341*Scoring!$J$34+U339</f>
        <v>15.48</v>
      </c>
      <c r="N339" s="117" t="n">
        <f aca="false">C339*Scoring!$B$34+D339/Scoring!$C$34+E339*Scoring!$D$34+WR!F339*Scoring!$E$34+WR!G339/Scoring!$F$34+WR!H339*Scoring!$G$34+WR!I339*Scoring!$H$34+K339*Scoring!$I$34+WR!L339*Scoring!$J$34+U339</f>
        <v>48.29</v>
      </c>
      <c r="O339" s="117" t="n">
        <f aca="false">C340*Scoring!$B$34+D340/Scoring!$C$34+E340*Scoring!$D$34+WR!F340*Scoring!$E$34+WR!G340/Scoring!$F$34+WR!H340*Scoring!$G$34+WR!I340*Scoring!$H$34+K340*Scoring!$I$34+WR!L340*Scoring!$J$34+U339</f>
        <v>80.9</v>
      </c>
      <c r="P339" s="53" t="n">
        <f aca="false">IF(COUNTIF(Rookies!$A:$A,A339)&gt;0,1,0)</f>
        <v>0</v>
      </c>
      <c r="S339" s="53" t="n">
        <f aca="false">V339/17</f>
        <v>2.84058823529412</v>
      </c>
      <c r="T339" s="53" t="n">
        <f aca="false">IF(P339=1,MAX(0,0.28*(12-S339)),0)</f>
        <v>0</v>
      </c>
      <c r="U339" s="53" t="n">
        <f aca="false">T339*17</f>
        <v>0</v>
      </c>
      <c r="V339" s="53" t="n">
        <f aca="false">C339*Scoring!$B$34+D339/Scoring!$C$34+E339*Scoring!$D$34+WR!F339*Scoring!$E$34+WR!G339/Scoring!$F$34+WR!H339*Scoring!$G$34+WR!I339*Scoring!$H$34+K339*Scoring!$I$34+WR!L339*Scoring!$J$34</f>
        <v>48.29</v>
      </c>
    </row>
    <row r="340" customFormat="false" ht="14.25" hidden="false" customHeight="true" outlineLevel="0" collapsed="false">
      <c r="B340" s="0" t="s">
        <v>491</v>
      </c>
      <c r="C340" s="0" t="n">
        <v>32</v>
      </c>
      <c r="D340" s="0" t="n">
        <v>464</v>
      </c>
      <c r="E340" s="0" t="n">
        <v>3</v>
      </c>
      <c r="F340" s="0" t="n">
        <v>1</v>
      </c>
      <c r="G340" s="0" t="n">
        <v>5</v>
      </c>
      <c r="H340" s="0" t="n">
        <v>0</v>
      </c>
      <c r="I340" s="0" t="n">
        <v>0</v>
      </c>
      <c r="J340" s="0" t="n">
        <v>65.6</v>
      </c>
      <c r="K340" s="115" t="n">
        <f aca="false">IFERROR(G340/F340/6.89*0.427*F340,0)</f>
        <v>0.309869375907112</v>
      </c>
      <c r="L340" s="115" t="n">
        <f aca="false">IFERROR(D340/C340/12.87*0.633*C340,0)</f>
        <v>22.8214452214452</v>
      </c>
      <c r="M340" s="118"/>
      <c r="N340" s="118"/>
      <c r="O340" s="118"/>
    </row>
    <row r="341" customFormat="false" ht="14.25" hidden="false" customHeight="true" outlineLevel="0" collapsed="false">
      <c r="B341" s="0" t="s">
        <v>492</v>
      </c>
      <c r="C341" s="0" t="n">
        <v>6.6</v>
      </c>
      <c r="D341" s="0" t="n">
        <v>87.8</v>
      </c>
      <c r="E341" s="0" t="n">
        <v>0.6</v>
      </c>
      <c r="F341" s="0" t="n">
        <v>0</v>
      </c>
      <c r="G341" s="0" t="n">
        <v>0</v>
      </c>
      <c r="H341" s="0" t="n">
        <v>0</v>
      </c>
      <c r="I341" s="0" t="n">
        <v>0.1</v>
      </c>
      <c r="J341" s="0" t="n">
        <v>22</v>
      </c>
      <c r="K341" s="115" t="n">
        <f aca="false">IFERROR(G341/F341/6.89*0.427*F341,0)</f>
        <v>0</v>
      </c>
      <c r="L341" s="115" t="n">
        <f aca="false">IFERROR(D341/C341/12.87*0.633*C341,0)</f>
        <v>4.3183682983683</v>
      </c>
      <c r="M341" s="118"/>
      <c r="N341" s="118"/>
      <c r="O341" s="118"/>
    </row>
    <row r="342" customFormat="false" ht="14.25" hidden="false" customHeight="true" outlineLevel="0" collapsed="false">
      <c r="A342" s="0" t="s">
        <v>835</v>
      </c>
      <c r="B342" s="0" t="s">
        <v>498</v>
      </c>
      <c r="C342" s="0" t="n">
        <v>21.5</v>
      </c>
      <c r="D342" s="0" t="n">
        <v>257.8</v>
      </c>
      <c r="E342" s="0" t="n">
        <v>1.6</v>
      </c>
      <c r="F342" s="0" t="n">
        <v>0</v>
      </c>
      <c r="G342" s="0" t="n">
        <v>0</v>
      </c>
      <c r="H342" s="0" t="n">
        <v>0</v>
      </c>
      <c r="I342" s="0" t="n">
        <v>0.2</v>
      </c>
      <c r="J342" s="0" t="n">
        <v>45.8</v>
      </c>
      <c r="K342" s="115" t="n">
        <f aca="false">IFERROR(G342/F342/6.89*0.427*F342,0)</f>
        <v>0</v>
      </c>
      <c r="L342" s="115" t="n">
        <f aca="false">IFERROR(D342/C342/12.87*0.633*C342,0)</f>
        <v>12.6796736596737</v>
      </c>
      <c r="M342" s="117" t="n">
        <f aca="false">C344*Scoring!$B$34+D344/Scoring!$C$34+E344*Scoring!$D$34+WR!F344*Scoring!$E$34+WR!G344/Scoring!$F$34+WR!H344*Scoring!$G$34+WR!I344*Scoring!$H$34+K344*Scoring!$I$34+WR!L344*Scoring!$J$34+U342</f>
        <v>45.73</v>
      </c>
      <c r="N342" s="117" t="n">
        <f aca="false">C342*Scoring!$B$34+D342/Scoring!$C$34+E342*Scoring!$D$34+WR!F342*Scoring!$E$34+WR!G342/Scoring!$F$34+WR!H342*Scoring!$G$34+WR!I342*Scoring!$H$34+K342*Scoring!$I$34+WR!L342*Scoring!$J$34+U342</f>
        <v>45.73</v>
      </c>
      <c r="O342" s="117" t="n">
        <f aca="false">C343*Scoring!$B$34+D343/Scoring!$C$34+E343*Scoring!$D$34+WR!F343*Scoring!$E$34+WR!G343/Scoring!$F$34+WR!H343*Scoring!$G$34+WR!I343*Scoring!$H$34+K343*Scoring!$I$34+WR!L343*Scoring!$J$34+U342</f>
        <v>45.73</v>
      </c>
      <c r="P342" s="53" t="n">
        <f aca="false">IF(COUNTIF(Rookies!$A:$A,A342)&gt;0,1,0)</f>
        <v>0</v>
      </c>
      <c r="S342" s="53" t="n">
        <f aca="false">V342/17</f>
        <v>2.69</v>
      </c>
      <c r="T342" s="53" t="n">
        <f aca="false">IF(P342=1,MAX(0,0.28*(12-S342)),0)</f>
        <v>0</v>
      </c>
      <c r="U342" s="53" t="n">
        <f aca="false">T342*17</f>
        <v>0</v>
      </c>
      <c r="V342" s="53" t="n">
        <f aca="false">C342*Scoring!$B$34+D342/Scoring!$C$34+E342*Scoring!$D$34+WR!F342*Scoring!$E$34+WR!G342/Scoring!$F$34+WR!H342*Scoring!$G$34+WR!I342*Scoring!$H$34+K342*Scoring!$I$34+WR!L342*Scoring!$J$34</f>
        <v>45.73</v>
      </c>
    </row>
    <row r="343" customFormat="false" ht="14.25" hidden="false" customHeight="true" outlineLevel="0" collapsed="false">
      <c r="B343" s="0" t="s">
        <v>491</v>
      </c>
      <c r="C343" s="0" t="n">
        <v>21.5</v>
      </c>
      <c r="D343" s="0" t="n">
        <v>257.8</v>
      </c>
      <c r="E343" s="0" t="n">
        <v>1.6</v>
      </c>
      <c r="F343" s="0" t="n">
        <v>0</v>
      </c>
      <c r="G343" s="0" t="n">
        <v>0</v>
      </c>
      <c r="H343" s="0" t="n">
        <v>0</v>
      </c>
      <c r="I343" s="0" t="n">
        <v>0.2</v>
      </c>
      <c r="J343" s="0" t="n">
        <v>45.9</v>
      </c>
      <c r="K343" s="115" t="n">
        <f aca="false">IFERROR(G343/F343/6.89*0.427*F343,0)</f>
        <v>0</v>
      </c>
      <c r="L343" s="115" t="n">
        <f aca="false">IFERROR(D343/C343/12.87*0.633*C343,0)</f>
        <v>12.6796736596737</v>
      </c>
      <c r="M343" s="118"/>
      <c r="N343" s="118"/>
      <c r="O343" s="118"/>
    </row>
    <row r="344" customFormat="false" ht="14.25" hidden="false" customHeight="true" outlineLevel="0" collapsed="false">
      <c r="B344" s="0" t="s">
        <v>492</v>
      </c>
      <c r="C344" s="0" t="n">
        <v>21.5</v>
      </c>
      <c r="D344" s="0" t="n">
        <v>257.8</v>
      </c>
      <c r="E344" s="0" t="n">
        <v>1.6</v>
      </c>
      <c r="F344" s="0" t="n">
        <v>0</v>
      </c>
      <c r="G344" s="0" t="n">
        <v>0</v>
      </c>
      <c r="H344" s="0" t="n">
        <v>0</v>
      </c>
      <c r="I344" s="0" t="n">
        <v>0.2</v>
      </c>
      <c r="J344" s="0" t="n">
        <v>45.9</v>
      </c>
      <c r="K344" s="115" t="n">
        <f aca="false">IFERROR(G344/F344/6.89*0.427*F344,0)</f>
        <v>0</v>
      </c>
      <c r="L344" s="115" t="n">
        <f aca="false">IFERROR(D344/C344/12.87*0.633*C344,0)</f>
        <v>12.6796736596737</v>
      </c>
      <c r="M344" s="118"/>
      <c r="N344" s="118"/>
      <c r="O344" s="118"/>
    </row>
    <row r="345" customFormat="false" ht="14.25" hidden="false" customHeight="true" outlineLevel="0" collapsed="false">
      <c r="A345" s="0" t="s">
        <v>836</v>
      </c>
      <c r="B345" s="0" t="s">
        <v>538</v>
      </c>
      <c r="C345" s="0" t="n">
        <v>19</v>
      </c>
      <c r="D345" s="0" t="n">
        <v>241.5</v>
      </c>
      <c r="E345" s="0" t="n">
        <v>1.5</v>
      </c>
      <c r="F345" s="0" t="n">
        <v>4.5</v>
      </c>
      <c r="G345" s="0" t="n">
        <v>20</v>
      </c>
      <c r="H345" s="0" t="n">
        <v>0</v>
      </c>
      <c r="I345" s="0" t="n">
        <v>0</v>
      </c>
      <c r="J345" s="0" t="n">
        <v>44.7</v>
      </c>
      <c r="K345" s="115" t="n">
        <f aca="false">IFERROR(G345/F345/6.89*0.427*F345,0)</f>
        <v>1.23947750362845</v>
      </c>
      <c r="L345" s="115" t="n">
        <f aca="false">IFERROR(D345/C345/12.87*0.633*C345,0)</f>
        <v>11.877972027972</v>
      </c>
      <c r="M345" s="117" t="n">
        <f aca="false">C347*Scoring!$B$34+D347/Scoring!$C$34+E347*Scoring!$D$34+WR!F347*Scoring!$E$34+WR!G347/Scoring!$F$34+WR!H347*Scoring!$G$34+WR!I347*Scoring!$H$34+K347*Scoring!$I$34+WR!L347*Scoring!$J$34+U345</f>
        <v>0</v>
      </c>
      <c r="N345" s="117" t="n">
        <f aca="false">C345*Scoring!$B$34+D345/Scoring!$C$34+E345*Scoring!$D$34+WR!F345*Scoring!$E$34+WR!G345/Scoring!$F$34+WR!H345*Scoring!$G$34+WR!I345*Scoring!$H$34+K345*Scoring!$I$34+WR!L345*Scoring!$J$34+U345</f>
        <v>44.65</v>
      </c>
      <c r="O345" s="117" t="n">
        <f aca="false">C346*Scoring!$B$34+D346/Scoring!$C$34+E346*Scoring!$D$34+WR!F346*Scoring!$E$34+WR!G346/Scoring!$F$34+WR!H346*Scoring!$G$34+WR!I346*Scoring!$H$34+K346*Scoring!$I$34+WR!L346*Scoring!$J$34+U345</f>
        <v>89.3</v>
      </c>
      <c r="P345" s="53" t="n">
        <f aca="false">IF(COUNTIF(Rookies!$A:$A,A345)&gt;0,1,0)</f>
        <v>0</v>
      </c>
      <c r="S345" s="53" t="n">
        <f aca="false">V345/17</f>
        <v>2.62647058823529</v>
      </c>
      <c r="T345" s="53" t="n">
        <f aca="false">IF(P345=1,MAX(0,0.28*(12-S345)),0)</f>
        <v>0</v>
      </c>
      <c r="U345" s="53" t="n">
        <f aca="false">T345*17</f>
        <v>0</v>
      </c>
      <c r="V345" s="53" t="n">
        <f aca="false">C345*Scoring!$B$34+D345/Scoring!$C$34+E345*Scoring!$D$34+WR!F345*Scoring!$E$34+WR!G345/Scoring!$F$34+WR!H345*Scoring!$G$34+WR!I345*Scoring!$H$34+K345*Scoring!$I$34+WR!L345*Scoring!$J$34</f>
        <v>44.65</v>
      </c>
    </row>
    <row r="346" customFormat="false" ht="14.25" hidden="false" customHeight="true" outlineLevel="0" collapsed="false">
      <c r="B346" s="0" t="s">
        <v>491</v>
      </c>
      <c r="C346" s="0" t="n">
        <v>38</v>
      </c>
      <c r="D346" s="0" t="n">
        <v>483</v>
      </c>
      <c r="E346" s="0" t="n">
        <v>3</v>
      </c>
      <c r="F346" s="0" t="n">
        <v>9</v>
      </c>
      <c r="G346" s="0" t="n">
        <v>40</v>
      </c>
      <c r="H346" s="0" t="n">
        <v>0</v>
      </c>
      <c r="I346" s="0" t="n">
        <v>0</v>
      </c>
      <c r="J346" s="0" t="n">
        <v>67.5</v>
      </c>
      <c r="K346" s="115" t="n">
        <f aca="false">IFERROR(G346/F346/6.89*0.427*F346,0)</f>
        <v>2.47895500725689</v>
      </c>
      <c r="L346" s="115" t="n">
        <f aca="false">IFERROR(D346/C346/12.87*0.633*C346,0)</f>
        <v>23.7559440559441</v>
      </c>
      <c r="M346" s="118"/>
      <c r="N346" s="118"/>
      <c r="O346" s="118"/>
    </row>
    <row r="347" customFormat="false" ht="14.25" hidden="false" customHeight="true" outlineLevel="0" collapsed="false">
      <c r="B347" s="0" t="s">
        <v>492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9.5</v>
      </c>
      <c r="K347" s="115" t="n">
        <f aca="false">IFERROR(G347/F347/6.89*0.427*F347,0)</f>
        <v>0</v>
      </c>
      <c r="L347" s="115" t="n">
        <f aca="false">IFERROR(D347/C347/12.87*0.633*C347,0)</f>
        <v>0</v>
      </c>
      <c r="M347" s="118"/>
      <c r="N347" s="118"/>
      <c r="O347" s="118"/>
    </row>
    <row r="348" customFormat="false" ht="14.25" hidden="false" customHeight="true" outlineLevel="0" collapsed="false">
      <c r="A348" s="0" t="s">
        <v>837</v>
      </c>
      <c r="B348" s="0" t="s">
        <v>508</v>
      </c>
      <c r="C348" s="0" t="n">
        <v>21</v>
      </c>
      <c r="D348" s="0" t="n">
        <v>242.5</v>
      </c>
      <c r="E348" s="0" t="n">
        <v>1.5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43.8</v>
      </c>
      <c r="K348" s="115" t="n">
        <f aca="false">IFERROR(G348/F348/6.89*0.427*F348,0)</f>
        <v>0</v>
      </c>
      <c r="L348" s="115" t="n">
        <f aca="false">IFERROR(D348/C348/12.87*0.633*C348,0)</f>
        <v>11.9271561771562</v>
      </c>
      <c r="M348" s="117" t="n">
        <f aca="false">C350*Scoring!$B$34+D350/Scoring!$C$34+E350*Scoring!$D$34+WR!F350*Scoring!$E$34+WR!G350/Scoring!$F$34+WR!H350*Scoring!$G$34+WR!I350*Scoring!$H$34+K350*Scoring!$I$34+WR!L350*Scoring!$J$34+U348</f>
        <v>0</v>
      </c>
      <c r="N348" s="117" t="n">
        <f aca="false">C348*Scoring!$B$34+D348/Scoring!$C$34+E348*Scoring!$D$34+WR!F348*Scoring!$E$34+WR!G348/Scoring!$F$34+WR!H348*Scoring!$G$34+WR!I348*Scoring!$H$34+K348*Scoring!$I$34+WR!L348*Scoring!$J$34+U348</f>
        <v>43.75</v>
      </c>
      <c r="O348" s="117" t="n">
        <f aca="false">C349*Scoring!$B$34+D349/Scoring!$C$34+E349*Scoring!$D$34+WR!F349*Scoring!$E$34+WR!G349/Scoring!$F$34+WR!H349*Scoring!$G$34+WR!I349*Scoring!$H$34+K349*Scoring!$I$34+WR!L349*Scoring!$J$34+U348</f>
        <v>87.5</v>
      </c>
      <c r="P348" s="53" t="n">
        <f aca="false">IF(COUNTIF(Rookies!$A:$A,A348)&gt;0,1,0)</f>
        <v>0</v>
      </c>
      <c r="S348" s="53" t="n">
        <f aca="false">V348/17</f>
        <v>2.57352941176471</v>
      </c>
      <c r="T348" s="53" t="n">
        <f aca="false">IF(P348=1,MAX(0,0.28*(12-S348)),0)</f>
        <v>0</v>
      </c>
      <c r="U348" s="53" t="n">
        <f aca="false">T348*17</f>
        <v>0</v>
      </c>
      <c r="V348" s="53" t="n">
        <f aca="false">C348*Scoring!$B$34+D348/Scoring!$C$34+E348*Scoring!$D$34+WR!F348*Scoring!$E$34+WR!G348/Scoring!$F$34+WR!H348*Scoring!$G$34+WR!I348*Scoring!$H$34+K348*Scoring!$I$34+WR!L348*Scoring!$J$34</f>
        <v>43.75</v>
      </c>
    </row>
    <row r="349" customFormat="false" ht="14.25" hidden="false" customHeight="true" outlineLevel="0" collapsed="false">
      <c r="B349" s="0" t="s">
        <v>491</v>
      </c>
      <c r="C349" s="0" t="n">
        <v>42</v>
      </c>
      <c r="D349" s="0" t="n">
        <v>485</v>
      </c>
      <c r="E349" s="0" t="n">
        <v>3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68.5</v>
      </c>
      <c r="K349" s="115" t="n">
        <f aca="false">IFERROR(G349/F349/6.89*0.427*F349,0)</f>
        <v>0</v>
      </c>
      <c r="L349" s="115" t="n">
        <f aca="false">IFERROR(D349/C349/12.87*0.633*C349,0)</f>
        <v>23.8543123543124</v>
      </c>
      <c r="M349" s="118"/>
      <c r="N349" s="118"/>
      <c r="O349" s="118"/>
    </row>
    <row r="350" customFormat="false" ht="14.25" hidden="false" customHeight="true" outlineLevel="0" collapsed="false">
      <c r="B350" s="0" t="s">
        <v>492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10.5</v>
      </c>
      <c r="K350" s="115" t="n">
        <f aca="false">IFERROR(G350/F350/6.89*0.427*F350,0)</f>
        <v>0</v>
      </c>
      <c r="L350" s="115" t="n">
        <f aca="false">IFERROR(D350/C350/12.87*0.633*C350,0)</f>
        <v>0</v>
      </c>
      <c r="M350" s="118"/>
      <c r="N350" s="118"/>
      <c r="O350" s="118"/>
    </row>
    <row r="351" customFormat="false" ht="14.25" hidden="false" customHeight="true" outlineLevel="0" collapsed="false">
      <c r="A351" s="0" t="s">
        <v>838</v>
      </c>
      <c r="B351" s="0" t="s">
        <v>512</v>
      </c>
      <c r="C351" s="0" t="n">
        <v>19.4</v>
      </c>
      <c r="D351" s="0" t="n">
        <v>245</v>
      </c>
      <c r="E351" s="0" t="n">
        <v>1.5</v>
      </c>
      <c r="F351" s="0" t="n">
        <v>0</v>
      </c>
      <c r="G351" s="0" t="n">
        <v>0</v>
      </c>
      <c r="H351" s="0" t="n">
        <v>0</v>
      </c>
      <c r="I351" s="0" t="n">
        <v>0.2</v>
      </c>
      <c r="J351" s="0" t="n">
        <v>43</v>
      </c>
      <c r="K351" s="115" t="n">
        <f aca="false">IFERROR(G351/F351/6.89*0.427*F351,0)</f>
        <v>0</v>
      </c>
      <c r="L351" s="115" t="n">
        <f aca="false">IFERROR(D351/C351/12.87*0.633*C351,0)</f>
        <v>12.0501165501166</v>
      </c>
      <c r="M351" s="117" t="n">
        <f aca="false">C353*Scoring!$B$34+D353/Scoring!$C$34+E353*Scoring!$D$34+WR!F353*Scoring!$E$34+WR!G353/Scoring!$F$34+WR!H353*Scoring!$G$34+WR!I353*Scoring!$H$34+K353*Scoring!$I$34+WR!L353*Scoring!$J$34+U351</f>
        <v>87.936</v>
      </c>
      <c r="N351" s="117" t="n">
        <f aca="false">C351*Scoring!$B$34+D351/Scoring!$C$34+E351*Scoring!$D$34+WR!F351*Scoring!$E$34+WR!G351/Scoring!$F$34+WR!H351*Scoring!$G$34+WR!I351*Scoring!$H$34+K351*Scoring!$I$34+WR!L351*Scoring!$J$34+U351</f>
        <v>87.936</v>
      </c>
      <c r="O351" s="117" t="n">
        <f aca="false">C352*Scoring!$B$34+D352/Scoring!$C$34+E352*Scoring!$D$34+WR!F352*Scoring!$E$34+WR!G352/Scoring!$F$34+WR!H352*Scoring!$G$34+WR!I352*Scoring!$H$34+K352*Scoring!$I$34+WR!L352*Scoring!$J$34+U351</f>
        <v>87.936</v>
      </c>
      <c r="P351" s="53" t="n">
        <f aca="false">IF(COUNTIF(Rookies!$A:$A,A351)&gt;0,1,0)</f>
        <v>1</v>
      </c>
      <c r="S351" s="53" t="n">
        <f aca="false">V351/17</f>
        <v>2.51764705882353</v>
      </c>
      <c r="T351" s="53" t="n">
        <f aca="false">IF(P351=1,MAX(0,0.28*(12-S351)),0)</f>
        <v>2.65505882352941</v>
      </c>
      <c r="U351" s="53" t="n">
        <f aca="false">T351*17</f>
        <v>45.136</v>
      </c>
      <c r="V351" s="53" t="n">
        <f aca="false">C351*Scoring!$B$34+D351/Scoring!$C$34+E351*Scoring!$D$34+WR!F351*Scoring!$E$34+WR!G351/Scoring!$F$34+WR!H351*Scoring!$G$34+WR!I351*Scoring!$H$34+K351*Scoring!$I$34+WR!L351*Scoring!$J$34</f>
        <v>42.8</v>
      </c>
    </row>
    <row r="352" customFormat="false" ht="14.25" hidden="false" customHeight="true" outlineLevel="0" collapsed="false">
      <c r="B352" s="0" t="s">
        <v>491</v>
      </c>
      <c r="C352" s="0" t="n">
        <v>19.4</v>
      </c>
      <c r="D352" s="0" t="n">
        <v>245</v>
      </c>
      <c r="E352" s="0" t="n">
        <v>1.5</v>
      </c>
      <c r="F352" s="0" t="n">
        <v>0</v>
      </c>
      <c r="G352" s="0" t="n">
        <v>0</v>
      </c>
      <c r="H352" s="0" t="n">
        <v>0</v>
      </c>
      <c r="I352" s="0" t="n">
        <v>0.2</v>
      </c>
      <c r="J352" s="0" t="n">
        <v>43.1</v>
      </c>
      <c r="K352" s="115" t="n">
        <f aca="false">IFERROR(G352/F352/6.89*0.427*F352,0)</f>
        <v>0</v>
      </c>
      <c r="L352" s="115" t="n">
        <f aca="false">IFERROR(D352/C352/12.87*0.633*C352,0)</f>
        <v>12.0501165501166</v>
      </c>
      <c r="M352" s="118"/>
      <c r="N352" s="118"/>
      <c r="O352" s="118"/>
    </row>
    <row r="353" customFormat="false" ht="14.25" hidden="false" customHeight="true" outlineLevel="0" collapsed="false">
      <c r="B353" s="0" t="s">
        <v>492</v>
      </c>
      <c r="C353" s="0" t="n">
        <v>19.4</v>
      </c>
      <c r="D353" s="0" t="n">
        <v>245</v>
      </c>
      <c r="E353" s="0" t="n">
        <v>1.5</v>
      </c>
      <c r="F353" s="0" t="n">
        <v>0</v>
      </c>
      <c r="G353" s="0" t="n">
        <v>0</v>
      </c>
      <c r="H353" s="0" t="n">
        <v>0</v>
      </c>
      <c r="I353" s="0" t="n">
        <v>0.2</v>
      </c>
      <c r="J353" s="0" t="n">
        <v>43.1</v>
      </c>
      <c r="K353" s="115" t="n">
        <f aca="false">IFERROR(G353/F353/6.89*0.427*F353,0)</f>
        <v>0</v>
      </c>
      <c r="L353" s="115" t="n">
        <f aca="false">IFERROR(D353/C353/12.87*0.633*C353,0)</f>
        <v>12.0501165501166</v>
      </c>
      <c r="M353" s="118"/>
      <c r="N353" s="118"/>
      <c r="O353" s="118"/>
    </row>
    <row r="354" customFormat="false" ht="14.25" hidden="false" customHeight="true" outlineLevel="0" collapsed="false">
      <c r="A354" s="0" t="s">
        <v>839</v>
      </c>
      <c r="B354" s="0" t="s">
        <v>496</v>
      </c>
      <c r="C354" s="0" t="n">
        <v>14.3</v>
      </c>
      <c r="D354" s="0" t="n">
        <v>221</v>
      </c>
      <c r="E354" s="0" t="n">
        <v>2.3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42.7</v>
      </c>
      <c r="K354" s="115" t="n">
        <f aca="false">IFERROR(G354/F354/6.89*0.427*F354,0)</f>
        <v>0</v>
      </c>
      <c r="L354" s="115" t="n">
        <f aca="false">IFERROR(D354/C354/12.87*0.633*C354,0)</f>
        <v>10.869696969697</v>
      </c>
      <c r="M354" s="117" t="n">
        <f aca="false">C356*Scoring!$B$34+D356/Scoring!$C$34+E356*Scoring!$D$34+WR!F356*Scoring!$E$34+WR!G356/Scoring!$F$34+WR!H356*Scoring!$G$34+WR!I356*Scoring!$H$34+K356*Scoring!$I$34+WR!L356*Scoring!$J$34+U354</f>
        <v>14.16</v>
      </c>
      <c r="N354" s="117" t="n">
        <f aca="false">C354*Scoring!$B$34+D354/Scoring!$C$34+E354*Scoring!$D$34+WR!F354*Scoring!$E$34+WR!G354/Scoring!$F$34+WR!H354*Scoring!$G$34+WR!I354*Scoring!$H$34+K354*Scoring!$I$34+WR!L354*Scoring!$J$34+U354</f>
        <v>43.05</v>
      </c>
      <c r="O354" s="117" t="n">
        <f aca="false">C355*Scoring!$B$34+D355/Scoring!$C$34+E355*Scoring!$D$34+WR!F355*Scoring!$E$34+WR!G355/Scoring!$F$34+WR!H355*Scoring!$G$34+WR!I355*Scoring!$H$34+K355*Scoring!$I$34+WR!L355*Scoring!$J$34+U354</f>
        <v>71.2</v>
      </c>
      <c r="P354" s="53" t="n">
        <f aca="false">IF(COUNTIF(Rookies!$A:$A,A354)&gt;0,1,0)</f>
        <v>0</v>
      </c>
      <c r="S354" s="53" t="n">
        <f aca="false">V354/17</f>
        <v>2.53235294117647</v>
      </c>
      <c r="T354" s="53" t="n">
        <f aca="false">IF(P354=1,MAX(0,0.28*(12-S354)),0)</f>
        <v>0</v>
      </c>
      <c r="U354" s="53" t="n">
        <f aca="false">T354*17</f>
        <v>0</v>
      </c>
      <c r="V354" s="53" t="n">
        <f aca="false">C354*Scoring!$B$34+D354/Scoring!$C$34+E354*Scoring!$D$34+WR!F354*Scoring!$E$34+WR!G354/Scoring!$F$34+WR!H354*Scoring!$G$34+WR!I354*Scoring!$H$34+K354*Scoring!$I$34+WR!L354*Scoring!$J$34</f>
        <v>43.05</v>
      </c>
    </row>
    <row r="355" customFormat="false" ht="14.25" hidden="false" customHeight="true" outlineLevel="0" collapsed="false">
      <c r="B355" s="0" t="s">
        <v>491</v>
      </c>
      <c r="C355" s="0" t="n">
        <v>22</v>
      </c>
      <c r="D355" s="0" t="n">
        <v>362</v>
      </c>
      <c r="E355" s="0" t="n">
        <v>4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60.2</v>
      </c>
      <c r="K355" s="115" t="n">
        <f aca="false">IFERROR(G355/F355/6.89*0.427*F355,0)</f>
        <v>0</v>
      </c>
      <c r="L355" s="115" t="n">
        <f aca="false">IFERROR(D355/C355/12.87*0.633*C355,0)</f>
        <v>17.804662004662</v>
      </c>
      <c r="M355" s="118"/>
      <c r="N355" s="118"/>
      <c r="O355" s="118"/>
    </row>
    <row r="356" customFormat="false" ht="14.25" hidden="false" customHeight="true" outlineLevel="0" collapsed="false">
      <c r="B356" s="0" t="s">
        <v>492</v>
      </c>
      <c r="C356" s="0" t="n">
        <v>6.7</v>
      </c>
      <c r="D356" s="0" t="n">
        <v>80.1</v>
      </c>
      <c r="E356" s="0" t="n">
        <v>0.5</v>
      </c>
      <c r="F356" s="0" t="n">
        <v>0</v>
      </c>
      <c r="G356" s="0" t="n">
        <v>0</v>
      </c>
      <c r="H356" s="0" t="n">
        <v>0</v>
      </c>
      <c r="I356" s="0" t="n">
        <v>0.1</v>
      </c>
      <c r="J356" s="0" t="n">
        <v>18.9</v>
      </c>
      <c r="K356" s="115" t="n">
        <f aca="false">IFERROR(G356/F356/6.89*0.427*F356,0)</f>
        <v>0</v>
      </c>
      <c r="L356" s="115" t="n">
        <f aca="false">IFERROR(D356/C356/12.87*0.633*C356,0)</f>
        <v>3.93965034965035</v>
      </c>
      <c r="M356" s="118"/>
      <c r="N356" s="118"/>
      <c r="O356" s="118"/>
    </row>
    <row r="357" customFormat="false" ht="14.25" hidden="false" customHeight="true" outlineLevel="0" collapsed="false">
      <c r="A357" s="0" t="s">
        <v>840</v>
      </c>
      <c r="B357" s="0" t="s">
        <v>498</v>
      </c>
      <c r="C357" s="0" t="n">
        <v>15.9</v>
      </c>
      <c r="D357" s="0" t="n">
        <v>229.7</v>
      </c>
      <c r="E357" s="0" t="n">
        <v>1.4</v>
      </c>
      <c r="F357" s="0" t="n">
        <v>4.1</v>
      </c>
      <c r="G357" s="0" t="n">
        <v>22.4</v>
      </c>
      <c r="H357" s="0" t="n">
        <v>0.2</v>
      </c>
      <c r="I357" s="0" t="n">
        <v>0.2</v>
      </c>
      <c r="J357" s="0" t="n">
        <v>42.2</v>
      </c>
      <c r="K357" s="115" t="n">
        <f aca="false">IFERROR(G357/F357/6.89*0.427*F357,0)</f>
        <v>1.38821480406386</v>
      </c>
      <c r="L357" s="115" t="n">
        <f aca="false">IFERROR(D357/C357/12.87*0.633*C357,0)</f>
        <v>11.2975990675991</v>
      </c>
      <c r="M357" s="117" t="n">
        <f aca="false">C359*Scoring!$B$34+D359/Scoring!$C$34+E359*Scoring!$D$34+WR!F359*Scoring!$E$34+WR!G359/Scoring!$F$34+WR!H359*Scoring!$G$34+WR!I359*Scoring!$H$34+K359*Scoring!$I$34+WR!L359*Scoring!$J$34+U357</f>
        <v>42.36</v>
      </c>
      <c r="N357" s="117" t="n">
        <f aca="false">C357*Scoring!$B$34+D357/Scoring!$C$34+E357*Scoring!$D$34+WR!F357*Scoring!$E$34+WR!G357/Scoring!$F$34+WR!H357*Scoring!$G$34+WR!I357*Scoring!$H$34+K357*Scoring!$I$34+WR!L357*Scoring!$J$34+U357</f>
        <v>42.36</v>
      </c>
      <c r="O357" s="117" t="n">
        <f aca="false">C358*Scoring!$B$34+D358/Scoring!$C$34+E358*Scoring!$D$34+WR!F358*Scoring!$E$34+WR!G358/Scoring!$F$34+WR!H358*Scoring!$G$34+WR!I358*Scoring!$H$34+K358*Scoring!$I$34+WR!L358*Scoring!$J$34+U357</f>
        <v>42.36</v>
      </c>
      <c r="P357" s="53" t="n">
        <f aca="false">IF(COUNTIF(Rookies!$A:$A,A357)&gt;0,1,0)</f>
        <v>0</v>
      </c>
      <c r="S357" s="53" t="n">
        <f aca="false">V357/17</f>
        <v>2.49176470588235</v>
      </c>
      <c r="T357" s="53" t="n">
        <f aca="false">IF(P357=1,MAX(0,0.28*(12-S357)),0)</f>
        <v>0</v>
      </c>
      <c r="U357" s="53" t="n">
        <f aca="false">T357*17</f>
        <v>0</v>
      </c>
      <c r="V357" s="53" t="n">
        <f aca="false">C357*Scoring!$B$34+D357/Scoring!$C$34+E357*Scoring!$D$34+WR!F357*Scoring!$E$34+WR!G357/Scoring!$F$34+WR!H357*Scoring!$G$34+WR!I357*Scoring!$H$34+K357*Scoring!$I$34+WR!L357*Scoring!$J$34</f>
        <v>42.36</v>
      </c>
    </row>
    <row r="358" customFormat="false" ht="14.25" hidden="false" customHeight="true" outlineLevel="0" collapsed="false">
      <c r="B358" s="0" t="s">
        <v>491</v>
      </c>
      <c r="C358" s="0" t="n">
        <v>15.9</v>
      </c>
      <c r="D358" s="0" t="n">
        <v>229.7</v>
      </c>
      <c r="E358" s="0" t="n">
        <v>1.4</v>
      </c>
      <c r="F358" s="0" t="n">
        <v>4.1</v>
      </c>
      <c r="G358" s="0" t="n">
        <v>22.4</v>
      </c>
      <c r="H358" s="0" t="n">
        <v>0.2</v>
      </c>
      <c r="I358" s="0" t="n">
        <v>0.2</v>
      </c>
      <c r="J358" s="0" t="n">
        <v>42.8</v>
      </c>
      <c r="K358" s="115" t="n">
        <f aca="false">IFERROR(G358/F358/6.89*0.427*F358,0)</f>
        <v>1.38821480406386</v>
      </c>
      <c r="L358" s="115" t="n">
        <f aca="false">IFERROR(D358/C358/12.87*0.633*C358,0)</f>
        <v>11.2975990675991</v>
      </c>
      <c r="M358" s="118"/>
      <c r="N358" s="118"/>
      <c r="O358" s="118"/>
    </row>
    <row r="359" customFormat="false" ht="14.25" hidden="false" customHeight="true" outlineLevel="0" collapsed="false">
      <c r="B359" s="0" t="s">
        <v>492</v>
      </c>
      <c r="C359" s="0" t="n">
        <v>15.9</v>
      </c>
      <c r="D359" s="0" t="n">
        <v>229.7</v>
      </c>
      <c r="E359" s="0" t="n">
        <v>1.4</v>
      </c>
      <c r="F359" s="0" t="n">
        <v>4.1</v>
      </c>
      <c r="G359" s="0" t="n">
        <v>22.4</v>
      </c>
      <c r="H359" s="0" t="n">
        <v>0.2</v>
      </c>
      <c r="I359" s="0" t="n">
        <v>0.2</v>
      </c>
      <c r="J359" s="0" t="n">
        <v>42.8</v>
      </c>
      <c r="K359" s="115" t="n">
        <f aca="false">IFERROR(G359/F359/6.89*0.427*F359,0)</f>
        <v>1.38821480406386</v>
      </c>
      <c r="L359" s="115" t="n">
        <f aca="false">IFERROR(D359/C359/12.87*0.633*C359,0)</f>
        <v>11.2975990675991</v>
      </c>
      <c r="M359" s="118"/>
      <c r="N359" s="118"/>
      <c r="O359" s="118"/>
    </row>
    <row r="360" customFormat="false" ht="14.25" hidden="false" customHeight="true" outlineLevel="0" collapsed="false">
      <c r="A360" s="0" t="s">
        <v>841</v>
      </c>
      <c r="B360" s="0" t="s">
        <v>516</v>
      </c>
      <c r="C360" s="0" t="n">
        <v>16</v>
      </c>
      <c r="D360" s="0" t="n">
        <v>233</v>
      </c>
      <c r="E360" s="0" t="n">
        <v>1.3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39.1</v>
      </c>
      <c r="K360" s="115" t="n">
        <f aca="false">IFERROR(G360/F360/6.89*0.427*F360,0)</f>
        <v>0</v>
      </c>
      <c r="L360" s="115" t="n">
        <f aca="false">IFERROR(D360/C360/12.87*0.633*C360,0)</f>
        <v>11.4599067599068</v>
      </c>
      <c r="M360" s="117" t="n">
        <f aca="false">C362*Scoring!$B$34+D362/Scoring!$C$34+E362*Scoring!$D$34+WR!F362*Scoring!$E$34+WR!G362/Scoring!$F$34+WR!H362*Scoring!$G$34+WR!I362*Scoring!$H$34+K362*Scoring!$I$34+WR!L362*Scoring!$J$34+U360</f>
        <v>39.1</v>
      </c>
      <c r="N360" s="117" t="n">
        <f aca="false">C360*Scoring!$B$34+D360/Scoring!$C$34+E360*Scoring!$D$34+WR!F360*Scoring!$E$34+WR!G360/Scoring!$F$34+WR!H360*Scoring!$G$34+WR!I360*Scoring!$H$34+K360*Scoring!$I$34+WR!L360*Scoring!$J$34+U360</f>
        <v>39.1</v>
      </c>
      <c r="O360" s="117" t="n">
        <f aca="false">C361*Scoring!$B$34+D361/Scoring!$C$34+E361*Scoring!$D$34+WR!F361*Scoring!$E$34+WR!G361/Scoring!$F$34+WR!H361*Scoring!$G$34+WR!I361*Scoring!$H$34+K361*Scoring!$I$34+WR!L361*Scoring!$J$34+U360</f>
        <v>39.1</v>
      </c>
      <c r="P360" s="53" t="n">
        <f aca="false">IF(COUNTIF(Rookies!$A:$A,A360)&gt;0,1,0)</f>
        <v>0</v>
      </c>
      <c r="S360" s="53" t="n">
        <f aca="false">V360/17</f>
        <v>2.3</v>
      </c>
      <c r="T360" s="53" t="n">
        <f aca="false">IF(P360=1,MAX(0,0.28*(12-S360)),0)</f>
        <v>0</v>
      </c>
      <c r="U360" s="53" t="n">
        <f aca="false">T360*17</f>
        <v>0</v>
      </c>
      <c r="V360" s="53" t="n">
        <f aca="false">C360*Scoring!$B$34+D360/Scoring!$C$34+E360*Scoring!$D$34+WR!F360*Scoring!$E$34+WR!G360/Scoring!$F$34+WR!H360*Scoring!$G$34+WR!I360*Scoring!$H$34+K360*Scoring!$I$34+WR!L360*Scoring!$J$34</f>
        <v>39.1</v>
      </c>
    </row>
    <row r="361" customFormat="false" ht="14.25" hidden="false" customHeight="true" outlineLevel="0" collapsed="false">
      <c r="B361" s="0" t="s">
        <v>491</v>
      </c>
      <c r="C361" s="0" t="n">
        <v>16</v>
      </c>
      <c r="D361" s="0" t="n">
        <v>233</v>
      </c>
      <c r="E361" s="0" t="n">
        <v>1.3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39.1</v>
      </c>
      <c r="K361" s="115" t="n">
        <f aca="false">IFERROR(G361/F361/6.89*0.427*F361,0)</f>
        <v>0</v>
      </c>
      <c r="L361" s="115" t="n">
        <f aca="false">IFERROR(D361/C361/12.87*0.633*C361,0)</f>
        <v>11.4599067599068</v>
      </c>
      <c r="M361" s="118"/>
      <c r="N361" s="118"/>
      <c r="O361" s="118"/>
    </row>
    <row r="362" customFormat="false" ht="14.25" hidden="false" customHeight="true" outlineLevel="0" collapsed="false">
      <c r="B362" s="0" t="s">
        <v>492</v>
      </c>
      <c r="C362" s="0" t="n">
        <v>16</v>
      </c>
      <c r="D362" s="0" t="n">
        <v>233</v>
      </c>
      <c r="E362" s="0" t="n">
        <v>1.3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39.1</v>
      </c>
      <c r="K362" s="115" t="n">
        <f aca="false">IFERROR(G362/F362/6.89*0.427*F362,0)</f>
        <v>0</v>
      </c>
      <c r="L362" s="115" t="n">
        <f aca="false">IFERROR(D362/C362/12.87*0.633*C362,0)</f>
        <v>11.4599067599068</v>
      </c>
      <c r="M362" s="118"/>
      <c r="N362" s="118"/>
      <c r="O362" s="118"/>
    </row>
    <row r="363" customFormat="false" ht="14.25" hidden="false" customHeight="true" outlineLevel="0" collapsed="false">
      <c r="A363" s="0" t="s">
        <v>842</v>
      </c>
      <c r="B363" s="0" t="s">
        <v>546</v>
      </c>
      <c r="C363" s="0" t="n">
        <v>22.8</v>
      </c>
      <c r="D363" s="0" t="n">
        <v>239.1</v>
      </c>
      <c r="E363" s="0" t="n">
        <v>0.7</v>
      </c>
      <c r="F363" s="0" t="n">
        <v>0</v>
      </c>
      <c r="G363" s="0" t="n">
        <v>0</v>
      </c>
      <c r="H363" s="0" t="n">
        <v>0</v>
      </c>
      <c r="I363" s="0" t="n">
        <v>0.2</v>
      </c>
      <c r="J363" s="0" t="n">
        <v>38.8</v>
      </c>
      <c r="K363" s="115" t="n">
        <f aca="false">IFERROR(G363/F363/6.89*0.427*F363,0)</f>
        <v>0</v>
      </c>
      <c r="L363" s="115" t="n">
        <f aca="false">IFERROR(D363/C363/12.87*0.633*C363,0)</f>
        <v>11.7599300699301</v>
      </c>
      <c r="M363" s="117" t="n">
        <f aca="false">C365*Scoring!$B$34+D365/Scoring!$C$34+E365*Scoring!$D$34+WR!F365*Scoring!$E$34+WR!G365/Scoring!$F$34+WR!H365*Scoring!$G$34+WR!I365*Scoring!$H$34+K365*Scoring!$I$34+WR!L365*Scoring!$J$34+U363</f>
        <v>39.11</v>
      </c>
      <c r="N363" s="117" t="n">
        <f aca="false">C363*Scoring!$B$34+D363/Scoring!$C$34+E363*Scoring!$D$34+WR!F363*Scoring!$E$34+WR!G363/Scoring!$F$34+WR!H363*Scoring!$G$34+WR!I363*Scoring!$H$34+K363*Scoring!$I$34+WR!L363*Scoring!$J$34+U363</f>
        <v>39.11</v>
      </c>
      <c r="O363" s="117" t="n">
        <f aca="false">C364*Scoring!$B$34+D364/Scoring!$C$34+E364*Scoring!$D$34+WR!F364*Scoring!$E$34+WR!G364/Scoring!$F$34+WR!H364*Scoring!$G$34+WR!I364*Scoring!$H$34+K364*Scoring!$I$34+WR!L364*Scoring!$J$34+U363</f>
        <v>39.11</v>
      </c>
      <c r="P363" s="53" t="n">
        <f aca="false">IF(COUNTIF(Rookies!$A:$A,A363)&gt;0,1,0)</f>
        <v>0</v>
      </c>
      <c r="S363" s="53" t="n">
        <f aca="false">V363/17</f>
        <v>2.30058823529412</v>
      </c>
      <c r="T363" s="53" t="n">
        <f aca="false">IF(P363=1,MAX(0,0.28*(12-S363)),0)</f>
        <v>0</v>
      </c>
      <c r="U363" s="53" t="n">
        <f aca="false">T363*17</f>
        <v>0</v>
      </c>
      <c r="V363" s="53" t="n">
        <f aca="false">C363*Scoring!$B$34+D363/Scoring!$C$34+E363*Scoring!$D$34+WR!F363*Scoring!$E$34+WR!G363/Scoring!$F$34+WR!H363*Scoring!$G$34+WR!I363*Scoring!$H$34+K363*Scoring!$I$34+WR!L363*Scoring!$J$34</f>
        <v>39.11</v>
      </c>
    </row>
    <row r="364" customFormat="false" ht="14.25" hidden="false" customHeight="true" outlineLevel="0" collapsed="false">
      <c r="B364" s="0" t="s">
        <v>491</v>
      </c>
      <c r="C364" s="0" t="n">
        <v>22.8</v>
      </c>
      <c r="D364" s="0" t="n">
        <v>239.1</v>
      </c>
      <c r="E364" s="0" t="n">
        <v>0.7</v>
      </c>
      <c r="F364" s="0" t="n">
        <v>0</v>
      </c>
      <c r="G364" s="0" t="n">
        <v>0</v>
      </c>
      <c r="H364" s="0" t="n">
        <v>0</v>
      </c>
      <c r="I364" s="0" t="n">
        <v>0.2</v>
      </c>
      <c r="J364" s="0" t="n">
        <v>38.9</v>
      </c>
      <c r="K364" s="115" t="n">
        <f aca="false">IFERROR(G364/F364/6.89*0.427*F364,0)</f>
        <v>0</v>
      </c>
      <c r="L364" s="115" t="n">
        <f aca="false">IFERROR(D364/C364/12.87*0.633*C364,0)</f>
        <v>11.7599300699301</v>
      </c>
      <c r="M364" s="118"/>
      <c r="N364" s="118"/>
      <c r="O364" s="118"/>
    </row>
    <row r="365" customFormat="false" ht="14.25" hidden="false" customHeight="true" outlineLevel="0" collapsed="false">
      <c r="B365" s="0" t="s">
        <v>492</v>
      </c>
      <c r="C365" s="0" t="n">
        <v>22.8</v>
      </c>
      <c r="D365" s="0" t="n">
        <v>239.1</v>
      </c>
      <c r="E365" s="0" t="n">
        <v>0.7</v>
      </c>
      <c r="F365" s="0" t="n">
        <v>0</v>
      </c>
      <c r="G365" s="0" t="n">
        <v>0</v>
      </c>
      <c r="H365" s="0" t="n">
        <v>0</v>
      </c>
      <c r="I365" s="0" t="n">
        <v>0.2</v>
      </c>
      <c r="J365" s="0" t="n">
        <v>38.9</v>
      </c>
      <c r="K365" s="115" t="n">
        <f aca="false">IFERROR(G365/F365/6.89*0.427*F365,0)</f>
        <v>0</v>
      </c>
      <c r="L365" s="115" t="n">
        <f aca="false">IFERROR(D365/C365/12.87*0.633*C365,0)</f>
        <v>11.7599300699301</v>
      </c>
      <c r="M365" s="118"/>
      <c r="N365" s="118"/>
      <c r="O365" s="118"/>
    </row>
    <row r="366" customFormat="false" ht="14.25" hidden="false" customHeight="true" outlineLevel="0" collapsed="false">
      <c r="A366" s="0" t="s">
        <v>843</v>
      </c>
      <c r="B366" s="0" t="s">
        <v>496</v>
      </c>
      <c r="C366" s="0" t="n">
        <v>15.8</v>
      </c>
      <c r="D366" s="0" t="n">
        <v>216.5</v>
      </c>
      <c r="E366" s="0" t="n">
        <v>1.6</v>
      </c>
      <c r="F366" s="0" t="n">
        <v>0</v>
      </c>
      <c r="G366" s="0" t="n">
        <v>0</v>
      </c>
      <c r="H366" s="0" t="n">
        <v>0</v>
      </c>
      <c r="I366" s="0" t="n">
        <v>0.2</v>
      </c>
      <c r="J366" s="0" t="n">
        <v>38.7</v>
      </c>
      <c r="K366" s="115" t="n">
        <f aca="false">IFERROR(G366/F366/6.89*0.427*F366,0)</f>
        <v>0</v>
      </c>
      <c r="L366" s="115" t="n">
        <f aca="false">IFERROR(D366/C366/12.87*0.633*C366,0)</f>
        <v>10.6483682983683</v>
      </c>
      <c r="M366" s="117" t="n">
        <f aca="false">C368*Scoring!$B$34+D368/Scoring!$C$34+E368*Scoring!$D$34+WR!F368*Scoring!$E$34+WR!G368/Scoring!$F$34+WR!H368*Scoring!$G$34+WR!I368*Scoring!$H$34+K368*Scoring!$I$34+WR!L368*Scoring!$J$34+U366</f>
        <v>38.75</v>
      </c>
      <c r="N366" s="117" t="n">
        <f aca="false">C366*Scoring!$B$34+D366/Scoring!$C$34+E366*Scoring!$D$34+WR!F366*Scoring!$E$34+WR!G366/Scoring!$F$34+WR!H366*Scoring!$G$34+WR!I366*Scoring!$H$34+K366*Scoring!$I$34+WR!L366*Scoring!$J$34+U366</f>
        <v>38.75</v>
      </c>
      <c r="O366" s="117" t="n">
        <f aca="false">C367*Scoring!$B$34+D367/Scoring!$C$34+E367*Scoring!$D$34+WR!F367*Scoring!$E$34+WR!G367/Scoring!$F$34+WR!H367*Scoring!$G$34+WR!I367*Scoring!$H$34+K367*Scoring!$I$34+WR!L367*Scoring!$J$34+U366</f>
        <v>38.75</v>
      </c>
      <c r="P366" s="53" t="n">
        <f aca="false">IF(COUNTIF(Rookies!$A:$A,A366)&gt;0,1,0)</f>
        <v>0</v>
      </c>
      <c r="S366" s="53" t="n">
        <f aca="false">V366/17</f>
        <v>2.27941176470588</v>
      </c>
      <c r="T366" s="53" t="n">
        <f aca="false">IF(P366=1,MAX(0,0.28*(12-S366)),0)</f>
        <v>0</v>
      </c>
      <c r="U366" s="53" t="n">
        <f aca="false">T366*17</f>
        <v>0</v>
      </c>
      <c r="V366" s="53" t="n">
        <f aca="false">C366*Scoring!$B$34+D366/Scoring!$C$34+E366*Scoring!$D$34+WR!F366*Scoring!$E$34+WR!G366/Scoring!$F$34+WR!H366*Scoring!$G$34+WR!I366*Scoring!$H$34+K366*Scoring!$I$34+WR!L366*Scoring!$J$34</f>
        <v>38.75</v>
      </c>
    </row>
    <row r="367" customFormat="false" ht="14.25" hidden="false" customHeight="true" outlineLevel="0" collapsed="false">
      <c r="B367" s="0" t="s">
        <v>491</v>
      </c>
      <c r="C367" s="0" t="n">
        <v>15.8</v>
      </c>
      <c r="D367" s="0" t="n">
        <v>216.5</v>
      </c>
      <c r="E367" s="0" t="n">
        <v>1.6</v>
      </c>
      <c r="F367" s="0" t="n">
        <v>0</v>
      </c>
      <c r="G367" s="0" t="n">
        <v>0</v>
      </c>
      <c r="H367" s="0" t="n">
        <v>0</v>
      </c>
      <c r="I367" s="0" t="n">
        <v>0.2</v>
      </c>
      <c r="J367" s="0" t="n">
        <v>39</v>
      </c>
      <c r="K367" s="115" t="n">
        <f aca="false">IFERROR(G367/F367/6.89*0.427*F367,0)</f>
        <v>0</v>
      </c>
      <c r="L367" s="115" t="n">
        <f aca="false">IFERROR(D367/C367/12.87*0.633*C367,0)</f>
        <v>10.6483682983683</v>
      </c>
      <c r="M367" s="118"/>
      <c r="N367" s="118"/>
      <c r="O367" s="118"/>
    </row>
    <row r="368" customFormat="false" ht="14.25" hidden="false" customHeight="true" outlineLevel="0" collapsed="false">
      <c r="B368" s="0" t="s">
        <v>492</v>
      </c>
      <c r="C368" s="0" t="n">
        <v>15.8</v>
      </c>
      <c r="D368" s="0" t="n">
        <v>216.5</v>
      </c>
      <c r="E368" s="0" t="n">
        <v>1.6</v>
      </c>
      <c r="F368" s="0" t="n">
        <v>0</v>
      </c>
      <c r="G368" s="0" t="n">
        <v>0</v>
      </c>
      <c r="H368" s="0" t="n">
        <v>0</v>
      </c>
      <c r="I368" s="0" t="n">
        <v>0.2</v>
      </c>
      <c r="J368" s="0" t="n">
        <v>39</v>
      </c>
      <c r="K368" s="115" t="n">
        <f aca="false">IFERROR(G368/F368/6.89*0.427*F368,0)</f>
        <v>0</v>
      </c>
      <c r="L368" s="115" t="n">
        <f aca="false">IFERROR(D368/C368/12.87*0.633*C368,0)</f>
        <v>10.6483682983683</v>
      </c>
      <c r="M368" s="118"/>
      <c r="N368" s="118"/>
      <c r="O368" s="118"/>
    </row>
    <row r="369" customFormat="false" ht="14.25" hidden="false" customHeight="true" outlineLevel="0" collapsed="false">
      <c r="A369" s="0" t="s">
        <v>844</v>
      </c>
      <c r="B369" s="0" t="s">
        <v>496</v>
      </c>
      <c r="C369" s="0" t="n">
        <v>15</v>
      </c>
      <c r="D369" s="0" t="n">
        <v>217.3</v>
      </c>
      <c r="E369" s="0" t="n">
        <v>1.4</v>
      </c>
      <c r="F369" s="0" t="n">
        <v>0</v>
      </c>
      <c r="G369" s="0" t="n">
        <v>0</v>
      </c>
      <c r="H369" s="0" t="n">
        <v>0</v>
      </c>
      <c r="I369" s="0" t="n">
        <v>0.1</v>
      </c>
      <c r="J369" s="0" t="n">
        <v>37.1</v>
      </c>
      <c r="K369" s="115" t="n">
        <f aca="false">IFERROR(G369/F369/6.89*0.427*F369,0)</f>
        <v>0</v>
      </c>
      <c r="L369" s="115" t="n">
        <f aca="false">IFERROR(D369/C369/12.87*0.633*C369,0)</f>
        <v>10.6877156177156</v>
      </c>
      <c r="M369" s="117" t="n">
        <f aca="false">C371*Scoring!$B$34+D371/Scoring!$C$34+E371*Scoring!$D$34+WR!F371*Scoring!$E$34+WR!G371/Scoring!$F$34+WR!H371*Scoring!$G$34+WR!I371*Scoring!$H$34+K371*Scoring!$I$34+WR!L371*Scoring!$J$34+U369</f>
        <v>37.43</v>
      </c>
      <c r="N369" s="117" t="n">
        <f aca="false">C369*Scoring!$B$34+D369/Scoring!$C$34+E369*Scoring!$D$34+WR!F369*Scoring!$E$34+WR!G369/Scoring!$F$34+WR!H369*Scoring!$G$34+WR!I369*Scoring!$H$34+K369*Scoring!$I$34+WR!L369*Scoring!$J$34+U369</f>
        <v>37.43</v>
      </c>
      <c r="O369" s="117" t="n">
        <f aca="false">C370*Scoring!$B$34+D370/Scoring!$C$34+E370*Scoring!$D$34+WR!F370*Scoring!$E$34+WR!G370/Scoring!$F$34+WR!H370*Scoring!$G$34+WR!I370*Scoring!$H$34+K370*Scoring!$I$34+WR!L370*Scoring!$J$34+U369</f>
        <v>37.43</v>
      </c>
      <c r="P369" s="53" t="n">
        <f aca="false">IF(COUNTIF(Rookies!$A:$A,A369)&gt;0,1,0)</f>
        <v>0</v>
      </c>
      <c r="S369" s="53" t="n">
        <f aca="false">V369/17</f>
        <v>2.20176470588235</v>
      </c>
      <c r="T369" s="53" t="n">
        <f aca="false">IF(P369=1,MAX(0,0.28*(12-S369)),0)</f>
        <v>0</v>
      </c>
      <c r="U369" s="53" t="n">
        <f aca="false">T369*17</f>
        <v>0</v>
      </c>
      <c r="V369" s="53" t="n">
        <f aca="false">C369*Scoring!$B$34+D369/Scoring!$C$34+E369*Scoring!$D$34+WR!F369*Scoring!$E$34+WR!G369/Scoring!$F$34+WR!H369*Scoring!$G$34+WR!I369*Scoring!$H$34+K369*Scoring!$I$34+WR!L369*Scoring!$J$34</f>
        <v>37.43</v>
      </c>
    </row>
    <row r="370" customFormat="false" ht="14.25" hidden="false" customHeight="true" outlineLevel="0" collapsed="false">
      <c r="B370" s="0" t="s">
        <v>491</v>
      </c>
      <c r="C370" s="0" t="n">
        <v>15</v>
      </c>
      <c r="D370" s="0" t="n">
        <v>217.3</v>
      </c>
      <c r="E370" s="0" t="n">
        <v>1.4</v>
      </c>
      <c r="F370" s="0" t="n">
        <v>0</v>
      </c>
      <c r="G370" s="0" t="n">
        <v>0</v>
      </c>
      <c r="H370" s="0" t="n">
        <v>0</v>
      </c>
      <c r="I370" s="0" t="n">
        <v>0.1</v>
      </c>
      <c r="J370" s="0" t="n">
        <v>37.4</v>
      </c>
      <c r="K370" s="115" t="n">
        <f aca="false">IFERROR(G370/F370/6.89*0.427*F370,0)</f>
        <v>0</v>
      </c>
      <c r="L370" s="115" t="n">
        <f aca="false">IFERROR(D370/C370/12.87*0.633*C370,0)</f>
        <v>10.6877156177156</v>
      </c>
      <c r="M370" s="118"/>
      <c r="N370" s="118"/>
      <c r="O370" s="118"/>
    </row>
    <row r="371" customFormat="false" ht="14.25" hidden="false" customHeight="true" outlineLevel="0" collapsed="false">
      <c r="B371" s="0" t="s">
        <v>492</v>
      </c>
      <c r="C371" s="0" t="n">
        <v>15</v>
      </c>
      <c r="D371" s="0" t="n">
        <v>217.3</v>
      </c>
      <c r="E371" s="0" t="n">
        <v>1.4</v>
      </c>
      <c r="F371" s="0" t="n">
        <v>0</v>
      </c>
      <c r="G371" s="0" t="n">
        <v>0</v>
      </c>
      <c r="H371" s="0" t="n">
        <v>0</v>
      </c>
      <c r="I371" s="0" t="n">
        <v>0.1</v>
      </c>
      <c r="J371" s="0" t="n">
        <v>37.4</v>
      </c>
      <c r="K371" s="115" t="n">
        <f aca="false">IFERROR(G371/F371/6.89*0.427*F371,0)</f>
        <v>0</v>
      </c>
      <c r="L371" s="115" t="n">
        <f aca="false">IFERROR(D371/C371/12.87*0.633*C371,0)</f>
        <v>10.6877156177156</v>
      </c>
      <c r="M371" s="118"/>
      <c r="N371" s="118"/>
      <c r="O371" s="118"/>
    </row>
    <row r="372" customFormat="false" ht="14.25" hidden="false" customHeight="true" outlineLevel="0" collapsed="false">
      <c r="A372" s="0" t="s">
        <v>845</v>
      </c>
      <c r="B372" s="0" t="s">
        <v>514</v>
      </c>
      <c r="C372" s="0" t="n">
        <v>19.4</v>
      </c>
      <c r="D372" s="0" t="n">
        <v>187.5</v>
      </c>
      <c r="E372" s="0" t="n">
        <v>0.9</v>
      </c>
      <c r="F372" s="0" t="n">
        <v>4.5</v>
      </c>
      <c r="G372" s="0" t="n">
        <v>26.8</v>
      </c>
      <c r="H372" s="0" t="n">
        <v>0.2</v>
      </c>
      <c r="I372" s="0" t="n">
        <v>0.2</v>
      </c>
      <c r="J372" s="0" t="n">
        <v>36.9</v>
      </c>
      <c r="K372" s="115" t="n">
        <f aca="false">IFERROR(G372/F372/6.89*0.427*F372,0)</f>
        <v>1.66089985486212</v>
      </c>
      <c r="L372" s="115" t="n">
        <f aca="false">IFERROR(D372/C372/12.87*0.633*C372,0)</f>
        <v>9.22202797202797</v>
      </c>
      <c r="M372" s="117" t="n">
        <f aca="false">C374*Scoring!$B$34+D374/Scoring!$C$34+E374*Scoring!$D$34+WR!F374*Scoring!$E$34+WR!G374/Scoring!$F$34+WR!H374*Scoring!$G$34+WR!I374*Scoring!$H$34+K374*Scoring!$I$34+WR!L374*Scoring!$J$34+U372</f>
        <v>37.33</v>
      </c>
      <c r="N372" s="117" t="n">
        <f aca="false">C372*Scoring!$B$34+D372/Scoring!$C$34+E372*Scoring!$D$34+WR!F372*Scoring!$E$34+WR!G372/Scoring!$F$34+WR!H372*Scoring!$G$34+WR!I372*Scoring!$H$34+K372*Scoring!$I$34+WR!L372*Scoring!$J$34+U372</f>
        <v>37.33</v>
      </c>
      <c r="O372" s="117" t="n">
        <f aca="false">C373*Scoring!$B$34+D373/Scoring!$C$34+E373*Scoring!$D$34+WR!F373*Scoring!$E$34+WR!G373/Scoring!$F$34+WR!H373*Scoring!$G$34+WR!I373*Scoring!$H$34+K373*Scoring!$I$34+WR!L373*Scoring!$J$34+U372</f>
        <v>37.33</v>
      </c>
      <c r="P372" s="53" t="n">
        <f aca="false">IF(COUNTIF(Rookies!$A:$A,A372)&gt;0,1,0)</f>
        <v>0</v>
      </c>
      <c r="S372" s="53" t="n">
        <f aca="false">V372/17</f>
        <v>2.19588235294118</v>
      </c>
      <c r="T372" s="53" t="n">
        <f aca="false">IF(P372=1,MAX(0,0.28*(12-S372)),0)</f>
        <v>0</v>
      </c>
      <c r="U372" s="53" t="n">
        <f aca="false">T372*17</f>
        <v>0</v>
      </c>
      <c r="V372" s="53" t="n">
        <f aca="false">C372*Scoring!$B$34+D372/Scoring!$C$34+E372*Scoring!$D$34+WR!F372*Scoring!$E$34+WR!G372/Scoring!$F$34+WR!H372*Scoring!$G$34+WR!I372*Scoring!$H$34+K372*Scoring!$I$34+WR!L372*Scoring!$J$34</f>
        <v>37.33</v>
      </c>
    </row>
    <row r="373" customFormat="false" ht="14.25" hidden="false" customHeight="true" outlineLevel="0" collapsed="false">
      <c r="B373" s="0" t="s">
        <v>491</v>
      </c>
      <c r="C373" s="0" t="n">
        <v>19.4</v>
      </c>
      <c r="D373" s="0" t="n">
        <v>187.5</v>
      </c>
      <c r="E373" s="0" t="n">
        <v>0.9</v>
      </c>
      <c r="F373" s="0" t="n">
        <v>4.5</v>
      </c>
      <c r="G373" s="0" t="n">
        <v>26.8</v>
      </c>
      <c r="H373" s="0" t="n">
        <v>0.2</v>
      </c>
      <c r="I373" s="0" t="n">
        <v>0.2</v>
      </c>
      <c r="J373" s="0" t="n">
        <v>38.4</v>
      </c>
      <c r="K373" s="115" t="n">
        <f aca="false">IFERROR(G373/F373/6.89*0.427*F373,0)</f>
        <v>1.66089985486212</v>
      </c>
      <c r="L373" s="115" t="n">
        <f aca="false">IFERROR(D373/C373/12.87*0.633*C373,0)</f>
        <v>9.22202797202797</v>
      </c>
      <c r="M373" s="118"/>
      <c r="N373" s="118"/>
      <c r="O373" s="118"/>
    </row>
    <row r="374" customFormat="false" ht="14.25" hidden="false" customHeight="true" outlineLevel="0" collapsed="false">
      <c r="B374" s="0" t="s">
        <v>492</v>
      </c>
      <c r="C374" s="0" t="n">
        <v>19.4</v>
      </c>
      <c r="D374" s="0" t="n">
        <v>187.5</v>
      </c>
      <c r="E374" s="0" t="n">
        <v>0.9</v>
      </c>
      <c r="F374" s="0" t="n">
        <v>4.5</v>
      </c>
      <c r="G374" s="0" t="n">
        <v>26.8</v>
      </c>
      <c r="H374" s="0" t="n">
        <v>0.2</v>
      </c>
      <c r="I374" s="0" t="n">
        <v>0.2</v>
      </c>
      <c r="J374" s="0" t="n">
        <v>38.4</v>
      </c>
      <c r="K374" s="115" t="n">
        <f aca="false">IFERROR(G374/F374/6.89*0.427*F374,0)</f>
        <v>1.66089985486212</v>
      </c>
      <c r="L374" s="115" t="n">
        <f aca="false">IFERROR(D374/C374/12.87*0.633*C374,0)</f>
        <v>9.22202797202797</v>
      </c>
      <c r="M374" s="118"/>
      <c r="N374" s="118"/>
      <c r="O374" s="118"/>
    </row>
    <row r="375" customFormat="false" ht="14.25" hidden="false" customHeight="true" outlineLevel="0" collapsed="false">
      <c r="A375" s="0" t="s">
        <v>846</v>
      </c>
      <c r="B375" s="0" t="s">
        <v>530</v>
      </c>
      <c r="C375" s="0" t="n">
        <v>13.3</v>
      </c>
      <c r="D375" s="0" t="n">
        <v>148.7</v>
      </c>
      <c r="E375" s="0" t="n">
        <v>1.1</v>
      </c>
      <c r="F375" s="0" t="n">
        <v>8.8</v>
      </c>
      <c r="G375" s="0" t="n">
        <v>46</v>
      </c>
      <c r="H375" s="0" t="n">
        <v>0.4</v>
      </c>
      <c r="I375" s="0" t="n">
        <v>0.2</v>
      </c>
      <c r="J375" s="0" t="n">
        <v>34.4</v>
      </c>
      <c r="K375" s="115" t="n">
        <f aca="false">IFERROR(G375/F375/6.89*0.427*F375,0)</f>
        <v>2.85079825834543</v>
      </c>
      <c r="L375" s="115" t="n">
        <f aca="false">IFERROR(D375/C375/12.87*0.633*C375,0)</f>
        <v>7.31368298368298</v>
      </c>
      <c r="M375" s="117" t="n">
        <f aca="false">C377*Scoring!$B$34+D377/Scoring!$C$34+E377*Scoring!$D$34+WR!F377*Scoring!$E$34+WR!G377/Scoring!$F$34+WR!H377*Scoring!$G$34+WR!I377*Scoring!$H$34+K377*Scoring!$I$34+WR!L377*Scoring!$J$34+U375</f>
        <v>34.72</v>
      </c>
      <c r="N375" s="117" t="n">
        <f aca="false">C375*Scoring!$B$34+D375/Scoring!$C$34+E375*Scoring!$D$34+WR!F375*Scoring!$E$34+WR!G375/Scoring!$F$34+WR!H375*Scoring!$G$34+WR!I375*Scoring!$H$34+K375*Scoring!$I$34+WR!L375*Scoring!$J$34+U375</f>
        <v>34.72</v>
      </c>
      <c r="O375" s="117" t="n">
        <f aca="false">C376*Scoring!$B$34+D376/Scoring!$C$34+E376*Scoring!$D$34+WR!F376*Scoring!$E$34+WR!G376/Scoring!$F$34+WR!H376*Scoring!$G$34+WR!I376*Scoring!$H$34+K376*Scoring!$I$34+WR!L376*Scoring!$J$34+U375</f>
        <v>34.72</v>
      </c>
      <c r="P375" s="53" t="n">
        <f aca="false">IF(COUNTIF(Rookies!$A:$A,A375)&gt;0,1,0)</f>
        <v>0</v>
      </c>
      <c r="S375" s="53" t="n">
        <f aca="false">V375/17</f>
        <v>2.04235294117647</v>
      </c>
      <c r="T375" s="53" t="n">
        <f aca="false">IF(P375=1,MAX(0,0.28*(12-S375)),0)</f>
        <v>0</v>
      </c>
      <c r="U375" s="53" t="n">
        <f aca="false">T375*17</f>
        <v>0</v>
      </c>
      <c r="V375" s="53" t="n">
        <f aca="false">C375*Scoring!$B$34+D375/Scoring!$C$34+E375*Scoring!$D$34+WR!F375*Scoring!$E$34+WR!G375/Scoring!$F$34+WR!H375*Scoring!$G$34+WR!I375*Scoring!$H$34+K375*Scoring!$I$34+WR!L375*Scoring!$J$34</f>
        <v>34.72</v>
      </c>
    </row>
    <row r="376" customFormat="false" ht="14.25" hidden="false" customHeight="true" outlineLevel="0" collapsed="false">
      <c r="B376" s="0" t="s">
        <v>491</v>
      </c>
      <c r="C376" s="0" t="n">
        <v>13.3</v>
      </c>
      <c r="D376" s="0" t="n">
        <v>148.7</v>
      </c>
      <c r="E376" s="0" t="n">
        <v>1.1</v>
      </c>
      <c r="F376" s="0" t="n">
        <v>8.8</v>
      </c>
      <c r="G376" s="0" t="n">
        <v>46</v>
      </c>
      <c r="H376" s="0" t="n">
        <v>0.4</v>
      </c>
      <c r="I376" s="0" t="n">
        <v>0.2</v>
      </c>
      <c r="J376" s="0" t="n">
        <v>35.2</v>
      </c>
      <c r="K376" s="115" t="n">
        <f aca="false">IFERROR(G376/F376/6.89*0.427*F376,0)</f>
        <v>2.85079825834543</v>
      </c>
      <c r="L376" s="115" t="n">
        <f aca="false">IFERROR(D376/C376/12.87*0.633*C376,0)</f>
        <v>7.31368298368298</v>
      </c>
      <c r="M376" s="118"/>
      <c r="N376" s="118"/>
      <c r="O376" s="118"/>
    </row>
    <row r="377" customFormat="false" ht="14.25" hidden="false" customHeight="true" outlineLevel="0" collapsed="false">
      <c r="B377" s="0" t="s">
        <v>492</v>
      </c>
      <c r="C377" s="0" t="n">
        <v>13.3</v>
      </c>
      <c r="D377" s="0" t="n">
        <v>148.7</v>
      </c>
      <c r="E377" s="0" t="n">
        <v>1.1</v>
      </c>
      <c r="F377" s="0" t="n">
        <v>8.8</v>
      </c>
      <c r="G377" s="0" t="n">
        <v>46</v>
      </c>
      <c r="H377" s="0" t="n">
        <v>0.4</v>
      </c>
      <c r="I377" s="0" t="n">
        <v>0.2</v>
      </c>
      <c r="J377" s="0" t="n">
        <v>35.2</v>
      </c>
      <c r="K377" s="115" t="n">
        <f aca="false">IFERROR(G377/F377/6.89*0.427*F377,0)</f>
        <v>2.85079825834543</v>
      </c>
      <c r="L377" s="115" t="n">
        <f aca="false">IFERROR(D377/C377/12.87*0.633*C377,0)</f>
        <v>7.31368298368298</v>
      </c>
      <c r="M377" s="118"/>
      <c r="N377" s="118"/>
      <c r="O377" s="118"/>
    </row>
    <row r="378" customFormat="false" ht="14.25" hidden="false" customHeight="true" outlineLevel="0" collapsed="false">
      <c r="A378" s="0" t="s">
        <v>847</v>
      </c>
      <c r="B378" s="0" t="s">
        <v>554</v>
      </c>
      <c r="C378" s="0" t="n">
        <v>11.4</v>
      </c>
      <c r="D378" s="0" t="n">
        <v>151.7</v>
      </c>
      <c r="E378" s="0" t="n">
        <v>0.9</v>
      </c>
      <c r="F378" s="0" t="n">
        <v>4.3</v>
      </c>
      <c r="G378" s="0" t="n">
        <v>23.6</v>
      </c>
      <c r="H378" s="0" t="n">
        <v>0.1</v>
      </c>
      <c r="I378" s="0" t="n">
        <v>0.2</v>
      </c>
      <c r="J378" s="0" t="n">
        <v>29</v>
      </c>
      <c r="K378" s="115" t="n">
        <f aca="false">IFERROR(G378/F378/6.89*0.427*F378,0)</f>
        <v>1.46258345428157</v>
      </c>
      <c r="L378" s="115" t="n">
        <f aca="false">IFERROR(D378/C378/12.87*0.633*C378,0)</f>
        <v>7.46123543123543</v>
      </c>
      <c r="M378" s="117" t="n">
        <f aca="false">C380*Scoring!$B$34+D380/Scoring!$C$34+E380*Scoring!$D$34+WR!F380*Scoring!$E$34+WR!G380/Scoring!$F$34+WR!H380*Scoring!$G$34+WR!I380*Scoring!$H$34+K380*Scoring!$I$34+WR!L380*Scoring!$J$34+U378</f>
        <v>28.83</v>
      </c>
      <c r="N378" s="117" t="n">
        <f aca="false">C378*Scoring!$B$34+D378/Scoring!$C$34+E378*Scoring!$D$34+WR!F378*Scoring!$E$34+WR!G378/Scoring!$F$34+WR!H378*Scoring!$G$34+WR!I378*Scoring!$H$34+K378*Scoring!$I$34+WR!L378*Scoring!$J$34+U378</f>
        <v>28.83</v>
      </c>
      <c r="O378" s="117" t="n">
        <f aca="false">C379*Scoring!$B$34+D379/Scoring!$C$34+E379*Scoring!$D$34+WR!F379*Scoring!$E$34+WR!G379/Scoring!$F$34+WR!H379*Scoring!$G$34+WR!I379*Scoring!$H$34+K379*Scoring!$I$34+WR!L379*Scoring!$J$34+U378</f>
        <v>28.83</v>
      </c>
      <c r="P378" s="53" t="n">
        <f aca="false">IF(COUNTIF(Rookies!$A:$A,A378)&gt;0,1,0)</f>
        <v>0</v>
      </c>
      <c r="S378" s="53" t="n">
        <f aca="false">V378/17</f>
        <v>1.69588235294118</v>
      </c>
      <c r="T378" s="53" t="n">
        <f aca="false">IF(P378=1,MAX(0,0.28*(12-S378)),0)</f>
        <v>0</v>
      </c>
      <c r="U378" s="53" t="n">
        <f aca="false">T378*17</f>
        <v>0</v>
      </c>
      <c r="V378" s="53" t="n">
        <f aca="false">C378*Scoring!$B$34+D378/Scoring!$C$34+E378*Scoring!$D$34+WR!F378*Scoring!$E$34+WR!G378/Scoring!$F$34+WR!H378*Scoring!$G$34+WR!I378*Scoring!$H$34+K378*Scoring!$I$34+WR!L378*Scoring!$J$34</f>
        <v>28.83</v>
      </c>
    </row>
    <row r="379" customFormat="false" ht="14.25" hidden="false" customHeight="true" outlineLevel="0" collapsed="false">
      <c r="B379" s="0" t="s">
        <v>491</v>
      </c>
      <c r="C379" s="0" t="n">
        <v>11.4</v>
      </c>
      <c r="D379" s="0" t="n">
        <v>151.7</v>
      </c>
      <c r="E379" s="0" t="n">
        <v>0.9</v>
      </c>
      <c r="F379" s="0" t="n">
        <v>4.3</v>
      </c>
      <c r="G379" s="0" t="n">
        <v>23.6</v>
      </c>
      <c r="H379" s="0" t="n">
        <v>0.1</v>
      </c>
      <c r="I379" s="0" t="n">
        <v>0.2</v>
      </c>
      <c r="J379" s="0" t="n">
        <v>29.1</v>
      </c>
      <c r="K379" s="115" t="n">
        <f aca="false">IFERROR(G379/F379/6.89*0.427*F379,0)</f>
        <v>1.46258345428157</v>
      </c>
      <c r="L379" s="115" t="n">
        <f aca="false">IFERROR(D379/C379/12.87*0.633*C379,0)</f>
        <v>7.46123543123543</v>
      </c>
      <c r="M379" s="118"/>
      <c r="N379" s="118"/>
      <c r="O379" s="118"/>
    </row>
    <row r="380" customFormat="false" ht="14.25" hidden="false" customHeight="true" outlineLevel="0" collapsed="false">
      <c r="B380" s="0" t="s">
        <v>492</v>
      </c>
      <c r="C380" s="0" t="n">
        <v>11.4</v>
      </c>
      <c r="D380" s="0" t="n">
        <v>151.7</v>
      </c>
      <c r="E380" s="0" t="n">
        <v>0.9</v>
      </c>
      <c r="F380" s="0" t="n">
        <v>4.3</v>
      </c>
      <c r="G380" s="0" t="n">
        <v>23.6</v>
      </c>
      <c r="H380" s="0" t="n">
        <v>0.1</v>
      </c>
      <c r="I380" s="0" t="n">
        <v>0.2</v>
      </c>
      <c r="J380" s="0" t="n">
        <v>29.1</v>
      </c>
      <c r="K380" s="115" t="n">
        <f aca="false">IFERROR(G380/F380/6.89*0.427*F380,0)</f>
        <v>1.46258345428157</v>
      </c>
      <c r="L380" s="115" t="n">
        <f aca="false">IFERROR(D380/C380/12.87*0.633*C380,0)</f>
        <v>7.46123543123543</v>
      </c>
      <c r="M380" s="118"/>
      <c r="N380" s="118"/>
      <c r="O380" s="118"/>
    </row>
    <row r="381" customFormat="false" ht="14.25" hidden="false" customHeight="true" outlineLevel="0" collapsed="false">
      <c r="A381" s="0" t="s">
        <v>848</v>
      </c>
      <c r="B381" s="0" t="s">
        <v>514</v>
      </c>
      <c r="C381" s="0" t="n">
        <v>12.6</v>
      </c>
      <c r="D381" s="0" t="n">
        <v>154.1</v>
      </c>
      <c r="E381" s="0" t="n">
        <v>1.2</v>
      </c>
      <c r="F381" s="0" t="n">
        <v>0</v>
      </c>
      <c r="G381" s="0" t="n">
        <v>0</v>
      </c>
      <c r="H381" s="0" t="n">
        <v>0</v>
      </c>
      <c r="I381" s="0" t="n">
        <v>0.1</v>
      </c>
      <c r="J381" s="0" t="n">
        <v>28.7</v>
      </c>
      <c r="K381" s="115" t="n">
        <f aca="false">IFERROR(G381/F381/6.89*0.427*F381,0)</f>
        <v>0</v>
      </c>
      <c r="L381" s="115" t="n">
        <f aca="false">IFERROR(D381/C381/12.87*0.633*C381,0)</f>
        <v>7.57927738927739</v>
      </c>
      <c r="M381" s="117" t="n">
        <f aca="false">C383*Scoring!$B$34+D383/Scoring!$C$34+E383*Scoring!$D$34+WR!F383*Scoring!$E$34+WR!G383/Scoring!$F$34+WR!H383*Scoring!$G$34+WR!I383*Scoring!$H$34+K383*Scoring!$I$34+WR!L383*Scoring!$J$34+U381</f>
        <v>77.7912</v>
      </c>
      <c r="N381" s="117" t="n">
        <f aca="false">C381*Scoring!$B$34+D381/Scoring!$C$34+E381*Scoring!$D$34+WR!F381*Scoring!$E$34+WR!G381/Scoring!$F$34+WR!H381*Scoring!$G$34+WR!I381*Scoring!$H$34+K381*Scoring!$I$34+WR!L381*Scoring!$J$34+U381</f>
        <v>77.7912</v>
      </c>
      <c r="O381" s="117" t="n">
        <f aca="false">C382*Scoring!$B$34+D382/Scoring!$C$34+E382*Scoring!$D$34+WR!F382*Scoring!$E$34+WR!G382/Scoring!$F$34+WR!H382*Scoring!$G$34+WR!I382*Scoring!$H$34+K382*Scoring!$I$34+WR!L382*Scoring!$J$34+U381</f>
        <v>77.7912</v>
      </c>
      <c r="P381" s="53" t="n">
        <f aca="false">IF(COUNTIF(Rookies!$A:$A,A381)&gt;0,1,0)</f>
        <v>1</v>
      </c>
      <c r="S381" s="53" t="n">
        <f aca="false">V381/17</f>
        <v>1.68882352941176</v>
      </c>
      <c r="T381" s="53" t="n">
        <f aca="false">IF(P381=1,MAX(0,0.28*(12-S381)),0)</f>
        <v>2.88712941176471</v>
      </c>
      <c r="U381" s="53" t="n">
        <f aca="false">T381*17</f>
        <v>49.0812</v>
      </c>
      <c r="V381" s="53" t="n">
        <f aca="false">C381*Scoring!$B$34+D381/Scoring!$C$34+E381*Scoring!$D$34+WR!F381*Scoring!$E$34+WR!G381/Scoring!$F$34+WR!H381*Scoring!$G$34+WR!I381*Scoring!$H$34+K381*Scoring!$I$34+WR!L381*Scoring!$J$34</f>
        <v>28.71</v>
      </c>
    </row>
    <row r="382" customFormat="false" ht="14.25" hidden="false" customHeight="true" outlineLevel="0" collapsed="false">
      <c r="B382" s="0" t="s">
        <v>491</v>
      </c>
      <c r="C382" s="0" t="n">
        <v>12.6</v>
      </c>
      <c r="D382" s="0" t="n">
        <v>154.1</v>
      </c>
      <c r="E382" s="0" t="n">
        <v>1.2</v>
      </c>
      <c r="F382" s="0" t="n">
        <v>0</v>
      </c>
      <c r="G382" s="0" t="n">
        <v>0</v>
      </c>
      <c r="H382" s="0" t="n">
        <v>0</v>
      </c>
      <c r="I382" s="0" t="n">
        <v>0.1</v>
      </c>
      <c r="J382" s="0" t="n">
        <v>30.1</v>
      </c>
      <c r="K382" s="115" t="n">
        <f aca="false">IFERROR(G382/F382/6.89*0.427*F382,0)</f>
        <v>0</v>
      </c>
      <c r="L382" s="115" t="n">
        <f aca="false">IFERROR(D382/C382/12.87*0.633*C382,0)</f>
        <v>7.57927738927739</v>
      </c>
      <c r="M382" s="118"/>
      <c r="N382" s="118"/>
      <c r="O382" s="118"/>
    </row>
    <row r="383" customFormat="false" ht="14.25" hidden="false" customHeight="true" outlineLevel="0" collapsed="false">
      <c r="B383" s="0" t="s">
        <v>492</v>
      </c>
      <c r="C383" s="0" t="n">
        <v>12.6</v>
      </c>
      <c r="D383" s="0" t="n">
        <v>154.1</v>
      </c>
      <c r="E383" s="0" t="n">
        <v>1.2</v>
      </c>
      <c r="F383" s="0" t="n">
        <v>0</v>
      </c>
      <c r="G383" s="0" t="n">
        <v>0</v>
      </c>
      <c r="H383" s="0" t="n">
        <v>0</v>
      </c>
      <c r="I383" s="0" t="n">
        <v>0.1</v>
      </c>
      <c r="J383" s="0" t="n">
        <v>30.1</v>
      </c>
      <c r="K383" s="115" t="n">
        <f aca="false">IFERROR(G383/F383/6.89*0.427*F383,0)</f>
        <v>0</v>
      </c>
      <c r="L383" s="115" t="n">
        <f aca="false">IFERROR(D383/C383/12.87*0.633*C383,0)</f>
        <v>7.57927738927739</v>
      </c>
      <c r="M383" s="118"/>
      <c r="N383" s="118"/>
      <c r="O383" s="118"/>
    </row>
    <row r="384" customFormat="false" ht="14.25" hidden="false" customHeight="true" outlineLevel="0" collapsed="false">
      <c r="A384" s="0" t="s">
        <v>849</v>
      </c>
      <c r="B384" s="0" t="s">
        <v>490</v>
      </c>
      <c r="C384" s="0" t="n">
        <v>12.1</v>
      </c>
      <c r="D384" s="0" t="n">
        <v>163.6</v>
      </c>
      <c r="E384" s="0" t="n">
        <v>1</v>
      </c>
      <c r="F384" s="0" t="n">
        <v>0</v>
      </c>
      <c r="G384" s="0" t="n">
        <v>0</v>
      </c>
      <c r="H384" s="0" t="n">
        <v>0</v>
      </c>
      <c r="I384" s="0" t="n">
        <v>0.1</v>
      </c>
      <c r="J384" s="0" t="n">
        <v>27.9</v>
      </c>
      <c r="K384" s="115" t="n">
        <f aca="false">IFERROR(G384/F384/6.89*0.427*F384,0)</f>
        <v>0</v>
      </c>
      <c r="L384" s="115" t="n">
        <f aca="false">IFERROR(D384/C384/12.87*0.633*C384,0)</f>
        <v>8.04652680652681</v>
      </c>
      <c r="M384" s="117" t="n">
        <f aca="false">C386*Scoring!$B$34+D386/Scoring!$C$34+E386*Scoring!$D$34+WR!F386*Scoring!$E$34+WR!G386/Scoring!$F$34+WR!H386*Scoring!$G$34+WR!I386*Scoring!$H$34+K386*Scoring!$I$34+WR!L386*Scoring!$J$34+U384</f>
        <v>77.4312</v>
      </c>
      <c r="N384" s="117" t="n">
        <f aca="false">C384*Scoring!$B$34+D384/Scoring!$C$34+E384*Scoring!$D$34+WR!F384*Scoring!$E$34+WR!G384/Scoring!$F$34+WR!H384*Scoring!$G$34+WR!I384*Scoring!$H$34+K384*Scoring!$I$34+WR!L384*Scoring!$J$34+U384</f>
        <v>77.4312</v>
      </c>
      <c r="O384" s="117" t="n">
        <f aca="false">C385*Scoring!$B$34+D385/Scoring!$C$34+E385*Scoring!$D$34+WR!F385*Scoring!$E$34+WR!G385/Scoring!$F$34+WR!H385*Scoring!$G$34+WR!I385*Scoring!$H$34+K385*Scoring!$I$34+WR!L385*Scoring!$J$34+U384</f>
        <v>77.4312</v>
      </c>
      <c r="P384" s="53" t="n">
        <f aca="false">IF(COUNTIF(Rookies!$A:$A,A384)&gt;0,1,0)</f>
        <v>1</v>
      </c>
      <c r="S384" s="53" t="n">
        <f aca="false">V384/17</f>
        <v>1.65941176470588</v>
      </c>
      <c r="T384" s="53" t="n">
        <f aca="false">IF(P384=1,MAX(0,0.28*(12-S384)),0)</f>
        <v>2.89536470588235</v>
      </c>
      <c r="U384" s="53" t="n">
        <f aca="false">T384*17</f>
        <v>49.2212</v>
      </c>
      <c r="V384" s="53" t="n">
        <f aca="false">C384*Scoring!$B$34+D384/Scoring!$C$34+E384*Scoring!$D$34+WR!F384*Scoring!$E$34+WR!G384/Scoring!$F$34+WR!H384*Scoring!$G$34+WR!I384*Scoring!$H$34+K384*Scoring!$I$34+WR!L384*Scoring!$J$34</f>
        <v>28.21</v>
      </c>
    </row>
    <row r="385" customFormat="false" ht="14.25" hidden="false" customHeight="true" outlineLevel="0" collapsed="false">
      <c r="B385" s="0" t="s">
        <v>491</v>
      </c>
      <c r="C385" s="0" t="n">
        <v>12.1</v>
      </c>
      <c r="D385" s="0" t="n">
        <v>163.6</v>
      </c>
      <c r="E385" s="0" t="n">
        <v>1</v>
      </c>
      <c r="F385" s="0" t="n">
        <v>0</v>
      </c>
      <c r="G385" s="0" t="n">
        <v>0</v>
      </c>
      <c r="H385" s="0" t="n">
        <v>0</v>
      </c>
      <c r="I385" s="0" t="n">
        <v>0.1</v>
      </c>
      <c r="J385" s="0" t="n">
        <v>28.1</v>
      </c>
      <c r="K385" s="115" t="n">
        <f aca="false">IFERROR(G385/F385/6.89*0.427*F385,0)</f>
        <v>0</v>
      </c>
      <c r="L385" s="115" t="n">
        <f aca="false">IFERROR(D385/C385/12.87*0.633*C385,0)</f>
        <v>8.04652680652681</v>
      </c>
      <c r="M385" s="118"/>
      <c r="N385" s="118"/>
      <c r="O385" s="118"/>
    </row>
    <row r="386" customFormat="false" ht="14.25" hidden="false" customHeight="true" outlineLevel="0" collapsed="false">
      <c r="B386" s="0" t="s">
        <v>492</v>
      </c>
      <c r="C386" s="0" t="n">
        <v>12.1</v>
      </c>
      <c r="D386" s="0" t="n">
        <v>163.6</v>
      </c>
      <c r="E386" s="0" t="n">
        <v>1</v>
      </c>
      <c r="F386" s="0" t="n">
        <v>0</v>
      </c>
      <c r="G386" s="0" t="n">
        <v>0</v>
      </c>
      <c r="H386" s="0" t="n">
        <v>0</v>
      </c>
      <c r="I386" s="0" t="n">
        <v>0.1</v>
      </c>
      <c r="J386" s="0" t="n">
        <v>28.1</v>
      </c>
      <c r="K386" s="115" t="n">
        <f aca="false">IFERROR(G386/F386/6.89*0.427*F386,0)</f>
        <v>0</v>
      </c>
      <c r="L386" s="115" t="n">
        <f aca="false">IFERROR(D386/C386/12.87*0.633*C386,0)</f>
        <v>8.04652680652681</v>
      </c>
      <c r="M386" s="118"/>
      <c r="N386" s="118"/>
      <c r="O386" s="118"/>
    </row>
    <row r="387" customFormat="false" ht="14.25" hidden="false" customHeight="true" outlineLevel="0" collapsed="false">
      <c r="A387" s="0" t="s">
        <v>850</v>
      </c>
      <c r="B387" s="0" t="s">
        <v>520</v>
      </c>
      <c r="C387" s="0" t="n">
        <v>9.7</v>
      </c>
      <c r="D387" s="0" t="n">
        <v>139.2</v>
      </c>
      <c r="E387" s="0" t="n">
        <v>0.9</v>
      </c>
      <c r="F387" s="0" t="n">
        <v>2.3</v>
      </c>
      <c r="G387" s="0" t="n">
        <v>12</v>
      </c>
      <c r="H387" s="0" t="n">
        <v>0.1</v>
      </c>
      <c r="I387" s="0" t="n">
        <v>0.1</v>
      </c>
      <c r="J387" s="0" t="n">
        <v>26</v>
      </c>
      <c r="K387" s="115" t="n">
        <f aca="false">IFERROR(G387/F387/6.89*0.427*F387,0)</f>
        <v>0.743686502177068</v>
      </c>
      <c r="L387" s="115" t="n">
        <f aca="false">IFERROR(D387/C387/12.87*0.633*C387,0)</f>
        <v>6.84643356643357</v>
      </c>
      <c r="M387" s="117" t="n">
        <f aca="false">C389*Scoring!$B$34+D389/Scoring!$C$34+E389*Scoring!$D$34+WR!F389*Scoring!$E$34+WR!G389/Scoring!$F$34+WR!H389*Scoring!$G$34+WR!I389*Scoring!$H$34+K389*Scoring!$I$34+WR!L389*Scoring!$J$34+U387</f>
        <v>25.77</v>
      </c>
      <c r="N387" s="117" t="n">
        <f aca="false">C387*Scoring!$B$34+D387/Scoring!$C$34+E387*Scoring!$D$34+WR!F387*Scoring!$E$34+WR!G387/Scoring!$F$34+WR!H387*Scoring!$G$34+WR!I387*Scoring!$H$34+K387*Scoring!$I$34+WR!L387*Scoring!$J$34+U387</f>
        <v>25.77</v>
      </c>
      <c r="O387" s="117" t="n">
        <f aca="false">C388*Scoring!$B$34+D388/Scoring!$C$34+E388*Scoring!$D$34+WR!F388*Scoring!$E$34+WR!G388/Scoring!$F$34+WR!H388*Scoring!$G$34+WR!I388*Scoring!$H$34+K388*Scoring!$I$34+WR!L388*Scoring!$J$34+U387</f>
        <v>25.77</v>
      </c>
      <c r="P387" s="53" t="n">
        <f aca="false">IF(COUNTIF(Rookies!$A:$A,A387)&gt;0,1,0)</f>
        <v>0</v>
      </c>
      <c r="S387" s="53" t="n">
        <f aca="false">V387/17</f>
        <v>1.51588235294118</v>
      </c>
      <c r="T387" s="53" t="n">
        <f aca="false">IF(P387=1,MAX(0,0.28*(12-S387)),0)</f>
        <v>0</v>
      </c>
      <c r="U387" s="53" t="n">
        <f aca="false">T387*17</f>
        <v>0</v>
      </c>
      <c r="V387" s="53" t="n">
        <f aca="false">C387*Scoring!$B$34+D387/Scoring!$C$34+E387*Scoring!$D$34+WR!F387*Scoring!$E$34+WR!G387/Scoring!$F$34+WR!H387*Scoring!$G$34+WR!I387*Scoring!$H$34+K387*Scoring!$I$34+WR!L387*Scoring!$J$34</f>
        <v>25.77</v>
      </c>
    </row>
    <row r="388" customFormat="false" ht="14.25" hidden="false" customHeight="true" outlineLevel="0" collapsed="false">
      <c r="B388" s="0" t="s">
        <v>491</v>
      </c>
      <c r="C388" s="0" t="n">
        <v>9.7</v>
      </c>
      <c r="D388" s="0" t="n">
        <v>139.2</v>
      </c>
      <c r="E388" s="0" t="n">
        <v>0.9</v>
      </c>
      <c r="F388" s="0" t="n">
        <v>2.3</v>
      </c>
      <c r="G388" s="0" t="n">
        <v>12</v>
      </c>
      <c r="H388" s="0" t="n">
        <v>0.1</v>
      </c>
      <c r="I388" s="0" t="n">
        <v>0.1</v>
      </c>
      <c r="J388" s="0" t="n">
        <v>26</v>
      </c>
      <c r="K388" s="115" t="n">
        <f aca="false">IFERROR(G388/F388/6.89*0.427*F388,0)</f>
        <v>0.743686502177068</v>
      </c>
      <c r="L388" s="115" t="n">
        <f aca="false">IFERROR(D388/C388/12.87*0.633*C388,0)</f>
        <v>6.84643356643357</v>
      </c>
      <c r="M388" s="118"/>
      <c r="N388" s="118"/>
      <c r="O388" s="118"/>
    </row>
    <row r="389" customFormat="false" ht="14.25" hidden="false" customHeight="true" outlineLevel="0" collapsed="false">
      <c r="B389" s="0" t="s">
        <v>492</v>
      </c>
      <c r="C389" s="0" t="n">
        <v>9.7</v>
      </c>
      <c r="D389" s="0" t="n">
        <v>139.2</v>
      </c>
      <c r="E389" s="0" t="n">
        <v>0.9</v>
      </c>
      <c r="F389" s="0" t="n">
        <v>2.3</v>
      </c>
      <c r="G389" s="0" t="n">
        <v>12</v>
      </c>
      <c r="H389" s="0" t="n">
        <v>0.1</v>
      </c>
      <c r="I389" s="0" t="n">
        <v>0.1</v>
      </c>
      <c r="J389" s="0" t="n">
        <v>26</v>
      </c>
      <c r="K389" s="115" t="n">
        <f aca="false">IFERROR(G389/F389/6.89*0.427*F389,0)</f>
        <v>0.743686502177068</v>
      </c>
      <c r="L389" s="115" t="n">
        <f aca="false">IFERROR(D389/C389/12.87*0.633*C389,0)</f>
        <v>6.84643356643357</v>
      </c>
      <c r="M389" s="118"/>
      <c r="N389" s="118"/>
      <c r="O389" s="118"/>
    </row>
    <row r="390" customFormat="false" ht="14.25" hidden="false" customHeight="true" outlineLevel="0" collapsed="false">
      <c r="A390" s="0" t="s">
        <v>851</v>
      </c>
      <c r="B390" s="0" t="s">
        <v>552</v>
      </c>
      <c r="C390" s="0" t="n">
        <v>14.3</v>
      </c>
      <c r="D390" s="0" t="n">
        <v>142.3</v>
      </c>
      <c r="E390" s="0" t="n">
        <v>0.6</v>
      </c>
      <c r="F390" s="0" t="n">
        <v>0</v>
      </c>
      <c r="G390" s="0" t="n">
        <v>0</v>
      </c>
      <c r="H390" s="0" t="n">
        <v>0</v>
      </c>
      <c r="I390" s="0" t="n">
        <v>0.2</v>
      </c>
      <c r="J390" s="0" t="n">
        <v>24.8</v>
      </c>
      <c r="K390" s="115" t="n">
        <f aca="false">IFERROR(G390/F390/6.89*0.427*F390,0)</f>
        <v>0</v>
      </c>
      <c r="L390" s="115" t="n">
        <f aca="false">IFERROR(D390/C390/12.87*0.633*C390,0)</f>
        <v>6.99890442890443</v>
      </c>
      <c r="M390" s="117" t="n">
        <f aca="false">C392*Scoring!$B$34+D392/Scoring!$C$34+E392*Scoring!$D$34+WR!F392*Scoring!$E$34+WR!G392/Scoring!$F$34+WR!H392*Scoring!$G$34+WR!I392*Scoring!$H$34+K392*Scoring!$I$34+WR!L392*Scoring!$J$34+U390</f>
        <v>24.58</v>
      </c>
      <c r="N390" s="117" t="n">
        <f aca="false">C390*Scoring!$B$34+D390/Scoring!$C$34+E390*Scoring!$D$34+WR!F390*Scoring!$E$34+WR!G390/Scoring!$F$34+WR!H390*Scoring!$G$34+WR!I390*Scoring!$H$34+K390*Scoring!$I$34+WR!L390*Scoring!$J$34+U390</f>
        <v>24.58</v>
      </c>
      <c r="O390" s="117" t="n">
        <f aca="false">C391*Scoring!$B$34+D391/Scoring!$C$34+E391*Scoring!$D$34+WR!F391*Scoring!$E$34+WR!G391/Scoring!$F$34+WR!H391*Scoring!$G$34+WR!I391*Scoring!$H$34+K391*Scoring!$I$34+WR!L391*Scoring!$J$34+U390</f>
        <v>24.58</v>
      </c>
      <c r="P390" s="53" t="n">
        <f aca="false">IF(COUNTIF(Rookies!$A:$A,A390)&gt;0,1,0)</f>
        <v>0</v>
      </c>
      <c r="S390" s="53" t="n">
        <f aca="false">V390/17</f>
        <v>1.44588235294118</v>
      </c>
      <c r="T390" s="53" t="n">
        <f aca="false">IF(P390=1,MAX(0,0.28*(12-S390)),0)</f>
        <v>0</v>
      </c>
      <c r="U390" s="53" t="n">
        <f aca="false">T390*17</f>
        <v>0</v>
      </c>
      <c r="V390" s="53" t="n">
        <f aca="false">C390*Scoring!$B$34+D390/Scoring!$C$34+E390*Scoring!$D$34+WR!F390*Scoring!$E$34+WR!G390/Scoring!$F$34+WR!H390*Scoring!$G$34+WR!I390*Scoring!$H$34+K390*Scoring!$I$34+WR!L390*Scoring!$J$34</f>
        <v>24.58</v>
      </c>
    </row>
    <row r="391" customFormat="false" ht="14.25" hidden="false" customHeight="true" outlineLevel="0" collapsed="false">
      <c r="B391" s="0" t="s">
        <v>491</v>
      </c>
      <c r="C391" s="0" t="n">
        <v>14.3</v>
      </c>
      <c r="D391" s="0" t="n">
        <v>142.3</v>
      </c>
      <c r="E391" s="0" t="n">
        <v>0.6</v>
      </c>
      <c r="F391" s="0" t="n">
        <v>0</v>
      </c>
      <c r="G391" s="0" t="n">
        <v>0</v>
      </c>
      <c r="H391" s="0" t="n">
        <v>0</v>
      </c>
      <c r="I391" s="0" t="n">
        <v>0.2</v>
      </c>
      <c r="J391" s="0" t="n">
        <v>25.2</v>
      </c>
      <c r="K391" s="115" t="n">
        <f aca="false">IFERROR(G391/F391/6.89*0.427*F391,0)</f>
        <v>0</v>
      </c>
      <c r="L391" s="115" t="n">
        <f aca="false">IFERROR(D391/C391/12.87*0.633*C391,0)</f>
        <v>6.99890442890443</v>
      </c>
      <c r="M391" s="118"/>
      <c r="N391" s="118"/>
      <c r="O391" s="118"/>
    </row>
    <row r="392" customFormat="false" ht="14.25" hidden="false" customHeight="true" outlineLevel="0" collapsed="false">
      <c r="B392" s="0" t="s">
        <v>492</v>
      </c>
      <c r="C392" s="0" t="n">
        <v>14.3</v>
      </c>
      <c r="D392" s="0" t="n">
        <v>142.3</v>
      </c>
      <c r="E392" s="0" t="n">
        <v>0.6</v>
      </c>
      <c r="F392" s="0" t="n">
        <v>0</v>
      </c>
      <c r="G392" s="0" t="n">
        <v>0</v>
      </c>
      <c r="H392" s="0" t="n">
        <v>0</v>
      </c>
      <c r="I392" s="0" t="n">
        <v>0.2</v>
      </c>
      <c r="J392" s="0" t="n">
        <v>25.2</v>
      </c>
      <c r="K392" s="115" t="n">
        <f aca="false">IFERROR(G392/F392/6.89*0.427*F392,0)</f>
        <v>0</v>
      </c>
      <c r="L392" s="115" t="n">
        <f aca="false">IFERROR(D392/C392/12.87*0.633*C392,0)</f>
        <v>6.99890442890443</v>
      </c>
      <c r="M392" s="118"/>
      <c r="N392" s="118"/>
      <c r="O392" s="118"/>
    </row>
    <row r="393" customFormat="false" ht="14.25" hidden="false" customHeight="true" outlineLevel="0" collapsed="false">
      <c r="A393" s="0" t="s">
        <v>852</v>
      </c>
      <c r="B393" s="0" t="s">
        <v>502</v>
      </c>
      <c r="C393" s="0" t="n">
        <v>10.6</v>
      </c>
      <c r="D393" s="0" t="n">
        <v>131.2</v>
      </c>
      <c r="E393" s="0" t="n">
        <v>1</v>
      </c>
      <c r="F393" s="0" t="n">
        <v>0</v>
      </c>
      <c r="G393" s="0" t="n">
        <v>0</v>
      </c>
      <c r="H393" s="0" t="n">
        <v>0</v>
      </c>
      <c r="I393" s="0" t="n">
        <v>0.1</v>
      </c>
      <c r="J393" s="0" t="n">
        <v>24.2</v>
      </c>
      <c r="K393" s="115" t="n">
        <f aca="false">IFERROR(G393/F393/6.89*0.427*F393,0)</f>
        <v>0</v>
      </c>
      <c r="L393" s="115" t="n">
        <f aca="false">IFERROR(D393/C393/12.87*0.633*C393,0)</f>
        <v>6.45296037296037</v>
      </c>
      <c r="M393" s="117" t="n">
        <f aca="false">C395*Scoring!$B$34+D395/Scoring!$C$34+E395*Scoring!$D$34+WR!F395*Scoring!$E$34+WR!G395/Scoring!$F$34+WR!H395*Scoring!$G$34+WR!I395*Scoring!$H$34+K395*Scoring!$I$34+WR!L395*Scoring!$J$34+U393</f>
        <v>74.5584</v>
      </c>
      <c r="N393" s="117" t="n">
        <f aca="false">C393*Scoring!$B$34+D393/Scoring!$C$34+E393*Scoring!$D$34+WR!F393*Scoring!$E$34+WR!G393/Scoring!$F$34+WR!H393*Scoring!$G$34+WR!I393*Scoring!$H$34+K393*Scoring!$I$34+WR!L393*Scoring!$J$34+U393</f>
        <v>74.5584</v>
      </c>
      <c r="O393" s="117" t="n">
        <f aca="false">C394*Scoring!$B$34+D394/Scoring!$C$34+E394*Scoring!$D$34+WR!F394*Scoring!$E$34+WR!G394/Scoring!$F$34+WR!H394*Scoring!$G$34+WR!I394*Scoring!$H$34+K394*Scoring!$I$34+WR!L394*Scoring!$J$34+U393</f>
        <v>74.5584</v>
      </c>
      <c r="P393" s="53" t="n">
        <f aca="false">IF(COUNTIF(Rookies!$A:$A,A393)&gt;0,1,0)</f>
        <v>1</v>
      </c>
      <c r="S393" s="53" t="n">
        <f aca="false">V393/17</f>
        <v>1.42470588235294</v>
      </c>
      <c r="T393" s="53" t="n">
        <f aca="false">IF(P393=1,MAX(0,0.28*(12-S393)),0)</f>
        <v>2.96108235294118</v>
      </c>
      <c r="U393" s="53" t="n">
        <f aca="false">T393*17</f>
        <v>50.3384</v>
      </c>
      <c r="V393" s="53" t="n">
        <f aca="false">C393*Scoring!$B$34+D393/Scoring!$C$34+E393*Scoring!$D$34+WR!F393*Scoring!$E$34+WR!G393/Scoring!$F$34+WR!H393*Scoring!$G$34+WR!I393*Scoring!$H$34+K393*Scoring!$I$34+WR!L393*Scoring!$J$34</f>
        <v>24.22</v>
      </c>
    </row>
    <row r="394" customFormat="false" ht="14.25" hidden="false" customHeight="true" outlineLevel="0" collapsed="false">
      <c r="B394" s="0" t="s">
        <v>491</v>
      </c>
      <c r="C394" s="0" t="n">
        <v>10.6</v>
      </c>
      <c r="D394" s="0" t="n">
        <v>131.2</v>
      </c>
      <c r="E394" s="0" t="n">
        <v>1</v>
      </c>
      <c r="F394" s="0" t="n">
        <v>0</v>
      </c>
      <c r="G394" s="0" t="n">
        <v>0</v>
      </c>
      <c r="H394" s="0" t="n">
        <v>0</v>
      </c>
      <c r="I394" s="0" t="n">
        <v>0.1</v>
      </c>
      <c r="J394" s="0" t="n">
        <v>24.3</v>
      </c>
      <c r="K394" s="115" t="n">
        <f aca="false">IFERROR(G394/F394/6.89*0.427*F394,0)</f>
        <v>0</v>
      </c>
      <c r="L394" s="115" t="n">
        <f aca="false">IFERROR(D394/C394/12.87*0.633*C394,0)</f>
        <v>6.45296037296037</v>
      </c>
      <c r="M394" s="118"/>
      <c r="N394" s="118"/>
      <c r="O394" s="118"/>
    </row>
    <row r="395" customFormat="false" ht="14.25" hidden="false" customHeight="true" outlineLevel="0" collapsed="false">
      <c r="B395" s="0" t="s">
        <v>492</v>
      </c>
      <c r="C395" s="0" t="n">
        <v>10.6</v>
      </c>
      <c r="D395" s="0" t="n">
        <v>131.2</v>
      </c>
      <c r="E395" s="0" t="n">
        <v>1</v>
      </c>
      <c r="F395" s="0" t="n">
        <v>0</v>
      </c>
      <c r="G395" s="0" t="n">
        <v>0</v>
      </c>
      <c r="H395" s="0" t="n">
        <v>0</v>
      </c>
      <c r="I395" s="0" t="n">
        <v>0.1</v>
      </c>
      <c r="J395" s="0" t="n">
        <v>24.3</v>
      </c>
      <c r="K395" s="115" t="n">
        <f aca="false">IFERROR(G395/F395/6.89*0.427*F395,0)</f>
        <v>0</v>
      </c>
      <c r="L395" s="115" t="n">
        <f aca="false">IFERROR(D395/C395/12.87*0.633*C395,0)</f>
        <v>6.45296037296037</v>
      </c>
      <c r="M395" s="118"/>
      <c r="N395" s="118"/>
      <c r="O395" s="118"/>
    </row>
    <row r="396" customFormat="false" ht="14.25" hidden="false" customHeight="true" outlineLevel="0" collapsed="false">
      <c r="A396" s="0" t="s">
        <v>853</v>
      </c>
      <c r="B396" s="0" t="s">
        <v>548</v>
      </c>
      <c r="C396" s="0" t="n">
        <v>11.8</v>
      </c>
      <c r="D396" s="0" t="n">
        <v>135</v>
      </c>
      <c r="E396" s="0" t="n">
        <v>0.6</v>
      </c>
      <c r="F396" s="0" t="n">
        <v>0</v>
      </c>
      <c r="G396" s="0" t="n">
        <v>0</v>
      </c>
      <c r="H396" s="0" t="n">
        <v>0</v>
      </c>
      <c r="I396" s="0" t="n">
        <v>0.1</v>
      </c>
      <c r="J396" s="0" t="n">
        <v>22.9</v>
      </c>
      <c r="K396" s="115" t="n">
        <f aca="false">IFERROR(G396/F396/6.89*0.427*F396,0)</f>
        <v>0</v>
      </c>
      <c r="L396" s="115" t="n">
        <f aca="false">IFERROR(D396/C396/12.87*0.633*C396,0)</f>
        <v>6.63986013986014</v>
      </c>
      <c r="M396" s="117" t="n">
        <f aca="false">C398*Scoring!$B$34+D398/Scoring!$C$34+E398*Scoring!$D$34+WR!F398*Scoring!$E$34+WR!G398/Scoring!$F$34+WR!H398*Scoring!$G$34+WR!I398*Scoring!$H$34+K398*Scoring!$I$34+WR!L398*Scoring!$J$34+U396</f>
        <v>22.8</v>
      </c>
      <c r="N396" s="117" t="n">
        <f aca="false">C396*Scoring!$B$34+D396/Scoring!$C$34+E396*Scoring!$D$34+WR!F396*Scoring!$E$34+WR!G396/Scoring!$F$34+WR!H396*Scoring!$G$34+WR!I396*Scoring!$H$34+K396*Scoring!$I$34+WR!L396*Scoring!$J$34+U396</f>
        <v>22.8</v>
      </c>
      <c r="O396" s="117" t="n">
        <f aca="false">C397*Scoring!$B$34+D397/Scoring!$C$34+E397*Scoring!$D$34+WR!F397*Scoring!$E$34+WR!G397/Scoring!$F$34+WR!H397*Scoring!$G$34+WR!I397*Scoring!$H$34+K397*Scoring!$I$34+WR!L397*Scoring!$J$34+U396</f>
        <v>22.8</v>
      </c>
      <c r="P396" s="53" t="n">
        <f aca="false">IF(COUNTIF(Rookies!$A:$A,A396)&gt;0,1,0)</f>
        <v>0</v>
      </c>
      <c r="S396" s="53" t="n">
        <f aca="false">V396/17</f>
        <v>1.34117647058824</v>
      </c>
      <c r="T396" s="53" t="n">
        <f aca="false">IF(P396=1,MAX(0,0.28*(12-S396)),0)</f>
        <v>0</v>
      </c>
      <c r="U396" s="53" t="n">
        <f aca="false">T396*17</f>
        <v>0</v>
      </c>
      <c r="V396" s="53" t="n">
        <f aca="false">C396*Scoring!$B$34+D396/Scoring!$C$34+E396*Scoring!$D$34+WR!F396*Scoring!$E$34+WR!G396/Scoring!$F$34+WR!H396*Scoring!$G$34+WR!I396*Scoring!$H$34+K396*Scoring!$I$34+WR!L396*Scoring!$J$34</f>
        <v>22.8</v>
      </c>
    </row>
    <row r="397" customFormat="false" ht="14.25" hidden="false" customHeight="true" outlineLevel="0" collapsed="false">
      <c r="B397" s="0" t="s">
        <v>491</v>
      </c>
      <c r="C397" s="0" t="n">
        <v>11.8</v>
      </c>
      <c r="D397" s="0" t="n">
        <v>135</v>
      </c>
      <c r="E397" s="0" t="n">
        <v>0.6</v>
      </c>
      <c r="F397" s="0" t="n">
        <v>0</v>
      </c>
      <c r="G397" s="0" t="n">
        <v>0</v>
      </c>
      <c r="H397" s="0" t="n">
        <v>0</v>
      </c>
      <c r="I397" s="0" t="n">
        <v>0.1</v>
      </c>
      <c r="J397" s="0" t="n">
        <v>23</v>
      </c>
      <c r="K397" s="115" t="n">
        <f aca="false">IFERROR(G397/F397/6.89*0.427*F397,0)</f>
        <v>0</v>
      </c>
      <c r="L397" s="115" t="n">
        <f aca="false">IFERROR(D397/C397/12.87*0.633*C397,0)</f>
        <v>6.63986013986014</v>
      </c>
      <c r="M397" s="118"/>
      <c r="N397" s="118"/>
      <c r="O397" s="118"/>
    </row>
    <row r="398" customFormat="false" ht="14.25" hidden="false" customHeight="true" outlineLevel="0" collapsed="false">
      <c r="B398" s="0" t="s">
        <v>492</v>
      </c>
      <c r="C398" s="0" t="n">
        <v>11.8</v>
      </c>
      <c r="D398" s="0" t="n">
        <v>135</v>
      </c>
      <c r="E398" s="0" t="n">
        <v>0.6</v>
      </c>
      <c r="F398" s="0" t="n">
        <v>0</v>
      </c>
      <c r="G398" s="0" t="n">
        <v>0</v>
      </c>
      <c r="H398" s="0" t="n">
        <v>0</v>
      </c>
      <c r="I398" s="0" t="n">
        <v>0.1</v>
      </c>
      <c r="J398" s="0" t="n">
        <v>23</v>
      </c>
      <c r="K398" s="115" t="n">
        <f aca="false">IFERROR(G398/F398/6.89*0.427*F398,0)</f>
        <v>0</v>
      </c>
      <c r="L398" s="115" t="n">
        <f aca="false">IFERROR(D398/C398/12.87*0.633*C398,0)</f>
        <v>6.63986013986014</v>
      </c>
      <c r="M398" s="118"/>
      <c r="N398" s="118"/>
      <c r="O398" s="118"/>
    </row>
    <row r="399" customFormat="false" ht="14.25" hidden="false" customHeight="true" outlineLevel="0" collapsed="false">
      <c r="A399" s="0" t="s">
        <v>854</v>
      </c>
      <c r="B399" s="0" t="s">
        <v>516</v>
      </c>
      <c r="C399" s="0" t="n">
        <v>9.5</v>
      </c>
      <c r="D399" s="0" t="n">
        <v>121.7</v>
      </c>
      <c r="E399" s="0" t="n">
        <v>0.7</v>
      </c>
      <c r="F399" s="0" t="n">
        <v>2.1</v>
      </c>
      <c r="G399" s="0" t="n">
        <v>11.3</v>
      </c>
      <c r="H399" s="0" t="n">
        <v>0.1</v>
      </c>
      <c r="I399" s="0" t="n">
        <v>0.1</v>
      </c>
      <c r="J399" s="0" t="n">
        <v>22.7</v>
      </c>
      <c r="K399" s="115" t="n">
        <f aca="false">IFERROR(G399/F399/6.89*0.427*F399,0)</f>
        <v>0.700304789550073</v>
      </c>
      <c r="L399" s="115" t="n">
        <f aca="false">IFERROR(D399/C399/12.87*0.633*C399,0)</f>
        <v>5.98571095571096</v>
      </c>
      <c r="M399" s="117" t="n">
        <f aca="false">C401*Scoring!$B$34+D401/Scoring!$C$34+E401*Scoring!$D$34+WR!F401*Scoring!$E$34+WR!G401/Scoring!$F$34+WR!H401*Scoring!$G$34+WR!I401*Scoring!$H$34+K401*Scoring!$I$34+WR!L401*Scoring!$J$34+U399</f>
        <v>73.428</v>
      </c>
      <c r="N399" s="117" t="n">
        <f aca="false">C399*Scoring!$B$34+D399/Scoring!$C$34+E399*Scoring!$D$34+WR!F399*Scoring!$E$34+WR!G399/Scoring!$F$34+WR!H399*Scoring!$G$34+WR!I399*Scoring!$H$34+K399*Scoring!$I$34+WR!L399*Scoring!$J$34+U399</f>
        <v>73.428</v>
      </c>
      <c r="O399" s="117" t="n">
        <f aca="false">C400*Scoring!$B$34+D400/Scoring!$C$34+E400*Scoring!$D$34+WR!F400*Scoring!$E$34+WR!G400/Scoring!$F$34+WR!H400*Scoring!$G$34+WR!I400*Scoring!$H$34+K400*Scoring!$I$34+WR!L400*Scoring!$J$34+U399</f>
        <v>73.428</v>
      </c>
      <c r="P399" s="53" t="n">
        <f aca="false">IF(COUNTIF(Rookies!$A:$A,A399)&gt;0,1,0)</f>
        <v>1</v>
      </c>
      <c r="S399" s="53" t="n">
        <f aca="false">V399/17</f>
        <v>1.33235294117647</v>
      </c>
      <c r="T399" s="53" t="n">
        <f aca="false">IF(P399=1,MAX(0,0.28*(12-S399)),0)</f>
        <v>2.98694117647059</v>
      </c>
      <c r="U399" s="53" t="n">
        <f aca="false">T399*17</f>
        <v>50.778</v>
      </c>
      <c r="V399" s="53" t="n">
        <f aca="false">C399*Scoring!$B$34+D399/Scoring!$C$34+E399*Scoring!$D$34+WR!F399*Scoring!$E$34+WR!G399/Scoring!$F$34+WR!H399*Scoring!$G$34+WR!I399*Scoring!$H$34+K399*Scoring!$I$34+WR!L399*Scoring!$J$34</f>
        <v>22.65</v>
      </c>
    </row>
    <row r="400" customFormat="false" ht="14.25" hidden="false" customHeight="true" outlineLevel="0" collapsed="false">
      <c r="B400" s="0" t="s">
        <v>491</v>
      </c>
      <c r="C400" s="0" t="n">
        <v>9.5</v>
      </c>
      <c r="D400" s="0" t="n">
        <v>121.7</v>
      </c>
      <c r="E400" s="0" t="n">
        <v>0.7</v>
      </c>
      <c r="F400" s="0" t="n">
        <v>2.1</v>
      </c>
      <c r="G400" s="0" t="n">
        <v>11.3</v>
      </c>
      <c r="H400" s="0" t="n">
        <v>0.1</v>
      </c>
      <c r="I400" s="0" t="n">
        <v>0.1</v>
      </c>
      <c r="J400" s="0" t="n">
        <v>22.8</v>
      </c>
      <c r="K400" s="115" t="n">
        <f aca="false">IFERROR(G400/F400/6.89*0.427*F400,0)</f>
        <v>0.700304789550073</v>
      </c>
      <c r="L400" s="115" t="n">
        <f aca="false">IFERROR(D400/C400/12.87*0.633*C400,0)</f>
        <v>5.98571095571096</v>
      </c>
      <c r="M400" s="118"/>
      <c r="N400" s="118"/>
      <c r="O400" s="118"/>
    </row>
    <row r="401" customFormat="false" ht="14.25" hidden="false" customHeight="true" outlineLevel="0" collapsed="false">
      <c r="B401" s="0" t="s">
        <v>492</v>
      </c>
      <c r="C401" s="0" t="n">
        <v>9.5</v>
      </c>
      <c r="D401" s="0" t="n">
        <v>121.7</v>
      </c>
      <c r="E401" s="0" t="n">
        <v>0.7</v>
      </c>
      <c r="F401" s="0" t="n">
        <v>2.1</v>
      </c>
      <c r="G401" s="0" t="n">
        <v>11.3</v>
      </c>
      <c r="H401" s="0" t="n">
        <v>0.1</v>
      </c>
      <c r="I401" s="0" t="n">
        <v>0.1</v>
      </c>
      <c r="J401" s="0" t="n">
        <v>22.8</v>
      </c>
      <c r="K401" s="115" t="n">
        <f aca="false">IFERROR(G401/F401/6.89*0.427*F401,0)</f>
        <v>0.700304789550073</v>
      </c>
      <c r="L401" s="115" t="n">
        <f aca="false">IFERROR(D401/C401/12.87*0.633*C401,0)</f>
        <v>5.98571095571096</v>
      </c>
      <c r="M401" s="118"/>
      <c r="N401" s="118"/>
      <c r="O401" s="118"/>
    </row>
    <row r="402" customFormat="false" ht="14.25" hidden="false" customHeight="true" outlineLevel="0" collapsed="false">
      <c r="A402" s="0" t="s">
        <v>855</v>
      </c>
      <c r="B402" s="0" t="s">
        <v>542</v>
      </c>
      <c r="C402" s="0" t="n">
        <v>11.8</v>
      </c>
      <c r="D402" s="0" t="n">
        <v>114.5</v>
      </c>
      <c r="E402" s="0" t="n">
        <v>0.4</v>
      </c>
      <c r="F402" s="0" t="n">
        <v>2.2</v>
      </c>
      <c r="G402" s="0" t="n">
        <v>12.7</v>
      </c>
      <c r="H402" s="0" t="n">
        <v>0.1</v>
      </c>
      <c r="I402" s="0" t="n">
        <v>0.1</v>
      </c>
      <c r="J402" s="0" t="n">
        <v>21.6</v>
      </c>
      <c r="K402" s="115" t="n">
        <f aca="false">IFERROR(G402/F402/6.89*0.427*F402,0)</f>
        <v>0.787068214804064</v>
      </c>
      <c r="L402" s="115" t="n">
        <f aca="false">IFERROR(D402/C402/12.87*0.633*C402,0)</f>
        <v>5.63158508158508</v>
      </c>
      <c r="M402" s="117" t="n">
        <f aca="false">C404*Scoring!$B$34+D404/Scoring!$C$34+E404*Scoring!$D$34+WR!F404*Scoring!$E$34+WR!G404/Scoring!$F$34+WR!H404*Scoring!$G$34+WR!I404*Scoring!$H$34+K404*Scoring!$I$34+WR!L404*Scoring!$J$34+U402</f>
        <v>21.42</v>
      </c>
      <c r="N402" s="117" t="n">
        <f aca="false">C402*Scoring!$B$34+D402/Scoring!$C$34+E402*Scoring!$D$34+WR!F402*Scoring!$E$34+WR!G402/Scoring!$F$34+WR!H402*Scoring!$G$34+WR!I402*Scoring!$H$34+K402*Scoring!$I$34+WR!L402*Scoring!$J$34+U402</f>
        <v>21.42</v>
      </c>
      <c r="O402" s="117" t="n">
        <f aca="false">C403*Scoring!$B$34+D403/Scoring!$C$34+E403*Scoring!$D$34+WR!F403*Scoring!$E$34+WR!G403/Scoring!$F$34+WR!H403*Scoring!$G$34+WR!I403*Scoring!$H$34+K403*Scoring!$I$34+WR!L403*Scoring!$J$34+U402</f>
        <v>21.42</v>
      </c>
      <c r="P402" s="53" t="n">
        <f aca="false">IF(COUNTIF(Rookies!$A:$A,A402)&gt;0,1,0)</f>
        <v>0</v>
      </c>
      <c r="S402" s="53" t="n">
        <f aca="false">V402/17</f>
        <v>1.26</v>
      </c>
      <c r="T402" s="53" t="n">
        <f aca="false">IF(P402=1,MAX(0,0.28*(12-S402)),0)</f>
        <v>0</v>
      </c>
      <c r="U402" s="53" t="n">
        <f aca="false">T402*17</f>
        <v>0</v>
      </c>
      <c r="V402" s="53" t="n">
        <f aca="false">C402*Scoring!$B$34+D402/Scoring!$C$34+E402*Scoring!$D$34+WR!F402*Scoring!$E$34+WR!G402/Scoring!$F$34+WR!H402*Scoring!$G$34+WR!I402*Scoring!$H$34+K402*Scoring!$I$34+WR!L402*Scoring!$J$34</f>
        <v>21.42</v>
      </c>
    </row>
    <row r="403" customFormat="false" ht="14.25" hidden="false" customHeight="true" outlineLevel="0" collapsed="false">
      <c r="B403" s="0" t="s">
        <v>491</v>
      </c>
      <c r="C403" s="0" t="n">
        <v>11.8</v>
      </c>
      <c r="D403" s="0" t="n">
        <v>114.5</v>
      </c>
      <c r="E403" s="0" t="n">
        <v>0.4</v>
      </c>
      <c r="F403" s="0" t="n">
        <v>2.2</v>
      </c>
      <c r="G403" s="0" t="n">
        <v>12.7</v>
      </c>
      <c r="H403" s="0" t="n">
        <v>0.1</v>
      </c>
      <c r="I403" s="0" t="n">
        <v>0.1</v>
      </c>
      <c r="J403" s="0" t="n">
        <v>25.2</v>
      </c>
      <c r="K403" s="115" t="n">
        <f aca="false">IFERROR(G403/F403/6.89*0.427*F403,0)</f>
        <v>0.787068214804064</v>
      </c>
      <c r="L403" s="115" t="n">
        <f aca="false">IFERROR(D403/C403/12.87*0.633*C403,0)</f>
        <v>5.63158508158508</v>
      </c>
      <c r="M403" s="118"/>
      <c r="N403" s="118"/>
      <c r="O403" s="118"/>
    </row>
    <row r="404" customFormat="false" ht="14.25" hidden="false" customHeight="true" outlineLevel="0" collapsed="false">
      <c r="B404" s="0" t="s">
        <v>492</v>
      </c>
      <c r="C404" s="0" t="n">
        <v>11.8</v>
      </c>
      <c r="D404" s="0" t="n">
        <v>114.5</v>
      </c>
      <c r="E404" s="0" t="n">
        <v>0.4</v>
      </c>
      <c r="F404" s="0" t="n">
        <v>2.2</v>
      </c>
      <c r="G404" s="0" t="n">
        <v>12.7</v>
      </c>
      <c r="H404" s="0" t="n">
        <v>0.1</v>
      </c>
      <c r="I404" s="0" t="n">
        <v>0.1</v>
      </c>
      <c r="J404" s="0" t="n">
        <v>25.2</v>
      </c>
      <c r="K404" s="115" t="n">
        <f aca="false">IFERROR(G404/F404/6.89*0.427*F404,0)</f>
        <v>0.787068214804064</v>
      </c>
      <c r="L404" s="115" t="n">
        <f aca="false">IFERROR(D404/C404/12.87*0.633*C404,0)</f>
        <v>5.63158508158508</v>
      </c>
      <c r="M404" s="118"/>
      <c r="N404" s="118"/>
      <c r="O404" s="118"/>
    </row>
    <row r="405" customFormat="false" ht="14.25" hidden="false" customHeight="true" outlineLevel="0" collapsed="false">
      <c r="A405" s="0" t="s">
        <v>856</v>
      </c>
      <c r="B405" s="0" t="s">
        <v>496</v>
      </c>
      <c r="C405" s="0" t="n">
        <v>9.3</v>
      </c>
      <c r="D405" s="0" t="n">
        <v>118.7</v>
      </c>
      <c r="E405" s="0" t="n">
        <v>0.8</v>
      </c>
      <c r="F405" s="0" t="n">
        <v>0</v>
      </c>
      <c r="G405" s="0" t="n">
        <v>0</v>
      </c>
      <c r="H405" s="0" t="n">
        <v>0</v>
      </c>
      <c r="I405" s="0" t="n">
        <v>0.1</v>
      </c>
      <c r="J405" s="0" t="n">
        <v>21.2</v>
      </c>
      <c r="K405" s="115" t="n">
        <f aca="false">IFERROR(G405/F405/6.89*0.427*F405,0)</f>
        <v>0</v>
      </c>
      <c r="L405" s="115" t="n">
        <f aca="false">IFERROR(D405/C405/12.87*0.633*C405,0)</f>
        <v>5.83815850815851</v>
      </c>
      <c r="M405" s="117" t="n">
        <f aca="false">C407*Scoring!$B$34+D407/Scoring!$C$34+E407*Scoring!$D$34+WR!F407*Scoring!$E$34+WR!G407/Scoring!$F$34+WR!H407*Scoring!$G$34+WR!I407*Scoring!$H$34+K407*Scoring!$I$34+WR!L407*Scoring!$J$34+U405</f>
        <v>21.12</v>
      </c>
      <c r="N405" s="117" t="n">
        <f aca="false">C405*Scoring!$B$34+D405/Scoring!$C$34+E405*Scoring!$D$34+WR!F405*Scoring!$E$34+WR!G405/Scoring!$F$34+WR!H405*Scoring!$G$34+WR!I405*Scoring!$H$34+K405*Scoring!$I$34+WR!L405*Scoring!$J$34+U405</f>
        <v>21.12</v>
      </c>
      <c r="O405" s="117" t="n">
        <f aca="false">C406*Scoring!$B$34+D406/Scoring!$C$34+E406*Scoring!$D$34+WR!F406*Scoring!$E$34+WR!G406/Scoring!$F$34+WR!H406*Scoring!$G$34+WR!I406*Scoring!$H$34+K406*Scoring!$I$34+WR!L406*Scoring!$J$34+U405</f>
        <v>21.12</v>
      </c>
      <c r="P405" s="53" t="n">
        <f aca="false">IF(COUNTIF(Rookies!$A:$A,A405)&gt;0,1,0)</f>
        <v>0</v>
      </c>
      <c r="S405" s="53" t="n">
        <f aca="false">V405/17</f>
        <v>1.24235294117647</v>
      </c>
      <c r="T405" s="53" t="n">
        <f aca="false">IF(P405=1,MAX(0,0.28*(12-S405)),0)</f>
        <v>0</v>
      </c>
      <c r="U405" s="53" t="n">
        <f aca="false">T405*17</f>
        <v>0</v>
      </c>
      <c r="V405" s="53" t="n">
        <f aca="false">C405*Scoring!$B$34+D405/Scoring!$C$34+E405*Scoring!$D$34+WR!F405*Scoring!$E$34+WR!G405/Scoring!$F$34+WR!H405*Scoring!$G$34+WR!I405*Scoring!$H$34+K405*Scoring!$I$34+WR!L405*Scoring!$J$34</f>
        <v>21.12</v>
      </c>
    </row>
    <row r="406" customFormat="false" ht="14.25" hidden="false" customHeight="true" outlineLevel="0" collapsed="false">
      <c r="B406" s="0" t="s">
        <v>491</v>
      </c>
      <c r="C406" s="0" t="n">
        <v>9.3</v>
      </c>
      <c r="D406" s="0" t="n">
        <v>118.7</v>
      </c>
      <c r="E406" s="0" t="n">
        <v>0.8</v>
      </c>
      <c r="F406" s="0" t="n">
        <v>0</v>
      </c>
      <c r="G406" s="0" t="n">
        <v>0</v>
      </c>
      <c r="H406" s="0" t="n">
        <v>0</v>
      </c>
      <c r="I406" s="0" t="n">
        <v>0.1</v>
      </c>
      <c r="J406" s="0" t="n">
        <v>23.9</v>
      </c>
      <c r="K406" s="115" t="n">
        <f aca="false">IFERROR(G406/F406/6.89*0.427*F406,0)</f>
        <v>0</v>
      </c>
      <c r="L406" s="115" t="n">
        <f aca="false">IFERROR(D406/C406/12.87*0.633*C406,0)</f>
        <v>5.83815850815851</v>
      </c>
      <c r="M406" s="118"/>
      <c r="N406" s="118"/>
      <c r="O406" s="118"/>
    </row>
    <row r="407" customFormat="false" ht="14.25" hidden="false" customHeight="true" outlineLevel="0" collapsed="false">
      <c r="B407" s="0" t="s">
        <v>492</v>
      </c>
      <c r="C407" s="0" t="n">
        <v>9.3</v>
      </c>
      <c r="D407" s="0" t="n">
        <v>118.7</v>
      </c>
      <c r="E407" s="0" t="n">
        <v>0.8</v>
      </c>
      <c r="F407" s="0" t="n">
        <v>0</v>
      </c>
      <c r="G407" s="0" t="n">
        <v>0</v>
      </c>
      <c r="H407" s="0" t="n">
        <v>0</v>
      </c>
      <c r="I407" s="0" t="n">
        <v>0.1</v>
      </c>
      <c r="J407" s="0" t="n">
        <v>23.9</v>
      </c>
      <c r="K407" s="115" t="n">
        <f aca="false">IFERROR(G407/F407/6.89*0.427*F407,0)</f>
        <v>0</v>
      </c>
      <c r="L407" s="115" t="n">
        <f aca="false">IFERROR(D407/C407/12.87*0.633*C407,0)</f>
        <v>5.83815850815851</v>
      </c>
      <c r="M407" s="118"/>
      <c r="N407" s="118"/>
      <c r="O407" s="118"/>
    </row>
    <row r="408" customFormat="false" ht="14.25" hidden="false" customHeight="true" outlineLevel="0" collapsed="false">
      <c r="A408" s="0" t="s">
        <v>857</v>
      </c>
      <c r="B408" s="0" t="s">
        <v>494</v>
      </c>
      <c r="C408" s="0" t="n">
        <v>8.3</v>
      </c>
      <c r="D408" s="0" t="n">
        <v>123.6</v>
      </c>
      <c r="E408" s="0" t="n">
        <v>0.8</v>
      </c>
      <c r="F408" s="0" t="n">
        <v>0</v>
      </c>
      <c r="G408" s="0" t="n">
        <v>0</v>
      </c>
      <c r="H408" s="0" t="n">
        <v>0</v>
      </c>
      <c r="I408" s="0" t="n">
        <v>0.1</v>
      </c>
      <c r="J408" s="0" t="n">
        <v>20.9</v>
      </c>
      <c r="K408" s="115" t="n">
        <f aca="false">IFERROR(G408/F408/6.89*0.427*F408,0)</f>
        <v>0</v>
      </c>
      <c r="L408" s="115" t="n">
        <f aca="false">IFERROR(D408/C408/12.87*0.633*C408,0)</f>
        <v>6.07916083916084</v>
      </c>
      <c r="M408" s="117" t="n">
        <f aca="false">C410*Scoring!$B$34+D410/Scoring!$C$34+E410*Scoring!$D$34+WR!F410*Scoring!$E$34+WR!G410/Scoring!$F$34+WR!H410*Scoring!$G$34+WR!I410*Scoring!$H$34+K410*Scoring!$I$34+WR!L410*Scoring!$J$34+U408</f>
        <v>72.3192</v>
      </c>
      <c r="N408" s="117" t="n">
        <f aca="false">C408*Scoring!$B$34+D408/Scoring!$C$34+E408*Scoring!$D$34+WR!F408*Scoring!$E$34+WR!G408/Scoring!$F$34+WR!H408*Scoring!$G$34+WR!I408*Scoring!$H$34+K408*Scoring!$I$34+WR!L408*Scoring!$J$34+U408</f>
        <v>72.3192</v>
      </c>
      <c r="O408" s="117" t="n">
        <f aca="false">C409*Scoring!$B$34+D409/Scoring!$C$34+E409*Scoring!$D$34+WR!F409*Scoring!$E$34+WR!G409/Scoring!$F$34+WR!H409*Scoring!$G$34+WR!I409*Scoring!$H$34+K409*Scoring!$I$34+WR!L409*Scoring!$J$34+U408</f>
        <v>72.3192</v>
      </c>
      <c r="P408" s="53" t="n">
        <f aca="false">IF(COUNTIF(Rookies!$A:$A,A408)&gt;0,1,0)</f>
        <v>1</v>
      </c>
      <c r="S408" s="53" t="n">
        <f aca="false">V408/17</f>
        <v>1.24176470588235</v>
      </c>
      <c r="T408" s="53" t="n">
        <f aca="false">IF(P408=1,MAX(0,0.28*(12-S408)),0)</f>
        <v>3.01230588235294</v>
      </c>
      <c r="U408" s="53" t="n">
        <f aca="false">T408*17</f>
        <v>51.2092</v>
      </c>
      <c r="V408" s="53" t="n">
        <f aca="false">C408*Scoring!$B$34+D408/Scoring!$C$34+E408*Scoring!$D$34+WR!F408*Scoring!$E$34+WR!G408/Scoring!$F$34+WR!H408*Scoring!$G$34+WR!I408*Scoring!$H$34+K408*Scoring!$I$34+WR!L408*Scoring!$J$34</f>
        <v>21.11</v>
      </c>
    </row>
    <row r="409" customFormat="false" ht="14.25" hidden="false" customHeight="true" outlineLevel="0" collapsed="false">
      <c r="B409" s="0" t="s">
        <v>491</v>
      </c>
      <c r="C409" s="0" t="n">
        <v>8.3</v>
      </c>
      <c r="D409" s="0" t="n">
        <v>123.6</v>
      </c>
      <c r="E409" s="0" t="n">
        <v>0.8</v>
      </c>
      <c r="F409" s="0" t="n">
        <v>0</v>
      </c>
      <c r="G409" s="0" t="n">
        <v>0</v>
      </c>
      <c r="H409" s="0" t="n">
        <v>0</v>
      </c>
      <c r="I409" s="0" t="n">
        <v>0.1</v>
      </c>
      <c r="J409" s="0" t="n">
        <v>20.9</v>
      </c>
      <c r="K409" s="115" t="n">
        <f aca="false">IFERROR(G409/F409/6.89*0.427*F409,0)</f>
        <v>0</v>
      </c>
      <c r="L409" s="115" t="n">
        <f aca="false">IFERROR(D409/C409/12.87*0.633*C409,0)</f>
        <v>6.07916083916084</v>
      </c>
      <c r="M409" s="118"/>
      <c r="N409" s="118"/>
      <c r="O409" s="118"/>
    </row>
    <row r="410" customFormat="false" ht="14.25" hidden="false" customHeight="true" outlineLevel="0" collapsed="false">
      <c r="B410" s="0" t="s">
        <v>492</v>
      </c>
      <c r="C410" s="0" t="n">
        <v>8.3</v>
      </c>
      <c r="D410" s="0" t="n">
        <v>123.6</v>
      </c>
      <c r="E410" s="0" t="n">
        <v>0.8</v>
      </c>
      <c r="F410" s="0" t="n">
        <v>0</v>
      </c>
      <c r="G410" s="0" t="n">
        <v>0</v>
      </c>
      <c r="H410" s="0" t="n">
        <v>0</v>
      </c>
      <c r="I410" s="0" t="n">
        <v>0.1</v>
      </c>
      <c r="J410" s="0" t="n">
        <v>20.9</v>
      </c>
      <c r="K410" s="115" t="n">
        <f aca="false">IFERROR(G410/F410/6.89*0.427*F410,0)</f>
        <v>0</v>
      </c>
      <c r="L410" s="115" t="n">
        <f aca="false">IFERROR(D410/C410/12.87*0.633*C410,0)</f>
        <v>6.07916083916084</v>
      </c>
      <c r="M410" s="118"/>
      <c r="N410" s="118"/>
      <c r="O410" s="118"/>
    </row>
    <row r="411" customFormat="false" ht="14.25" hidden="false" customHeight="true" outlineLevel="0" collapsed="false">
      <c r="A411" s="0" t="s">
        <v>858</v>
      </c>
      <c r="B411" s="0" t="s">
        <v>504</v>
      </c>
      <c r="C411" s="0" t="n">
        <v>9.2</v>
      </c>
      <c r="D411" s="0" t="n">
        <v>113.1</v>
      </c>
      <c r="E411" s="0" t="n">
        <v>0.6</v>
      </c>
      <c r="F411" s="0" t="n">
        <v>0</v>
      </c>
      <c r="G411" s="0" t="n">
        <v>0</v>
      </c>
      <c r="H411" s="0" t="n">
        <v>0</v>
      </c>
      <c r="I411" s="0" t="n">
        <v>0.1</v>
      </c>
      <c r="J411" s="0" t="n">
        <v>19.3</v>
      </c>
      <c r="K411" s="115" t="n">
        <f aca="false">IFERROR(G411/F411/6.89*0.427*F411,0)</f>
        <v>0</v>
      </c>
      <c r="L411" s="115" t="n">
        <f aca="false">IFERROR(D411/C411/12.87*0.633*C411,0)</f>
        <v>5.56272727272727</v>
      </c>
      <c r="M411" s="117" t="n">
        <f aca="false">C413*Scoring!$B$34+D413/Scoring!$C$34+E413*Scoring!$D$34+WR!F413*Scoring!$E$34+WR!G413/Scoring!$F$34+WR!H413*Scoring!$G$34+WR!I413*Scoring!$H$34+K413*Scoring!$I$34+WR!L413*Scoring!$J$34+U411</f>
        <v>19.31</v>
      </c>
      <c r="N411" s="117" t="n">
        <f aca="false">C411*Scoring!$B$34+D411/Scoring!$C$34+E411*Scoring!$D$34+WR!F411*Scoring!$E$34+WR!G411/Scoring!$F$34+WR!H411*Scoring!$G$34+WR!I411*Scoring!$H$34+K411*Scoring!$I$34+WR!L411*Scoring!$J$34+U411</f>
        <v>19.31</v>
      </c>
      <c r="O411" s="117" t="n">
        <f aca="false">C412*Scoring!$B$34+D412/Scoring!$C$34+E412*Scoring!$D$34+WR!F412*Scoring!$E$34+WR!G412/Scoring!$F$34+WR!H412*Scoring!$G$34+WR!I412*Scoring!$H$34+K412*Scoring!$I$34+WR!L412*Scoring!$J$34+U411</f>
        <v>19.31</v>
      </c>
      <c r="P411" s="53" t="n">
        <f aca="false">IF(COUNTIF(Rookies!$A:$A,A411)&gt;0,1,0)</f>
        <v>0</v>
      </c>
      <c r="S411" s="53" t="n">
        <f aca="false">V411/17</f>
        <v>1.13588235294118</v>
      </c>
      <c r="T411" s="53" t="n">
        <f aca="false">IF(P411=1,MAX(0,0.28*(12-S411)),0)</f>
        <v>0</v>
      </c>
      <c r="U411" s="53" t="n">
        <f aca="false">T411*17</f>
        <v>0</v>
      </c>
      <c r="V411" s="53" t="n">
        <f aca="false">C411*Scoring!$B$34+D411/Scoring!$C$34+E411*Scoring!$D$34+WR!F411*Scoring!$E$34+WR!G411/Scoring!$F$34+WR!H411*Scoring!$G$34+WR!I411*Scoring!$H$34+K411*Scoring!$I$34+WR!L411*Scoring!$J$34</f>
        <v>19.31</v>
      </c>
    </row>
    <row r="412" customFormat="false" ht="14.25" hidden="false" customHeight="true" outlineLevel="0" collapsed="false">
      <c r="B412" s="0" t="s">
        <v>491</v>
      </c>
      <c r="C412" s="0" t="n">
        <v>9.2</v>
      </c>
      <c r="D412" s="0" t="n">
        <v>113.1</v>
      </c>
      <c r="E412" s="0" t="n">
        <v>0.6</v>
      </c>
      <c r="F412" s="0" t="n">
        <v>0</v>
      </c>
      <c r="G412" s="0" t="n">
        <v>0</v>
      </c>
      <c r="H412" s="0" t="n">
        <v>0</v>
      </c>
      <c r="I412" s="0" t="n">
        <v>0.1</v>
      </c>
      <c r="J412" s="0" t="n">
        <v>19.4</v>
      </c>
      <c r="K412" s="115" t="n">
        <f aca="false">IFERROR(G412/F412/6.89*0.427*F412,0)</f>
        <v>0</v>
      </c>
      <c r="L412" s="115" t="n">
        <f aca="false">IFERROR(D412/C412/12.87*0.633*C412,0)</f>
        <v>5.56272727272727</v>
      </c>
      <c r="M412" s="118"/>
      <c r="N412" s="118"/>
      <c r="O412" s="118"/>
    </row>
    <row r="413" customFormat="false" ht="14.25" hidden="false" customHeight="true" outlineLevel="0" collapsed="false">
      <c r="B413" s="0" t="s">
        <v>492</v>
      </c>
      <c r="C413" s="0" t="n">
        <v>9.2</v>
      </c>
      <c r="D413" s="0" t="n">
        <v>113.1</v>
      </c>
      <c r="E413" s="0" t="n">
        <v>0.6</v>
      </c>
      <c r="F413" s="0" t="n">
        <v>0</v>
      </c>
      <c r="G413" s="0" t="n">
        <v>0</v>
      </c>
      <c r="H413" s="0" t="n">
        <v>0</v>
      </c>
      <c r="I413" s="0" t="n">
        <v>0.1</v>
      </c>
      <c r="J413" s="0" t="n">
        <v>19.4</v>
      </c>
      <c r="K413" s="115" t="n">
        <f aca="false">IFERROR(G413/F413/6.89*0.427*F413,0)</f>
        <v>0</v>
      </c>
      <c r="L413" s="115" t="n">
        <f aca="false">IFERROR(D413/C413/12.87*0.633*C413,0)</f>
        <v>5.56272727272727</v>
      </c>
      <c r="M413" s="118"/>
      <c r="N413" s="118"/>
      <c r="O413" s="118"/>
    </row>
    <row r="414" customFormat="false" ht="14.25" hidden="false" customHeight="true" outlineLevel="0" collapsed="false">
      <c r="A414" s="0" t="s">
        <v>859</v>
      </c>
      <c r="B414" s="0" t="s">
        <v>528</v>
      </c>
      <c r="C414" s="0" t="n">
        <v>6.7</v>
      </c>
      <c r="D414" s="0" t="n">
        <v>77.5</v>
      </c>
      <c r="E414" s="0" t="n">
        <v>0.6</v>
      </c>
      <c r="F414" s="0" t="n">
        <v>4.4</v>
      </c>
      <c r="G414" s="0" t="n">
        <v>23.2</v>
      </c>
      <c r="H414" s="0" t="n">
        <v>0.2</v>
      </c>
      <c r="I414" s="0" t="n">
        <v>0.1</v>
      </c>
      <c r="J414" s="0" t="n">
        <v>18.1</v>
      </c>
      <c r="K414" s="115" t="n">
        <f aca="false">IFERROR(G414/F414/6.89*0.427*F414,0)</f>
        <v>1.437793904209</v>
      </c>
      <c r="L414" s="115" t="n">
        <f aca="false">IFERROR(D414/C414/12.87*0.633*C414,0)</f>
        <v>3.81177156177156</v>
      </c>
      <c r="M414" s="117" t="n">
        <f aca="false">C416*Scoring!$B$34+D416/Scoring!$C$34+E416*Scoring!$D$34+WR!F416*Scoring!$E$34+WR!G416/Scoring!$F$34+WR!H416*Scoring!$G$34+WR!I416*Scoring!$H$34+K416*Scoring!$I$34+WR!L416*Scoring!$J$34+U414</f>
        <v>18.02</v>
      </c>
      <c r="N414" s="117" t="n">
        <f aca="false">C414*Scoring!$B$34+D414/Scoring!$C$34+E414*Scoring!$D$34+WR!F414*Scoring!$E$34+WR!G414/Scoring!$F$34+WR!H414*Scoring!$G$34+WR!I414*Scoring!$H$34+K414*Scoring!$I$34+WR!L414*Scoring!$J$34+U414</f>
        <v>18.02</v>
      </c>
      <c r="O414" s="117" t="n">
        <f aca="false">C415*Scoring!$B$34+D415/Scoring!$C$34+E415*Scoring!$D$34+WR!F415*Scoring!$E$34+WR!G415/Scoring!$F$34+WR!H415*Scoring!$G$34+WR!I415*Scoring!$H$34+K415*Scoring!$I$34+WR!L415*Scoring!$J$34+U414</f>
        <v>18.02</v>
      </c>
      <c r="P414" s="53" t="n">
        <f aca="false">IF(COUNTIF(Rookies!$A:$A,A414)&gt;0,1,0)</f>
        <v>0</v>
      </c>
      <c r="S414" s="53" t="n">
        <f aca="false">V414/17</f>
        <v>1.06</v>
      </c>
      <c r="T414" s="53" t="n">
        <f aca="false">IF(P414=1,MAX(0,0.28*(12-S414)),0)</f>
        <v>0</v>
      </c>
      <c r="U414" s="53" t="n">
        <f aca="false">T414*17</f>
        <v>0</v>
      </c>
      <c r="V414" s="53" t="n">
        <f aca="false">C414*Scoring!$B$34+D414/Scoring!$C$34+E414*Scoring!$D$34+WR!F414*Scoring!$E$34+WR!G414/Scoring!$F$34+WR!H414*Scoring!$G$34+WR!I414*Scoring!$H$34+K414*Scoring!$I$34+WR!L414*Scoring!$J$34</f>
        <v>18.02</v>
      </c>
    </row>
    <row r="415" customFormat="false" ht="14.25" hidden="false" customHeight="true" outlineLevel="0" collapsed="false">
      <c r="B415" s="0" t="s">
        <v>491</v>
      </c>
      <c r="C415" s="0" t="n">
        <v>6.7</v>
      </c>
      <c r="D415" s="0" t="n">
        <v>77.5</v>
      </c>
      <c r="E415" s="0" t="n">
        <v>0.6</v>
      </c>
      <c r="F415" s="0" t="n">
        <v>4.4</v>
      </c>
      <c r="G415" s="0" t="n">
        <v>23.2</v>
      </c>
      <c r="H415" s="0" t="n">
        <v>0.2</v>
      </c>
      <c r="I415" s="0" t="n">
        <v>0.1</v>
      </c>
      <c r="J415" s="0" t="n">
        <v>18.2</v>
      </c>
      <c r="K415" s="115" t="n">
        <f aca="false">IFERROR(G415/F415/6.89*0.427*F415,0)</f>
        <v>1.437793904209</v>
      </c>
      <c r="L415" s="115" t="n">
        <f aca="false">IFERROR(D415/C415/12.87*0.633*C415,0)</f>
        <v>3.81177156177156</v>
      </c>
      <c r="M415" s="118"/>
      <c r="N415" s="118"/>
      <c r="O415" s="118"/>
    </row>
    <row r="416" customFormat="false" ht="14.25" hidden="false" customHeight="true" outlineLevel="0" collapsed="false">
      <c r="B416" s="0" t="s">
        <v>492</v>
      </c>
      <c r="C416" s="0" t="n">
        <v>6.7</v>
      </c>
      <c r="D416" s="0" t="n">
        <v>77.5</v>
      </c>
      <c r="E416" s="0" t="n">
        <v>0.6</v>
      </c>
      <c r="F416" s="0" t="n">
        <v>4.4</v>
      </c>
      <c r="G416" s="0" t="n">
        <v>23.2</v>
      </c>
      <c r="H416" s="0" t="n">
        <v>0.2</v>
      </c>
      <c r="I416" s="0" t="n">
        <v>0.1</v>
      </c>
      <c r="J416" s="0" t="n">
        <v>18.2</v>
      </c>
      <c r="K416" s="115" t="n">
        <f aca="false">IFERROR(G416/F416/6.89*0.427*F416,0)</f>
        <v>1.437793904209</v>
      </c>
      <c r="L416" s="115" t="n">
        <f aca="false">IFERROR(D416/C416/12.87*0.633*C416,0)</f>
        <v>3.81177156177156</v>
      </c>
      <c r="M416" s="118"/>
      <c r="N416" s="118"/>
      <c r="O416" s="118"/>
    </row>
    <row r="417" customFormat="false" ht="14.25" hidden="false" customHeight="true" outlineLevel="0" collapsed="false">
      <c r="A417" s="0" t="s">
        <v>860</v>
      </c>
      <c r="B417" s="0" t="s">
        <v>540</v>
      </c>
      <c r="C417" s="0" t="n">
        <v>6.6</v>
      </c>
      <c r="D417" s="0" t="n">
        <v>75.5</v>
      </c>
      <c r="E417" s="0" t="n">
        <v>0.4</v>
      </c>
      <c r="F417" s="0" t="n">
        <v>6.2</v>
      </c>
      <c r="G417" s="0" t="n">
        <v>37</v>
      </c>
      <c r="H417" s="0" t="n">
        <v>0.2</v>
      </c>
      <c r="I417" s="0" t="n">
        <v>0.1</v>
      </c>
      <c r="J417" s="0" t="n">
        <v>17.9</v>
      </c>
      <c r="K417" s="115" t="n">
        <f aca="false">IFERROR(G417/F417/6.89*0.427*F417,0)</f>
        <v>2.29303338171263</v>
      </c>
      <c r="L417" s="115" t="n">
        <f aca="false">IFERROR(D417/C417/12.87*0.633*C417,0)</f>
        <v>3.71340326340326</v>
      </c>
      <c r="M417" s="117" t="n">
        <f aca="false">C419*Scoring!$B$34+D419/Scoring!$C$34+E419*Scoring!$D$34+WR!F419*Scoring!$E$34+WR!G419/Scoring!$F$34+WR!H419*Scoring!$G$34+WR!I419*Scoring!$H$34+K419*Scoring!$I$34+WR!L419*Scoring!$J$34+U417</f>
        <v>17.95</v>
      </c>
      <c r="N417" s="117" t="n">
        <f aca="false">C417*Scoring!$B$34+D417/Scoring!$C$34+E417*Scoring!$D$34+WR!F417*Scoring!$E$34+WR!G417/Scoring!$F$34+WR!H417*Scoring!$G$34+WR!I417*Scoring!$H$34+K417*Scoring!$I$34+WR!L417*Scoring!$J$34+U417</f>
        <v>17.95</v>
      </c>
      <c r="O417" s="117" t="n">
        <f aca="false">C418*Scoring!$B$34+D418/Scoring!$C$34+E418*Scoring!$D$34+WR!F418*Scoring!$E$34+WR!G418/Scoring!$F$34+WR!H418*Scoring!$G$34+WR!I418*Scoring!$H$34+K418*Scoring!$I$34+WR!L418*Scoring!$J$34+U417</f>
        <v>17.95</v>
      </c>
      <c r="P417" s="53" t="n">
        <f aca="false">IF(COUNTIF(Rookies!$A:$A,A417)&gt;0,1,0)</f>
        <v>0</v>
      </c>
      <c r="S417" s="53" t="n">
        <f aca="false">V417/17</f>
        <v>1.05588235294118</v>
      </c>
      <c r="T417" s="53" t="n">
        <f aca="false">IF(P417=1,MAX(0,0.28*(12-S417)),0)</f>
        <v>0</v>
      </c>
      <c r="U417" s="53" t="n">
        <f aca="false">T417*17</f>
        <v>0</v>
      </c>
      <c r="V417" s="53" t="n">
        <f aca="false">C417*Scoring!$B$34+D417/Scoring!$C$34+E417*Scoring!$D$34+WR!F417*Scoring!$E$34+WR!G417/Scoring!$F$34+WR!H417*Scoring!$G$34+WR!I417*Scoring!$H$34+K417*Scoring!$I$34+WR!L417*Scoring!$J$34</f>
        <v>17.95</v>
      </c>
    </row>
    <row r="418" customFormat="false" ht="14.25" hidden="false" customHeight="true" outlineLevel="0" collapsed="false">
      <c r="B418" s="0" t="s">
        <v>491</v>
      </c>
      <c r="C418" s="0" t="n">
        <v>6.6</v>
      </c>
      <c r="D418" s="0" t="n">
        <v>75.5</v>
      </c>
      <c r="E418" s="0" t="n">
        <v>0.4</v>
      </c>
      <c r="F418" s="0" t="n">
        <v>6.2</v>
      </c>
      <c r="G418" s="0" t="n">
        <v>37</v>
      </c>
      <c r="H418" s="0" t="n">
        <v>0.2</v>
      </c>
      <c r="I418" s="0" t="n">
        <v>0.1</v>
      </c>
      <c r="J418" s="0" t="n">
        <v>17.9</v>
      </c>
      <c r="K418" s="115" t="n">
        <f aca="false">IFERROR(G418/F418/6.89*0.427*F418,0)</f>
        <v>2.29303338171263</v>
      </c>
      <c r="L418" s="115" t="n">
        <f aca="false">IFERROR(D418/C418/12.87*0.633*C418,0)</f>
        <v>3.71340326340326</v>
      </c>
      <c r="M418" s="118"/>
      <c r="N418" s="118"/>
      <c r="O418" s="118"/>
    </row>
    <row r="419" customFormat="false" ht="14.25" hidden="false" customHeight="true" outlineLevel="0" collapsed="false">
      <c r="B419" s="0" t="s">
        <v>492</v>
      </c>
      <c r="C419" s="0" t="n">
        <v>6.6</v>
      </c>
      <c r="D419" s="0" t="n">
        <v>75.5</v>
      </c>
      <c r="E419" s="0" t="n">
        <v>0.4</v>
      </c>
      <c r="F419" s="0" t="n">
        <v>6.2</v>
      </c>
      <c r="G419" s="0" t="n">
        <v>37</v>
      </c>
      <c r="H419" s="0" t="n">
        <v>0.2</v>
      </c>
      <c r="I419" s="0" t="n">
        <v>0.1</v>
      </c>
      <c r="J419" s="0" t="n">
        <v>17.9</v>
      </c>
      <c r="K419" s="115" t="n">
        <f aca="false">IFERROR(G419/F419/6.89*0.427*F419,0)</f>
        <v>2.29303338171263</v>
      </c>
      <c r="L419" s="115" t="n">
        <f aca="false">IFERROR(D419/C419/12.87*0.633*C419,0)</f>
        <v>3.71340326340326</v>
      </c>
      <c r="M419" s="118"/>
      <c r="N419" s="118"/>
      <c r="O419" s="118"/>
    </row>
    <row r="420" customFormat="false" ht="14.25" hidden="false" customHeight="true" outlineLevel="0" collapsed="false">
      <c r="A420" s="0" t="s">
        <v>861</v>
      </c>
      <c r="B420" s="0" t="s">
        <v>520</v>
      </c>
      <c r="C420" s="0" t="n">
        <v>7.5</v>
      </c>
      <c r="D420" s="0" t="n">
        <v>84.7</v>
      </c>
      <c r="E420" s="0" t="n">
        <v>0.6</v>
      </c>
      <c r="F420" s="0" t="n">
        <v>2.3</v>
      </c>
      <c r="G420" s="0" t="n">
        <v>12.1</v>
      </c>
      <c r="H420" s="0" t="n">
        <v>0.1</v>
      </c>
      <c r="I420" s="0" t="n">
        <v>0.1</v>
      </c>
      <c r="J420" s="0" t="n">
        <v>17.6</v>
      </c>
      <c r="K420" s="115" t="n">
        <f aca="false">IFERROR(G420/F420/6.89*0.427*F420,0)</f>
        <v>0.749883889695211</v>
      </c>
      <c r="L420" s="115" t="n">
        <f aca="false">IFERROR(D420/C420/12.87*0.633*C420,0)</f>
        <v>4.16589743589744</v>
      </c>
      <c r="M420" s="117" t="n">
        <f aca="false">C422*Scoring!$B$34+D422/Scoring!$C$34+E422*Scoring!$D$34+WR!F422*Scoring!$E$34+WR!G422/Scoring!$F$34+WR!H422*Scoring!$G$34+WR!I422*Scoring!$H$34+K422*Scoring!$I$34+WR!L422*Scoring!$J$34+U420</f>
        <v>17.43</v>
      </c>
      <c r="N420" s="117" t="n">
        <f aca="false">C420*Scoring!$B$34+D420/Scoring!$C$34+E420*Scoring!$D$34+WR!F420*Scoring!$E$34+WR!G420/Scoring!$F$34+WR!H420*Scoring!$G$34+WR!I420*Scoring!$H$34+K420*Scoring!$I$34+WR!L420*Scoring!$J$34+U420</f>
        <v>17.43</v>
      </c>
      <c r="O420" s="117" t="n">
        <f aca="false">C421*Scoring!$B$34+D421/Scoring!$C$34+E421*Scoring!$D$34+WR!F421*Scoring!$E$34+WR!G421/Scoring!$F$34+WR!H421*Scoring!$G$34+WR!I421*Scoring!$H$34+K421*Scoring!$I$34+WR!L421*Scoring!$J$34+U420</f>
        <v>17.43</v>
      </c>
      <c r="P420" s="53" t="n">
        <f aca="false">IF(COUNTIF(Rookies!$A:$A,A420)&gt;0,1,0)</f>
        <v>0</v>
      </c>
      <c r="S420" s="53" t="n">
        <f aca="false">V420/17</f>
        <v>1.02529411764706</v>
      </c>
      <c r="T420" s="53" t="n">
        <f aca="false">IF(P420=1,MAX(0,0.28*(12-S420)),0)</f>
        <v>0</v>
      </c>
      <c r="U420" s="53" t="n">
        <f aca="false">T420*17</f>
        <v>0</v>
      </c>
      <c r="V420" s="53" t="n">
        <f aca="false">C420*Scoring!$B$34+D420/Scoring!$C$34+E420*Scoring!$D$34+WR!F420*Scoring!$E$34+WR!G420/Scoring!$F$34+WR!H420*Scoring!$G$34+WR!I420*Scoring!$H$34+K420*Scoring!$I$34+WR!L420*Scoring!$J$34</f>
        <v>17.43</v>
      </c>
    </row>
    <row r="421" customFormat="false" ht="14.25" hidden="false" customHeight="true" outlineLevel="0" collapsed="false">
      <c r="B421" s="0" t="s">
        <v>491</v>
      </c>
      <c r="C421" s="0" t="n">
        <v>7.5</v>
      </c>
      <c r="D421" s="0" t="n">
        <v>84.7</v>
      </c>
      <c r="E421" s="0" t="n">
        <v>0.6</v>
      </c>
      <c r="F421" s="0" t="n">
        <v>2.3</v>
      </c>
      <c r="G421" s="0" t="n">
        <v>12.1</v>
      </c>
      <c r="H421" s="0" t="n">
        <v>0.1</v>
      </c>
      <c r="I421" s="0" t="n">
        <v>0.1</v>
      </c>
      <c r="J421" s="0" t="n">
        <v>18</v>
      </c>
      <c r="K421" s="115" t="n">
        <f aca="false">IFERROR(G421/F421/6.89*0.427*F421,0)</f>
        <v>0.749883889695211</v>
      </c>
      <c r="L421" s="115" t="n">
        <f aca="false">IFERROR(D421/C421/12.87*0.633*C421,0)</f>
        <v>4.16589743589744</v>
      </c>
      <c r="M421" s="118"/>
      <c r="N421" s="118"/>
      <c r="O421" s="118"/>
    </row>
    <row r="422" customFormat="false" ht="14.25" hidden="false" customHeight="true" outlineLevel="0" collapsed="false">
      <c r="B422" s="0" t="s">
        <v>492</v>
      </c>
      <c r="C422" s="0" t="n">
        <v>7.5</v>
      </c>
      <c r="D422" s="0" t="n">
        <v>84.7</v>
      </c>
      <c r="E422" s="0" t="n">
        <v>0.6</v>
      </c>
      <c r="F422" s="0" t="n">
        <v>2.3</v>
      </c>
      <c r="G422" s="0" t="n">
        <v>12.1</v>
      </c>
      <c r="H422" s="0" t="n">
        <v>0.1</v>
      </c>
      <c r="I422" s="0" t="n">
        <v>0.1</v>
      </c>
      <c r="J422" s="0" t="n">
        <v>18</v>
      </c>
      <c r="K422" s="115" t="n">
        <f aca="false">IFERROR(G422/F422/6.89*0.427*F422,0)</f>
        <v>0.749883889695211</v>
      </c>
      <c r="L422" s="115" t="n">
        <f aca="false">IFERROR(D422/C422/12.87*0.633*C422,0)</f>
        <v>4.16589743589744</v>
      </c>
      <c r="M422" s="118"/>
      <c r="N422" s="118"/>
      <c r="O422" s="118"/>
    </row>
    <row r="423" customFormat="false" ht="14.25" hidden="false" customHeight="true" outlineLevel="0" collapsed="false">
      <c r="A423" s="0" t="s">
        <v>862</v>
      </c>
      <c r="B423" s="0" t="s">
        <v>520</v>
      </c>
      <c r="C423" s="0" t="n">
        <v>6.6</v>
      </c>
      <c r="D423" s="0" t="n">
        <v>83.7</v>
      </c>
      <c r="E423" s="0" t="n">
        <v>0.8</v>
      </c>
      <c r="F423" s="0" t="n">
        <v>0</v>
      </c>
      <c r="G423" s="0" t="n">
        <v>0</v>
      </c>
      <c r="H423" s="0" t="n">
        <v>0</v>
      </c>
      <c r="I423" s="0" t="n">
        <v>0.1</v>
      </c>
      <c r="J423" s="0" t="n">
        <v>16.1</v>
      </c>
      <c r="K423" s="115" t="n">
        <f aca="false">IFERROR(G423/F423/6.89*0.427*F423,0)</f>
        <v>0</v>
      </c>
      <c r="L423" s="115" t="n">
        <f aca="false">IFERROR(D423/C423/12.87*0.633*C423,0)</f>
        <v>4.11671328671329</v>
      </c>
      <c r="M423" s="117" t="n">
        <f aca="false">C425*Scoring!$B$34+D425/Scoring!$C$34+E425*Scoring!$D$34+WR!F425*Scoring!$E$34+WR!G425/Scoring!$F$34+WR!H425*Scoring!$G$34+WR!I425*Scoring!$H$34+K425*Scoring!$I$34+WR!L425*Scoring!$J$34+U423</f>
        <v>16.27</v>
      </c>
      <c r="N423" s="117" t="n">
        <f aca="false">C423*Scoring!$B$34+D423/Scoring!$C$34+E423*Scoring!$D$34+WR!F423*Scoring!$E$34+WR!G423/Scoring!$F$34+WR!H423*Scoring!$G$34+WR!I423*Scoring!$H$34+K423*Scoring!$I$34+WR!L423*Scoring!$J$34+U423</f>
        <v>16.27</v>
      </c>
      <c r="O423" s="117" t="n">
        <f aca="false">C424*Scoring!$B$34+D424/Scoring!$C$34+E424*Scoring!$D$34+WR!F424*Scoring!$E$34+WR!G424/Scoring!$F$34+WR!H424*Scoring!$G$34+WR!I424*Scoring!$H$34+K424*Scoring!$I$34+WR!L424*Scoring!$J$34+U423</f>
        <v>16.27</v>
      </c>
      <c r="P423" s="53" t="n">
        <f aca="false">IF(COUNTIF(Rookies!$A:$A,A423)&gt;0,1,0)</f>
        <v>0</v>
      </c>
      <c r="S423" s="53" t="n">
        <f aca="false">V423/17</f>
        <v>0.957058823529412</v>
      </c>
      <c r="T423" s="53" t="n">
        <f aca="false">IF(P423=1,MAX(0,0.28*(12-S423)),0)</f>
        <v>0</v>
      </c>
      <c r="U423" s="53" t="n">
        <f aca="false">T423*17</f>
        <v>0</v>
      </c>
      <c r="V423" s="53" t="n">
        <f aca="false">C423*Scoring!$B$34+D423/Scoring!$C$34+E423*Scoring!$D$34+WR!F423*Scoring!$E$34+WR!G423/Scoring!$F$34+WR!H423*Scoring!$G$34+WR!I423*Scoring!$H$34+K423*Scoring!$I$34+WR!L423*Scoring!$J$34</f>
        <v>16.27</v>
      </c>
    </row>
    <row r="424" customFormat="false" ht="14.25" hidden="false" customHeight="true" outlineLevel="0" collapsed="false">
      <c r="B424" s="0" t="s">
        <v>491</v>
      </c>
      <c r="C424" s="0" t="n">
        <v>6.6</v>
      </c>
      <c r="D424" s="0" t="n">
        <v>83.7</v>
      </c>
      <c r="E424" s="0" t="n">
        <v>0.8</v>
      </c>
      <c r="F424" s="0" t="n">
        <v>0</v>
      </c>
      <c r="G424" s="0" t="n">
        <v>0</v>
      </c>
      <c r="H424" s="0" t="n">
        <v>0</v>
      </c>
      <c r="I424" s="0" t="n">
        <v>0.1</v>
      </c>
      <c r="J424" s="0" t="n">
        <v>16.2</v>
      </c>
      <c r="K424" s="115" t="n">
        <f aca="false">IFERROR(G424/F424/6.89*0.427*F424,0)</f>
        <v>0</v>
      </c>
      <c r="L424" s="115" t="n">
        <f aca="false">IFERROR(D424/C424/12.87*0.633*C424,0)</f>
        <v>4.11671328671329</v>
      </c>
      <c r="M424" s="118"/>
      <c r="N424" s="118"/>
      <c r="O424" s="118"/>
    </row>
    <row r="425" customFormat="false" ht="14.25" hidden="false" customHeight="true" outlineLevel="0" collapsed="false">
      <c r="B425" s="0" t="s">
        <v>492</v>
      </c>
      <c r="C425" s="0" t="n">
        <v>6.6</v>
      </c>
      <c r="D425" s="0" t="n">
        <v>83.7</v>
      </c>
      <c r="E425" s="0" t="n">
        <v>0.8</v>
      </c>
      <c r="F425" s="0" t="n">
        <v>0</v>
      </c>
      <c r="G425" s="0" t="n">
        <v>0</v>
      </c>
      <c r="H425" s="0" t="n">
        <v>0</v>
      </c>
      <c r="I425" s="0" t="n">
        <v>0.1</v>
      </c>
      <c r="J425" s="0" t="n">
        <v>16.2</v>
      </c>
      <c r="K425" s="115" t="n">
        <f aca="false">IFERROR(G425/F425/6.89*0.427*F425,0)</f>
        <v>0</v>
      </c>
      <c r="L425" s="115" t="n">
        <f aca="false">IFERROR(D425/C425/12.87*0.633*C425,0)</f>
        <v>4.11671328671329</v>
      </c>
      <c r="M425" s="118"/>
      <c r="N425" s="118"/>
      <c r="O425" s="118"/>
    </row>
    <row r="426" customFormat="false" ht="14.25" hidden="false" customHeight="true" outlineLevel="0" collapsed="false">
      <c r="A426" s="0" t="s">
        <v>863</v>
      </c>
      <c r="B426" s="0" t="s">
        <v>526</v>
      </c>
      <c r="C426" s="0" t="n">
        <v>7.2</v>
      </c>
      <c r="D426" s="0" t="n">
        <v>91.4</v>
      </c>
      <c r="E426" s="0" t="n">
        <v>0.4</v>
      </c>
      <c r="F426" s="0" t="n">
        <v>0</v>
      </c>
      <c r="G426" s="0" t="n">
        <v>0</v>
      </c>
      <c r="H426" s="0" t="n">
        <v>0</v>
      </c>
      <c r="I426" s="0" t="n">
        <v>0.1</v>
      </c>
      <c r="J426" s="0" t="n">
        <v>15.1</v>
      </c>
      <c r="K426" s="115" t="n">
        <f aca="false">IFERROR(G426/F426/6.89*0.427*F426,0)</f>
        <v>0</v>
      </c>
      <c r="L426" s="115" t="n">
        <f aca="false">IFERROR(D426/C426/12.87*0.633*C426,0)</f>
        <v>4.49543123543124</v>
      </c>
      <c r="M426" s="117" t="n">
        <f aca="false">C428*Scoring!$B$34+D428/Scoring!$C$34+E428*Scoring!$D$34+WR!F428*Scoring!$E$34+WR!G428/Scoring!$F$34+WR!H428*Scoring!$G$34+WR!I428*Scoring!$H$34+K428*Scoring!$I$34+WR!L428*Scoring!$J$34+U426</f>
        <v>67.8768</v>
      </c>
      <c r="N426" s="117" t="n">
        <f aca="false">C426*Scoring!$B$34+D426/Scoring!$C$34+E426*Scoring!$D$34+WR!F426*Scoring!$E$34+WR!G426/Scoring!$F$34+WR!H426*Scoring!$G$34+WR!I426*Scoring!$H$34+K426*Scoring!$I$34+WR!L426*Scoring!$J$34+U426</f>
        <v>67.8768</v>
      </c>
      <c r="O426" s="117" t="n">
        <f aca="false">C427*Scoring!$B$34+D427/Scoring!$C$34+E427*Scoring!$D$34+WR!F427*Scoring!$E$34+WR!G427/Scoring!$F$34+WR!H427*Scoring!$G$34+WR!I427*Scoring!$H$34+K427*Scoring!$I$34+WR!L427*Scoring!$J$34+U426</f>
        <v>67.8768</v>
      </c>
      <c r="P426" s="53" t="n">
        <f aca="false">IF(COUNTIF(Rookies!$A:$A,A426)&gt;0,1,0)</f>
        <v>1</v>
      </c>
      <c r="S426" s="53" t="n">
        <f aca="false">V426/17</f>
        <v>0.878823529411765</v>
      </c>
      <c r="T426" s="53" t="n">
        <f aca="false">IF(P426=1,MAX(0,0.28*(12-S426)),0)</f>
        <v>3.11392941176471</v>
      </c>
      <c r="U426" s="53" t="n">
        <f aca="false">T426*17</f>
        <v>52.9368</v>
      </c>
      <c r="V426" s="53" t="n">
        <f aca="false">C426*Scoring!$B$34+D426/Scoring!$C$34+E426*Scoring!$D$34+WR!F426*Scoring!$E$34+WR!G426/Scoring!$F$34+WR!H426*Scoring!$G$34+WR!I426*Scoring!$H$34+K426*Scoring!$I$34+WR!L426*Scoring!$J$34</f>
        <v>14.94</v>
      </c>
    </row>
    <row r="427" customFormat="false" ht="14.25" hidden="false" customHeight="true" outlineLevel="0" collapsed="false">
      <c r="B427" s="0" t="s">
        <v>491</v>
      </c>
      <c r="C427" s="0" t="n">
        <v>7.2</v>
      </c>
      <c r="D427" s="0" t="n">
        <v>91.4</v>
      </c>
      <c r="E427" s="0" t="n">
        <v>0.4</v>
      </c>
      <c r="F427" s="0" t="n">
        <v>0</v>
      </c>
      <c r="G427" s="0" t="n">
        <v>0</v>
      </c>
      <c r="H427" s="0" t="n">
        <v>0</v>
      </c>
      <c r="I427" s="0" t="n">
        <v>0.1</v>
      </c>
      <c r="J427" s="0" t="n">
        <v>17.2</v>
      </c>
      <c r="K427" s="115" t="n">
        <f aca="false">IFERROR(G427/F427/6.89*0.427*F427,0)</f>
        <v>0</v>
      </c>
      <c r="L427" s="115" t="n">
        <f aca="false">IFERROR(D427/C427/12.87*0.633*C427,0)</f>
        <v>4.49543123543124</v>
      </c>
      <c r="M427" s="118"/>
      <c r="N427" s="118"/>
      <c r="O427" s="118"/>
    </row>
    <row r="428" customFormat="false" ht="14.25" hidden="false" customHeight="true" outlineLevel="0" collapsed="false">
      <c r="B428" s="0" t="s">
        <v>492</v>
      </c>
      <c r="C428" s="0" t="n">
        <v>7.2</v>
      </c>
      <c r="D428" s="0" t="n">
        <v>91.4</v>
      </c>
      <c r="E428" s="0" t="n">
        <v>0.4</v>
      </c>
      <c r="F428" s="0" t="n">
        <v>0</v>
      </c>
      <c r="G428" s="0" t="n">
        <v>0</v>
      </c>
      <c r="H428" s="0" t="n">
        <v>0</v>
      </c>
      <c r="I428" s="0" t="n">
        <v>0.1</v>
      </c>
      <c r="J428" s="0" t="n">
        <v>17.2</v>
      </c>
      <c r="K428" s="115" t="n">
        <f aca="false">IFERROR(G428/F428/6.89*0.427*F428,0)</f>
        <v>0</v>
      </c>
      <c r="L428" s="115" t="n">
        <f aca="false">IFERROR(D428/C428/12.87*0.633*C428,0)</f>
        <v>4.49543123543124</v>
      </c>
      <c r="M428" s="118"/>
      <c r="N428" s="118"/>
      <c r="O428" s="118"/>
    </row>
    <row r="429" customFormat="false" ht="14.25" hidden="false" customHeight="true" outlineLevel="0" collapsed="false">
      <c r="A429" s="0" t="s">
        <v>864</v>
      </c>
      <c r="B429" s="0" t="s">
        <v>512</v>
      </c>
      <c r="C429" s="0" t="n">
        <v>6.8</v>
      </c>
      <c r="D429" s="0" t="n">
        <v>78.1</v>
      </c>
      <c r="E429" s="0" t="n">
        <v>0.6</v>
      </c>
      <c r="F429" s="0" t="n">
        <v>0</v>
      </c>
      <c r="G429" s="0" t="n">
        <v>0</v>
      </c>
      <c r="H429" s="0" t="n">
        <v>0</v>
      </c>
      <c r="I429" s="0" t="n">
        <v>0.1</v>
      </c>
      <c r="J429" s="0" t="n">
        <v>14.9</v>
      </c>
      <c r="K429" s="115" t="n">
        <f aca="false">IFERROR(G429/F429/6.89*0.427*F429,0)</f>
        <v>0</v>
      </c>
      <c r="L429" s="115" t="n">
        <f aca="false">IFERROR(D429/C429/12.87*0.633*C429,0)</f>
        <v>3.84128205128205</v>
      </c>
      <c r="M429" s="117" t="n">
        <f aca="false">C431*Scoring!$B$34+D431/Scoring!$C$34+E431*Scoring!$D$34+WR!F431*Scoring!$E$34+WR!G431/Scoring!$F$34+WR!H431*Scoring!$G$34+WR!I431*Scoring!$H$34+K431*Scoring!$I$34+WR!L431*Scoring!$J$34+U429</f>
        <v>14.61</v>
      </c>
      <c r="N429" s="117" t="n">
        <f aca="false">C429*Scoring!$B$34+D429/Scoring!$C$34+E429*Scoring!$D$34+WR!F429*Scoring!$E$34+WR!G429/Scoring!$F$34+WR!H429*Scoring!$G$34+WR!I429*Scoring!$H$34+K429*Scoring!$I$34+WR!L429*Scoring!$J$34+U429</f>
        <v>14.61</v>
      </c>
      <c r="O429" s="117" t="n">
        <f aca="false">C430*Scoring!$B$34+D430/Scoring!$C$34+E430*Scoring!$D$34+WR!F430*Scoring!$E$34+WR!G430/Scoring!$F$34+WR!H430*Scoring!$G$34+WR!I430*Scoring!$H$34+K430*Scoring!$I$34+WR!L430*Scoring!$J$34+U429</f>
        <v>14.61</v>
      </c>
      <c r="P429" s="53" t="n">
        <f aca="false">IF(COUNTIF(Rookies!$A:$A,A429)&gt;0,1,0)</f>
        <v>0</v>
      </c>
      <c r="S429" s="53" t="n">
        <f aca="false">V429/17</f>
        <v>0.859411764705882</v>
      </c>
      <c r="T429" s="53" t="n">
        <f aca="false">IF(P429=1,MAX(0,0.28*(12-S429)),0)</f>
        <v>0</v>
      </c>
      <c r="U429" s="53" t="n">
        <f aca="false">T429*17</f>
        <v>0</v>
      </c>
      <c r="V429" s="53" t="n">
        <f aca="false">C429*Scoring!$B$34+D429/Scoring!$C$34+E429*Scoring!$D$34+WR!F429*Scoring!$E$34+WR!G429/Scoring!$F$34+WR!H429*Scoring!$G$34+WR!I429*Scoring!$H$34+K429*Scoring!$I$34+WR!L429*Scoring!$J$34</f>
        <v>14.61</v>
      </c>
    </row>
    <row r="430" customFormat="false" ht="14.25" hidden="false" customHeight="true" outlineLevel="0" collapsed="false">
      <c r="B430" s="0" t="s">
        <v>491</v>
      </c>
      <c r="C430" s="0" t="n">
        <v>6.8</v>
      </c>
      <c r="D430" s="0" t="n">
        <v>78.1</v>
      </c>
      <c r="E430" s="0" t="n">
        <v>0.6</v>
      </c>
      <c r="F430" s="0" t="n">
        <v>0</v>
      </c>
      <c r="G430" s="0" t="n">
        <v>0</v>
      </c>
      <c r="H430" s="0" t="n">
        <v>0</v>
      </c>
      <c r="I430" s="0" t="n">
        <v>0.1</v>
      </c>
      <c r="J430" s="0" t="n">
        <v>14.9</v>
      </c>
      <c r="K430" s="115" t="n">
        <f aca="false">IFERROR(G430/F430/6.89*0.427*F430,0)</f>
        <v>0</v>
      </c>
      <c r="L430" s="115" t="n">
        <f aca="false">IFERROR(D430/C430/12.87*0.633*C430,0)</f>
        <v>3.84128205128205</v>
      </c>
      <c r="M430" s="118"/>
      <c r="N430" s="118"/>
      <c r="O430" s="118"/>
    </row>
    <row r="431" customFormat="false" ht="14.25" hidden="false" customHeight="true" outlineLevel="0" collapsed="false">
      <c r="B431" s="0" t="s">
        <v>492</v>
      </c>
      <c r="C431" s="0" t="n">
        <v>6.8</v>
      </c>
      <c r="D431" s="0" t="n">
        <v>78.1</v>
      </c>
      <c r="E431" s="0" t="n">
        <v>0.6</v>
      </c>
      <c r="F431" s="0" t="n">
        <v>0</v>
      </c>
      <c r="G431" s="0" t="n">
        <v>0</v>
      </c>
      <c r="H431" s="0" t="n">
        <v>0</v>
      </c>
      <c r="I431" s="0" t="n">
        <v>0.1</v>
      </c>
      <c r="J431" s="0" t="n">
        <v>14.9</v>
      </c>
      <c r="K431" s="115" t="n">
        <f aca="false">IFERROR(G431/F431/6.89*0.427*F431,0)</f>
        <v>0</v>
      </c>
      <c r="L431" s="115" t="n">
        <f aca="false">IFERROR(D431/C431/12.87*0.633*C431,0)</f>
        <v>3.84128205128205</v>
      </c>
      <c r="M431" s="118"/>
      <c r="N431" s="118"/>
      <c r="O431" s="118"/>
    </row>
    <row r="432" customFormat="false" ht="14.25" hidden="false" customHeight="true" outlineLevel="0" collapsed="false">
      <c r="A432" s="0" t="s">
        <v>865</v>
      </c>
      <c r="B432" s="0" t="s">
        <v>516</v>
      </c>
      <c r="C432" s="0" t="n">
        <v>6.4</v>
      </c>
      <c r="D432" s="0" t="n">
        <v>80.6</v>
      </c>
      <c r="E432" s="0" t="n">
        <v>0.6</v>
      </c>
      <c r="F432" s="0" t="n">
        <v>0</v>
      </c>
      <c r="G432" s="0" t="n">
        <v>0</v>
      </c>
      <c r="H432" s="0" t="n">
        <v>0</v>
      </c>
      <c r="I432" s="0" t="n">
        <v>0.1</v>
      </c>
      <c r="J432" s="0" t="n">
        <v>14.6</v>
      </c>
      <c r="K432" s="115" t="n">
        <f aca="false">IFERROR(G432/F432/6.89*0.427*F432,0)</f>
        <v>0</v>
      </c>
      <c r="L432" s="115" t="n">
        <f aca="false">IFERROR(D432/C432/12.87*0.633*C432,0)</f>
        <v>3.96424242424242</v>
      </c>
      <c r="M432" s="117" t="n">
        <f aca="false">C434*Scoring!$B$34+D434/Scoring!$C$34+E434*Scoring!$D$34+WR!F434*Scoring!$E$34+WR!G434/Scoring!$F$34+WR!H434*Scoring!$G$34+WR!I434*Scoring!$H$34+K434*Scoring!$I$34+WR!L434*Scoring!$J$34+U432</f>
        <v>14.66</v>
      </c>
      <c r="N432" s="117" t="n">
        <f aca="false">C432*Scoring!$B$34+D432/Scoring!$C$34+E432*Scoring!$D$34+WR!F432*Scoring!$E$34+WR!G432/Scoring!$F$34+WR!H432*Scoring!$G$34+WR!I432*Scoring!$H$34+K432*Scoring!$I$34+WR!L432*Scoring!$J$34+U432</f>
        <v>14.66</v>
      </c>
      <c r="O432" s="117" t="n">
        <f aca="false">C433*Scoring!$B$34+D433/Scoring!$C$34+E433*Scoring!$D$34+WR!F433*Scoring!$E$34+WR!G433/Scoring!$F$34+WR!H433*Scoring!$G$34+WR!I433*Scoring!$H$34+K433*Scoring!$I$34+WR!L433*Scoring!$J$34+U432</f>
        <v>14.66</v>
      </c>
      <c r="P432" s="53" t="n">
        <f aca="false">IF(COUNTIF(Rookies!$A:$A,A432)&gt;0,1,0)</f>
        <v>0</v>
      </c>
      <c r="S432" s="53" t="n">
        <f aca="false">V432/17</f>
        <v>0.862352941176471</v>
      </c>
      <c r="T432" s="53" t="n">
        <f aca="false">IF(P432=1,MAX(0,0.28*(12-S432)),0)</f>
        <v>0</v>
      </c>
      <c r="U432" s="53" t="n">
        <f aca="false">T432*17</f>
        <v>0</v>
      </c>
      <c r="V432" s="53" t="n">
        <f aca="false">C432*Scoring!$B$34+D432/Scoring!$C$34+E432*Scoring!$D$34+WR!F432*Scoring!$E$34+WR!G432/Scoring!$F$34+WR!H432*Scoring!$G$34+WR!I432*Scoring!$H$34+K432*Scoring!$I$34+WR!L432*Scoring!$J$34</f>
        <v>14.66</v>
      </c>
    </row>
    <row r="433" customFormat="false" ht="14.25" hidden="false" customHeight="true" outlineLevel="0" collapsed="false">
      <c r="B433" s="0" t="s">
        <v>491</v>
      </c>
      <c r="C433" s="0" t="n">
        <v>6.4</v>
      </c>
      <c r="D433" s="0" t="n">
        <v>80.6</v>
      </c>
      <c r="E433" s="0" t="n">
        <v>0.6</v>
      </c>
      <c r="F433" s="0" t="n">
        <v>0</v>
      </c>
      <c r="G433" s="0" t="n">
        <v>0</v>
      </c>
      <c r="H433" s="0" t="n">
        <v>0</v>
      </c>
      <c r="I433" s="0" t="n">
        <v>0.1</v>
      </c>
      <c r="J433" s="0" t="n">
        <v>14.9</v>
      </c>
      <c r="K433" s="115" t="n">
        <f aca="false">IFERROR(G433/F433/6.89*0.427*F433,0)</f>
        <v>0</v>
      </c>
      <c r="L433" s="115" t="n">
        <f aca="false">IFERROR(D433/C433/12.87*0.633*C433,0)</f>
        <v>3.96424242424242</v>
      </c>
      <c r="M433" s="118"/>
      <c r="N433" s="118"/>
      <c r="O433" s="118"/>
    </row>
    <row r="434" customFormat="false" ht="14.25" hidden="false" customHeight="true" outlineLevel="0" collapsed="false">
      <c r="B434" s="0" t="s">
        <v>492</v>
      </c>
      <c r="C434" s="0" t="n">
        <v>6.4</v>
      </c>
      <c r="D434" s="0" t="n">
        <v>80.6</v>
      </c>
      <c r="E434" s="0" t="n">
        <v>0.6</v>
      </c>
      <c r="F434" s="0" t="n">
        <v>0</v>
      </c>
      <c r="G434" s="0" t="n">
        <v>0</v>
      </c>
      <c r="H434" s="0" t="n">
        <v>0</v>
      </c>
      <c r="I434" s="0" t="n">
        <v>0.1</v>
      </c>
      <c r="J434" s="0" t="n">
        <v>14.9</v>
      </c>
      <c r="K434" s="115" t="n">
        <f aca="false">IFERROR(G434/F434/6.89*0.427*F434,0)</f>
        <v>0</v>
      </c>
      <c r="L434" s="115" t="n">
        <f aca="false">IFERROR(D434/C434/12.87*0.633*C434,0)</f>
        <v>3.96424242424242</v>
      </c>
      <c r="M434" s="118"/>
      <c r="N434" s="118"/>
      <c r="O434" s="118"/>
    </row>
    <row r="435" customFormat="false" ht="14.25" hidden="false" customHeight="true" outlineLevel="0" collapsed="false">
      <c r="A435" s="0" t="s">
        <v>866</v>
      </c>
      <c r="B435" s="0" t="s">
        <v>532</v>
      </c>
      <c r="C435" s="0" t="n">
        <v>7.1</v>
      </c>
      <c r="D435" s="0" t="n">
        <v>78.3</v>
      </c>
      <c r="E435" s="0" t="n">
        <v>0.4</v>
      </c>
      <c r="F435" s="0" t="n">
        <v>0</v>
      </c>
      <c r="G435" s="0" t="n">
        <v>0</v>
      </c>
      <c r="H435" s="0" t="n">
        <v>0</v>
      </c>
      <c r="I435" s="0" t="n">
        <v>0.1</v>
      </c>
      <c r="J435" s="0" t="n">
        <v>13.7</v>
      </c>
      <c r="K435" s="115" t="n">
        <f aca="false">IFERROR(G435/F435/6.89*0.427*F435,0)</f>
        <v>0</v>
      </c>
      <c r="L435" s="115" t="n">
        <f aca="false">IFERROR(D435/C435/12.87*0.633*C435,0)</f>
        <v>3.85111888111888</v>
      </c>
      <c r="M435" s="117" t="n">
        <f aca="false">C437*Scoring!$B$34+D437/Scoring!$C$34+E437*Scoring!$D$34+WR!F437*Scoring!$E$34+WR!G437/Scoring!$F$34+WR!H437*Scoring!$G$34+WR!I437*Scoring!$H$34+K437*Scoring!$I$34+WR!L437*Scoring!$J$34+U435</f>
        <v>13.58</v>
      </c>
      <c r="N435" s="117" t="n">
        <f aca="false">C435*Scoring!$B$34+D435/Scoring!$C$34+E435*Scoring!$D$34+WR!F435*Scoring!$E$34+WR!G435/Scoring!$F$34+WR!H435*Scoring!$G$34+WR!I435*Scoring!$H$34+K435*Scoring!$I$34+WR!L435*Scoring!$J$34+U435</f>
        <v>13.58</v>
      </c>
      <c r="O435" s="117" t="n">
        <f aca="false">C436*Scoring!$B$34+D436/Scoring!$C$34+E436*Scoring!$D$34+WR!F436*Scoring!$E$34+WR!G436/Scoring!$F$34+WR!H436*Scoring!$G$34+WR!I436*Scoring!$H$34+K436*Scoring!$I$34+WR!L436*Scoring!$J$34+U435</f>
        <v>13.58</v>
      </c>
      <c r="P435" s="53" t="n">
        <f aca="false">IF(COUNTIF(Rookies!$A:$A,A435)&gt;0,1,0)</f>
        <v>0</v>
      </c>
      <c r="S435" s="53" t="n">
        <f aca="false">V435/17</f>
        <v>0.798823529411765</v>
      </c>
      <c r="T435" s="53" t="n">
        <f aca="false">IF(P435=1,MAX(0,0.28*(12-S435)),0)</f>
        <v>0</v>
      </c>
      <c r="U435" s="53" t="n">
        <f aca="false">T435*17</f>
        <v>0</v>
      </c>
      <c r="V435" s="53" t="n">
        <f aca="false">C435*Scoring!$B$34+D435/Scoring!$C$34+E435*Scoring!$D$34+WR!F435*Scoring!$E$34+WR!G435/Scoring!$F$34+WR!H435*Scoring!$G$34+WR!I435*Scoring!$H$34+K435*Scoring!$I$34+WR!L435*Scoring!$J$34</f>
        <v>13.58</v>
      </c>
    </row>
    <row r="436" customFormat="false" ht="14.25" hidden="false" customHeight="true" outlineLevel="0" collapsed="false">
      <c r="B436" s="0" t="s">
        <v>491</v>
      </c>
      <c r="C436" s="0" t="n">
        <v>7.1</v>
      </c>
      <c r="D436" s="0" t="n">
        <v>78.3</v>
      </c>
      <c r="E436" s="0" t="n">
        <v>0.4</v>
      </c>
      <c r="F436" s="0" t="n">
        <v>0</v>
      </c>
      <c r="G436" s="0" t="n">
        <v>0</v>
      </c>
      <c r="H436" s="0" t="n">
        <v>0</v>
      </c>
      <c r="I436" s="0" t="n">
        <v>0.1</v>
      </c>
      <c r="J436" s="0" t="n">
        <v>13.8</v>
      </c>
      <c r="K436" s="115" t="n">
        <f aca="false">IFERROR(G436/F436/6.89*0.427*F436,0)</f>
        <v>0</v>
      </c>
      <c r="L436" s="115" t="n">
        <f aca="false">IFERROR(D436/C436/12.87*0.633*C436,0)</f>
        <v>3.85111888111888</v>
      </c>
      <c r="M436" s="118"/>
      <c r="N436" s="118"/>
      <c r="O436" s="118"/>
    </row>
    <row r="437" customFormat="false" ht="14.25" hidden="false" customHeight="true" outlineLevel="0" collapsed="false">
      <c r="B437" s="0" t="s">
        <v>492</v>
      </c>
      <c r="C437" s="0" t="n">
        <v>7.1</v>
      </c>
      <c r="D437" s="0" t="n">
        <v>78.3</v>
      </c>
      <c r="E437" s="0" t="n">
        <v>0.4</v>
      </c>
      <c r="F437" s="0" t="n">
        <v>0</v>
      </c>
      <c r="G437" s="0" t="n">
        <v>0</v>
      </c>
      <c r="H437" s="0" t="n">
        <v>0</v>
      </c>
      <c r="I437" s="0" t="n">
        <v>0.1</v>
      </c>
      <c r="J437" s="0" t="n">
        <v>13.8</v>
      </c>
      <c r="K437" s="115" t="n">
        <f aca="false">IFERROR(G437/F437/6.89*0.427*F437,0)</f>
        <v>0</v>
      </c>
      <c r="L437" s="115" t="n">
        <f aca="false">IFERROR(D437/C437/12.87*0.633*C437,0)</f>
        <v>3.85111888111888</v>
      </c>
      <c r="M437" s="118"/>
      <c r="N437" s="118"/>
      <c r="O437" s="118"/>
    </row>
    <row r="438" customFormat="false" ht="14.25" hidden="false" customHeight="true" outlineLevel="0" collapsed="false">
      <c r="A438" s="0" t="s">
        <v>867</v>
      </c>
      <c r="B438" s="0" t="s">
        <v>530</v>
      </c>
      <c r="C438" s="0" t="n">
        <v>5.1</v>
      </c>
      <c r="D438" s="0" t="n">
        <v>65.8</v>
      </c>
      <c r="E438" s="0" t="n">
        <v>0.4</v>
      </c>
      <c r="F438" s="0" t="n">
        <v>2.2</v>
      </c>
      <c r="G438" s="0" t="n">
        <v>12.7</v>
      </c>
      <c r="H438" s="0" t="n">
        <v>0.1</v>
      </c>
      <c r="I438" s="0" t="n">
        <v>0.1</v>
      </c>
      <c r="J438" s="0" t="n">
        <v>13.4</v>
      </c>
      <c r="K438" s="115" t="n">
        <f aca="false">IFERROR(G438/F438/6.89*0.427*F438,0)</f>
        <v>0.787068214804064</v>
      </c>
      <c r="L438" s="115" t="n">
        <f aca="false">IFERROR(D438/C438/12.87*0.633*C438,0)</f>
        <v>3.23631701631702</v>
      </c>
      <c r="M438" s="117" t="n">
        <f aca="false">C440*Scoring!$B$34+D440/Scoring!$C$34+E440*Scoring!$D$34+WR!F440*Scoring!$E$34+WR!G440/Scoring!$F$34+WR!H440*Scoring!$G$34+WR!I440*Scoring!$H$34+K440*Scoring!$I$34+WR!L440*Scoring!$J$34+U438</f>
        <v>13.2</v>
      </c>
      <c r="N438" s="117" t="n">
        <f aca="false">C438*Scoring!$B$34+D438/Scoring!$C$34+E438*Scoring!$D$34+WR!F438*Scoring!$E$34+WR!G438/Scoring!$F$34+WR!H438*Scoring!$G$34+WR!I438*Scoring!$H$34+K438*Scoring!$I$34+WR!L438*Scoring!$J$34+U438</f>
        <v>13.2</v>
      </c>
      <c r="O438" s="117" t="n">
        <f aca="false">C439*Scoring!$B$34+D439/Scoring!$C$34+E439*Scoring!$D$34+WR!F439*Scoring!$E$34+WR!G439/Scoring!$F$34+WR!H439*Scoring!$G$34+WR!I439*Scoring!$H$34+K439*Scoring!$I$34+WR!L439*Scoring!$J$34+U438</f>
        <v>13.2</v>
      </c>
      <c r="P438" s="53" t="n">
        <f aca="false">IF(COUNTIF(Rookies!$A:$A,A438)&gt;0,1,0)</f>
        <v>0</v>
      </c>
      <c r="S438" s="53" t="n">
        <f aca="false">V438/17</f>
        <v>0.776470588235294</v>
      </c>
      <c r="T438" s="53" t="n">
        <f aca="false">IF(P438=1,MAX(0,0.28*(12-S438)),0)</f>
        <v>0</v>
      </c>
      <c r="U438" s="53" t="n">
        <f aca="false">T438*17</f>
        <v>0</v>
      </c>
      <c r="V438" s="53" t="n">
        <f aca="false">C438*Scoring!$B$34+D438/Scoring!$C$34+E438*Scoring!$D$34+WR!F438*Scoring!$E$34+WR!G438/Scoring!$F$34+WR!H438*Scoring!$G$34+WR!I438*Scoring!$H$34+K438*Scoring!$I$34+WR!L438*Scoring!$J$34</f>
        <v>13.2</v>
      </c>
    </row>
    <row r="439" customFormat="false" ht="14.25" hidden="false" customHeight="true" outlineLevel="0" collapsed="false">
      <c r="B439" s="0" t="s">
        <v>491</v>
      </c>
      <c r="C439" s="0" t="n">
        <v>5.1</v>
      </c>
      <c r="D439" s="0" t="n">
        <v>65.8</v>
      </c>
      <c r="E439" s="0" t="n">
        <v>0.4</v>
      </c>
      <c r="F439" s="0" t="n">
        <v>2.2</v>
      </c>
      <c r="G439" s="0" t="n">
        <v>12.7</v>
      </c>
      <c r="H439" s="0" t="n">
        <v>0.1</v>
      </c>
      <c r="I439" s="0" t="n">
        <v>0.1</v>
      </c>
      <c r="J439" s="0" t="n">
        <v>13.6</v>
      </c>
      <c r="K439" s="115" t="n">
        <f aca="false">IFERROR(G439/F439/6.89*0.427*F439,0)</f>
        <v>0.787068214804064</v>
      </c>
      <c r="L439" s="115" t="n">
        <f aca="false">IFERROR(D439/C439/12.87*0.633*C439,0)</f>
        <v>3.23631701631702</v>
      </c>
      <c r="M439" s="118"/>
      <c r="N439" s="118"/>
      <c r="O439" s="118"/>
    </row>
    <row r="440" customFormat="false" ht="14.25" hidden="false" customHeight="true" outlineLevel="0" collapsed="false">
      <c r="B440" s="0" t="s">
        <v>492</v>
      </c>
      <c r="C440" s="0" t="n">
        <v>5.1</v>
      </c>
      <c r="D440" s="0" t="n">
        <v>65.8</v>
      </c>
      <c r="E440" s="0" t="n">
        <v>0.4</v>
      </c>
      <c r="F440" s="0" t="n">
        <v>2.2</v>
      </c>
      <c r="G440" s="0" t="n">
        <v>12.7</v>
      </c>
      <c r="H440" s="0" t="n">
        <v>0.1</v>
      </c>
      <c r="I440" s="0" t="n">
        <v>0.1</v>
      </c>
      <c r="J440" s="0" t="n">
        <v>13.6</v>
      </c>
      <c r="K440" s="115" t="n">
        <f aca="false">IFERROR(G440/F440/6.89*0.427*F440,0)</f>
        <v>0.787068214804064</v>
      </c>
      <c r="L440" s="115" t="n">
        <f aca="false">IFERROR(D440/C440/12.87*0.633*C440,0)</f>
        <v>3.23631701631702</v>
      </c>
      <c r="M440" s="118"/>
      <c r="N440" s="118"/>
      <c r="O440" s="118"/>
    </row>
    <row r="441" customFormat="false" ht="14.25" hidden="false" customHeight="true" outlineLevel="0" collapsed="false">
      <c r="A441" s="0" t="s">
        <v>868</v>
      </c>
      <c r="B441" s="0" t="s">
        <v>524</v>
      </c>
      <c r="C441" s="0" t="n">
        <v>3.4</v>
      </c>
      <c r="D441" s="0" t="n">
        <v>40.7</v>
      </c>
      <c r="E441" s="0" t="n">
        <v>0.3</v>
      </c>
      <c r="F441" s="0" t="n">
        <v>4.7</v>
      </c>
      <c r="G441" s="0" t="n">
        <v>25.7</v>
      </c>
      <c r="H441" s="0" t="n">
        <v>0.3</v>
      </c>
      <c r="I441" s="0" t="n">
        <v>0.1</v>
      </c>
      <c r="J441" s="0" t="n">
        <v>11.5</v>
      </c>
      <c r="K441" s="115" t="n">
        <f aca="false">IFERROR(G441/F441/6.89*0.427*F441,0)</f>
        <v>1.59272859216255</v>
      </c>
      <c r="L441" s="115" t="n">
        <f aca="false">IFERROR(D441/C441/12.87*0.633*C441,0)</f>
        <v>2.00179487179487</v>
      </c>
      <c r="M441" s="117" t="n">
        <f aca="false">C443*Scoring!$B$34+D443/Scoring!$C$34+E443*Scoring!$D$34+WR!F443*Scoring!$E$34+WR!G443/Scoring!$F$34+WR!H443*Scoring!$G$34+WR!I443*Scoring!$H$34+K443*Scoring!$I$34+WR!L443*Scoring!$J$34+U441</f>
        <v>11.74</v>
      </c>
      <c r="N441" s="117" t="n">
        <f aca="false">C441*Scoring!$B$34+D441/Scoring!$C$34+E441*Scoring!$D$34+WR!F441*Scoring!$E$34+WR!G441/Scoring!$F$34+WR!H441*Scoring!$G$34+WR!I441*Scoring!$H$34+K441*Scoring!$I$34+WR!L441*Scoring!$J$34+U441</f>
        <v>11.74</v>
      </c>
      <c r="O441" s="117" t="n">
        <f aca="false">C442*Scoring!$B$34+D442/Scoring!$C$34+E442*Scoring!$D$34+WR!F442*Scoring!$E$34+WR!G442/Scoring!$F$34+WR!H442*Scoring!$G$34+WR!I442*Scoring!$H$34+K442*Scoring!$I$34+WR!L442*Scoring!$J$34+U441</f>
        <v>11.74</v>
      </c>
      <c r="P441" s="53" t="n">
        <f aca="false">IF(COUNTIF(Rookies!$A:$A,A441)&gt;0,1,0)</f>
        <v>0</v>
      </c>
      <c r="S441" s="53" t="n">
        <f aca="false">V441/17</f>
        <v>0.690588235294118</v>
      </c>
      <c r="T441" s="53" t="n">
        <f aca="false">IF(P441=1,MAX(0,0.28*(12-S441)),0)</f>
        <v>0</v>
      </c>
      <c r="U441" s="53" t="n">
        <f aca="false">T441*17</f>
        <v>0</v>
      </c>
      <c r="V441" s="53" t="n">
        <f aca="false">C441*Scoring!$B$34+D441/Scoring!$C$34+E441*Scoring!$D$34+WR!F441*Scoring!$E$34+WR!G441/Scoring!$F$34+WR!H441*Scoring!$G$34+WR!I441*Scoring!$H$34+K441*Scoring!$I$34+WR!L441*Scoring!$J$34</f>
        <v>11.74</v>
      </c>
    </row>
    <row r="442" customFormat="false" ht="14.25" hidden="false" customHeight="true" outlineLevel="0" collapsed="false">
      <c r="B442" s="0" t="s">
        <v>491</v>
      </c>
      <c r="C442" s="0" t="n">
        <v>3.4</v>
      </c>
      <c r="D442" s="0" t="n">
        <v>40.7</v>
      </c>
      <c r="E442" s="0" t="n">
        <v>0.3</v>
      </c>
      <c r="F442" s="0" t="n">
        <v>4.7</v>
      </c>
      <c r="G442" s="0" t="n">
        <v>25.7</v>
      </c>
      <c r="H442" s="0" t="n">
        <v>0.3</v>
      </c>
      <c r="I442" s="0" t="n">
        <v>0.1</v>
      </c>
      <c r="J442" s="0" t="n">
        <v>11.5</v>
      </c>
      <c r="K442" s="115" t="n">
        <f aca="false">IFERROR(G442/F442/6.89*0.427*F442,0)</f>
        <v>1.59272859216255</v>
      </c>
      <c r="L442" s="115" t="n">
        <f aca="false">IFERROR(D442/C442/12.87*0.633*C442,0)</f>
        <v>2.00179487179487</v>
      </c>
      <c r="M442" s="118"/>
      <c r="N442" s="118"/>
      <c r="O442" s="118"/>
    </row>
    <row r="443" customFormat="false" ht="14.25" hidden="false" customHeight="true" outlineLevel="0" collapsed="false">
      <c r="B443" s="0" t="s">
        <v>492</v>
      </c>
      <c r="C443" s="0" t="n">
        <v>3.4</v>
      </c>
      <c r="D443" s="0" t="n">
        <v>40.7</v>
      </c>
      <c r="E443" s="0" t="n">
        <v>0.3</v>
      </c>
      <c r="F443" s="0" t="n">
        <v>4.7</v>
      </c>
      <c r="G443" s="0" t="n">
        <v>25.7</v>
      </c>
      <c r="H443" s="0" t="n">
        <v>0.3</v>
      </c>
      <c r="I443" s="0" t="n">
        <v>0.1</v>
      </c>
      <c r="J443" s="0" t="n">
        <v>11.5</v>
      </c>
      <c r="K443" s="115" t="n">
        <f aca="false">IFERROR(G443/F443/6.89*0.427*F443,0)</f>
        <v>1.59272859216255</v>
      </c>
      <c r="L443" s="115" t="n">
        <f aca="false">IFERROR(D443/C443/12.87*0.633*C443,0)</f>
        <v>2.00179487179487</v>
      </c>
      <c r="M443" s="118"/>
      <c r="N443" s="118"/>
      <c r="O443" s="118"/>
    </row>
    <row r="444" customFormat="false" ht="14.25" hidden="false" customHeight="true" outlineLevel="0" collapsed="false">
      <c r="A444" s="0" t="s">
        <v>869</v>
      </c>
      <c r="B444" s="0" t="s">
        <v>554</v>
      </c>
      <c r="C444" s="0" t="n">
        <v>3.4</v>
      </c>
      <c r="D444" s="0" t="n">
        <v>33.7</v>
      </c>
      <c r="E444" s="0" t="n">
        <v>0.1</v>
      </c>
      <c r="F444" s="0" t="n">
        <v>6.4</v>
      </c>
      <c r="G444" s="0" t="n">
        <v>43.9</v>
      </c>
      <c r="H444" s="0" t="n">
        <v>0.2</v>
      </c>
      <c r="I444" s="0" t="n">
        <v>0.1</v>
      </c>
      <c r="J444" s="0" t="n">
        <v>11.2</v>
      </c>
      <c r="K444" s="115" t="n">
        <f aca="false">IFERROR(G444/F444/6.89*0.427*F444,0)</f>
        <v>2.72065312046444</v>
      </c>
      <c r="L444" s="115" t="n">
        <f aca="false">IFERROR(D444/C444/12.87*0.633*C444,0)</f>
        <v>1.65750582750583</v>
      </c>
      <c r="M444" s="117" t="n">
        <f aca="false">C446*Scoring!$B$34+D446/Scoring!$C$34+E446*Scoring!$D$34+WR!F446*Scoring!$E$34+WR!G446/Scoring!$F$34+WR!H446*Scoring!$G$34+WR!I446*Scoring!$H$34+K446*Scoring!$I$34+WR!L446*Scoring!$J$34+U444</f>
        <v>11.06</v>
      </c>
      <c r="N444" s="117" t="n">
        <f aca="false">C444*Scoring!$B$34+D444/Scoring!$C$34+E444*Scoring!$D$34+WR!F444*Scoring!$E$34+WR!G444/Scoring!$F$34+WR!H444*Scoring!$G$34+WR!I444*Scoring!$H$34+K444*Scoring!$I$34+WR!L444*Scoring!$J$34+U444</f>
        <v>11.06</v>
      </c>
      <c r="O444" s="117" t="n">
        <f aca="false">C445*Scoring!$B$34+D445/Scoring!$C$34+E445*Scoring!$D$34+WR!F445*Scoring!$E$34+WR!G445/Scoring!$F$34+WR!H445*Scoring!$G$34+WR!I445*Scoring!$H$34+K445*Scoring!$I$34+WR!L445*Scoring!$J$34+U444</f>
        <v>11.06</v>
      </c>
      <c r="P444" s="53" t="n">
        <f aca="false">IF(COUNTIF(Rookies!$A:$A,A444)&gt;0,1,0)</f>
        <v>0</v>
      </c>
      <c r="S444" s="53" t="n">
        <f aca="false">V444/17</f>
        <v>0.650588235294118</v>
      </c>
      <c r="T444" s="53" t="n">
        <f aca="false">IF(P444=1,MAX(0,0.28*(12-S444)),0)</f>
        <v>0</v>
      </c>
      <c r="U444" s="53" t="n">
        <f aca="false">T444*17</f>
        <v>0</v>
      </c>
      <c r="V444" s="53" t="n">
        <f aca="false">C444*Scoring!$B$34+D444/Scoring!$C$34+E444*Scoring!$D$34+WR!F444*Scoring!$E$34+WR!G444/Scoring!$F$34+WR!H444*Scoring!$G$34+WR!I444*Scoring!$H$34+K444*Scoring!$I$34+WR!L444*Scoring!$J$34</f>
        <v>11.06</v>
      </c>
    </row>
    <row r="445" customFormat="false" ht="14.25" hidden="false" customHeight="true" outlineLevel="0" collapsed="false">
      <c r="B445" s="0" t="s">
        <v>491</v>
      </c>
      <c r="C445" s="0" t="n">
        <v>3.4</v>
      </c>
      <c r="D445" s="0" t="n">
        <v>33.7</v>
      </c>
      <c r="E445" s="0" t="n">
        <v>0.1</v>
      </c>
      <c r="F445" s="0" t="n">
        <v>6.4</v>
      </c>
      <c r="G445" s="0" t="n">
        <v>43.9</v>
      </c>
      <c r="H445" s="0" t="n">
        <v>0.2</v>
      </c>
      <c r="I445" s="0" t="n">
        <v>0.1</v>
      </c>
      <c r="J445" s="0" t="n">
        <v>11.9</v>
      </c>
      <c r="K445" s="115" t="n">
        <f aca="false">IFERROR(G445/F445/6.89*0.427*F445,0)</f>
        <v>2.72065312046444</v>
      </c>
      <c r="L445" s="115" t="n">
        <f aca="false">IFERROR(D445/C445/12.87*0.633*C445,0)</f>
        <v>1.65750582750583</v>
      </c>
      <c r="M445" s="118"/>
      <c r="N445" s="118"/>
      <c r="O445" s="118"/>
    </row>
    <row r="446" customFormat="false" ht="14.25" hidden="false" customHeight="true" outlineLevel="0" collapsed="false">
      <c r="B446" s="0" t="s">
        <v>492</v>
      </c>
      <c r="C446" s="0" t="n">
        <v>3.4</v>
      </c>
      <c r="D446" s="0" t="n">
        <v>33.7</v>
      </c>
      <c r="E446" s="0" t="n">
        <v>0.1</v>
      </c>
      <c r="F446" s="0" t="n">
        <v>6.4</v>
      </c>
      <c r="G446" s="0" t="n">
        <v>43.9</v>
      </c>
      <c r="H446" s="0" t="n">
        <v>0.2</v>
      </c>
      <c r="I446" s="0" t="n">
        <v>0.1</v>
      </c>
      <c r="J446" s="0" t="n">
        <v>11.9</v>
      </c>
      <c r="K446" s="115" t="n">
        <f aca="false">IFERROR(G446/F446/6.89*0.427*F446,0)</f>
        <v>2.72065312046444</v>
      </c>
      <c r="L446" s="115" t="n">
        <f aca="false">IFERROR(D446/C446/12.87*0.633*C446,0)</f>
        <v>1.65750582750583</v>
      </c>
      <c r="M446" s="118"/>
      <c r="N446" s="118"/>
      <c r="O446" s="118"/>
    </row>
    <row r="447" customFormat="false" ht="14.25" hidden="false" customHeight="true" outlineLevel="0" collapsed="false">
      <c r="A447" s="0" t="s">
        <v>870</v>
      </c>
      <c r="B447" s="0" t="s">
        <v>516</v>
      </c>
      <c r="C447" s="0" t="n">
        <v>3.5</v>
      </c>
      <c r="D447" s="0" t="n">
        <v>38.1</v>
      </c>
      <c r="E447" s="0" t="n">
        <v>0.3</v>
      </c>
      <c r="F447" s="0" t="n">
        <v>2.1</v>
      </c>
      <c r="G447" s="0" t="n">
        <v>11</v>
      </c>
      <c r="H447" s="0" t="n">
        <v>0.1</v>
      </c>
      <c r="I447" s="0" t="n">
        <v>0.1</v>
      </c>
      <c r="J447" s="0" t="n">
        <v>8.6</v>
      </c>
      <c r="K447" s="115" t="n">
        <f aca="false">IFERROR(G447/F447/6.89*0.427*F447,0)</f>
        <v>0.681712626995646</v>
      </c>
      <c r="L447" s="115" t="n">
        <f aca="false">IFERROR(D447/C447/12.87*0.633*C447,0)</f>
        <v>1.87391608391608</v>
      </c>
      <c r="M447" s="117" t="n">
        <f aca="false">C449*Scoring!$B$34+D449/Scoring!$C$34+E449*Scoring!$D$34+WR!F449*Scoring!$E$34+WR!G449/Scoring!$F$34+WR!H449*Scoring!$G$34+WR!I449*Scoring!$H$34+K449*Scoring!$I$34+WR!L449*Scoring!$J$34+U447</f>
        <v>8.86</v>
      </c>
      <c r="N447" s="117" t="n">
        <f aca="false">C447*Scoring!$B$34+D447/Scoring!$C$34+E447*Scoring!$D$34+WR!F447*Scoring!$E$34+WR!G447/Scoring!$F$34+WR!H447*Scoring!$G$34+WR!I447*Scoring!$H$34+K447*Scoring!$I$34+WR!L447*Scoring!$J$34+U447</f>
        <v>8.86</v>
      </c>
      <c r="O447" s="117" t="n">
        <f aca="false">C448*Scoring!$B$34+D448/Scoring!$C$34+E448*Scoring!$D$34+WR!F448*Scoring!$E$34+WR!G448/Scoring!$F$34+WR!H448*Scoring!$G$34+WR!I448*Scoring!$H$34+K448*Scoring!$I$34+WR!L448*Scoring!$J$34+U447</f>
        <v>8.86</v>
      </c>
      <c r="P447" s="53" t="n">
        <f aca="false">IF(COUNTIF(Rookies!$A:$A,A447)&gt;0,1,0)</f>
        <v>0</v>
      </c>
      <c r="S447" s="53" t="n">
        <f aca="false">V447/17</f>
        <v>0.521176470588235</v>
      </c>
      <c r="T447" s="53" t="n">
        <f aca="false">IF(P447=1,MAX(0,0.28*(12-S447)),0)</f>
        <v>0</v>
      </c>
      <c r="U447" s="53" t="n">
        <f aca="false">T447*17</f>
        <v>0</v>
      </c>
      <c r="V447" s="53" t="n">
        <f aca="false">C447*Scoring!$B$34+D447/Scoring!$C$34+E447*Scoring!$D$34+WR!F447*Scoring!$E$34+WR!G447/Scoring!$F$34+WR!H447*Scoring!$G$34+WR!I447*Scoring!$H$34+K447*Scoring!$I$34+WR!L447*Scoring!$J$34</f>
        <v>8.86</v>
      </c>
    </row>
    <row r="448" customFormat="false" ht="14.25" hidden="false" customHeight="true" outlineLevel="0" collapsed="false">
      <c r="B448" s="0" t="s">
        <v>491</v>
      </c>
      <c r="C448" s="0" t="n">
        <v>3.5</v>
      </c>
      <c r="D448" s="0" t="n">
        <v>38.1</v>
      </c>
      <c r="E448" s="0" t="n">
        <v>0.3</v>
      </c>
      <c r="F448" s="0" t="n">
        <v>2.1</v>
      </c>
      <c r="G448" s="0" t="n">
        <v>11</v>
      </c>
      <c r="H448" s="0" t="n">
        <v>0.1</v>
      </c>
      <c r="I448" s="0" t="n">
        <v>0.1</v>
      </c>
      <c r="J448" s="0" t="n">
        <v>9.9</v>
      </c>
      <c r="K448" s="115" t="n">
        <f aca="false">IFERROR(G448/F448/6.89*0.427*F448,0)</f>
        <v>0.681712626995646</v>
      </c>
      <c r="L448" s="115" t="n">
        <f aca="false">IFERROR(D448/C448/12.87*0.633*C448,0)</f>
        <v>1.87391608391608</v>
      </c>
      <c r="M448" s="118"/>
      <c r="N448" s="118"/>
      <c r="O448" s="118"/>
    </row>
    <row r="449" customFormat="false" ht="14.25" hidden="false" customHeight="true" outlineLevel="0" collapsed="false">
      <c r="B449" s="0" t="s">
        <v>492</v>
      </c>
      <c r="C449" s="0" t="n">
        <v>3.5</v>
      </c>
      <c r="D449" s="0" t="n">
        <v>38.1</v>
      </c>
      <c r="E449" s="0" t="n">
        <v>0.3</v>
      </c>
      <c r="F449" s="0" t="n">
        <v>2.1</v>
      </c>
      <c r="G449" s="0" t="n">
        <v>11</v>
      </c>
      <c r="H449" s="0" t="n">
        <v>0.1</v>
      </c>
      <c r="I449" s="0" t="n">
        <v>0.1</v>
      </c>
      <c r="J449" s="0" t="n">
        <v>9.9</v>
      </c>
      <c r="K449" s="115" t="n">
        <f aca="false">IFERROR(G449/F449/6.89*0.427*F449,0)</f>
        <v>0.681712626995646</v>
      </c>
      <c r="L449" s="115" t="n">
        <f aca="false">IFERROR(D449/C449/12.87*0.633*C449,0)</f>
        <v>1.87391608391608</v>
      </c>
      <c r="M449" s="118"/>
      <c r="N449" s="118"/>
      <c r="O449" s="118"/>
    </row>
    <row r="450" customFormat="false" ht="14.25" hidden="false" customHeight="true" outlineLevel="0" collapsed="false">
      <c r="A450" s="0" t="s">
        <v>871</v>
      </c>
      <c r="B450" s="0" t="s">
        <v>502</v>
      </c>
      <c r="C450" s="0" t="n">
        <v>3.7</v>
      </c>
      <c r="D450" s="0" t="n">
        <v>42.5</v>
      </c>
      <c r="E450" s="0" t="n">
        <v>0.4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8.3</v>
      </c>
      <c r="K450" s="115" t="n">
        <f aca="false">IFERROR(G450/F450/6.89*0.427*F450,0)</f>
        <v>0</v>
      </c>
      <c r="L450" s="115" t="n">
        <f aca="false">IFERROR(D450/C450/12.87*0.633*C450,0)</f>
        <v>2.09032634032634</v>
      </c>
      <c r="M450" s="117" t="n">
        <f aca="false">C452*Scoring!$B$34+D452/Scoring!$C$34+E452*Scoring!$D$34+WR!F452*Scoring!$E$34+WR!G452/Scoring!$F$34+WR!H452*Scoring!$G$34+WR!I452*Scoring!$H$34+K452*Scoring!$I$34+WR!L452*Scoring!$J$34+U450</f>
        <v>8.5</v>
      </c>
      <c r="N450" s="117" t="n">
        <f aca="false">C450*Scoring!$B$34+D450/Scoring!$C$34+E450*Scoring!$D$34+WR!F450*Scoring!$E$34+WR!G450/Scoring!$F$34+WR!H450*Scoring!$G$34+WR!I450*Scoring!$H$34+K450*Scoring!$I$34+WR!L450*Scoring!$J$34+U450</f>
        <v>8.5</v>
      </c>
      <c r="O450" s="117" t="n">
        <f aca="false">C451*Scoring!$B$34+D451/Scoring!$C$34+E451*Scoring!$D$34+WR!F451*Scoring!$E$34+WR!G451/Scoring!$F$34+WR!H451*Scoring!$G$34+WR!I451*Scoring!$H$34+K451*Scoring!$I$34+WR!L451*Scoring!$J$34+U450</f>
        <v>8.5</v>
      </c>
      <c r="P450" s="53" t="n">
        <f aca="false">IF(COUNTIF(Rookies!$A:$A,A450)&gt;0,1,0)</f>
        <v>0</v>
      </c>
      <c r="S450" s="53" t="n">
        <f aca="false">V450/17</f>
        <v>0.5</v>
      </c>
      <c r="T450" s="53" t="n">
        <f aca="false">IF(P450=1,MAX(0,0.28*(12-S450)),0)</f>
        <v>0</v>
      </c>
      <c r="U450" s="53" t="n">
        <f aca="false">T450*17</f>
        <v>0</v>
      </c>
      <c r="V450" s="53" t="n">
        <f aca="false">C450*Scoring!$B$34+D450/Scoring!$C$34+E450*Scoring!$D$34+WR!F450*Scoring!$E$34+WR!G450/Scoring!$F$34+WR!H450*Scoring!$G$34+WR!I450*Scoring!$H$34+K450*Scoring!$I$34+WR!L450*Scoring!$J$34</f>
        <v>8.5</v>
      </c>
    </row>
    <row r="451" customFormat="false" ht="14.25" hidden="false" customHeight="true" outlineLevel="0" collapsed="false">
      <c r="B451" s="0" t="s">
        <v>491</v>
      </c>
      <c r="C451" s="0" t="n">
        <v>3.7</v>
      </c>
      <c r="D451" s="0" t="n">
        <v>42.5</v>
      </c>
      <c r="E451" s="0" t="n">
        <v>0.4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8.3</v>
      </c>
      <c r="K451" s="115" t="n">
        <f aca="false">IFERROR(G451/F451/6.89*0.427*F451,0)</f>
        <v>0</v>
      </c>
      <c r="L451" s="115" t="n">
        <f aca="false">IFERROR(D451/C451/12.87*0.633*C451,0)</f>
        <v>2.09032634032634</v>
      </c>
      <c r="M451" s="118"/>
      <c r="N451" s="118"/>
      <c r="O451" s="118"/>
    </row>
    <row r="452" customFormat="false" ht="14.25" hidden="false" customHeight="true" outlineLevel="0" collapsed="false">
      <c r="B452" s="0" t="s">
        <v>492</v>
      </c>
      <c r="C452" s="0" t="n">
        <v>3.7</v>
      </c>
      <c r="D452" s="0" t="n">
        <v>42.5</v>
      </c>
      <c r="E452" s="0" t="n">
        <v>0.4</v>
      </c>
      <c r="F452" s="0" t="n">
        <v>0</v>
      </c>
      <c r="G452" s="0" t="n">
        <v>0</v>
      </c>
      <c r="H452" s="0" t="n">
        <v>0</v>
      </c>
      <c r="I452" s="0" t="n">
        <v>0</v>
      </c>
      <c r="J452" s="0" t="n">
        <v>8.3</v>
      </c>
      <c r="K452" s="115" t="n">
        <f aca="false">IFERROR(G452/F452/6.89*0.427*F452,0)</f>
        <v>0</v>
      </c>
      <c r="L452" s="115" t="n">
        <f aca="false">IFERROR(D452/C452/12.87*0.633*C452,0)</f>
        <v>2.09032634032634</v>
      </c>
      <c r="M452" s="118"/>
      <c r="N452" s="118"/>
      <c r="O452" s="118"/>
    </row>
    <row r="453" customFormat="false" ht="14.25" hidden="false" customHeight="true" outlineLevel="0" collapsed="false">
      <c r="A453" s="0" t="s">
        <v>872</v>
      </c>
      <c r="B453" s="0" t="s">
        <v>520</v>
      </c>
      <c r="C453" s="0" t="n">
        <v>3.6</v>
      </c>
      <c r="D453" s="0" t="n">
        <v>44.3</v>
      </c>
      <c r="E453" s="0" t="n">
        <v>0.3</v>
      </c>
      <c r="F453" s="0" t="n">
        <v>0</v>
      </c>
      <c r="G453" s="0" t="n">
        <v>0</v>
      </c>
      <c r="H453" s="0" t="n">
        <v>0</v>
      </c>
      <c r="I453" s="0" t="n">
        <v>0</v>
      </c>
      <c r="J453" s="0" t="n">
        <v>8.1</v>
      </c>
      <c r="K453" s="115" t="n">
        <f aca="false">IFERROR(G453/F453/6.89*0.427*F453,0)</f>
        <v>0</v>
      </c>
      <c r="L453" s="115" t="n">
        <f aca="false">IFERROR(D453/C453/12.87*0.633*C453,0)</f>
        <v>2.17885780885781</v>
      </c>
      <c r="M453" s="117" t="n">
        <f aca="false">C455*Scoring!$B$34+D455/Scoring!$C$34+E455*Scoring!$D$34+WR!F455*Scoring!$E$34+WR!G455/Scoring!$F$34+WR!H455*Scoring!$G$34+WR!I455*Scoring!$H$34+K455*Scoring!$I$34+WR!L455*Scoring!$J$34+U453</f>
        <v>8.03</v>
      </c>
      <c r="N453" s="117" t="n">
        <f aca="false">C453*Scoring!$B$34+D453/Scoring!$C$34+E453*Scoring!$D$34+WR!F453*Scoring!$E$34+WR!G453/Scoring!$F$34+WR!H453*Scoring!$G$34+WR!I453*Scoring!$H$34+K453*Scoring!$I$34+WR!L453*Scoring!$J$34+U453</f>
        <v>8.03</v>
      </c>
      <c r="O453" s="117" t="n">
        <f aca="false">C454*Scoring!$B$34+D454/Scoring!$C$34+E454*Scoring!$D$34+WR!F454*Scoring!$E$34+WR!G454/Scoring!$F$34+WR!H454*Scoring!$G$34+WR!I454*Scoring!$H$34+K454*Scoring!$I$34+WR!L454*Scoring!$J$34+U453</f>
        <v>8.03</v>
      </c>
      <c r="P453" s="53" t="n">
        <f aca="false">IF(COUNTIF(Rookies!$A:$A,A453)&gt;0,1,0)</f>
        <v>0</v>
      </c>
      <c r="S453" s="53" t="n">
        <f aca="false">V453/17</f>
        <v>0.472352941176471</v>
      </c>
      <c r="T453" s="53" t="n">
        <f aca="false">IF(P453=1,MAX(0,0.28*(12-S453)),0)</f>
        <v>0</v>
      </c>
      <c r="U453" s="53" t="n">
        <f aca="false">T453*17</f>
        <v>0</v>
      </c>
      <c r="V453" s="53" t="n">
        <f aca="false">C453*Scoring!$B$34+D453/Scoring!$C$34+E453*Scoring!$D$34+WR!F453*Scoring!$E$34+WR!G453/Scoring!$F$34+WR!H453*Scoring!$G$34+WR!I453*Scoring!$H$34+K453*Scoring!$I$34+WR!L453*Scoring!$J$34</f>
        <v>8.03</v>
      </c>
    </row>
    <row r="454" customFormat="false" ht="14.25" hidden="false" customHeight="true" outlineLevel="0" collapsed="false">
      <c r="B454" s="0" t="s">
        <v>491</v>
      </c>
      <c r="C454" s="0" t="n">
        <v>3.6</v>
      </c>
      <c r="D454" s="0" t="n">
        <v>44.3</v>
      </c>
      <c r="E454" s="0" t="n">
        <v>0.3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9.8</v>
      </c>
      <c r="K454" s="115" t="n">
        <f aca="false">IFERROR(G454/F454/6.89*0.427*F454,0)</f>
        <v>0</v>
      </c>
      <c r="L454" s="115" t="n">
        <f aca="false">IFERROR(D454/C454/12.87*0.633*C454,0)</f>
        <v>2.17885780885781</v>
      </c>
      <c r="M454" s="118"/>
      <c r="N454" s="118"/>
      <c r="O454" s="118"/>
    </row>
    <row r="455" customFormat="false" ht="14.25" hidden="false" customHeight="true" outlineLevel="0" collapsed="false">
      <c r="B455" s="0" t="s">
        <v>492</v>
      </c>
      <c r="C455" s="0" t="n">
        <v>3.6</v>
      </c>
      <c r="D455" s="0" t="n">
        <v>44.3</v>
      </c>
      <c r="E455" s="0" t="n">
        <v>0.3</v>
      </c>
      <c r="F455" s="0" t="n">
        <v>0</v>
      </c>
      <c r="G455" s="0" t="n">
        <v>0</v>
      </c>
      <c r="H455" s="0" t="n">
        <v>0</v>
      </c>
      <c r="I455" s="0" t="n">
        <v>0</v>
      </c>
      <c r="J455" s="0" t="n">
        <v>9.8</v>
      </c>
      <c r="K455" s="115" t="n">
        <f aca="false">IFERROR(G455/F455/6.89*0.427*F455,0)</f>
        <v>0</v>
      </c>
      <c r="L455" s="115" t="n">
        <f aca="false">IFERROR(D455/C455/12.87*0.633*C455,0)</f>
        <v>2.17885780885781</v>
      </c>
      <c r="M455" s="118"/>
      <c r="N455" s="118"/>
      <c r="O455" s="118"/>
    </row>
    <row r="456" customFormat="false" ht="14.25" hidden="false" customHeight="true" outlineLevel="0" collapsed="false">
      <c r="A456" s="0" t="s">
        <v>873</v>
      </c>
      <c r="B456" s="0" t="s">
        <v>498</v>
      </c>
      <c r="C456" s="0" t="n">
        <v>3.5</v>
      </c>
      <c r="D456" s="0" t="n">
        <v>42.7</v>
      </c>
      <c r="E456" s="0" t="n">
        <v>0.3</v>
      </c>
      <c r="F456" s="0" t="n">
        <v>0</v>
      </c>
      <c r="G456" s="0" t="n">
        <v>0</v>
      </c>
      <c r="H456" s="0" t="n">
        <v>0</v>
      </c>
      <c r="I456" s="0" t="n">
        <v>0</v>
      </c>
      <c r="J456" s="0" t="n">
        <v>7.8</v>
      </c>
      <c r="K456" s="115" t="n">
        <f aca="false">IFERROR(G456/F456/6.89*0.427*F456,0)</f>
        <v>0</v>
      </c>
      <c r="L456" s="115" t="n">
        <f aca="false">IFERROR(D456/C456/12.87*0.633*C456,0)</f>
        <v>2.10016317016317</v>
      </c>
      <c r="M456" s="117" t="n">
        <f aca="false">C458*Scoring!$B$34+D458/Scoring!$C$34+E458*Scoring!$D$34+WR!F458*Scoring!$E$34+WR!G458/Scoring!$F$34+WR!H458*Scoring!$G$34+WR!I458*Scoring!$H$34+K458*Scoring!$I$34+WR!L458*Scoring!$J$34+U456</f>
        <v>7.82</v>
      </c>
      <c r="N456" s="117" t="n">
        <f aca="false">C456*Scoring!$B$34+D456/Scoring!$C$34+E456*Scoring!$D$34+WR!F456*Scoring!$E$34+WR!G456/Scoring!$F$34+WR!H456*Scoring!$G$34+WR!I456*Scoring!$H$34+K456*Scoring!$I$34+WR!L456*Scoring!$J$34+U456</f>
        <v>7.82</v>
      </c>
      <c r="O456" s="117" t="n">
        <f aca="false">C457*Scoring!$B$34+D457/Scoring!$C$34+E457*Scoring!$D$34+WR!F457*Scoring!$E$34+WR!G457/Scoring!$F$34+WR!H457*Scoring!$G$34+WR!I457*Scoring!$H$34+K457*Scoring!$I$34+WR!L457*Scoring!$J$34+U456</f>
        <v>7.82</v>
      </c>
      <c r="P456" s="53" t="n">
        <f aca="false">IF(COUNTIF(Rookies!$A:$A,A456)&gt;0,1,0)</f>
        <v>0</v>
      </c>
      <c r="S456" s="53" t="n">
        <f aca="false">V456/17</f>
        <v>0.46</v>
      </c>
      <c r="T456" s="53" t="n">
        <f aca="false">IF(P456=1,MAX(0,0.28*(12-S456)),0)</f>
        <v>0</v>
      </c>
      <c r="U456" s="53" t="n">
        <f aca="false">T456*17</f>
        <v>0</v>
      </c>
      <c r="V456" s="53" t="n">
        <f aca="false">C456*Scoring!$B$34+D456/Scoring!$C$34+E456*Scoring!$D$34+WR!F456*Scoring!$E$34+WR!G456/Scoring!$F$34+WR!H456*Scoring!$G$34+WR!I456*Scoring!$H$34+K456*Scoring!$I$34+WR!L456*Scoring!$J$34</f>
        <v>7.82</v>
      </c>
    </row>
    <row r="457" customFormat="false" ht="14.25" hidden="false" customHeight="true" outlineLevel="0" collapsed="false">
      <c r="B457" s="0" t="s">
        <v>491</v>
      </c>
      <c r="C457" s="0" t="n">
        <v>3.5</v>
      </c>
      <c r="D457" s="0" t="n">
        <v>42.7</v>
      </c>
      <c r="E457" s="0" t="n">
        <v>0.3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8.3</v>
      </c>
      <c r="K457" s="115" t="n">
        <f aca="false">IFERROR(G457/F457/6.89*0.427*F457,0)</f>
        <v>0</v>
      </c>
      <c r="L457" s="115" t="n">
        <f aca="false">IFERROR(D457/C457/12.87*0.633*C457,0)</f>
        <v>2.10016317016317</v>
      </c>
      <c r="M457" s="118"/>
      <c r="N457" s="118"/>
      <c r="O457" s="118"/>
    </row>
    <row r="458" customFormat="false" ht="14.25" hidden="false" customHeight="true" outlineLevel="0" collapsed="false">
      <c r="B458" s="0" t="s">
        <v>492</v>
      </c>
      <c r="C458" s="0" t="n">
        <v>3.5</v>
      </c>
      <c r="D458" s="0" t="n">
        <v>42.7</v>
      </c>
      <c r="E458" s="0" t="n">
        <v>0.3</v>
      </c>
      <c r="F458" s="0" t="n">
        <v>0</v>
      </c>
      <c r="G458" s="0" t="n">
        <v>0</v>
      </c>
      <c r="H458" s="0" t="n">
        <v>0</v>
      </c>
      <c r="I458" s="0" t="n">
        <v>0</v>
      </c>
      <c r="J458" s="0" t="n">
        <v>8.3</v>
      </c>
      <c r="K458" s="115" t="n">
        <f aca="false">IFERROR(G458/F458/6.89*0.427*F458,0)</f>
        <v>0</v>
      </c>
      <c r="L458" s="115" t="n">
        <f aca="false">IFERROR(D458/C458/12.87*0.633*C458,0)</f>
        <v>2.10016317016317</v>
      </c>
      <c r="M458" s="118"/>
      <c r="N458" s="118"/>
      <c r="O458" s="118"/>
    </row>
    <row r="459" customFormat="false" ht="14.25" hidden="false" customHeight="true" outlineLevel="0" collapsed="false">
      <c r="A459" s="0" t="s">
        <v>874</v>
      </c>
      <c r="B459" s="0" t="s">
        <v>508</v>
      </c>
      <c r="C459" s="0" t="n">
        <v>3.3</v>
      </c>
      <c r="D459" s="0" t="n">
        <v>44.1</v>
      </c>
      <c r="E459" s="0" t="n">
        <v>0.3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7.7</v>
      </c>
      <c r="K459" s="115" t="n">
        <f aca="false">IFERROR(G459/F459/6.89*0.427*F459,0)</f>
        <v>0</v>
      </c>
      <c r="L459" s="115" t="n">
        <f aca="false">IFERROR(D459/C459/12.87*0.633*C459,0)</f>
        <v>2.16902097902098</v>
      </c>
      <c r="M459" s="117" t="n">
        <f aca="false">C461*Scoring!$B$34+D461/Scoring!$C$34+E461*Scoring!$D$34+WR!F461*Scoring!$E$34+WR!G461/Scoring!$F$34+WR!H461*Scoring!$G$34+WR!I461*Scoring!$H$34+K461*Scoring!$I$34+WR!L461*Scoring!$J$34+U459</f>
        <v>7.86</v>
      </c>
      <c r="N459" s="117" t="n">
        <f aca="false">C459*Scoring!$B$34+D459/Scoring!$C$34+E459*Scoring!$D$34+WR!F459*Scoring!$E$34+WR!G459/Scoring!$F$34+WR!H459*Scoring!$G$34+WR!I459*Scoring!$H$34+K459*Scoring!$I$34+WR!L459*Scoring!$J$34+U459</f>
        <v>7.86</v>
      </c>
      <c r="O459" s="117" t="n">
        <f aca="false">C460*Scoring!$B$34+D460/Scoring!$C$34+E460*Scoring!$D$34+WR!F460*Scoring!$E$34+WR!G460/Scoring!$F$34+WR!H460*Scoring!$G$34+WR!I460*Scoring!$H$34+K460*Scoring!$I$34+WR!L460*Scoring!$J$34+U459</f>
        <v>7.86</v>
      </c>
      <c r="P459" s="53" t="n">
        <f aca="false">IF(COUNTIF(Rookies!$A:$A,A459)&gt;0,1,0)</f>
        <v>0</v>
      </c>
      <c r="S459" s="53" t="n">
        <f aca="false">V459/17</f>
        <v>0.462352941176471</v>
      </c>
      <c r="T459" s="53" t="n">
        <f aca="false">IF(P459=1,MAX(0,0.28*(12-S459)),0)</f>
        <v>0</v>
      </c>
      <c r="U459" s="53" t="n">
        <f aca="false">T459*17</f>
        <v>0</v>
      </c>
      <c r="V459" s="53" t="n">
        <f aca="false">C459*Scoring!$B$34+D459/Scoring!$C$34+E459*Scoring!$D$34+WR!F459*Scoring!$E$34+WR!G459/Scoring!$F$34+WR!H459*Scoring!$G$34+WR!I459*Scoring!$H$34+K459*Scoring!$I$34+WR!L459*Scoring!$J$34</f>
        <v>7.86</v>
      </c>
    </row>
    <row r="460" customFormat="false" ht="14.25" hidden="false" customHeight="true" outlineLevel="0" collapsed="false">
      <c r="B460" s="0" t="s">
        <v>491</v>
      </c>
      <c r="C460" s="0" t="n">
        <v>3.3</v>
      </c>
      <c r="D460" s="0" t="n">
        <v>44.1</v>
      </c>
      <c r="E460" s="0" t="n">
        <v>0.3</v>
      </c>
      <c r="F460" s="0" t="n">
        <v>0</v>
      </c>
      <c r="G460" s="0" t="n">
        <v>0</v>
      </c>
      <c r="H460" s="0" t="n">
        <v>0</v>
      </c>
      <c r="I460" s="0" t="n">
        <v>0</v>
      </c>
      <c r="J460" s="0" t="n">
        <v>8.8</v>
      </c>
      <c r="K460" s="115" t="n">
        <f aca="false">IFERROR(G460/F460/6.89*0.427*F460,0)</f>
        <v>0</v>
      </c>
      <c r="L460" s="115" t="n">
        <f aca="false">IFERROR(D460/C460/12.87*0.633*C460,0)</f>
        <v>2.16902097902098</v>
      </c>
      <c r="M460" s="118"/>
      <c r="N460" s="118"/>
      <c r="O460" s="118"/>
    </row>
    <row r="461" customFormat="false" ht="14.25" hidden="false" customHeight="true" outlineLevel="0" collapsed="false">
      <c r="B461" s="0" t="s">
        <v>492</v>
      </c>
      <c r="C461" s="0" t="n">
        <v>3.3</v>
      </c>
      <c r="D461" s="0" t="n">
        <v>44.1</v>
      </c>
      <c r="E461" s="0" t="n">
        <v>0.3</v>
      </c>
      <c r="F461" s="0" t="n">
        <v>0</v>
      </c>
      <c r="G461" s="0" t="n">
        <v>0</v>
      </c>
      <c r="H461" s="0" t="n">
        <v>0</v>
      </c>
      <c r="I461" s="0" t="n">
        <v>0</v>
      </c>
      <c r="J461" s="0" t="n">
        <v>8.8</v>
      </c>
      <c r="K461" s="115" t="n">
        <f aca="false">IFERROR(G461/F461/6.89*0.427*F461,0)</f>
        <v>0</v>
      </c>
      <c r="L461" s="115" t="n">
        <f aca="false">IFERROR(D461/C461/12.87*0.633*C461,0)</f>
        <v>2.16902097902098</v>
      </c>
      <c r="M461" s="118"/>
      <c r="N461" s="118"/>
      <c r="O461" s="118"/>
    </row>
    <row r="462" customFormat="false" ht="14.25" hidden="false" customHeight="true" outlineLevel="0" collapsed="false">
      <c r="A462" s="0" t="s">
        <v>875</v>
      </c>
      <c r="B462" s="0" t="s">
        <v>506</v>
      </c>
      <c r="C462" s="0" t="n">
        <v>3.2</v>
      </c>
      <c r="D462" s="0" t="n">
        <v>39.9</v>
      </c>
      <c r="E462" s="0" t="n">
        <v>0.2</v>
      </c>
      <c r="F462" s="0" t="n">
        <v>0</v>
      </c>
      <c r="G462" s="0" t="n">
        <v>0</v>
      </c>
      <c r="H462" s="0" t="n">
        <v>0</v>
      </c>
      <c r="I462" s="0" t="n">
        <v>0</v>
      </c>
      <c r="J462" s="0" t="n">
        <v>7</v>
      </c>
      <c r="K462" s="115" t="n">
        <f aca="false">IFERROR(G462/F462/6.89*0.427*F462,0)</f>
        <v>0</v>
      </c>
      <c r="L462" s="115" t="n">
        <f aca="false">IFERROR(D462/C462/12.87*0.633*C462,0)</f>
        <v>1.96244755244755</v>
      </c>
      <c r="M462" s="117" t="n">
        <f aca="false">C464*Scoring!$B$34+D464/Scoring!$C$34+E464*Scoring!$D$34+WR!F464*Scoring!$E$34+WR!G464/Scoring!$F$34+WR!H464*Scoring!$G$34+WR!I464*Scoring!$H$34+K464*Scoring!$I$34+WR!L464*Scoring!$J$34+U462</f>
        <v>62.0088</v>
      </c>
      <c r="N462" s="117" t="n">
        <f aca="false">C462*Scoring!$B$34+D462/Scoring!$C$34+E462*Scoring!$D$34+WR!F462*Scoring!$E$34+WR!G462/Scoring!$F$34+WR!H462*Scoring!$G$34+WR!I462*Scoring!$H$34+K462*Scoring!$I$34+WR!L462*Scoring!$J$34+U462</f>
        <v>62.0088</v>
      </c>
      <c r="O462" s="117" t="n">
        <f aca="false">C463*Scoring!$B$34+D463/Scoring!$C$34+E463*Scoring!$D$34+WR!F463*Scoring!$E$34+WR!G463/Scoring!$F$34+WR!H463*Scoring!$G$34+WR!I463*Scoring!$H$34+K463*Scoring!$I$34+WR!L463*Scoring!$J$34+U462</f>
        <v>62.0088</v>
      </c>
      <c r="P462" s="53" t="n">
        <f aca="false">IF(COUNTIF(Rookies!$A:$A,A462)&gt;0,1,0)</f>
        <v>1</v>
      </c>
      <c r="S462" s="53" t="n">
        <f aca="false">V462/17</f>
        <v>0.399411764705882</v>
      </c>
      <c r="T462" s="53" t="n">
        <f aca="false">IF(P462=1,MAX(0,0.28*(12-S462)),0)</f>
        <v>3.24816470588235</v>
      </c>
      <c r="U462" s="53" t="n">
        <f aca="false">T462*17</f>
        <v>55.2188</v>
      </c>
      <c r="V462" s="53" t="n">
        <f aca="false">C462*Scoring!$B$34+D462/Scoring!$C$34+E462*Scoring!$D$34+WR!F462*Scoring!$E$34+WR!G462/Scoring!$F$34+WR!H462*Scoring!$G$34+WR!I462*Scoring!$H$34+K462*Scoring!$I$34+WR!L462*Scoring!$J$34</f>
        <v>6.79</v>
      </c>
    </row>
    <row r="463" customFormat="false" ht="14.25" hidden="false" customHeight="true" outlineLevel="0" collapsed="false">
      <c r="B463" s="0" t="s">
        <v>491</v>
      </c>
      <c r="C463" s="0" t="n">
        <v>3.2</v>
      </c>
      <c r="D463" s="0" t="n">
        <v>39.9</v>
      </c>
      <c r="E463" s="0" t="n">
        <v>0.2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7.4</v>
      </c>
      <c r="K463" s="115" t="n">
        <f aca="false">IFERROR(G463/F463/6.89*0.427*F463,0)</f>
        <v>0</v>
      </c>
      <c r="L463" s="115" t="n">
        <f aca="false">IFERROR(D463/C463/12.87*0.633*C463,0)</f>
        <v>1.96244755244755</v>
      </c>
      <c r="M463" s="118"/>
      <c r="N463" s="118"/>
      <c r="O463" s="118"/>
    </row>
    <row r="464" customFormat="false" ht="14.25" hidden="false" customHeight="true" outlineLevel="0" collapsed="false">
      <c r="B464" s="0" t="s">
        <v>492</v>
      </c>
      <c r="C464" s="0" t="n">
        <v>3.2</v>
      </c>
      <c r="D464" s="0" t="n">
        <v>39.9</v>
      </c>
      <c r="E464" s="0" t="n">
        <v>0.2</v>
      </c>
      <c r="F464" s="0" t="n">
        <v>0</v>
      </c>
      <c r="G464" s="0" t="n">
        <v>0</v>
      </c>
      <c r="H464" s="0" t="n">
        <v>0</v>
      </c>
      <c r="I464" s="0" t="n">
        <v>0</v>
      </c>
      <c r="J464" s="0" t="n">
        <v>7.4</v>
      </c>
      <c r="K464" s="115" t="n">
        <f aca="false">IFERROR(G464/F464/6.89*0.427*F464,0)</f>
        <v>0</v>
      </c>
      <c r="L464" s="115" t="n">
        <f aca="false">IFERROR(D464/C464/12.87*0.633*C464,0)</f>
        <v>1.96244755244755</v>
      </c>
      <c r="M464" s="118"/>
      <c r="N464" s="118"/>
      <c r="O464" s="118"/>
    </row>
    <row r="465" customFormat="false" ht="14.25" hidden="false" customHeight="true" outlineLevel="0" collapsed="false">
      <c r="A465" s="0" t="s">
        <v>876</v>
      </c>
      <c r="B465" s="0" t="s">
        <v>522</v>
      </c>
      <c r="C465" s="0" t="n">
        <v>3.7</v>
      </c>
      <c r="D465" s="0" t="n">
        <v>37</v>
      </c>
      <c r="E465" s="0" t="n">
        <v>0.2</v>
      </c>
      <c r="F465" s="0" t="n">
        <v>0</v>
      </c>
      <c r="G465" s="0" t="n">
        <v>0</v>
      </c>
      <c r="H465" s="0" t="n">
        <v>0</v>
      </c>
      <c r="I465" s="0" t="n">
        <v>0</v>
      </c>
      <c r="J465" s="0" t="n">
        <v>6.9</v>
      </c>
      <c r="K465" s="115" t="n">
        <f aca="false">IFERROR(G465/F465/6.89*0.427*F465,0)</f>
        <v>0</v>
      </c>
      <c r="L465" s="115" t="n">
        <f aca="false">IFERROR(D465/C465/12.87*0.633*C465,0)</f>
        <v>1.81981351981352</v>
      </c>
      <c r="M465" s="117" t="n">
        <f aca="false">C467*Scoring!$B$34+D467/Scoring!$C$34+E467*Scoring!$D$34+WR!F467*Scoring!$E$34+WR!G467/Scoring!$F$34+WR!H467*Scoring!$G$34+WR!I467*Scoring!$H$34+K467*Scoring!$I$34+WR!L467*Scoring!$J$34+U465</f>
        <v>6.75</v>
      </c>
      <c r="N465" s="117" t="n">
        <f aca="false">C465*Scoring!$B$34+D465/Scoring!$C$34+E465*Scoring!$D$34+WR!F465*Scoring!$E$34+WR!G465/Scoring!$F$34+WR!H465*Scoring!$G$34+WR!I465*Scoring!$H$34+K465*Scoring!$I$34+WR!L465*Scoring!$J$34+U465</f>
        <v>6.75</v>
      </c>
      <c r="O465" s="117" t="n">
        <f aca="false">C466*Scoring!$B$34+D466/Scoring!$C$34+E466*Scoring!$D$34+WR!F466*Scoring!$E$34+WR!G466/Scoring!$F$34+WR!H466*Scoring!$G$34+WR!I466*Scoring!$H$34+K466*Scoring!$I$34+WR!L466*Scoring!$J$34+U465</f>
        <v>6.75</v>
      </c>
      <c r="P465" s="53" t="n">
        <f aca="false">IF(COUNTIF(Rookies!$A:$A,A465)&gt;0,1,0)</f>
        <v>0</v>
      </c>
      <c r="S465" s="53" t="n">
        <f aca="false">V465/17</f>
        <v>0.397058823529412</v>
      </c>
      <c r="T465" s="53" t="n">
        <f aca="false">IF(P465=1,MAX(0,0.28*(12-S465)),0)</f>
        <v>0</v>
      </c>
      <c r="U465" s="53" t="n">
        <f aca="false">T465*17</f>
        <v>0</v>
      </c>
      <c r="V465" s="53" t="n">
        <f aca="false">C465*Scoring!$B$34+D465/Scoring!$C$34+E465*Scoring!$D$34+WR!F465*Scoring!$E$34+WR!G465/Scoring!$F$34+WR!H465*Scoring!$G$34+WR!I465*Scoring!$H$34+K465*Scoring!$I$34+WR!L465*Scoring!$J$34</f>
        <v>6.75</v>
      </c>
    </row>
    <row r="466" customFormat="false" ht="14.25" hidden="false" customHeight="true" outlineLevel="0" collapsed="false">
      <c r="B466" s="0" t="s">
        <v>491</v>
      </c>
      <c r="C466" s="0" t="n">
        <v>3.7</v>
      </c>
      <c r="D466" s="0" t="n">
        <v>37</v>
      </c>
      <c r="E466" s="0" t="n">
        <v>0.2</v>
      </c>
      <c r="F466" s="0" t="n">
        <v>0</v>
      </c>
      <c r="G466" s="0" t="n">
        <v>0</v>
      </c>
      <c r="H466" s="0" t="n">
        <v>0</v>
      </c>
      <c r="I466" s="0" t="n">
        <v>0</v>
      </c>
      <c r="J466" s="0" t="n">
        <v>7.2</v>
      </c>
      <c r="K466" s="115" t="n">
        <f aca="false">IFERROR(G466/F466/6.89*0.427*F466,0)</f>
        <v>0</v>
      </c>
      <c r="L466" s="115" t="n">
        <f aca="false">IFERROR(D466/C466/12.87*0.633*C466,0)</f>
        <v>1.81981351981352</v>
      </c>
      <c r="M466" s="118"/>
      <c r="N466" s="118"/>
      <c r="O466" s="118"/>
    </row>
    <row r="467" customFormat="false" ht="14.25" hidden="false" customHeight="true" outlineLevel="0" collapsed="false">
      <c r="B467" s="0" t="s">
        <v>492</v>
      </c>
      <c r="C467" s="0" t="n">
        <v>3.7</v>
      </c>
      <c r="D467" s="0" t="n">
        <v>37</v>
      </c>
      <c r="E467" s="0" t="n">
        <v>0.2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7.2</v>
      </c>
      <c r="K467" s="115" t="n">
        <f aca="false">IFERROR(G467/F467/6.89*0.427*F467,0)</f>
        <v>0</v>
      </c>
      <c r="L467" s="115" t="n">
        <f aca="false">IFERROR(D467/C467/12.87*0.633*C467,0)</f>
        <v>1.81981351981352</v>
      </c>
      <c r="M467" s="118"/>
      <c r="N467" s="118"/>
      <c r="O467" s="118"/>
    </row>
    <row r="468" customFormat="false" ht="14.25" hidden="false" customHeight="true" outlineLevel="0" collapsed="false">
      <c r="A468" s="0" t="s">
        <v>877</v>
      </c>
      <c r="B468" s="0" t="s">
        <v>510</v>
      </c>
      <c r="C468" s="0" t="n">
        <v>2.9</v>
      </c>
      <c r="D468" s="0" t="n">
        <v>40.5</v>
      </c>
      <c r="E468" s="0" t="n">
        <v>0.3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6.9</v>
      </c>
      <c r="K468" s="115" t="n">
        <f aca="false">IFERROR(G468/F468/6.89*0.427*F468,0)</f>
        <v>0</v>
      </c>
      <c r="L468" s="115" t="n">
        <f aca="false">IFERROR(D468/C468/12.87*0.633*C468,0)</f>
        <v>1.99195804195804</v>
      </c>
      <c r="M468" s="117" t="n">
        <f aca="false">C470*Scoring!$B$34+D470/Scoring!$C$34+E470*Scoring!$D$34+WR!F470*Scoring!$E$34+WR!G470/Scoring!$F$34+WR!H470*Scoring!$G$34+WR!I470*Scoring!$H$34+K470*Scoring!$I$34+WR!L470*Scoring!$J$34+U468</f>
        <v>7.3</v>
      </c>
      <c r="N468" s="117" t="n">
        <f aca="false">C468*Scoring!$B$34+D468/Scoring!$C$34+E468*Scoring!$D$34+WR!F468*Scoring!$E$34+WR!G468/Scoring!$F$34+WR!H468*Scoring!$G$34+WR!I468*Scoring!$H$34+K468*Scoring!$I$34+WR!L468*Scoring!$J$34+U468</f>
        <v>7.3</v>
      </c>
      <c r="O468" s="117" t="n">
        <f aca="false">C469*Scoring!$B$34+D469/Scoring!$C$34+E469*Scoring!$D$34+WR!F469*Scoring!$E$34+WR!G469/Scoring!$F$34+WR!H469*Scoring!$G$34+WR!I469*Scoring!$H$34+K469*Scoring!$I$34+WR!L469*Scoring!$J$34+U468</f>
        <v>7.3</v>
      </c>
      <c r="P468" s="53" t="n">
        <f aca="false">IF(COUNTIF(Rookies!$A:$A,A468)&gt;0,1,0)</f>
        <v>0</v>
      </c>
      <c r="S468" s="53" t="n">
        <f aca="false">V468/17</f>
        <v>0.429411764705882</v>
      </c>
      <c r="T468" s="53" t="n">
        <f aca="false">IF(P468=1,MAX(0,0.28*(12-S468)),0)</f>
        <v>0</v>
      </c>
      <c r="U468" s="53" t="n">
        <f aca="false">T468*17</f>
        <v>0</v>
      </c>
      <c r="V468" s="53" t="n">
        <f aca="false">C468*Scoring!$B$34+D468/Scoring!$C$34+E468*Scoring!$D$34+WR!F468*Scoring!$E$34+WR!G468/Scoring!$F$34+WR!H468*Scoring!$G$34+WR!I468*Scoring!$H$34+K468*Scoring!$I$34+WR!L468*Scoring!$J$34</f>
        <v>7.3</v>
      </c>
    </row>
    <row r="469" customFormat="false" ht="14.25" hidden="false" customHeight="true" outlineLevel="0" collapsed="false">
      <c r="B469" s="0" t="s">
        <v>491</v>
      </c>
      <c r="C469" s="0" t="n">
        <v>2.9</v>
      </c>
      <c r="D469" s="0" t="n">
        <v>40.5</v>
      </c>
      <c r="E469" s="0" t="n">
        <v>0.3</v>
      </c>
      <c r="F469" s="0" t="n">
        <v>0</v>
      </c>
      <c r="G469" s="0" t="n">
        <v>0</v>
      </c>
      <c r="H469" s="0" t="n">
        <v>0</v>
      </c>
      <c r="I469" s="0" t="n">
        <v>0</v>
      </c>
      <c r="J469" s="0" t="n">
        <v>6.9</v>
      </c>
      <c r="K469" s="115" t="n">
        <f aca="false">IFERROR(G469/F469/6.89*0.427*F469,0)</f>
        <v>0</v>
      </c>
      <c r="L469" s="115" t="n">
        <f aca="false">IFERROR(D469/C469/12.87*0.633*C469,0)</f>
        <v>1.99195804195804</v>
      </c>
      <c r="M469" s="118"/>
      <c r="N469" s="118"/>
      <c r="O469" s="118"/>
    </row>
    <row r="470" customFormat="false" ht="14.25" hidden="false" customHeight="true" outlineLevel="0" collapsed="false">
      <c r="B470" s="0" t="s">
        <v>492</v>
      </c>
      <c r="C470" s="0" t="n">
        <v>2.9</v>
      </c>
      <c r="D470" s="0" t="n">
        <v>40.5</v>
      </c>
      <c r="E470" s="0" t="n">
        <v>0.3</v>
      </c>
      <c r="F470" s="0" t="n">
        <v>0</v>
      </c>
      <c r="G470" s="0" t="n">
        <v>0</v>
      </c>
      <c r="H470" s="0" t="n">
        <v>0</v>
      </c>
      <c r="I470" s="0" t="n">
        <v>0</v>
      </c>
      <c r="J470" s="0" t="n">
        <v>6.9</v>
      </c>
      <c r="K470" s="115" t="n">
        <f aca="false">IFERROR(G470/F470/6.89*0.427*F470,0)</f>
        <v>0</v>
      </c>
      <c r="L470" s="115" t="n">
        <f aca="false">IFERROR(D470/C470/12.87*0.633*C470,0)</f>
        <v>1.99195804195804</v>
      </c>
      <c r="M470" s="118"/>
      <c r="N470" s="118"/>
      <c r="O470" s="118"/>
    </row>
    <row r="471" customFormat="false" ht="14.25" hidden="false" customHeight="true" outlineLevel="0" collapsed="false">
      <c r="A471" s="0" t="s">
        <v>878</v>
      </c>
      <c r="B471" s="0" t="s">
        <v>500</v>
      </c>
      <c r="C471" s="0" t="n">
        <v>3.3</v>
      </c>
      <c r="D471" s="0" t="n">
        <v>37.7</v>
      </c>
      <c r="E471" s="0" t="n">
        <v>0.3</v>
      </c>
      <c r="F471" s="0" t="n">
        <v>0</v>
      </c>
      <c r="G471" s="0" t="n">
        <v>0</v>
      </c>
      <c r="H471" s="0" t="n">
        <v>0</v>
      </c>
      <c r="I471" s="0" t="n">
        <v>0</v>
      </c>
      <c r="J471" s="0" t="n">
        <v>6.8</v>
      </c>
      <c r="K471" s="115" t="n">
        <f aca="false">IFERROR(G471/F471/6.89*0.427*F471,0)</f>
        <v>0</v>
      </c>
      <c r="L471" s="115" t="n">
        <f aca="false">IFERROR(D471/C471/12.87*0.633*C471,0)</f>
        <v>1.85424242424242</v>
      </c>
      <c r="M471" s="117" t="n">
        <f aca="false">C473*Scoring!$B$34+D473/Scoring!$C$34+E473*Scoring!$D$34+WR!F473*Scoring!$E$34+WR!G473/Scoring!$F$34+WR!H473*Scoring!$G$34+WR!I473*Scoring!$H$34+K473*Scoring!$I$34+WR!L473*Scoring!$J$34+U471</f>
        <v>7.22</v>
      </c>
      <c r="N471" s="117" t="n">
        <f aca="false">C471*Scoring!$B$34+D471/Scoring!$C$34+E471*Scoring!$D$34+WR!F471*Scoring!$E$34+WR!G471/Scoring!$F$34+WR!H471*Scoring!$G$34+WR!I471*Scoring!$H$34+K471*Scoring!$I$34+WR!L471*Scoring!$J$34+U471</f>
        <v>7.22</v>
      </c>
      <c r="O471" s="117" t="n">
        <f aca="false">C472*Scoring!$B$34+D472/Scoring!$C$34+E472*Scoring!$D$34+WR!F472*Scoring!$E$34+WR!G472/Scoring!$F$34+WR!H472*Scoring!$G$34+WR!I472*Scoring!$H$34+K472*Scoring!$I$34+WR!L472*Scoring!$J$34+U471</f>
        <v>7.22</v>
      </c>
      <c r="P471" s="53" t="n">
        <f aca="false">IF(COUNTIF(Rookies!$A:$A,A471)&gt;0,1,0)</f>
        <v>0</v>
      </c>
      <c r="S471" s="53" t="n">
        <f aca="false">V471/17</f>
        <v>0.424705882352941</v>
      </c>
      <c r="T471" s="53" t="n">
        <f aca="false">IF(P471=1,MAX(0,0.28*(12-S471)),0)</f>
        <v>0</v>
      </c>
      <c r="U471" s="53" t="n">
        <f aca="false">T471*17</f>
        <v>0</v>
      </c>
      <c r="V471" s="53" t="n">
        <f aca="false">C471*Scoring!$B$34+D471/Scoring!$C$34+E471*Scoring!$D$34+WR!F471*Scoring!$E$34+WR!G471/Scoring!$F$34+WR!H471*Scoring!$G$34+WR!I471*Scoring!$H$34+K471*Scoring!$I$34+WR!L471*Scoring!$J$34</f>
        <v>7.22</v>
      </c>
    </row>
    <row r="472" customFormat="false" ht="14.25" hidden="false" customHeight="true" outlineLevel="0" collapsed="false">
      <c r="B472" s="0" t="s">
        <v>491</v>
      </c>
      <c r="C472" s="0" t="n">
        <v>3.3</v>
      </c>
      <c r="D472" s="0" t="n">
        <v>37.7</v>
      </c>
      <c r="E472" s="0" t="n">
        <v>0.3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6.9</v>
      </c>
      <c r="K472" s="115" t="n">
        <f aca="false">IFERROR(G472/F472/6.89*0.427*F472,0)</f>
        <v>0</v>
      </c>
      <c r="L472" s="115" t="n">
        <f aca="false">IFERROR(D472/C472/12.87*0.633*C472,0)</f>
        <v>1.85424242424242</v>
      </c>
      <c r="M472" s="118"/>
      <c r="N472" s="118"/>
      <c r="O472" s="118"/>
    </row>
    <row r="473" customFormat="false" ht="14.25" hidden="false" customHeight="true" outlineLevel="0" collapsed="false">
      <c r="B473" s="0" t="s">
        <v>492</v>
      </c>
      <c r="C473" s="0" t="n">
        <v>3.3</v>
      </c>
      <c r="D473" s="0" t="n">
        <v>37.7</v>
      </c>
      <c r="E473" s="0" t="n">
        <v>0.3</v>
      </c>
      <c r="F473" s="0" t="n">
        <v>0</v>
      </c>
      <c r="G473" s="0" t="n">
        <v>0</v>
      </c>
      <c r="H473" s="0" t="n">
        <v>0</v>
      </c>
      <c r="I473" s="0" t="n">
        <v>0</v>
      </c>
      <c r="J473" s="0" t="n">
        <v>6.9</v>
      </c>
      <c r="K473" s="115" t="n">
        <f aca="false">IFERROR(G473/F473/6.89*0.427*F473,0)</f>
        <v>0</v>
      </c>
      <c r="L473" s="115" t="n">
        <f aca="false">IFERROR(D473/C473/12.87*0.633*C473,0)</f>
        <v>1.85424242424242</v>
      </c>
      <c r="M473" s="118"/>
      <c r="N473" s="118"/>
      <c r="O473" s="118"/>
    </row>
    <row r="474" customFormat="false" ht="14.25" hidden="false" customHeight="true" outlineLevel="0" collapsed="false">
      <c r="A474" s="0" t="s">
        <v>879</v>
      </c>
      <c r="B474" s="0" t="s">
        <v>546</v>
      </c>
      <c r="C474" s="0" t="n">
        <v>3.4</v>
      </c>
      <c r="D474" s="0" t="n">
        <v>39.2</v>
      </c>
      <c r="E474" s="0" t="n">
        <v>0.1</v>
      </c>
      <c r="F474" s="0" t="n">
        <v>0</v>
      </c>
      <c r="G474" s="0" t="n">
        <v>0</v>
      </c>
      <c r="H474" s="0" t="n">
        <v>0</v>
      </c>
      <c r="I474" s="0" t="n">
        <v>0</v>
      </c>
      <c r="J474" s="0" t="n">
        <v>6.4</v>
      </c>
      <c r="K474" s="115" t="n">
        <f aca="false">IFERROR(G474/F474/6.89*0.427*F474,0)</f>
        <v>0</v>
      </c>
      <c r="L474" s="115" t="n">
        <f aca="false">IFERROR(D474/C474/12.87*0.633*C474,0)</f>
        <v>1.92801864801865</v>
      </c>
      <c r="M474" s="117" t="n">
        <f aca="false">C476*Scoring!$B$34+D476/Scoring!$C$34+E476*Scoring!$D$34+WR!F476*Scoring!$E$34+WR!G476/Scoring!$F$34+WR!H476*Scoring!$G$34+WR!I476*Scoring!$H$34+K476*Scoring!$I$34+WR!L476*Scoring!$J$34+U474</f>
        <v>61.5984</v>
      </c>
      <c r="N474" s="117" t="n">
        <f aca="false">C474*Scoring!$B$34+D474/Scoring!$C$34+E474*Scoring!$D$34+WR!F474*Scoring!$E$34+WR!G474/Scoring!$F$34+WR!H474*Scoring!$G$34+WR!I474*Scoring!$H$34+K474*Scoring!$I$34+WR!L474*Scoring!$J$34+U474</f>
        <v>61.5984</v>
      </c>
      <c r="O474" s="117" t="n">
        <f aca="false">C475*Scoring!$B$34+D475/Scoring!$C$34+E475*Scoring!$D$34+WR!F475*Scoring!$E$34+WR!G475/Scoring!$F$34+WR!H475*Scoring!$G$34+WR!I475*Scoring!$H$34+K475*Scoring!$I$34+WR!L475*Scoring!$J$34+U474</f>
        <v>61.5984</v>
      </c>
      <c r="P474" s="53" t="n">
        <f aca="false">IF(COUNTIF(Rookies!$A:$A,A474)&gt;0,1,0)</f>
        <v>1</v>
      </c>
      <c r="S474" s="53" t="n">
        <f aca="false">V474/17</f>
        <v>0.365882352941177</v>
      </c>
      <c r="T474" s="53" t="n">
        <f aca="false">IF(P474=1,MAX(0,0.28*(12-S474)),0)</f>
        <v>3.25755294117647</v>
      </c>
      <c r="U474" s="53" t="n">
        <f aca="false">T474*17</f>
        <v>55.3784</v>
      </c>
      <c r="V474" s="53" t="n">
        <f aca="false">C474*Scoring!$B$34+D474/Scoring!$C$34+E474*Scoring!$D$34+WR!F474*Scoring!$E$34+WR!G474/Scoring!$F$34+WR!H474*Scoring!$G$34+WR!I474*Scoring!$H$34+K474*Scoring!$I$34+WR!L474*Scoring!$J$34</f>
        <v>6.22</v>
      </c>
    </row>
    <row r="475" customFormat="false" ht="14.25" hidden="false" customHeight="true" outlineLevel="0" collapsed="false">
      <c r="B475" s="0" t="s">
        <v>491</v>
      </c>
      <c r="C475" s="0" t="n">
        <v>3.4</v>
      </c>
      <c r="D475" s="0" t="n">
        <v>39.2</v>
      </c>
      <c r="E475" s="0" t="n">
        <v>0.1</v>
      </c>
      <c r="F475" s="0" t="n">
        <v>0</v>
      </c>
      <c r="G475" s="0" t="n">
        <v>0</v>
      </c>
      <c r="H475" s="0" t="n">
        <v>0</v>
      </c>
      <c r="I475" s="0" t="n">
        <v>0</v>
      </c>
      <c r="J475" s="0" t="n">
        <v>6.4</v>
      </c>
      <c r="K475" s="115" t="n">
        <f aca="false">IFERROR(G475/F475/6.89*0.427*F475,0)</f>
        <v>0</v>
      </c>
      <c r="L475" s="115" t="n">
        <f aca="false">IFERROR(D475/C475/12.87*0.633*C475,0)</f>
        <v>1.92801864801865</v>
      </c>
      <c r="M475" s="118"/>
      <c r="N475" s="118"/>
      <c r="O475" s="118"/>
    </row>
    <row r="476" customFormat="false" ht="14.25" hidden="false" customHeight="true" outlineLevel="0" collapsed="false">
      <c r="B476" s="0" t="s">
        <v>492</v>
      </c>
      <c r="C476" s="0" t="n">
        <v>3.4</v>
      </c>
      <c r="D476" s="0" t="n">
        <v>39.2</v>
      </c>
      <c r="E476" s="0" t="n">
        <v>0.1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6.4</v>
      </c>
      <c r="K476" s="115" t="n">
        <f aca="false">IFERROR(G476/F476/6.89*0.427*F476,0)</f>
        <v>0</v>
      </c>
      <c r="L476" s="115" t="n">
        <f aca="false">IFERROR(D476/C476/12.87*0.633*C476,0)</f>
        <v>1.92801864801865</v>
      </c>
      <c r="M476" s="118"/>
      <c r="N476" s="118"/>
      <c r="O476" s="118"/>
    </row>
    <row r="477" customFormat="false" ht="14.25" hidden="false" customHeight="true" outlineLevel="0" collapsed="false">
      <c r="A477" s="0" t="s">
        <v>880</v>
      </c>
      <c r="B477" s="0" t="s">
        <v>550</v>
      </c>
      <c r="C477" s="0" t="n">
        <v>3.3</v>
      </c>
      <c r="D477" s="0" t="n">
        <v>38.3</v>
      </c>
      <c r="E477" s="0" t="n">
        <v>0.1</v>
      </c>
      <c r="F477" s="0" t="n">
        <v>0</v>
      </c>
      <c r="G477" s="0" t="n">
        <v>0</v>
      </c>
      <c r="H477" s="0" t="n">
        <v>0</v>
      </c>
      <c r="I477" s="0" t="n">
        <v>0</v>
      </c>
      <c r="J477" s="0" t="n">
        <v>6.3</v>
      </c>
      <c r="K477" s="115" t="n">
        <f aca="false">IFERROR(G477/F477/6.89*0.427*F477,0)</f>
        <v>0</v>
      </c>
      <c r="L477" s="115" t="n">
        <f aca="false">IFERROR(D477/C477/12.87*0.633*C477,0)</f>
        <v>1.88375291375291</v>
      </c>
      <c r="M477" s="117" t="n">
        <f aca="false">C479*Scoring!$B$34+D479/Scoring!$C$34+E479*Scoring!$D$34+WR!F479*Scoring!$E$34+WR!G479/Scoring!$F$34+WR!H479*Scoring!$G$34+WR!I479*Scoring!$H$34+K479*Scoring!$I$34+WR!L479*Scoring!$J$34+U477</f>
        <v>6.08</v>
      </c>
      <c r="N477" s="117" t="n">
        <f aca="false">C477*Scoring!$B$34+D477/Scoring!$C$34+E477*Scoring!$D$34+WR!F477*Scoring!$E$34+WR!G477/Scoring!$F$34+WR!H477*Scoring!$G$34+WR!I477*Scoring!$H$34+K477*Scoring!$I$34+WR!L477*Scoring!$J$34+U477</f>
        <v>6.08</v>
      </c>
      <c r="O477" s="117" t="n">
        <f aca="false">C478*Scoring!$B$34+D478/Scoring!$C$34+E478*Scoring!$D$34+WR!F478*Scoring!$E$34+WR!G478/Scoring!$F$34+WR!H478*Scoring!$G$34+WR!I478*Scoring!$H$34+K478*Scoring!$I$34+WR!L478*Scoring!$J$34+U477</f>
        <v>6.08</v>
      </c>
      <c r="P477" s="53" t="n">
        <f aca="false">IF(COUNTIF(Rookies!$A:$A,A477)&gt;0,1,0)</f>
        <v>0</v>
      </c>
      <c r="S477" s="53" t="n">
        <f aca="false">V477/17</f>
        <v>0.357647058823529</v>
      </c>
      <c r="T477" s="53" t="n">
        <f aca="false">IF(P477=1,MAX(0,0.28*(12-S477)),0)</f>
        <v>0</v>
      </c>
      <c r="U477" s="53" t="n">
        <f aca="false">T477*17</f>
        <v>0</v>
      </c>
      <c r="V477" s="53" t="n">
        <f aca="false">C477*Scoring!$B$34+D477/Scoring!$C$34+E477*Scoring!$D$34+WR!F477*Scoring!$E$34+WR!G477/Scoring!$F$34+WR!H477*Scoring!$G$34+WR!I477*Scoring!$H$34+K477*Scoring!$I$34+WR!L477*Scoring!$J$34</f>
        <v>6.08</v>
      </c>
    </row>
    <row r="478" customFormat="false" ht="14.25" hidden="false" customHeight="true" outlineLevel="0" collapsed="false">
      <c r="B478" s="0" t="s">
        <v>491</v>
      </c>
      <c r="C478" s="0" t="n">
        <v>3.3</v>
      </c>
      <c r="D478" s="0" t="n">
        <v>38.3</v>
      </c>
      <c r="E478" s="0" t="n">
        <v>0.1</v>
      </c>
      <c r="F478" s="0" t="n">
        <v>0</v>
      </c>
      <c r="G478" s="0" t="n">
        <v>0</v>
      </c>
      <c r="H478" s="0" t="n">
        <v>0</v>
      </c>
      <c r="I478" s="0" t="n">
        <v>0</v>
      </c>
      <c r="J478" s="0" t="n">
        <v>6.6</v>
      </c>
      <c r="K478" s="115" t="n">
        <f aca="false">IFERROR(G478/F478/6.89*0.427*F478,0)</f>
        <v>0</v>
      </c>
      <c r="L478" s="115" t="n">
        <f aca="false">IFERROR(D478/C478/12.87*0.633*C478,0)</f>
        <v>1.88375291375291</v>
      </c>
      <c r="M478" s="118"/>
      <c r="N478" s="118"/>
      <c r="O478" s="118"/>
    </row>
    <row r="479" customFormat="false" ht="14.25" hidden="false" customHeight="true" outlineLevel="0" collapsed="false">
      <c r="B479" s="0" t="s">
        <v>492</v>
      </c>
      <c r="C479" s="0" t="n">
        <v>3.3</v>
      </c>
      <c r="D479" s="0" t="n">
        <v>38.3</v>
      </c>
      <c r="E479" s="0" t="n">
        <v>0.1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6.6</v>
      </c>
      <c r="K479" s="115" t="n">
        <f aca="false">IFERROR(G479/F479/6.89*0.427*F479,0)</f>
        <v>0</v>
      </c>
      <c r="L479" s="115" t="n">
        <f aca="false">IFERROR(D479/C479/12.87*0.633*C479,0)</f>
        <v>1.88375291375291</v>
      </c>
      <c r="M479" s="118"/>
      <c r="N479" s="118"/>
      <c r="O479" s="118"/>
    </row>
    <row r="480" customFormat="false" ht="14.25" hidden="false" customHeight="true" outlineLevel="0" collapsed="false">
      <c r="A480" s="0" t="s">
        <v>881</v>
      </c>
      <c r="B480" s="0" t="s">
        <v>540</v>
      </c>
      <c r="C480" s="0" t="n">
        <v>3.3</v>
      </c>
      <c r="D480" s="0" t="n">
        <v>36</v>
      </c>
      <c r="E480" s="0" t="n">
        <v>0.2</v>
      </c>
      <c r="F480" s="0" t="n">
        <v>0</v>
      </c>
      <c r="G480" s="0" t="n">
        <v>0</v>
      </c>
      <c r="H480" s="0" t="n">
        <v>0</v>
      </c>
      <c r="I480" s="0" t="n">
        <v>0</v>
      </c>
      <c r="J480" s="0" t="n">
        <v>6.1</v>
      </c>
      <c r="K480" s="115" t="n">
        <f aca="false">IFERROR(G480/F480/6.89*0.427*F480,0)</f>
        <v>0</v>
      </c>
      <c r="L480" s="115" t="n">
        <f aca="false">IFERROR(D480/C480/12.87*0.633*C480,0)</f>
        <v>1.77062937062937</v>
      </c>
      <c r="M480" s="117" t="n">
        <f aca="false">C482*Scoring!$B$34+D482/Scoring!$C$34+E482*Scoring!$D$34+WR!F482*Scoring!$E$34+WR!G482/Scoring!$F$34+WR!H482*Scoring!$G$34+WR!I482*Scoring!$H$34+K482*Scoring!$I$34+WR!L482*Scoring!$J$34+U480</f>
        <v>6.45</v>
      </c>
      <c r="N480" s="117" t="n">
        <f aca="false">C480*Scoring!$B$34+D480/Scoring!$C$34+E480*Scoring!$D$34+WR!F480*Scoring!$E$34+WR!G480/Scoring!$F$34+WR!H480*Scoring!$G$34+WR!I480*Scoring!$H$34+K480*Scoring!$I$34+WR!L480*Scoring!$J$34+U480</f>
        <v>6.45</v>
      </c>
      <c r="O480" s="117" t="n">
        <f aca="false">C481*Scoring!$B$34+D481/Scoring!$C$34+E481*Scoring!$D$34+WR!F481*Scoring!$E$34+WR!G481/Scoring!$F$34+WR!H481*Scoring!$G$34+WR!I481*Scoring!$H$34+K481*Scoring!$I$34+WR!L481*Scoring!$J$34+U480</f>
        <v>6.45</v>
      </c>
      <c r="P480" s="53" t="n">
        <f aca="false">IF(COUNTIF(Rookies!$A:$A,A480)&gt;0,1,0)</f>
        <v>0</v>
      </c>
      <c r="S480" s="53" t="n">
        <f aca="false">V480/17</f>
        <v>0.379411764705882</v>
      </c>
      <c r="T480" s="53" t="n">
        <f aca="false">IF(P480=1,MAX(0,0.28*(12-S480)),0)</f>
        <v>0</v>
      </c>
      <c r="U480" s="53" t="n">
        <f aca="false">T480*17</f>
        <v>0</v>
      </c>
      <c r="V480" s="53" t="n">
        <f aca="false">C480*Scoring!$B$34+D480/Scoring!$C$34+E480*Scoring!$D$34+WR!F480*Scoring!$E$34+WR!G480/Scoring!$F$34+WR!H480*Scoring!$G$34+WR!I480*Scoring!$H$34+K480*Scoring!$I$34+WR!L480*Scoring!$J$34</f>
        <v>6.45</v>
      </c>
    </row>
    <row r="481" customFormat="false" ht="14.25" hidden="false" customHeight="true" outlineLevel="0" collapsed="false">
      <c r="B481" s="0" t="s">
        <v>491</v>
      </c>
      <c r="C481" s="0" t="n">
        <v>3.3</v>
      </c>
      <c r="D481" s="0" t="n">
        <v>36</v>
      </c>
      <c r="E481" s="0" t="n">
        <v>0.2</v>
      </c>
      <c r="F481" s="0" t="n">
        <v>0</v>
      </c>
      <c r="G481" s="0" t="n">
        <v>0</v>
      </c>
      <c r="H481" s="0" t="n">
        <v>0</v>
      </c>
      <c r="I481" s="0" t="n">
        <v>0</v>
      </c>
      <c r="J481" s="0" t="n">
        <v>6.3</v>
      </c>
      <c r="K481" s="115" t="n">
        <f aca="false">IFERROR(G481/F481/6.89*0.427*F481,0)</f>
        <v>0</v>
      </c>
      <c r="L481" s="115" t="n">
        <f aca="false">IFERROR(D481/C481/12.87*0.633*C481,0)</f>
        <v>1.77062937062937</v>
      </c>
      <c r="M481" s="118"/>
      <c r="N481" s="118"/>
      <c r="O481" s="118"/>
    </row>
    <row r="482" customFormat="false" ht="14.25" hidden="false" customHeight="true" outlineLevel="0" collapsed="false">
      <c r="B482" s="0" t="s">
        <v>492</v>
      </c>
      <c r="C482" s="0" t="n">
        <v>3.3</v>
      </c>
      <c r="D482" s="0" t="n">
        <v>36</v>
      </c>
      <c r="E482" s="0" t="n">
        <v>0.2</v>
      </c>
      <c r="F482" s="0" t="n">
        <v>0</v>
      </c>
      <c r="G482" s="0" t="n">
        <v>0</v>
      </c>
      <c r="H482" s="0" t="n">
        <v>0</v>
      </c>
      <c r="I482" s="0" t="n">
        <v>0</v>
      </c>
      <c r="J482" s="0" t="n">
        <v>6.3</v>
      </c>
      <c r="K482" s="115" t="n">
        <f aca="false">IFERROR(G482/F482/6.89*0.427*F482,0)</f>
        <v>0</v>
      </c>
      <c r="L482" s="115" t="n">
        <f aca="false">IFERROR(D482/C482/12.87*0.633*C482,0)</f>
        <v>1.77062937062937</v>
      </c>
      <c r="M482" s="118"/>
      <c r="N482" s="118"/>
      <c r="O482" s="118"/>
    </row>
    <row r="483" customFormat="false" ht="14.25" hidden="false" customHeight="true" outlineLevel="0" collapsed="false">
      <c r="A483" s="0" t="s">
        <v>882</v>
      </c>
      <c r="B483" s="0" t="s">
        <v>542</v>
      </c>
      <c r="C483" s="0" t="n">
        <v>0</v>
      </c>
      <c r="D483" s="0" t="n">
        <v>0</v>
      </c>
      <c r="E483" s="0" t="n">
        <v>0</v>
      </c>
      <c r="F483" s="0" t="n">
        <v>4.3</v>
      </c>
      <c r="G483" s="0" t="n">
        <v>23.7</v>
      </c>
      <c r="H483" s="0" t="n">
        <v>0.2</v>
      </c>
      <c r="I483" s="0" t="n">
        <v>0</v>
      </c>
      <c r="J483" s="0" t="n">
        <v>3.5</v>
      </c>
      <c r="K483" s="115" t="n">
        <f aca="false">IFERROR(G483/F483/6.89*0.427*F483,0)</f>
        <v>1.46878084179971</v>
      </c>
      <c r="L483" s="115" t="n">
        <f aca="false">IFERROR(D483/C483/12.87*0.633*C483,0)</f>
        <v>0</v>
      </c>
      <c r="M483" s="117" t="n">
        <f aca="false">C485*Scoring!$B$34+D485/Scoring!$C$34+E485*Scoring!$D$34+WR!F485*Scoring!$E$34+WR!G485/Scoring!$F$34+WR!H485*Scoring!$G$34+WR!I485*Scoring!$H$34+K485*Scoring!$I$34+WR!L485*Scoring!$J$34+U483</f>
        <v>3.57</v>
      </c>
      <c r="N483" s="117" t="n">
        <f aca="false">C483*Scoring!$B$34+D483/Scoring!$C$34+E483*Scoring!$D$34+WR!F483*Scoring!$E$34+WR!G483/Scoring!$F$34+WR!H483*Scoring!$G$34+WR!I483*Scoring!$H$34+K483*Scoring!$I$34+WR!L483*Scoring!$J$34+U483</f>
        <v>3.57</v>
      </c>
      <c r="O483" s="117" t="n">
        <f aca="false">C484*Scoring!$B$34+D484/Scoring!$C$34+E484*Scoring!$D$34+WR!F484*Scoring!$E$34+WR!G484/Scoring!$F$34+WR!H484*Scoring!$G$34+WR!I484*Scoring!$H$34+K484*Scoring!$I$34+WR!L484*Scoring!$J$34+U483</f>
        <v>3.57</v>
      </c>
      <c r="P483" s="53" t="n">
        <f aca="false">IF(COUNTIF(Rookies!$A:$A,A483)&gt;0,1,0)</f>
        <v>0</v>
      </c>
      <c r="S483" s="53" t="n">
        <f aca="false">V483/17</f>
        <v>0.21</v>
      </c>
      <c r="T483" s="53" t="n">
        <f aca="false">IF(P483=1,MAX(0,0.28*(12-S483)),0)</f>
        <v>0</v>
      </c>
      <c r="U483" s="53" t="n">
        <f aca="false">T483*17</f>
        <v>0</v>
      </c>
      <c r="V483" s="53" t="n">
        <f aca="false">C483*Scoring!$B$34+D483/Scoring!$C$34+E483*Scoring!$D$34+WR!F483*Scoring!$E$34+WR!G483/Scoring!$F$34+WR!H483*Scoring!$G$34+WR!I483*Scoring!$H$34+K483*Scoring!$I$34+WR!L483*Scoring!$J$34</f>
        <v>3.57</v>
      </c>
    </row>
    <row r="484" customFormat="false" ht="14.25" hidden="false" customHeight="true" outlineLevel="0" collapsed="false">
      <c r="B484" s="0" t="s">
        <v>491</v>
      </c>
      <c r="C484" s="0" t="n">
        <v>0</v>
      </c>
      <c r="D484" s="0" t="n">
        <v>0</v>
      </c>
      <c r="E484" s="0" t="n">
        <v>0</v>
      </c>
      <c r="F484" s="0" t="n">
        <v>4.3</v>
      </c>
      <c r="G484" s="0" t="n">
        <v>23.7</v>
      </c>
      <c r="H484" s="0" t="n">
        <v>0.2</v>
      </c>
      <c r="I484" s="0" t="n">
        <v>0</v>
      </c>
      <c r="J484" s="0" t="n">
        <v>3.5</v>
      </c>
      <c r="K484" s="115" t="n">
        <f aca="false">IFERROR(G484/F484/6.89*0.427*F484,0)</f>
        <v>1.46878084179971</v>
      </c>
      <c r="L484" s="115" t="n">
        <f aca="false">IFERROR(D484/C484/12.87*0.633*C484,0)</f>
        <v>0</v>
      </c>
      <c r="M484" s="118"/>
      <c r="N484" s="118"/>
      <c r="O484" s="118"/>
    </row>
    <row r="485" customFormat="false" ht="14.25" hidden="false" customHeight="true" outlineLevel="0" collapsed="false">
      <c r="B485" s="0" t="s">
        <v>492</v>
      </c>
      <c r="C485" s="0" t="n">
        <v>0</v>
      </c>
      <c r="D485" s="0" t="n">
        <v>0</v>
      </c>
      <c r="E485" s="0" t="n">
        <v>0</v>
      </c>
      <c r="F485" s="0" t="n">
        <v>4.3</v>
      </c>
      <c r="G485" s="0" t="n">
        <v>23.7</v>
      </c>
      <c r="H485" s="0" t="n">
        <v>0.2</v>
      </c>
      <c r="I485" s="0" t="n">
        <v>0</v>
      </c>
      <c r="J485" s="0" t="n">
        <v>3.5</v>
      </c>
      <c r="K485" s="115" t="n">
        <f aca="false">IFERROR(G485/F485/6.89*0.427*F485,0)</f>
        <v>1.46878084179971</v>
      </c>
      <c r="L485" s="115" t="n">
        <f aca="false">IFERROR(D485/C485/12.87*0.633*C485,0)</f>
        <v>0</v>
      </c>
      <c r="M485" s="118"/>
      <c r="N485" s="118"/>
      <c r="O485" s="118"/>
    </row>
    <row r="486" customFormat="false" ht="14.25" hidden="false" customHeight="true" outlineLevel="0" collapsed="false">
      <c r="A486" s="0" t="s">
        <v>883</v>
      </c>
      <c r="B486" s="0" t="s">
        <v>548</v>
      </c>
      <c r="C486" s="0" t="n">
        <v>1.8</v>
      </c>
      <c r="D486" s="0" t="n">
        <v>16.9</v>
      </c>
      <c r="E486" s="0" t="n">
        <v>0.1</v>
      </c>
      <c r="F486" s="0" t="n">
        <v>0</v>
      </c>
      <c r="G486" s="0" t="n">
        <v>0</v>
      </c>
      <c r="H486" s="0" t="n">
        <v>0</v>
      </c>
      <c r="I486" s="0" t="n">
        <v>0</v>
      </c>
      <c r="J486" s="0" t="n">
        <v>3</v>
      </c>
      <c r="K486" s="115" t="n">
        <f aca="false">IFERROR(G486/F486/6.89*0.427*F486,0)</f>
        <v>0</v>
      </c>
      <c r="L486" s="115" t="n">
        <f aca="false">IFERROR(D486/C486/12.87*0.633*C486,0)</f>
        <v>0.831212121212121</v>
      </c>
      <c r="M486" s="117" t="n">
        <f aca="false">C488*Scoring!$B$34+D488/Scoring!$C$34+E488*Scoring!$D$34+WR!F488*Scoring!$E$34+WR!G488/Scoring!$F$34+WR!H488*Scoring!$G$34+WR!I488*Scoring!$H$34+K488*Scoring!$I$34+WR!L488*Scoring!$J$34+U486</f>
        <v>3.19</v>
      </c>
      <c r="N486" s="117" t="n">
        <f aca="false">C486*Scoring!$B$34+D486/Scoring!$C$34+E486*Scoring!$D$34+WR!F486*Scoring!$E$34+WR!G486/Scoring!$F$34+WR!H486*Scoring!$G$34+WR!I486*Scoring!$H$34+K486*Scoring!$I$34+WR!L486*Scoring!$J$34+U486</f>
        <v>3.19</v>
      </c>
      <c r="O486" s="117" t="n">
        <f aca="false">C487*Scoring!$B$34+D487/Scoring!$C$34+E487*Scoring!$D$34+WR!F487*Scoring!$E$34+WR!G487/Scoring!$F$34+WR!H487*Scoring!$G$34+WR!I487*Scoring!$H$34+K487*Scoring!$I$34+WR!L487*Scoring!$J$34+U486</f>
        <v>3.19</v>
      </c>
      <c r="P486" s="53" t="n">
        <f aca="false">IF(COUNTIF(Rookies!$A:$A,A486)&gt;0,1,0)</f>
        <v>0</v>
      </c>
      <c r="S486" s="53" t="n">
        <f aca="false">V486/17</f>
        <v>0.187647058823529</v>
      </c>
      <c r="T486" s="53" t="n">
        <f aca="false">IF(P486=1,MAX(0,0.28*(12-S486)),0)</f>
        <v>0</v>
      </c>
      <c r="U486" s="53" t="n">
        <f aca="false">T486*17</f>
        <v>0</v>
      </c>
      <c r="V486" s="53" t="n">
        <f aca="false">C486*Scoring!$B$34+D486/Scoring!$C$34+E486*Scoring!$D$34+WR!F486*Scoring!$E$34+WR!G486/Scoring!$F$34+WR!H486*Scoring!$G$34+WR!I486*Scoring!$H$34+K486*Scoring!$I$34+WR!L486*Scoring!$J$34</f>
        <v>3.19</v>
      </c>
    </row>
    <row r="487" customFormat="false" ht="14.25" hidden="false" customHeight="true" outlineLevel="0" collapsed="false">
      <c r="B487" s="0" t="s">
        <v>491</v>
      </c>
      <c r="C487" s="0" t="n">
        <v>1.8</v>
      </c>
      <c r="D487" s="0" t="n">
        <v>16.9</v>
      </c>
      <c r="E487" s="0" t="n">
        <v>0.1</v>
      </c>
      <c r="F487" s="0" t="n">
        <v>0</v>
      </c>
      <c r="G487" s="0" t="n">
        <v>0</v>
      </c>
      <c r="H487" s="0" t="n">
        <v>0</v>
      </c>
      <c r="I487" s="0" t="n">
        <v>0</v>
      </c>
      <c r="J487" s="0" t="n">
        <v>3</v>
      </c>
      <c r="K487" s="115" t="n">
        <f aca="false">IFERROR(G487/F487/6.89*0.427*F487,0)</f>
        <v>0</v>
      </c>
      <c r="L487" s="115" t="n">
        <f aca="false">IFERROR(D487/C487/12.87*0.633*C487,0)</f>
        <v>0.831212121212121</v>
      </c>
      <c r="M487" s="118"/>
      <c r="N487" s="118"/>
      <c r="O487" s="118"/>
    </row>
    <row r="488" customFormat="false" ht="14.25" hidden="false" customHeight="true" outlineLevel="0" collapsed="false">
      <c r="B488" s="0" t="s">
        <v>492</v>
      </c>
      <c r="C488" s="0" t="n">
        <v>1.8</v>
      </c>
      <c r="D488" s="0" t="n">
        <v>16.9</v>
      </c>
      <c r="E488" s="0" t="n">
        <v>0.1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3</v>
      </c>
      <c r="K488" s="115" t="n">
        <f aca="false">IFERROR(G488/F488/6.89*0.427*F488,0)</f>
        <v>0</v>
      </c>
      <c r="L488" s="115" t="n">
        <f aca="false">IFERROR(D488/C488/12.87*0.633*C488,0)</f>
        <v>0.831212121212121</v>
      </c>
      <c r="M488" s="118"/>
      <c r="N488" s="118"/>
      <c r="O488" s="118"/>
    </row>
    <row r="489" customFormat="false" ht="14.25" hidden="false" customHeight="true" outlineLevel="0" collapsed="false">
      <c r="A489" s="0" t="s">
        <v>884</v>
      </c>
      <c r="B489" s="0" t="s">
        <v>528</v>
      </c>
      <c r="C489" s="0" t="n">
        <v>0</v>
      </c>
      <c r="D489" s="0" t="n">
        <v>0</v>
      </c>
      <c r="E489" s="0" t="n">
        <v>0</v>
      </c>
      <c r="F489" s="0" t="n">
        <v>2.2</v>
      </c>
      <c r="G489" s="0" t="n">
        <v>12.1</v>
      </c>
      <c r="H489" s="0" t="n">
        <v>0.1</v>
      </c>
      <c r="I489" s="0" t="n">
        <v>0</v>
      </c>
      <c r="J489" s="0" t="n">
        <v>1.8</v>
      </c>
      <c r="K489" s="115" t="n">
        <f aca="false">IFERROR(G489/F489/6.89*0.427*F489,0)</f>
        <v>0.74988388969521</v>
      </c>
      <c r="L489" s="115" t="n">
        <f aca="false">IFERROR(D489/C489/12.87*0.633*C489,0)</f>
        <v>0</v>
      </c>
      <c r="M489" s="117" t="n">
        <f aca="false">C491*Scoring!$B$34+D491/Scoring!$C$34+E491*Scoring!$D$34+WR!F491*Scoring!$E$34+WR!G491/Scoring!$F$34+WR!H491*Scoring!$G$34+WR!I491*Scoring!$H$34+K491*Scoring!$I$34+WR!L491*Scoring!$J$34+U489</f>
        <v>1.81</v>
      </c>
      <c r="N489" s="117" t="n">
        <f aca="false">C489*Scoring!$B$34+D489/Scoring!$C$34+E489*Scoring!$D$34+WR!F489*Scoring!$E$34+WR!G489/Scoring!$F$34+WR!H489*Scoring!$G$34+WR!I489*Scoring!$H$34+K489*Scoring!$I$34+WR!L489*Scoring!$J$34+U489</f>
        <v>1.81</v>
      </c>
      <c r="O489" s="117" t="n">
        <f aca="false">C490*Scoring!$B$34+D490/Scoring!$C$34+E490*Scoring!$D$34+WR!F490*Scoring!$E$34+WR!G490/Scoring!$F$34+WR!H490*Scoring!$G$34+WR!I490*Scoring!$H$34+K490*Scoring!$I$34+WR!L490*Scoring!$J$34+U489</f>
        <v>1.81</v>
      </c>
      <c r="P489" s="53" t="n">
        <f aca="false">IF(COUNTIF(Rookies!$A:$A,A489)&gt;0,1,0)</f>
        <v>0</v>
      </c>
      <c r="S489" s="53" t="n">
        <f aca="false">V489/17</f>
        <v>0.106470588235294</v>
      </c>
      <c r="T489" s="53" t="n">
        <f aca="false">IF(P489=1,MAX(0,0.28*(12-S489)),0)</f>
        <v>0</v>
      </c>
      <c r="U489" s="53" t="n">
        <f aca="false">T489*17</f>
        <v>0</v>
      </c>
      <c r="V489" s="53" t="n">
        <f aca="false">C489*Scoring!$B$34+D489/Scoring!$C$34+E489*Scoring!$D$34+WR!F489*Scoring!$E$34+WR!G489/Scoring!$F$34+WR!H489*Scoring!$G$34+WR!I489*Scoring!$H$34+K489*Scoring!$I$34+WR!L489*Scoring!$J$34</f>
        <v>1.81</v>
      </c>
    </row>
    <row r="490" customFormat="false" ht="14.25" hidden="false" customHeight="true" outlineLevel="0" collapsed="false">
      <c r="B490" s="0" t="s">
        <v>491</v>
      </c>
      <c r="C490" s="0" t="n">
        <v>0</v>
      </c>
      <c r="D490" s="0" t="n">
        <v>0</v>
      </c>
      <c r="E490" s="0" t="n">
        <v>0</v>
      </c>
      <c r="F490" s="0" t="n">
        <v>2.2</v>
      </c>
      <c r="G490" s="0" t="n">
        <v>12.1</v>
      </c>
      <c r="H490" s="0" t="n">
        <v>0.1</v>
      </c>
      <c r="I490" s="0" t="n">
        <v>0</v>
      </c>
      <c r="J490" s="0" t="n">
        <v>3.7</v>
      </c>
      <c r="K490" s="115" t="n">
        <f aca="false">IFERROR(G490/F490/6.89*0.427*F490,0)</f>
        <v>0.74988388969521</v>
      </c>
      <c r="L490" s="115" t="n">
        <f aca="false">IFERROR(D490/C490/12.87*0.633*C490,0)</f>
        <v>0</v>
      </c>
      <c r="M490" s="118"/>
      <c r="N490" s="118"/>
      <c r="O490" s="118"/>
    </row>
    <row r="491" customFormat="false" ht="14.25" hidden="false" customHeight="true" outlineLevel="0" collapsed="false">
      <c r="B491" s="0" t="s">
        <v>492</v>
      </c>
      <c r="C491" s="0" t="n">
        <v>0</v>
      </c>
      <c r="D491" s="0" t="n">
        <v>0</v>
      </c>
      <c r="E491" s="0" t="n">
        <v>0</v>
      </c>
      <c r="F491" s="0" t="n">
        <v>2.2</v>
      </c>
      <c r="G491" s="0" t="n">
        <v>12.1</v>
      </c>
      <c r="H491" s="0" t="n">
        <v>0.1</v>
      </c>
      <c r="I491" s="0" t="n">
        <v>0</v>
      </c>
      <c r="J491" s="0" t="n">
        <v>3.7</v>
      </c>
      <c r="K491" s="115" t="n">
        <f aca="false">IFERROR(G491/F491/6.89*0.427*F491,0)</f>
        <v>0.74988388969521</v>
      </c>
      <c r="L491" s="115" t="n">
        <f aca="false">IFERROR(D491/C491/12.87*0.633*C491,0)</f>
        <v>0</v>
      </c>
      <c r="M491" s="118"/>
      <c r="N491" s="118"/>
      <c r="O491" s="118"/>
    </row>
    <row r="492" customFormat="false" ht="14.25" hidden="false" customHeight="true" outlineLevel="0" collapsed="false">
      <c r="A492" s="0" t="s">
        <v>885</v>
      </c>
      <c r="B492" s="0" t="s">
        <v>548</v>
      </c>
      <c r="C492" s="0" t="n">
        <v>0</v>
      </c>
      <c r="D492" s="0" t="n">
        <v>0</v>
      </c>
      <c r="E492" s="0" t="n">
        <v>0</v>
      </c>
      <c r="F492" s="0" t="n">
        <v>2.1</v>
      </c>
      <c r="G492" s="0" t="n">
        <v>11.7</v>
      </c>
      <c r="H492" s="0" t="n">
        <v>0.1</v>
      </c>
      <c r="I492" s="0" t="n">
        <v>0</v>
      </c>
      <c r="J492" s="0" t="n">
        <v>1.6</v>
      </c>
      <c r="K492" s="115" t="n">
        <f aca="false">IFERROR(G492/F492/6.89*0.427*F492,0)</f>
        <v>0.725094339622642</v>
      </c>
      <c r="L492" s="115" t="n">
        <f aca="false">IFERROR(D492/C492/12.87*0.633*C492,0)</f>
        <v>0</v>
      </c>
      <c r="M492" s="117" t="n">
        <f aca="false">C494*Scoring!$B$34+D494/Scoring!$C$34+E494*Scoring!$D$34+WR!F494*Scoring!$E$34+WR!G494/Scoring!$F$34+WR!H494*Scoring!$G$34+WR!I494*Scoring!$H$34+K494*Scoring!$I$34+WR!L494*Scoring!$J$34+U492</f>
        <v>58.3944</v>
      </c>
      <c r="N492" s="117" t="n">
        <f aca="false">C492*Scoring!$B$34+D492/Scoring!$C$34+E492*Scoring!$D$34+WR!F492*Scoring!$E$34+WR!G492/Scoring!$F$34+WR!H492*Scoring!$G$34+WR!I492*Scoring!$H$34+K492*Scoring!$I$34+WR!L492*Scoring!$J$34+U492</f>
        <v>58.3944</v>
      </c>
      <c r="O492" s="117" t="n">
        <f aca="false">C493*Scoring!$B$34+D493/Scoring!$C$34+E493*Scoring!$D$34+WR!F493*Scoring!$E$34+WR!G493/Scoring!$F$34+WR!H493*Scoring!$G$34+WR!I493*Scoring!$H$34+K493*Scoring!$I$34+WR!L493*Scoring!$J$34+U492</f>
        <v>58.3944</v>
      </c>
      <c r="P492" s="53" t="n">
        <f aca="false">IF(COUNTIF(Rookies!$A:$A,A492)&gt;0,1,0)</f>
        <v>1</v>
      </c>
      <c r="S492" s="53" t="n">
        <f aca="false">V492/17</f>
        <v>0.104117647058824</v>
      </c>
      <c r="T492" s="53" t="n">
        <f aca="false">IF(P492=1,MAX(0,0.28*(12-S492)),0)</f>
        <v>3.33084705882353</v>
      </c>
      <c r="U492" s="53" t="n">
        <f aca="false">T492*17</f>
        <v>56.6244</v>
      </c>
      <c r="V492" s="53" t="n">
        <f aca="false">C492*Scoring!$B$34+D492/Scoring!$C$34+E492*Scoring!$D$34+WR!F492*Scoring!$E$34+WR!G492/Scoring!$F$34+WR!H492*Scoring!$G$34+WR!I492*Scoring!$H$34+K492*Scoring!$I$34+WR!L492*Scoring!$J$34</f>
        <v>1.77</v>
      </c>
    </row>
    <row r="493" customFormat="false" ht="14.25" hidden="false" customHeight="true" outlineLevel="0" collapsed="false">
      <c r="B493" s="0" t="s">
        <v>491</v>
      </c>
      <c r="C493" s="0" t="n">
        <v>0</v>
      </c>
      <c r="D493" s="0" t="n">
        <v>0</v>
      </c>
      <c r="E493" s="0" t="n">
        <v>0</v>
      </c>
      <c r="F493" s="0" t="n">
        <v>2.1</v>
      </c>
      <c r="G493" s="0" t="n">
        <v>11.7</v>
      </c>
      <c r="H493" s="0" t="n">
        <v>0.1</v>
      </c>
      <c r="I493" s="0" t="n">
        <v>0</v>
      </c>
      <c r="J493" s="0" t="n">
        <v>4.1</v>
      </c>
      <c r="K493" s="115" t="n">
        <f aca="false">IFERROR(G493/F493/6.89*0.427*F493,0)</f>
        <v>0.725094339622642</v>
      </c>
      <c r="L493" s="115" t="n">
        <f aca="false">IFERROR(D493/C493/12.87*0.633*C493,0)</f>
        <v>0</v>
      </c>
      <c r="M493" s="118"/>
      <c r="N493" s="118"/>
      <c r="O493" s="118"/>
    </row>
    <row r="494" customFormat="false" ht="14.25" hidden="false" customHeight="true" outlineLevel="0" collapsed="false">
      <c r="B494" s="0" t="s">
        <v>492</v>
      </c>
      <c r="C494" s="0" t="n">
        <v>0</v>
      </c>
      <c r="D494" s="0" t="n">
        <v>0</v>
      </c>
      <c r="E494" s="0" t="n">
        <v>0</v>
      </c>
      <c r="F494" s="0" t="n">
        <v>2.1</v>
      </c>
      <c r="G494" s="0" t="n">
        <v>11.7</v>
      </c>
      <c r="H494" s="0" t="n">
        <v>0.1</v>
      </c>
      <c r="I494" s="0" t="n">
        <v>0</v>
      </c>
      <c r="J494" s="0" t="n">
        <v>4.1</v>
      </c>
      <c r="K494" s="115" t="n">
        <f aca="false">IFERROR(G494/F494/6.89*0.427*F494,0)</f>
        <v>0.725094339622642</v>
      </c>
      <c r="L494" s="115" t="n">
        <f aca="false">IFERROR(D494/C494/12.87*0.633*C494,0)</f>
        <v>0</v>
      </c>
      <c r="M494" s="118"/>
      <c r="N494" s="118"/>
      <c r="O494" s="118"/>
    </row>
    <row r="495" customFormat="false" ht="14.25" hidden="false" customHeight="true" outlineLevel="0" collapsed="false">
      <c r="A495" s="0" t="s">
        <v>886</v>
      </c>
      <c r="B495" s="0" t="s">
        <v>504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0</v>
      </c>
      <c r="K495" s="115" t="n">
        <f aca="false">IFERROR(G495/F495/6.89*0.427*F495,0)</f>
        <v>0</v>
      </c>
      <c r="L495" s="115" t="n">
        <f aca="false">IFERROR(D495/C495/12.87*0.633*C495,0)</f>
        <v>0</v>
      </c>
      <c r="M495" s="117" t="n">
        <f aca="false">C497*Scoring!$B$34+D497/Scoring!$C$34+E497*Scoring!$D$34+WR!F497*Scoring!$E$34+WR!G497/Scoring!$F$34+WR!H497*Scoring!$G$34+WR!I497*Scoring!$H$34+K497*Scoring!$I$34+WR!L497*Scoring!$J$34+U495</f>
        <v>0</v>
      </c>
      <c r="N495" s="117" t="n">
        <f aca="false">C495*Scoring!$B$34+D495/Scoring!$C$34+E495*Scoring!$D$34+WR!F495*Scoring!$E$34+WR!G495/Scoring!$F$34+WR!H495*Scoring!$G$34+WR!I495*Scoring!$H$34+K495*Scoring!$I$34+WR!L495*Scoring!$J$34+U495</f>
        <v>0</v>
      </c>
      <c r="O495" s="117" t="n">
        <f aca="false">C496*Scoring!$B$34+D496/Scoring!$C$34+E496*Scoring!$D$34+WR!F496*Scoring!$E$34+WR!G496/Scoring!$F$34+WR!H496*Scoring!$G$34+WR!I496*Scoring!$H$34+K496*Scoring!$I$34+WR!L496*Scoring!$J$34+U495</f>
        <v>0</v>
      </c>
      <c r="P495" s="53" t="n">
        <f aca="false">IF(COUNTIF(Rookies!$A:$A,A495)&gt;0,1,0)</f>
        <v>0</v>
      </c>
      <c r="S495" s="53" t="n">
        <f aca="false">V495/17</f>
        <v>0</v>
      </c>
      <c r="T495" s="53" t="n">
        <f aca="false">IF(P495=1,MAX(0,0.28*(12-S495)),0)</f>
        <v>0</v>
      </c>
      <c r="U495" s="53" t="n">
        <f aca="false">T495*17</f>
        <v>0</v>
      </c>
      <c r="V495" s="53" t="n">
        <f aca="false">C495*Scoring!$B$34+D495/Scoring!$C$34+E495*Scoring!$D$34+WR!F495*Scoring!$E$34+WR!G495/Scoring!$F$34+WR!H495*Scoring!$G$34+WR!I495*Scoring!$H$34+K495*Scoring!$I$34+WR!L495*Scoring!$J$34</f>
        <v>0</v>
      </c>
    </row>
    <row r="496" customFormat="false" ht="14.25" hidden="false" customHeight="true" outlineLevel="0" collapsed="false">
      <c r="B496" s="0" t="s">
        <v>491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2.5</v>
      </c>
      <c r="K496" s="115" t="n">
        <f aca="false">IFERROR(G496/F496/6.89*0.427*F496,0)</f>
        <v>0</v>
      </c>
      <c r="L496" s="115" t="n">
        <f aca="false">IFERROR(D496/C496/12.87*0.633*C496,0)</f>
        <v>0</v>
      </c>
      <c r="M496" s="118"/>
      <c r="N496" s="118"/>
      <c r="O496" s="118"/>
    </row>
    <row r="497" customFormat="false" ht="14.25" hidden="false" customHeight="true" outlineLevel="0" collapsed="false">
      <c r="B497" s="0" t="s">
        <v>492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0</v>
      </c>
      <c r="J497" s="0" t="n">
        <v>2.5</v>
      </c>
      <c r="K497" s="115" t="n">
        <f aca="false">IFERROR(G497/F497/6.89*0.427*F497,0)</f>
        <v>0</v>
      </c>
      <c r="L497" s="115" t="n">
        <f aca="false">IFERROR(D497/C497/12.87*0.633*C497,0)</f>
        <v>0</v>
      </c>
      <c r="M497" s="118"/>
      <c r="N497" s="118"/>
      <c r="O497" s="118"/>
    </row>
    <row r="498" customFormat="false" ht="14.25" hidden="false" customHeight="true" outlineLevel="0" collapsed="false">
      <c r="A498" s="0" t="s">
        <v>887</v>
      </c>
      <c r="B498" s="0" t="s">
        <v>504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0</v>
      </c>
      <c r="J498" s="0" t="n">
        <v>0</v>
      </c>
      <c r="K498" s="115" t="n">
        <f aca="false">IFERROR(G498/F498/6.89*0.427*F498,0)</f>
        <v>0</v>
      </c>
      <c r="L498" s="115" t="n">
        <f aca="false">IFERROR(D498/C498/12.87*0.633*C498,0)</f>
        <v>0</v>
      </c>
      <c r="M498" s="117" t="n">
        <f aca="false">C500*Scoring!$B$34+D500/Scoring!$C$34+E500*Scoring!$D$34+WR!F500*Scoring!$E$34+WR!G500/Scoring!$F$34+WR!H500*Scoring!$G$34+WR!I500*Scoring!$H$34+K500*Scoring!$I$34+WR!L500*Scoring!$J$34+U498</f>
        <v>0</v>
      </c>
      <c r="N498" s="117" t="n">
        <f aca="false">C498*Scoring!$B$34+D498/Scoring!$C$34+E498*Scoring!$D$34+WR!F498*Scoring!$E$34+WR!G498/Scoring!$F$34+WR!H498*Scoring!$G$34+WR!I498*Scoring!$H$34+K498*Scoring!$I$34+WR!L498*Scoring!$J$34+U498</f>
        <v>0</v>
      </c>
      <c r="O498" s="117" t="n">
        <f aca="false">C499*Scoring!$B$34+D499/Scoring!$C$34+E499*Scoring!$D$34+WR!F499*Scoring!$E$34+WR!G499/Scoring!$F$34+WR!H499*Scoring!$G$34+WR!I499*Scoring!$H$34+K499*Scoring!$I$34+WR!L499*Scoring!$J$34+U498</f>
        <v>0</v>
      </c>
      <c r="P498" s="53" t="n">
        <f aca="false">IF(COUNTIF(Rookies!$A:$A,A498)&gt;0,1,0)</f>
        <v>0</v>
      </c>
      <c r="S498" s="53" t="n">
        <f aca="false">V498/17</f>
        <v>0</v>
      </c>
      <c r="T498" s="53" t="n">
        <f aca="false">IF(P498=1,MAX(0,0.28*(12-S498)),0)</f>
        <v>0</v>
      </c>
      <c r="U498" s="53" t="n">
        <f aca="false">T498*17</f>
        <v>0</v>
      </c>
      <c r="V498" s="53" t="n">
        <f aca="false">C498*Scoring!$B$34+D498/Scoring!$C$34+E498*Scoring!$D$34+WR!F498*Scoring!$E$34+WR!G498/Scoring!$F$34+WR!H498*Scoring!$G$34+WR!I498*Scoring!$H$34+K498*Scoring!$I$34+WR!L498*Scoring!$J$34</f>
        <v>0</v>
      </c>
    </row>
    <row r="499" customFormat="false" ht="14.25" hidden="false" customHeight="true" outlineLevel="0" collapsed="false">
      <c r="B499" s="0" t="s">
        <v>491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115" t="n">
        <f aca="false">IFERROR(G499/F499/6.89*0.427*F499,0)</f>
        <v>0</v>
      </c>
      <c r="L499" s="115" t="n">
        <f aca="false">IFERROR(D499/C499/12.87*0.633*C499,0)</f>
        <v>0</v>
      </c>
      <c r="M499" s="118"/>
      <c r="N499" s="118"/>
      <c r="O499" s="118"/>
    </row>
    <row r="500" customFormat="false" ht="14.25" hidden="false" customHeight="true" outlineLevel="0" collapsed="false">
      <c r="B500" s="0" t="s">
        <v>492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0</v>
      </c>
      <c r="J500" s="0" t="n">
        <v>0</v>
      </c>
      <c r="K500" s="115" t="n">
        <f aca="false">IFERROR(G500/F500/6.89*0.427*F500,0)</f>
        <v>0</v>
      </c>
      <c r="L500" s="115" t="n">
        <f aca="false">IFERROR(D500/C500/12.87*0.633*C500,0)</f>
        <v>0</v>
      </c>
      <c r="M500" s="118"/>
      <c r="N500" s="118"/>
      <c r="O500" s="118"/>
    </row>
    <row r="501" customFormat="false" ht="14.25" hidden="false" customHeight="true" outlineLevel="0" collapsed="false">
      <c r="A501" s="0" t="s">
        <v>888</v>
      </c>
      <c r="B501" s="0" t="s">
        <v>546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115" t="n">
        <f aca="false">IFERROR(G501/F501/6.89*0.427*F501,0)</f>
        <v>0</v>
      </c>
      <c r="L501" s="115" t="n">
        <f aca="false">IFERROR(D501/C501/12.87*0.633*C501,0)</f>
        <v>0</v>
      </c>
      <c r="M501" s="117" t="n">
        <f aca="false">C503*Scoring!$B$34+D503/Scoring!$C$34+E503*Scoring!$D$34+WR!F503*Scoring!$E$34+WR!G503/Scoring!$F$34+WR!H503*Scoring!$G$34+WR!I503*Scoring!$H$34+K503*Scoring!$I$34+WR!L503*Scoring!$J$34+U501</f>
        <v>0</v>
      </c>
      <c r="N501" s="117" t="n">
        <f aca="false">C501*Scoring!$B$34+D501/Scoring!$C$34+E501*Scoring!$D$34+WR!F501*Scoring!$E$34+WR!G501/Scoring!$F$34+WR!H501*Scoring!$G$34+WR!I501*Scoring!$H$34+K501*Scoring!$I$34+WR!L501*Scoring!$J$34+U501</f>
        <v>0</v>
      </c>
      <c r="O501" s="117" t="n">
        <f aca="false">C502*Scoring!$B$34+D502/Scoring!$C$34+E502*Scoring!$D$34+WR!F502*Scoring!$E$34+WR!G502/Scoring!$F$34+WR!H502*Scoring!$G$34+WR!I502*Scoring!$H$34+K502*Scoring!$I$34+WR!L502*Scoring!$J$34+U501</f>
        <v>0</v>
      </c>
      <c r="P501" s="53" t="n">
        <f aca="false">IF(COUNTIF(Rookies!$A:$A,A501)&gt;0,1,0)</f>
        <v>0</v>
      </c>
      <c r="S501" s="53" t="n">
        <f aca="false">V501/17</f>
        <v>0</v>
      </c>
      <c r="T501" s="53" t="n">
        <f aca="false">IF(P501=1,MAX(0,0.28*(12-S501)),0)</f>
        <v>0</v>
      </c>
      <c r="U501" s="53" t="n">
        <f aca="false">T501*17</f>
        <v>0</v>
      </c>
      <c r="V501" s="53" t="n">
        <f aca="false">C501*Scoring!$B$34+D501/Scoring!$C$34+E501*Scoring!$D$34+WR!F501*Scoring!$E$34+WR!G501/Scoring!$F$34+WR!H501*Scoring!$G$34+WR!I501*Scoring!$H$34+K501*Scoring!$I$34+WR!L501*Scoring!$J$34</f>
        <v>0</v>
      </c>
    </row>
    <row r="502" customFormat="false" ht="14.25" hidden="false" customHeight="true" outlineLevel="0" collapsed="false">
      <c r="B502" s="0" t="s">
        <v>491</v>
      </c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1.7</v>
      </c>
      <c r="K502" s="115" t="n">
        <f aca="false">IFERROR(G502/F502/6.89*0.427*F502,0)</f>
        <v>0</v>
      </c>
      <c r="L502" s="115" t="n">
        <f aca="false">IFERROR(D502/C502/12.87*0.633*C502,0)</f>
        <v>0</v>
      </c>
      <c r="M502" s="118"/>
      <c r="N502" s="118"/>
      <c r="O502" s="118"/>
    </row>
    <row r="503" customFormat="false" ht="14.25" hidden="false" customHeight="true" outlineLevel="0" collapsed="false">
      <c r="B503" s="0" t="s">
        <v>492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1.7</v>
      </c>
      <c r="K503" s="115" t="n">
        <f aca="false">IFERROR(G503/F503/6.89*0.427*F503,0)</f>
        <v>0</v>
      </c>
      <c r="L503" s="115" t="n">
        <f aca="false">IFERROR(D503/C503/12.87*0.633*C503,0)</f>
        <v>0</v>
      </c>
      <c r="M503" s="118"/>
      <c r="N503" s="118"/>
      <c r="O503" s="118"/>
    </row>
    <row r="504" customFormat="false" ht="14.25" hidden="false" customHeight="true" outlineLevel="0" collapsed="false">
      <c r="A504" s="0" t="s">
        <v>889</v>
      </c>
      <c r="B504" s="0" t="s">
        <v>554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  <c r="J504" s="0" t="n">
        <v>0</v>
      </c>
      <c r="K504" s="115" t="n">
        <f aca="false">IFERROR(G504/F504/6.89*0.427*F504,0)</f>
        <v>0</v>
      </c>
      <c r="L504" s="115" t="n">
        <f aca="false">IFERROR(D504/C504/12.87*0.633*C504,0)</f>
        <v>0</v>
      </c>
      <c r="M504" s="117" t="n">
        <f aca="false">C506*Scoring!$B$34+D506/Scoring!$C$34+E506*Scoring!$D$34+WR!F506*Scoring!$E$34+WR!G506/Scoring!$F$34+WR!H506*Scoring!$G$34+WR!I506*Scoring!$H$34+K506*Scoring!$I$34+WR!L506*Scoring!$J$34+U504</f>
        <v>0</v>
      </c>
      <c r="N504" s="117" t="n">
        <f aca="false">C504*Scoring!$B$34+D504/Scoring!$C$34+E504*Scoring!$D$34+WR!F504*Scoring!$E$34+WR!G504/Scoring!$F$34+WR!H504*Scoring!$G$34+WR!I504*Scoring!$H$34+K504*Scoring!$I$34+WR!L504*Scoring!$J$34+U504</f>
        <v>0</v>
      </c>
      <c r="O504" s="117" t="n">
        <f aca="false">C505*Scoring!$B$34+D505/Scoring!$C$34+E505*Scoring!$D$34+WR!F505*Scoring!$E$34+WR!G505/Scoring!$F$34+WR!H505*Scoring!$G$34+WR!I505*Scoring!$H$34+K505*Scoring!$I$34+WR!L505*Scoring!$J$34+U504</f>
        <v>0</v>
      </c>
      <c r="P504" s="53" t="n">
        <f aca="false">IF(COUNTIF(Rookies!$A:$A,A504)&gt;0,1,0)</f>
        <v>0</v>
      </c>
      <c r="S504" s="53" t="n">
        <f aca="false">V504/17</f>
        <v>0</v>
      </c>
      <c r="T504" s="53" t="n">
        <f aca="false">IF(P504=1,MAX(0,0.28*(12-S504)),0)</f>
        <v>0</v>
      </c>
      <c r="U504" s="53" t="n">
        <f aca="false">T504*17</f>
        <v>0</v>
      </c>
      <c r="V504" s="53" t="n">
        <f aca="false">C504*Scoring!$B$34+D504/Scoring!$C$34+E504*Scoring!$D$34+WR!F504*Scoring!$E$34+WR!G504/Scoring!$F$34+WR!H504*Scoring!$G$34+WR!I504*Scoring!$H$34+K504*Scoring!$I$34+WR!L504*Scoring!$J$34</f>
        <v>0</v>
      </c>
    </row>
    <row r="505" customFormat="false" ht="14.25" hidden="false" customHeight="true" outlineLevel="0" collapsed="false">
      <c r="B505" s="0" t="s">
        <v>491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115" t="n">
        <f aca="false">IFERROR(G505/F505/6.89*0.427*F505,0)</f>
        <v>0</v>
      </c>
      <c r="L505" s="115" t="n">
        <f aca="false">IFERROR(D505/C505/12.87*0.633*C505,0)</f>
        <v>0</v>
      </c>
      <c r="M505" s="118"/>
      <c r="N505" s="118"/>
      <c r="O505" s="118"/>
    </row>
    <row r="506" customFormat="false" ht="14.25" hidden="false" customHeight="true" outlineLevel="0" collapsed="false">
      <c r="B506" s="0" t="s">
        <v>492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115" t="n">
        <f aca="false">IFERROR(G506/F506/6.89*0.427*F506,0)</f>
        <v>0</v>
      </c>
      <c r="L506" s="115" t="n">
        <f aca="false">IFERROR(D506/C506/12.87*0.633*C506,0)</f>
        <v>0</v>
      </c>
      <c r="M506" s="118"/>
      <c r="N506" s="118"/>
      <c r="O506" s="118"/>
    </row>
    <row r="507" customFormat="false" ht="14.25" hidden="false" customHeight="true" outlineLevel="0" collapsed="false">
      <c r="A507" s="0" t="s">
        <v>890</v>
      </c>
      <c r="B507" s="0" t="s">
        <v>530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115" t="n">
        <f aca="false">IFERROR(G507/F507/6.89*0.427*F507,0)</f>
        <v>0</v>
      </c>
      <c r="L507" s="115" t="n">
        <f aca="false">IFERROR(D507/C507/12.87*0.633*C507,0)</f>
        <v>0</v>
      </c>
      <c r="M507" s="117" t="n">
        <f aca="false">C509*Scoring!$B$34+D509/Scoring!$C$34+E509*Scoring!$D$34+WR!F509*Scoring!$E$34+WR!G509/Scoring!$F$34+WR!H509*Scoring!$G$34+WR!I509*Scoring!$H$34+K509*Scoring!$I$34+WR!L509*Scoring!$J$34+U507</f>
        <v>0</v>
      </c>
      <c r="N507" s="117" t="n">
        <f aca="false">C507*Scoring!$B$34+D507/Scoring!$C$34+E507*Scoring!$D$34+WR!F507*Scoring!$E$34+WR!G507/Scoring!$F$34+WR!H507*Scoring!$G$34+WR!I507*Scoring!$H$34+K507*Scoring!$I$34+WR!L507*Scoring!$J$34+U507</f>
        <v>0</v>
      </c>
      <c r="O507" s="117" t="n">
        <f aca="false">C508*Scoring!$B$34+D508/Scoring!$C$34+E508*Scoring!$D$34+WR!F508*Scoring!$E$34+WR!G508/Scoring!$F$34+WR!H508*Scoring!$G$34+WR!I508*Scoring!$H$34+K508*Scoring!$I$34+WR!L508*Scoring!$J$34+U507</f>
        <v>0</v>
      </c>
      <c r="P507" s="53" t="n">
        <f aca="false">IF(COUNTIF(Rookies!$A:$A,A507)&gt;0,1,0)</f>
        <v>0</v>
      </c>
      <c r="S507" s="53" t="n">
        <f aca="false">V507/17</f>
        <v>0</v>
      </c>
      <c r="T507" s="53" t="n">
        <f aca="false">IF(P507=1,MAX(0,0.28*(12-S507)),0)</f>
        <v>0</v>
      </c>
      <c r="U507" s="53" t="n">
        <f aca="false">T507*17</f>
        <v>0</v>
      </c>
      <c r="V507" s="53" t="n">
        <f aca="false">C507*Scoring!$B$34+D507/Scoring!$C$34+E507*Scoring!$D$34+WR!F507*Scoring!$E$34+WR!G507/Scoring!$F$34+WR!H507*Scoring!$G$34+WR!I507*Scoring!$H$34+K507*Scoring!$I$34+WR!L507*Scoring!$J$34</f>
        <v>0</v>
      </c>
    </row>
    <row r="508" customFormat="false" ht="14.25" hidden="false" customHeight="true" outlineLevel="0" collapsed="false">
      <c r="B508" s="0" t="s">
        <v>491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0.4</v>
      </c>
      <c r="K508" s="115" t="n">
        <f aca="false">IFERROR(G508/F508/6.89*0.427*F508,0)</f>
        <v>0</v>
      </c>
      <c r="L508" s="115" t="n">
        <f aca="false">IFERROR(D508/C508/12.87*0.633*C508,0)</f>
        <v>0</v>
      </c>
      <c r="M508" s="118"/>
      <c r="N508" s="118"/>
      <c r="O508" s="118"/>
    </row>
    <row r="509" customFormat="false" ht="14.25" hidden="false" customHeight="true" outlineLevel="0" collapsed="false">
      <c r="B509" s="0" t="s">
        <v>492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0.4</v>
      </c>
      <c r="K509" s="115" t="n">
        <f aca="false">IFERROR(G509/F509/6.89*0.427*F509,0)</f>
        <v>0</v>
      </c>
      <c r="L509" s="115" t="n">
        <f aca="false">IFERROR(D509/C509/12.87*0.633*C509,0)</f>
        <v>0</v>
      </c>
      <c r="M509" s="118"/>
      <c r="N509" s="118"/>
      <c r="O509" s="118"/>
    </row>
    <row r="510" customFormat="false" ht="14.25" hidden="false" customHeight="true" outlineLevel="0" collapsed="false">
      <c r="A510" s="0" t="s">
        <v>891</v>
      </c>
      <c r="B510" s="0" t="s">
        <v>546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115" t="n">
        <f aca="false">IFERROR(G510/F510/6.89*0.427*F510,0)</f>
        <v>0</v>
      </c>
      <c r="L510" s="115" t="n">
        <f aca="false">IFERROR(D510/C510/12.87*0.633*C510,0)</f>
        <v>0</v>
      </c>
      <c r="M510" s="117" t="n">
        <f aca="false">C512*Scoring!$B$34+D512/Scoring!$C$34+E512*Scoring!$D$34+WR!F512*Scoring!$E$34+WR!G512/Scoring!$F$34+WR!H512*Scoring!$G$34+WR!I512*Scoring!$H$34+K512*Scoring!$I$34+WR!L512*Scoring!$J$34+U510</f>
        <v>0</v>
      </c>
      <c r="N510" s="117" t="n">
        <f aca="false">C510*Scoring!$B$34+D510/Scoring!$C$34+E510*Scoring!$D$34+WR!F510*Scoring!$E$34+WR!G510/Scoring!$F$34+WR!H510*Scoring!$G$34+WR!I510*Scoring!$H$34+K510*Scoring!$I$34+WR!L510*Scoring!$J$34+U510</f>
        <v>0</v>
      </c>
      <c r="O510" s="117" t="n">
        <f aca="false">C511*Scoring!$B$34+D511/Scoring!$C$34+E511*Scoring!$D$34+WR!F511*Scoring!$E$34+WR!G511/Scoring!$F$34+WR!H511*Scoring!$G$34+WR!I511*Scoring!$H$34+K511*Scoring!$I$34+WR!L511*Scoring!$J$34+U510</f>
        <v>0</v>
      </c>
      <c r="P510" s="53" t="n">
        <f aca="false">IF(COUNTIF(Rookies!$A:$A,A510)&gt;0,1,0)</f>
        <v>0</v>
      </c>
      <c r="S510" s="53" t="n">
        <f aca="false">V510/17</f>
        <v>0</v>
      </c>
      <c r="T510" s="53" t="n">
        <f aca="false">IF(P510=1,MAX(0,0.28*(12-S510)),0)</f>
        <v>0</v>
      </c>
      <c r="U510" s="53" t="n">
        <f aca="false">T510*17</f>
        <v>0</v>
      </c>
      <c r="V510" s="53" t="n">
        <f aca="false">C510*Scoring!$B$34+D510/Scoring!$C$34+E510*Scoring!$D$34+WR!F510*Scoring!$E$34+WR!G510/Scoring!$F$34+WR!H510*Scoring!$G$34+WR!I510*Scoring!$H$34+K510*Scoring!$I$34+WR!L510*Scoring!$J$34</f>
        <v>0</v>
      </c>
    </row>
    <row r="511" customFormat="false" ht="14.25" hidden="false" customHeight="true" outlineLevel="0" collapsed="false">
      <c r="B511" s="0" t="s">
        <v>491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0.3</v>
      </c>
      <c r="K511" s="115" t="n">
        <f aca="false">IFERROR(G511/F511/6.89*0.427*F511,0)</f>
        <v>0</v>
      </c>
      <c r="L511" s="115" t="n">
        <f aca="false">IFERROR(D511/C511/12.87*0.633*C511,0)</f>
        <v>0</v>
      </c>
      <c r="M511" s="118"/>
      <c r="N511" s="118"/>
      <c r="O511" s="118"/>
    </row>
    <row r="512" customFormat="false" ht="14.25" hidden="false" customHeight="true" outlineLevel="0" collapsed="false">
      <c r="B512" s="0" t="s">
        <v>492</v>
      </c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0.3</v>
      </c>
      <c r="K512" s="115" t="n">
        <f aca="false">IFERROR(G512/F512/6.89*0.427*F512,0)</f>
        <v>0</v>
      </c>
      <c r="L512" s="115" t="n">
        <f aca="false">IFERROR(D512/C512/12.87*0.633*C512,0)</f>
        <v>0</v>
      </c>
      <c r="M512" s="118"/>
      <c r="N512" s="118"/>
      <c r="O512" s="118"/>
    </row>
    <row r="513" customFormat="false" ht="14.25" hidden="false" customHeight="true" outlineLevel="0" collapsed="false">
      <c r="A513" s="0" t="s">
        <v>892</v>
      </c>
      <c r="B513" s="0" t="s">
        <v>512</v>
      </c>
      <c r="C513" s="0" t="n">
        <v>0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  <c r="J513" s="0" t="n">
        <v>0</v>
      </c>
      <c r="K513" s="115" t="n">
        <f aca="false">IFERROR(G513/F513/6.89*0.427*F513,0)</f>
        <v>0</v>
      </c>
      <c r="L513" s="115" t="n">
        <f aca="false">IFERROR(D513/C513/12.87*0.633*C513,0)</f>
        <v>0</v>
      </c>
      <c r="M513" s="117" t="n">
        <f aca="false">C515*Scoring!$B$34+D515/Scoring!$C$34+E515*Scoring!$D$34+WR!F515*Scoring!$E$34+WR!G515/Scoring!$F$34+WR!H515*Scoring!$G$34+WR!I515*Scoring!$H$34+K515*Scoring!$I$34+WR!L515*Scoring!$J$34+U513</f>
        <v>0</v>
      </c>
      <c r="N513" s="117" t="n">
        <f aca="false">C513*Scoring!$B$34+D513/Scoring!$C$34+E513*Scoring!$D$34+WR!F513*Scoring!$E$34+WR!G513/Scoring!$F$34+WR!H513*Scoring!$G$34+WR!I513*Scoring!$H$34+K513*Scoring!$I$34+WR!L513*Scoring!$J$34+U513</f>
        <v>0</v>
      </c>
      <c r="O513" s="117" t="n">
        <f aca="false">C514*Scoring!$B$34+D514/Scoring!$C$34+E514*Scoring!$D$34+WR!F514*Scoring!$E$34+WR!G514/Scoring!$F$34+WR!H514*Scoring!$G$34+WR!I514*Scoring!$H$34+K514*Scoring!$I$34+WR!L514*Scoring!$J$34+U513</f>
        <v>0</v>
      </c>
      <c r="P513" s="53" t="n">
        <f aca="false">IF(COUNTIF(Rookies!$A:$A,A513)&gt;0,1,0)</f>
        <v>0</v>
      </c>
      <c r="S513" s="53" t="n">
        <f aca="false">V513/17</f>
        <v>0</v>
      </c>
      <c r="T513" s="53" t="n">
        <f aca="false">IF(P513=1,MAX(0,0.28*(12-S513)),0)</f>
        <v>0</v>
      </c>
      <c r="U513" s="53" t="n">
        <f aca="false">T513*17</f>
        <v>0</v>
      </c>
      <c r="V513" s="53" t="n">
        <f aca="false">C513*Scoring!$B$34+D513/Scoring!$C$34+E513*Scoring!$D$34+WR!F513*Scoring!$E$34+WR!G513/Scoring!$F$34+WR!H513*Scoring!$G$34+WR!I513*Scoring!$H$34+K513*Scoring!$I$34+WR!L513*Scoring!$J$34</f>
        <v>0</v>
      </c>
    </row>
    <row r="514" customFormat="false" ht="14.25" hidden="false" customHeight="true" outlineLevel="0" collapsed="false">
      <c r="B514" s="0" t="s">
        <v>491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1.4</v>
      </c>
      <c r="K514" s="115" t="n">
        <f aca="false">IFERROR(G514/F514/6.89*0.427*F514,0)</f>
        <v>0</v>
      </c>
      <c r="L514" s="115" t="n">
        <f aca="false">IFERROR(D514/C514/12.87*0.633*C514,0)</f>
        <v>0</v>
      </c>
      <c r="M514" s="118"/>
      <c r="N514" s="118"/>
      <c r="O514" s="118"/>
    </row>
    <row r="515" customFormat="false" ht="14.25" hidden="false" customHeight="true" outlineLevel="0" collapsed="false">
      <c r="B515" s="0" t="s">
        <v>492</v>
      </c>
      <c r="C515" s="0" t="n">
        <v>0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  <c r="J515" s="0" t="n">
        <v>1.4</v>
      </c>
      <c r="K515" s="115" t="n">
        <f aca="false">IFERROR(G515/F515/6.89*0.427*F515,0)</f>
        <v>0</v>
      </c>
      <c r="L515" s="115" t="n">
        <f aca="false">IFERROR(D515/C515/12.87*0.633*C515,0)</f>
        <v>0</v>
      </c>
      <c r="M515" s="118"/>
      <c r="N515" s="118"/>
      <c r="O515" s="118"/>
    </row>
    <row r="516" customFormat="false" ht="14.25" hidden="false" customHeight="true" outlineLevel="0" collapsed="false">
      <c r="A516" s="0" t="s">
        <v>893</v>
      </c>
      <c r="B516" s="0" t="s">
        <v>490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  <c r="J516" s="0" t="n">
        <v>0</v>
      </c>
      <c r="K516" s="115" t="n">
        <f aca="false">IFERROR(G516/F516/6.89*0.427*F516,0)</f>
        <v>0</v>
      </c>
      <c r="L516" s="115" t="n">
        <f aca="false">IFERROR(D516/C516/12.87*0.633*C516,0)</f>
        <v>0</v>
      </c>
      <c r="M516" s="117" t="n">
        <f aca="false">C518*Scoring!$B$34+D518/Scoring!$C$34+E518*Scoring!$D$34+WR!F518*Scoring!$E$34+WR!G518/Scoring!$F$34+WR!H518*Scoring!$G$34+WR!I518*Scoring!$H$34+K518*Scoring!$I$34+WR!L518*Scoring!$J$34+U516</f>
        <v>0</v>
      </c>
      <c r="N516" s="117" t="n">
        <f aca="false">C516*Scoring!$B$34+D516/Scoring!$C$34+E516*Scoring!$D$34+WR!F516*Scoring!$E$34+WR!G516/Scoring!$F$34+WR!H516*Scoring!$G$34+WR!I516*Scoring!$H$34+K516*Scoring!$I$34+WR!L516*Scoring!$J$34+U516</f>
        <v>0</v>
      </c>
      <c r="O516" s="117" t="n">
        <f aca="false">C517*Scoring!$B$34+D517/Scoring!$C$34+E517*Scoring!$D$34+WR!F517*Scoring!$E$34+WR!G517/Scoring!$F$34+WR!H517*Scoring!$G$34+WR!I517*Scoring!$H$34+K517*Scoring!$I$34+WR!L517*Scoring!$J$34+U516</f>
        <v>0</v>
      </c>
      <c r="P516" s="53" t="n">
        <f aca="false">IF(COUNTIF(Rookies!$A:$A,A516)&gt;0,1,0)</f>
        <v>0</v>
      </c>
      <c r="S516" s="53" t="n">
        <f aca="false">V516/17</f>
        <v>0</v>
      </c>
      <c r="T516" s="53" t="n">
        <f aca="false">IF(P516=1,MAX(0,0.28*(12-S516)),0)</f>
        <v>0</v>
      </c>
      <c r="U516" s="53" t="n">
        <f aca="false">T516*17</f>
        <v>0</v>
      </c>
      <c r="V516" s="53" t="n">
        <f aca="false">C516*Scoring!$B$34+D516/Scoring!$C$34+E516*Scoring!$D$34+WR!F516*Scoring!$E$34+WR!G516/Scoring!$F$34+WR!H516*Scoring!$G$34+WR!I516*Scoring!$H$34+K516*Scoring!$I$34+WR!L516*Scoring!$J$34</f>
        <v>0</v>
      </c>
    </row>
    <row r="517" customFormat="false" ht="14.25" hidden="false" customHeight="true" outlineLevel="0" collapsed="false">
      <c r="B517" s="0" t="s">
        <v>491</v>
      </c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  <c r="J517" s="0" t="n">
        <v>0</v>
      </c>
      <c r="K517" s="115" t="n">
        <f aca="false">IFERROR(G517/F517/6.89*0.427*F517,0)</f>
        <v>0</v>
      </c>
      <c r="L517" s="115" t="n">
        <f aca="false">IFERROR(D517/C517/12.87*0.633*C517,0)</f>
        <v>0</v>
      </c>
      <c r="M517" s="118"/>
      <c r="N517" s="118"/>
      <c r="O517" s="118"/>
    </row>
    <row r="518" customFormat="false" ht="14.25" hidden="false" customHeight="true" outlineLevel="0" collapsed="false">
      <c r="B518" s="0" t="s">
        <v>492</v>
      </c>
      <c r="C518" s="0" t="n">
        <v>0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0</v>
      </c>
      <c r="J518" s="0" t="n">
        <v>0</v>
      </c>
      <c r="K518" s="115" t="n">
        <f aca="false">IFERROR(G518/F518/6.89*0.427*F518,0)</f>
        <v>0</v>
      </c>
      <c r="L518" s="115" t="n">
        <f aca="false">IFERROR(D518/C518/12.87*0.633*C518,0)</f>
        <v>0</v>
      </c>
      <c r="M518" s="118"/>
      <c r="N518" s="118"/>
      <c r="O518" s="118"/>
    </row>
    <row r="519" customFormat="false" ht="14.25" hidden="false" customHeight="true" outlineLevel="0" collapsed="false">
      <c r="A519" s="0" t="s">
        <v>894</v>
      </c>
      <c r="B519" s="0" t="s">
        <v>526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0</v>
      </c>
      <c r="K519" s="115" t="n">
        <f aca="false">IFERROR(G519/F519/6.89*0.427*F519,0)</f>
        <v>0</v>
      </c>
      <c r="L519" s="115" t="n">
        <f aca="false">IFERROR(D519/C519/12.87*0.633*C519,0)</f>
        <v>0</v>
      </c>
      <c r="M519" s="117" t="n">
        <f aca="false">C521*Scoring!$B$34+D521/Scoring!$C$34+E521*Scoring!$D$34+WR!F521*Scoring!$E$34+WR!G521/Scoring!$F$34+WR!H521*Scoring!$G$34+WR!I521*Scoring!$H$34+K521*Scoring!$I$34+WR!L521*Scoring!$J$34+U519</f>
        <v>0</v>
      </c>
      <c r="N519" s="117" t="n">
        <f aca="false">C519*Scoring!$B$34+D519/Scoring!$C$34+E519*Scoring!$D$34+WR!F519*Scoring!$E$34+WR!G519/Scoring!$F$34+WR!H519*Scoring!$G$34+WR!I519*Scoring!$H$34+K519*Scoring!$I$34+WR!L519*Scoring!$J$34+U519</f>
        <v>0</v>
      </c>
      <c r="O519" s="117" t="n">
        <f aca="false">C520*Scoring!$B$34+D520/Scoring!$C$34+E520*Scoring!$D$34+WR!F520*Scoring!$E$34+WR!G520/Scoring!$F$34+WR!H520*Scoring!$G$34+WR!I520*Scoring!$H$34+K520*Scoring!$I$34+WR!L520*Scoring!$J$34+U519</f>
        <v>0</v>
      </c>
      <c r="P519" s="53" t="n">
        <f aca="false">IF(COUNTIF(Rookies!$A:$A,A519)&gt;0,1,0)</f>
        <v>0</v>
      </c>
      <c r="S519" s="53" t="n">
        <f aca="false">V519/17</f>
        <v>0</v>
      </c>
      <c r="T519" s="53" t="n">
        <f aca="false">IF(P519=1,MAX(0,0.28*(12-S519)),0)</f>
        <v>0</v>
      </c>
      <c r="U519" s="53" t="n">
        <f aca="false">T519*17</f>
        <v>0</v>
      </c>
      <c r="V519" s="53" t="n">
        <f aca="false">C519*Scoring!$B$34+D519/Scoring!$C$34+E519*Scoring!$D$34+WR!F519*Scoring!$E$34+WR!G519/Scoring!$F$34+WR!H519*Scoring!$G$34+WR!I519*Scoring!$H$34+K519*Scoring!$I$34+WR!L519*Scoring!$J$34</f>
        <v>0</v>
      </c>
    </row>
    <row r="520" customFormat="false" ht="14.25" hidden="false" customHeight="true" outlineLevel="0" collapsed="false">
      <c r="B520" s="0" t="s">
        <v>491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115" t="n">
        <f aca="false">IFERROR(G520/F520/6.89*0.427*F520,0)</f>
        <v>0</v>
      </c>
      <c r="L520" s="115" t="n">
        <f aca="false">IFERROR(D520/C520/12.87*0.633*C520,0)</f>
        <v>0</v>
      </c>
      <c r="M520" s="118"/>
      <c r="N520" s="118"/>
      <c r="O520" s="118"/>
    </row>
    <row r="521" customFormat="false" ht="14.25" hidden="false" customHeight="true" outlineLevel="0" collapsed="false">
      <c r="B521" s="0" t="s">
        <v>492</v>
      </c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115" t="n">
        <f aca="false">IFERROR(G521/F521/6.89*0.427*F521,0)</f>
        <v>0</v>
      </c>
      <c r="L521" s="115" t="n">
        <f aca="false">IFERROR(D521/C521/12.87*0.633*C521,0)</f>
        <v>0</v>
      </c>
      <c r="M521" s="118"/>
      <c r="N521" s="118"/>
      <c r="O521" s="118"/>
    </row>
    <row r="522" customFormat="false" ht="14.25" hidden="false" customHeight="true" outlineLevel="0" collapsed="false">
      <c r="A522" s="0" t="s">
        <v>895</v>
      </c>
      <c r="B522" s="0" t="s">
        <v>550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0</v>
      </c>
      <c r="K522" s="115" t="n">
        <f aca="false">IFERROR(G522/F522/6.89*0.427*F522,0)</f>
        <v>0</v>
      </c>
      <c r="L522" s="115" t="n">
        <f aca="false">IFERROR(D522/C522/12.87*0.633*C522,0)</f>
        <v>0</v>
      </c>
      <c r="M522" s="117" t="n">
        <f aca="false">C524*Scoring!$B$34+D524/Scoring!$C$34+E524*Scoring!$D$34+WR!F524*Scoring!$E$34+WR!G524/Scoring!$F$34+WR!H524*Scoring!$G$34+WR!I524*Scoring!$H$34+K524*Scoring!$I$34+WR!L524*Scoring!$J$34+U522</f>
        <v>0</v>
      </c>
      <c r="N522" s="117" t="n">
        <f aca="false">C522*Scoring!$B$34+D522/Scoring!$C$34+E522*Scoring!$D$34+WR!F522*Scoring!$E$34+WR!G522/Scoring!$F$34+WR!H522*Scoring!$G$34+WR!I522*Scoring!$H$34+K522*Scoring!$I$34+WR!L522*Scoring!$J$34+U522</f>
        <v>0</v>
      </c>
      <c r="O522" s="117" t="n">
        <f aca="false">C523*Scoring!$B$34+D523/Scoring!$C$34+E523*Scoring!$D$34+WR!F523*Scoring!$E$34+WR!G523/Scoring!$F$34+WR!H523*Scoring!$G$34+WR!I523*Scoring!$H$34+K523*Scoring!$I$34+WR!L523*Scoring!$J$34+U522</f>
        <v>0</v>
      </c>
      <c r="P522" s="53" t="n">
        <f aca="false">IF(COUNTIF(Rookies!$A:$A,A522)&gt;0,1,0)</f>
        <v>0</v>
      </c>
      <c r="S522" s="53" t="n">
        <f aca="false">V522/17</f>
        <v>0</v>
      </c>
      <c r="T522" s="53" t="n">
        <f aca="false">IF(P522=1,MAX(0,0.28*(12-S522)),0)</f>
        <v>0</v>
      </c>
      <c r="U522" s="53" t="n">
        <f aca="false">T522*17</f>
        <v>0</v>
      </c>
      <c r="V522" s="53" t="n">
        <f aca="false">C522*Scoring!$B$34+D522/Scoring!$C$34+E522*Scoring!$D$34+WR!F522*Scoring!$E$34+WR!G522/Scoring!$F$34+WR!H522*Scoring!$G$34+WR!I522*Scoring!$H$34+K522*Scoring!$I$34+WR!L522*Scoring!$J$34</f>
        <v>0</v>
      </c>
    </row>
    <row r="523" customFormat="false" ht="14.25" hidden="false" customHeight="true" outlineLevel="0" collapsed="false">
      <c r="B523" s="0" t="s">
        <v>491</v>
      </c>
      <c r="C523" s="0" t="n">
        <v>0</v>
      </c>
      <c r="D523" s="0" t="n">
        <v>0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  <c r="J523" s="0" t="n">
        <v>0</v>
      </c>
      <c r="K523" s="115" t="n">
        <f aca="false">IFERROR(G523/F523/6.89*0.427*F523,0)</f>
        <v>0</v>
      </c>
      <c r="L523" s="115" t="n">
        <f aca="false">IFERROR(D523/C523/12.87*0.633*C523,0)</f>
        <v>0</v>
      </c>
      <c r="M523" s="118"/>
      <c r="N523" s="118"/>
      <c r="O523" s="118"/>
    </row>
    <row r="524" customFormat="false" ht="14.25" hidden="false" customHeight="true" outlineLevel="0" collapsed="false">
      <c r="B524" s="0" t="s">
        <v>492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  <c r="J524" s="0" t="n">
        <v>0</v>
      </c>
      <c r="K524" s="115" t="n">
        <f aca="false">IFERROR(G524/F524/6.89*0.427*F524,0)</f>
        <v>0</v>
      </c>
      <c r="L524" s="115" t="n">
        <f aca="false">IFERROR(D524/C524/12.87*0.633*C524,0)</f>
        <v>0</v>
      </c>
      <c r="M524" s="118"/>
      <c r="N524" s="118"/>
      <c r="O524" s="118"/>
    </row>
    <row r="525" customFormat="false" ht="14.25" hidden="false" customHeight="true" outlineLevel="0" collapsed="false">
      <c r="A525" s="0" t="s">
        <v>896</v>
      </c>
      <c r="B525" s="0" t="s">
        <v>494</v>
      </c>
      <c r="C525" s="0" t="n">
        <v>0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  <c r="J525" s="0" t="n">
        <v>0</v>
      </c>
      <c r="K525" s="115" t="n">
        <f aca="false">IFERROR(G525/F525/6.89*0.427*F525,0)</f>
        <v>0</v>
      </c>
      <c r="L525" s="115" t="n">
        <f aca="false">IFERROR(D525/C525/12.87*0.633*C525,0)</f>
        <v>0</v>
      </c>
      <c r="M525" s="117" t="n">
        <f aca="false">C527*Scoring!$B$34+D527/Scoring!$C$34+E527*Scoring!$D$34+WR!F527*Scoring!$E$34+WR!G527/Scoring!$F$34+WR!H527*Scoring!$G$34+WR!I527*Scoring!$H$34+K527*Scoring!$I$34+WR!L527*Scoring!$J$34+U525</f>
        <v>0</v>
      </c>
      <c r="N525" s="117" t="n">
        <f aca="false">C525*Scoring!$B$34+D525/Scoring!$C$34+E525*Scoring!$D$34+WR!F525*Scoring!$E$34+WR!G525/Scoring!$F$34+WR!H525*Scoring!$G$34+WR!I525*Scoring!$H$34+K525*Scoring!$I$34+WR!L525*Scoring!$J$34+U525</f>
        <v>0</v>
      </c>
      <c r="O525" s="117" t="n">
        <f aca="false">C526*Scoring!$B$34+D526/Scoring!$C$34+E526*Scoring!$D$34+WR!F526*Scoring!$E$34+WR!G526/Scoring!$F$34+WR!H526*Scoring!$G$34+WR!I526*Scoring!$H$34+K526*Scoring!$I$34+WR!L526*Scoring!$J$34+U525</f>
        <v>0</v>
      </c>
      <c r="P525" s="53" t="n">
        <f aca="false">IF(COUNTIF(Rookies!$A:$A,A525)&gt;0,1,0)</f>
        <v>0</v>
      </c>
      <c r="S525" s="53" t="n">
        <f aca="false">V525/17</f>
        <v>0</v>
      </c>
      <c r="T525" s="53" t="n">
        <f aca="false">IF(P525=1,MAX(0,0.28*(12-S525)),0)</f>
        <v>0</v>
      </c>
      <c r="U525" s="53" t="n">
        <f aca="false">T525*17</f>
        <v>0</v>
      </c>
      <c r="V525" s="53" t="n">
        <f aca="false">C525*Scoring!$B$34+D525/Scoring!$C$34+E525*Scoring!$D$34+WR!F525*Scoring!$E$34+WR!G525/Scoring!$F$34+WR!H525*Scoring!$G$34+WR!I525*Scoring!$H$34+K525*Scoring!$I$34+WR!L525*Scoring!$J$34</f>
        <v>0</v>
      </c>
    </row>
    <row r="526" customFormat="false" ht="14.25" hidden="false" customHeight="true" outlineLevel="0" collapsed="false">
      <c r="B526" s="0" t="s">
        <v>491</v>
      </c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1.9</v>
      </c>
      <c r="K526" s="115" t="n">
        <f aca="false">IFERROR(G526/F526/6.89*0.427*F526,0)</f>
        <v>0</v>
      </c>
      <c r="L526" s="115" t="n">
        <f aca="false">IFERROR(D526/C526/12.87*0.633*C526,0)</f>
        <v>0</v>
      </c>
      <c r="M526" s="118"/>
      <c r="N526" s="118"/>
      <c r="O526" s="118"/>
    </row>
    <row r="527" customFormat="false" ht="14.25" hidden="false" customHeight="true" outlineLevel="0" collapsed="false">
      <c r="B527" s="0" t="s">
        <v>492</v>
      </c>
      <c r="C527" s="0" t="n">
        <v>0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  <c r="J527" s="0" t="n">
        <v>1.9</v>
      </c>
      <c r="K527" s="115" t="n">
        <f aca="false">IFERROR(G527/F527/6.89*0.427*F527,0)</f>
        <v>0</v>
      </c>
      <c r="L527" s="115" t="n">
        <f aca="false">IFERROR(D527/C527/12.87*0.633*C527,0)</f>
        <v>0</v>
      </c>
      <c r="M527" s="118"/>
      <c r="N527" s="118"/>
      <c r="O527" s="118"/>
    </row>
    <row r="528" customFormat="false" ht="14.25" hidden="false" customHeight="true" outlineLevel="0" collapsed="false">
      <c r="A528" s="0" t="s">
        <v>897</v>
      </c>
      <c r="B528" s="0" t="s">
        <v>502</v>
      </c>
      <c r="C528" s="0" t="n">
        <v>0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0</v>
      </c>
      <c r="J528" s="0" t="n">
        <v>0</v>
      </c>
      <c r="K528" s="115" t="n">
        <f aca="false">IFERROR(G528/F528/6.89*0.427*F528,0)</f>
        <v>0</v>
      </c>
      <c r="L528" s="115" t="n">
        <f aca="false">IFERROR(D528/C528/12.87*0.633*C528,0)</f>
        <v>0</v>
      </c>
      <c r="M528" s="117" t="n">
        <f aca="false">C530*Scoring!$B$34+D530/Scoring!$C$34+E530*Scoring!$D$34+WR!F530*Scoring!$E$34+WR!G530/Scoring!$F$34+WR!H530*Scoring!$G$34+WR!I530*Scoring!$H$34+K530*Scoring!$I$34+WR!L530*Scoring!$J$34+U528</f>
        <v>0</v>
      </c>
      <c r="N528" s="117" t="n">
        <f aca="false">C528*Scoring!$B$34+D528/Scoring!$C$34+E528*Scoring!$D$34+WR!F528*Scoring!$E$34+WR!G528/Scoring!$F$34+WR!H528*Scoring!$G$34+WR!I528*Scoring!$H$34+K528*Scoring!$I$34+WR!L528*Scoring!$J$34+U528</f>
        <v>0</v>
      </c>
      <c r="O528" s="117" t="n">
        <f aca="false">C529*Scoring!$B$34+D529/Scoring!$C$34+E529*Scoring!$D$34+WR!F529*Scoring!$E$34+WR!G529/Scoring!$F$34+WR!H529*Scoring!$G$34+WR!I529*Scoring!$H$34+K529*Scoring!$I$34+WR!L529*Scoring!$J$34+U528</f>
        <v>0</v>
      </c>
      <c r="P528" s="53" t="n">
        <f aca="false">IF(COUNTIF(Rookies!$A:$A,A528)&gt;0,1,0)</f>
        <v>0</v>
      </c>
      <c r="S528" s="53" t="n">
        <f aca="false">V528/17</f>
        <v>0</v>
      </c>
      <c r="T528" s="53" t="n">
        <f aca="false">IF(P528=1,MAX(0,0.28*(12-S528)),0)</f>
        <v>0</v>
      </c>
      <c r="U528" s="53" t="n">
        <f aca="false">T528*17</f>
        <v>0</v>
      </c>
      <c r="V528" s="53" t="n">
        <f aca="false">C528*Scoring!$B$34+D528/Scoring!$C$34+E528*Scoring!$D$34+WR!F528*Scoring!$E$34+WR!G528/Scoring!$F$34+WR!H528*Scoring!$G$34+WR!I528*Scoring!$H$34+K528*Scoring!$I$34+WR!L528*Scoring!$J$34</f>
        <v>0</v>
      </c>
    </row>
    <row r="529" customFormat="false" ht="14.25" hidden="false" customHeight="true" outlineLevel="0" collapsed="false">
      <c r="B529" s="0" t="s">
        <v>491</v>
      </c>
      <c r="C529" s="0" t="n">
        <v>0</v>
      </c>
      <c r="D529" s="0" t="n">
        <v>0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0</v>
      </c>
      <c r="J529" s="0" t="n">
        <v>2.1</v>
      </c>
      <c r="K529" s="115" t="n">
        <f aca="false">IFERROR(G529/F529/6.89*0.427*F529,0)</f>
        <v>0</v>
      </c>
      <c r="L529" s="115" t="n">
        <f aca="false">IFERROR(D529/C529/12.87*0.633*C529,0)</f>
        <v>0</v>
      </c>
      <c r="M529" s="118"/>
      <c r="N529" s="118"/>
      <c r="O529" s="118"/>
    </row>
    <row r="530" customFormat="false" ht="14.25" hidden="false" customHeight="true" outlineLevel="0" collapsed="false">
      <c r="B530" s="0" t="s">
        <v>492</v>
      </c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2.1</v>
      </c>
      <c r="K530" s="115" t="n">
        <f aca="false">IFERROR(G530/F530/6.89*0.427*F530,0)</f>
        <v>0</v>
      </c>
      <c r="L530" s="115" t="n">
        <f aca="false">IFERROR(D530/C530/12.87*0.633*C530,0)</f>
        <v>0</v>
      </c>
      <c r="M530" s="118"/>
      <c r="N530" s="118"/>
      <c r="O530" s="118"/>
    </row>
    <row r="531" customFormat="false" ht="14.25" hidden="false" customHeight="true" outlineLevel="0" collapsed="false">
      <c r="A531" s="0" t="s">
        <v>898</v>
      </c>
      <c r="B531" s="0" t="s">
        <v>522</v>
      </c>
      <c r="C531" s="0" t="n">
        <v>0</v>
      </c>
      <c r="D531" s="0" t="n">
        <v>0</v>
      </c>
      <c r="E531" s="0" t="n">
        <v>0</v>
      </c>
      <c r="F531" s="0" t="n">
        <v>0</v>
      </c>
      <c r="G531" s="0" t="n">
        <v>0</v>
      </c>
      <c r="H531" s="0" t="n">
        <v>0</v>
      </c>
      <c r="I531" s="0" t="n">
        <v>0</v>
      </c>
      <c r="J531" s="0" t="n">
        <v>0</v>
      </c>
      <c r="K531" s="115" t="n">
        <f aca="false">IFERROR(G531/F531/6.89*0.427*F531,0)</f>
        <v>0</v>
      </c>
      <c r="L531" s="115" t="n">
        <f aca="false">IFERROR(D531/C531/12.87*0.633*C531,0)</f>
        <v>0</v>
      </c>
      <c r="M531" s="117" t="n">
        <f aca="false">C533*Scoring!$B$34+D533/Scoring!$C$34+E533*Scoring!$D$34+WR!F533*Scoring!$E$34+WR!G533/Scoring!$F$34+WR!H533*Scoring!$G$34+WR!I533*Scoring!$H$34+K533*Scoring!$I$34+WR!L533*Scoring!$J$34+U531</f>
        <v>0</v>
      </c>
      <c r="N531" s="117" t="n">
        <f aca="false">C531*Scoring!$B$34+D531/Scoring!$C$34+E531*Scoring!$D$34+WR!F531*Scoring!$E$34+WR!G531/Scoring!$F$34+WR!H531*Scoring!$G$34+WR!I531*Scoring!$H$34+K531*Scoring!$I$34+WR!L531*Scoring!$J$34+U531</f>
        <v>0</v>
      </c>
      <c r="O531" s="117" t="n">
        <f aca="false">C532*Scoring!$B$34+D532/Scoring!$C$34+E532*Scoring!$D$34+WR!F532*Scoring!$E$34+WR!G532/Scoring!$F$34+WR!H532*Scoring!$G$34+WR!I532*Scoring!$H$34+K532*Scoring!$I$34+WR!L532*Scoring!$J$34+U531</f>
        <v>0</v>
      </c>
      <c r="P531" s="53" t="n">
        <f aca="false">IF(COUNTIF(Rookies!$A:$A,A531)&gt;0,1,0)</f>
        <v>0</v>
      </c>
      <c r="S531" s="53" t="n">
        <f aca="false">V531/17</f>
        <v>0</v>
      </c>
      <c r="T531" s="53" t="n">
        <f aca="false">IF(P531=1,MAX(0,0.28*(12-S531)),0)</f>
        <v>0</v>
      </c>
      <c r="U531" s="53" t="n">
        <f aca="false">T531*17</f>
        <v>0</v>
      </c>
      <c r="V531" s="53" t="n">
        <f aca="false">C531*Scoring!$B$34+D531/Scoring!$C$34+E531*Scoring!$D$34+WR!F531*Scoring!$E$34+WR!G531/Scoring!$F$34+WR!H531*Scoring!$G$34+WR!I531*Scoring!$H$34+K531*Scoring!$I$34+WR!L531*Scoring!$J$34</f>
        <v>0</v>
      </c>
    </row>
    <row r="532" customFormat="false" ht="14.25" hidden="false" customHeight="true" outlineLevel="0" collapsed="false">
      <c r="B532" s="0" t="s">
        <v>491</v>
      </c>
      <c r="C532" s="0" t="n">
        <v>0</v>
      </c>
      <c r="D532" s="0" t="n">
        <v>0</v>
      </c>
      <c r="E532" s="0" t="n">
        <v>0</v>
      </c>
      <c r="F532" s="0" t="n">
        <v>0</v>
      </c>
      <c r="G532" s="0" t="n">
        <v>0</v>
      </c>
      <c r="H532" s="0" t="n">
        <v>0</v>
      </c>
      <c r="I532" s="0" t="n">
        <v>0</v>
      </c>
      <c r="J532" s="0" t="n">
        <v>1.9</v>
      </c>
      <c r="K532" s="115" t="n">
        <f aca="false">IFERROR(G532/F532/6.89*0.427*F532,0)</f>
        <v>0</v>
      </c>
      <c r="L532" s="115" t="n">
        <f aca="false">IFERROR(D532/C532/12.87*0.633*C532,0)</f>
        <v>0</v>
      </c>
      <c r="M532" s="118"/>
      <c r="N532" s="118"/>
      <c r="O532" s="118"/>
    </row>
    <row r="533" customFormat="false" ht="14.25" hidden="false" customHeight="true" outlineLevel="0" collapsed="false">
      <c r="B533" s="0" t="s">
        <v>492</v>
      </c>
      <c r="C533" s="0" t="n">
        <v>0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0</v>
      </c>
      <c r="J533" s="0" t="n">
        <v>1.9</v>
      </c>
      <c r="K533" s="115" t="n">
        <f aca="false">IFERROR(G533/F533/6.89*0.427*F533,0)</f>
        <v>0</v>
      </c>
      <c r="L533" s="115" t="n">
        <f aca="false">IFERROR(D533/C533/12.87*0.633*C533,0)</f>
        <v>0</v>
      </c>
      <c r="M533" s="118"/>
      <c r="N533" s="118"/>
      <c r="O533" s="118"/>
    </row>
    <row r="534" customFormat="false" ht="14.25" hidden="false" customHeight="true" outlineLevel="0" collapsed="false">
      <c r="K534" s="115" t="n">
        <f aca="false">IFERROR(G534/F534/6.89*0.427*F534,0)</f>
        <v>0</v>
      </c>
      <c r="L534" s="115" t="n">
        <f aca="false">IFERROR(D534/C534/12.87*0.633*C534,0)</f>
        <v>0</v>
      </c>
      <c r="M534" s="117" t="n">
        <f aca="false">C536*Scoring!$B$34+D536/Scoring!$C$34+E536*Scoring!$D$34+WR!F536*Scoring!$E$34+WR!G536/Scoring!$F$34+WR!H536*Scoring!$G$34+WR!I536*Scoring!$H$34+K536*Scoring!$I$34+WR!L536*Scoring!$J$34+U534</f>
        <v>0</v>
      </c>
      <c r="N534" s="117" t="n">
        <f aca="false">C534*Scoring!$B$34+D534/Scoring!$C$34+E534*Scoring!$D$34+WR!F534*Scoring!$E$34+WR!G534/Scoring!$F$34+WR!H534*Scoring!$G$34+WR!I534*Scoring!$H$34+K534*Scoring!$I$34+WR!L534*Scoring!$J$34+U534</f>
        <v>0</v>
      </c>
      <c r="O534" s="117" t="n">
        <f aca="false">C535*Scoring!$B$34+D535/Scoring!$C$34+E535*Scoring!$D$34+WR!F535*Scoring!$E$34+WR!G535/Scoring!$F$34+WR!H535*Scoring!$G$34+WR!I535*Scoring!$H$34+K535*Scoring!$I$34+WR!L535*Scoring!$J$34+U534</f>
        <v>0</v>
      </c>
      <c r="P534" s="53" t="n">
        <f aca="false">IF(COUNTIF(Rookies!$A:$A,A534)&gt;0,1,0)</f>
        <v>0</v>
      </c>
      <c r="S534" s="53" t="n">
        <f aca="false">V534/17</f>
        <v>0</v>
      </c>
      <c r="T534" s="53" t="n">
        <f aca="false">IF(P534=1,MAX(0,0.28*(12-S534)),0)</f>
        <v>0</v>
      </c>
      <c r="U534" s="53" t="n">
        <f aca="false">T534*17</f>
        <v>0</v>
      </c>
      <c r="V534" s="53" t="n">
        <f aca="false">C534*Scoring!$B$34+D534/Scoring!$C$34+E534*Scoring!$D$34+WR!F534*Scoring!$E$34+WR!G534/Scoring!$F$34+WR!H534*Scoring!$G$34+WR!I534*Scoring!$H$34+K534*Scoring!$I$34+WR!L534*Scoring!$J$34</f>
        <v>0</v>
      </c>
    </row>
    <row r="535" customFormat="false" ht="14.25" hidden="false" customHeight="true" outlineLevel="0" collapsed="false">
      <c r="K535" s="115" t="n">
        <f aca="false">IFERROR(G535/F535/6.89*0.427*F535,0)</f>
        <v>0</v>
      </c>
      <c r="L535" s="115" t="n">
        <f aca="false">IFERROR(D535/C535/12.87*0.633*C535,0)</f>
        <v>0</v>
      </c>
      <c r="M535" s="118"/>
      <c r="N535" s="118"/>
      <c r="O535" s="118"/>
    </row>
    <row r="536" customFormat="false" ht="14.25" hidden="false" customHeight="true" outlineLevel="0" collapsed="false">
      <c r="K536" s="115" t="n">
        <f aca="false">IFERROR(G536/F536/6.89*0.427*F536,0)</f>
        <v>0</v>
      </c>
      <c r="L536" s="115" t="n">
        <f aca="false">IFERROR(D536/C536/12.87*0.633*C536,0)</f>
        <v>0</v>
      </c>
      <c r="M536" s="118"/>
      <c r="N536" s="118"/>
      <c r="O536" s="118"/>
    </row>
    <row r="537" customFormat="false" ht="14.25" hidden="false" customHeight="true" outlineLevel="0" collapsed="false">
      <c r="K537" s="115" t="n">
        <f aca="false">IFERROR(G537/F537/6.89*0.427*F537,0)</f>
        <v>0</v>
      </c>
      <c r="L537" s="115" t="n">
        <f aca="false">IFERROR(D537/C537/12.87*0.633*C537,0)</f>
        <v>0</v>
      </c>
      <c r="M537" s="117" t="n">
        <f aca="false">C539*Scoring!$B$34+D539/Scoring!$C$34+E539*Scoring!$D$34+WR!F539*Scoring!$E$34+WR!G539/Scoring!$F$34+WR!H539*Scoring!$G$34+WR!I539*Scoring!$H$34+K539*Scoring!$I$34+WR!L539*Scoring!$J$34+U537</f>
        <v>0</v>
      </c>
      <c r="N537" s="117" t="n">
        <f aca="false">C537*Scoring!$B$34+D537/Scoring!$C$34+E537*Scoring!$D$34+WR!F537*Scoring!$E$34+WR!G537/Scoring!$F$34+WR!H537*Scoring!$G$34+WR!I537*Scoring!$H$34+K537*Scoring!$I$34+WR!L537*Scoring!$J$34+U537</f>
        <v>0</v>
      </c>
      <c r="O537" s="117" t="n">
        <f aca="false">C538*Scoring!$B$34+D538/Scoring!$C$34+E538*Scoring!$D$34+WR!F538*Scoring!$E$34+WR!G538/Scoring!$F$34+WR!H538*Scoring!$G$34+WR!I538*Scoring!$H$34+K538*Scoring!$I$34+WR!L538*Scoring!$J$34+U537</f>
        <v>0</v>
      </c>
      <c r="P537" s="53" t="n">
        <f aca="false">IF(COUNTIF(Rookies!$A:$A,A537)&gt;0,1,0)</f>
        <v>0</v>
      </c>
      <c r="S537" s="53" t="n">
        <f aca="false">V537/17</f>
        <v>0</v>
      </c>
      <c r="T537" s="53" t="n">
        <f aca="false">IF(P537=1,MAX(0,0.28*(12-S537)),0)</f>
        <v>0</v>
      </c>
      <c r="U537" s="53" t="n">
        <f aca="false">T537*17</f>
        <v>0</v>
      </c>
      <c r="V537" s="53" t="n">
        <f aca="false">C537*Scoring!$B$34+D537/Scoring!$C$34+E537*Scoring!$D$34+WR!F537*Scoring!$E$34+WR!G537/Scoring!$F$34+WR!H537*Scoring!$G$34+WR!I537*Scoring!$H$34+K537*Scoring!$I$34+WR!L537*Scoring!$J$34</f>
        <v>0</v>
      </c>
    </row>
    <row r="538" customFormat="false" ht="14.25" hidden="false" customHeight="true" outlineLevel="0" collapsed="false">
      <c r="K538" s="115" t="n">
        <f aca="false">IFERROR(G538/F538/6.89*0.427*F538,0)</f>
        <v>0</v>
      </c>
      <c r="L538" s="115" t="n">
        <f aca="false">IFERROR(D538/C538/12.87*0.633*C538,0)</f>
        <v>0</v>
      </c>
      <c r="M538" s="118"/>
      <c r="N538" s="118"/>
      <c r="O538" s="118"/>
    </row>
    <row r="539" customFormat="false" ht="14.25" hidden="false" customHeight="true" outlineLevel="0" collapsed="false">
      <c r="K539" s="115" t="n">
        <f aca="false">IFERROR(G539/F539/6.89*0.427*F539,0)</f>
        <v>0</v>
      </c>
      <c r="L539" s="115" t="n">
        <f aca="false">IFERROR(D539/C539/12.87*0.633*C539,0)</f>
        <v>0</v>
      </c>
      <c r="M539" s="118"/>
      <c r="N539" s="118"/>
      <c r="O539" s="118"/>
    </row>
    <row r="540" customFormat="false" ht="14.25" hidden="false" customHeight="true" outlineLevel="0" collapsed="false">
      <c r="K540" s="115" t="n">
        <f aca="false">IFERROR(G540/F540/6.89*0.427*F540,0)</f>
        <v>0</v>
      </c>
      <c r="L540" s="115" t="n">
        <f aca="false">IFERROR(D540/C540/12.87*0.633*C540,0)</f>
        <v>0</v>
      </c>
      <c r="M540" s="117" t="n">
        <f aca="false">C542*Scoring!$B$34+D542/Scoring!$C$34+E542*Scoring!$D$34+WR!F542*Scoring!$E$34+WR!G542/Scoring!$F$34+WR!H542*Scoring!$G$34+WR!I542*Scoring!$H$34+K542*Scoring!$I$34+WR!L542*Scoring!$J$34+U540</f>
        <v>0</v>
      </c>
      <c r="N540" s="117" t="n">
        <f aca="false">C540*Scoring!$B$34+D540/Scoring!$C$34+E540*Scoring!$D$34+WR!F540*Scoring!$E$34+WR!G540/Scoring!$F$34+WR!H540*Scoring!$G$34+WR!I540*Scoring!$H$34+K540*Scoring!$I$34+WR!L540*Scoring!$J$34+U540</f>
        <v>0</v>
      </c>
      <c r="O540" s="117" t="n">
        <f aca="false">C541*Scoring!$B$34+D541/Scoring!$C$34+E541*Scoring!$D$34+WR!F541*Scoring!$E$34+WR!G541/Scoring!$F$34+WR!H541*Scoring!$G$34+WR!I541*Scoring!$H$34+K541*Scoring!$I$34+WR!L541*Scoring!$J$34+U540</f>
        <v>0</v>
      </c>
      <c r="P540" s="53" t="n">
        <f aca="false">IF(COUNTIF(Rookies!$A:$A,A540)&gt;0,1,0)</f>
        <v>0</v>
      </c>
      <c r="S540" s="53" t="n">
        <f aca="false">V540/17</f>
        <v>0</v>
      </c>
      <c r="T540" s="53" t="n">
        <f aca="false">IF(P540=1,MAX(0,0.28*(12-S540)),0)</f>
        <v>0</v>
      </c>
      <c r="U540" s="53" t="n">
        <f aca="false">T540*17</f>
        <v>0</v>
      </c>
      <c r="V540" s="53" t="n">
        <f aca="false">C540*Scoring!$B$34+D540/Scoring!$C$34+E540*Scoring!$D$34+WR!F540*Scoring!$E$34+WR!G540/Scoring!$F$34+WR!H540*Scoring!$G$34+WR!I540*Scoring!$H$34+K540*Scoring!$I$34+WR!L540*Scoring!$J$34</f>
        <v>0</v>
      </c>
    </row>
    <row r="541" customFormat="false" ht="14.25" hidden="false" customHeight="true" outlineLevel="0" collapsed="false">
      <c r="K541" s="115" t="n">
        <f aca="false">IFERROR(G541/F541/6.89*0.427*F541,0)</f>
        <v>0</v>
      </c>
      <c r="L541" s="115" t="n">
        <f aca="false">IFERROR(D541/C541/12.87*0.633*C541,0)</f>
        <v>0</v>
      </c>
      <c r="M541" s="118"/>
      <c r="N541" s="118"/>
      <c r="O541" s="118"/>
    </row>
    <row r="542" customFormat="false" ht="14.25" hidden="false" customHeight="true" outlineLevel="0" collapsed="false">
      <c r="K542" s="115" t="n">
        <f aca="false">IFERROR(G542/F542/6.89*0.427*F542,0)</f>
        <v>0</v>
      </c>
      <c r="L542" s="115" t="n">
        <f aca="false">IFERROR(D542/C542/12.87*0.633*C542,0)</f>
        <v>0</v>
      </c>
      <c r="M542" s="118"/>
      <c r="N542" s="118"/>
      <c r="O542" s="118"/>
    </row>
    <row r="543" customFormat="false" ht="14.25" hidden="false" customHeight="true" outlineLevel="0" collapsed="false">
      <c r="K543" s="115" t="n">
        <f aca="false">IFERROR(G543/F543/6.89*0.427*F543,0)</f>
        <v>0</v>
      </c>
      <c r="L543" s="115" t="n">
        <f aca="false">IFERROR(D543/C543/12.87*0.633*C543,0)</f>
        <v>0</v>
      </c>
      <c r="M543" s="117" t="n">
        <f aca="false">C545*Scoring!$B$34+D545/Scoring!$C$34+E545*Scoring!$D$34+WR!F545*Scoring!$E$34+WR!G545/Scoring!$F$34+WR!H545*Scoring!$G$34+WR!I545*Scoring!$H$34+K545*Scoring!$I$34+WR!L545*Scoring!$J$34+U543</f>
        <v>0</v>
      </c>
      <c r="N543" s="117" t="n">
        <f aca="false">C543*Scoring!$B$34+D543/Scoring!$C$34+E543*Scoring!$D$34+WR!F543*Scoring!$E$34+WR!G543/Scoring!$F$34+WR!H543*Scoring!$G$34+WR!I543*Scoring!$H$34+K543*Scoring!$I$34+WR!L543*Scoring!$J$34+U543</f>
        <v>0</v>
      </c>
      <c r="O543" s="117" t="n">
        <f aca="false">C544*Scoring!$B$34+D544/Scoring!$C$34+E544*Scoring!$D$34+WR!F544*Scoring!$E$34+WR!G544/Scoring!$F$34+WR!H544*Scoring!$G$34+WR!I544*Scoring!$H$34+K544*Scoring!$I$34+WR!L544*Scoring!$J$34+U543</f>
        <v>0</v>
      </c>
      <c r="P543" s="53" t="n">
        <f aca="false">IF(COUNTIF(Rookies!$A:$A,A543)&gt;0,1,0)</f>
        <v>0</v>
      </c>
      <c r="S543" s="53" t="n">
        <f aca="false">V543/17</f>
        <v>0</v>
      </c>
      <c r="T543" s="53" t="n">
        <f aca="false">IF(P543=1,MAX(0,0.28*(12-S543)),0)</f>
        <v>0</v>
      </c>
      <c r="U543" s="53" t="n">
        <f aca="false">T543*17</f>
        <v>0</v>
      </c>
      <c r="V543" s="53" t="n">
        <f aca="false">C543*Scoring!$B$34+D543/Scoring!$C$34+E543*Scoring!$D$34+WR!F543*Scoring!$E$34+WR!G543/Scoring!$F$34+WR!H543*Scoring!$G$34+WR!I543*Scoring!$H$34+K543*Scoring!$I$34+WR!L543*Scoring!$J$34</f>
        <v>0</v>
      </c>
    </row>
    <row r="544" customFormat="false" ht="14.25" hidden="false" customHeight="true" outlineLevel="0" collapsed="false">
      <c r="K544" s="115" t="n">
        <f aca="false">IFERROR(G544/F544/6.89*0.427*F544,0)</f>
        <v>0</v>
      </c>
      <c r="L544" s="115" t="n">
        <f aca="false">IFERROR(D544/C544/12.87*0.633*C544,0)</f>
        <v>0</v>
      </c>
      <c r="M544" s="118"/>
      <c r="N544" s="118"/>
      <c r="O544" s="118"/>
    </row>
    <row r="545" customFormat="false" ht="14.25" hidden="false" customHeight="true" outlineLevel="0" collapsed="false">
      <c r="K545" s="115" t="n">
        <f aca="false">IFERROR(G545/F545/6.89*0.427*F545,0)</f>
        <v>0</v>
      </c>
      <c r="L545" s="115" t="n">
        <f aca="false">IFERROR(D545/C545/12.87*0.633*C545,0)</f>
        <v>0</v>
      </c>
      <c r="M545" s="118"/>
      <c r="N545" s="118"/>
      <c r="O545" s="118"/>
    </row>
    <row r="546" customFormat="false" ht="14.25" hidden="false" customHeight="true" outlineLevel="0" collapsed="false">
      <c r="K546" s="115" t="n">
        <f aca="false">IFERROR(G546/F546/6.89*0.427*F546,0)</f>
        <v>0</v>
      </c>
      <c r="L546" s="115" t="n">
        <f aca="false">IFERROR(D546/C546/12.87*0.633*C546,0)</f>
        <v>0</v>
      </c>
      <c r="M546" s="117" t="n">
        <f aca="false">C548*Scoring!$B$34+D548/Scoring!$C$34+E548*Scoring!$D$34+WR!F548*Scoring!$E$34+WR!G548/Scoring!$F$34+WR!H548*Scoring!$G$34+WR!I548*Scoring!$H$34+K548*Scoring!$I$34+WR!L548*Scoring!$J$34+U546</f>
        <v>0</v>
      </c>
      <c r="N546" s="117" t="n">
        <f aca="false">C546*Scoring!$B$34+D546/Scoring!$C$34+E546*Scoring!$D$34+WR!F546*Scoring!$E$34+WR!G546/Scoring!$F$34+WR!H546*Scoring!$G$34+WR!I546*Scoring!$H$34+K546*Scoring!$I$34+WR!L546*Scoring!$J$34+U546</f>
        <v>0</v>
      </c>
      <c r="O546" s="117" t="n">
        <f aca="false">C547*Scoring!$B$34+D547/Scoring!$C$34+E547*Scoring!$D$34+WR!F547*Scoring!$E$34+WR!G547/Scoring!$F$34+WR!H547*Scoring!$G$34+WR!I547*Scoring!$H$34+K547*Scoring!$I$34+WR!L547*Scoring!$J$34+U546</f>
        <v>0</v>
      </c>
      <c r="P546" s="53" t="n">
        <f aca="false">IF(COUNTIF(Rookies!$A:$A,A546)&gt;0,1,0)</f>
        <v>0</v>
      </c>
      <c r="S546" s="53" t="n">
        <f aca="false">V546/17</f>
        <v>0</v>
      </c>
      <c r="T546" s="53" t="n">
        <f aca="false">IF(P546=1,MAX(0,0.28*(12-S546)),0)</f>
        <v>0</v>
      </c>
      <c r="U546" s="53" t="n">
        <f aca="false">T546*17</f>
        <v>0</v>
      </c>
      <c r="V546" s="53" t="n">
        <f aca="false">C546*Scoring!$B$34+D546/Scoring!$C$34+E546*Scoring!$D$34+WR!F546*Scoring!$E$34+WR!G546/Scoring!$F$34+WR!H546*Scoring!$G$34+WR!I546*Scoring!$H$34+K546*Scoring!$I$34+WR!L546*Scoring!$J$34</f>
        <v>0</v>
      </c>
    </row>
    <row r="547" customFormat="false" ht="14.25" hidden="false" customHeight="true" outlineLevel="0" collapsed="false">
      <c r="K547" s="115" t="n">
        <f aca="false">IFERROR(G547/F547/6.89*0.427*F547,0)</f>
        <v>0</v>
      </c>
      <c r="L547" s="115" t="n">
        <f aca="false">IFERROR(D547/C547/12.87*0.633*C547,0)</f>
        <v>0</v>
      </c>
      <c r="M547" s="118"/>
      <c r="N547" s="118"/>
      <c r="O547" s="118"/>
    </row>
    <row r="548" customFormat="false" ht="14.25" hidden="false" customHeight="true" outlineLevel="0" collapsed="false">
      <c r="K548" s="115" t="n">
        <f aca="false">IFERROR(G548/F548/6.89*0.427*F548,0)</f>
        <v>0</v>
      </c>
      <c r="L548" s="115" t="n">
        <f aca="false">IFERROR(D548/C548/12.87*0.633*C548,0)</f>
        <v>0</v>
      </c>
      <c r="M548" s="118"/>
      <c r="N548" s="118"/>
      <c r="O548" s="118"/>
    </row>
    <row r="549" customFormat="false" ht="14.25" hidden="false" customHeight="true" outlineLevel="0" collapsed="false">
      <c r="K549" s="115" t="n">
        <f aca="false">IFERROR(G549/F549/6.89*0.427*F549,0)</f>
        <v>0</v>
      </c>
      <c r="L549" s="115" t="n">
        <f aca="false">IFERROR(D549/C549/12.87*0.633*C549,0)</f>
        <v>0</v>
      </c>
      <c r="M549" s="117" t="n">
        <f aca="false">C551*Scoring!$B$34+D551/Scoring!$C$34+E551*Scoring!$D$34+WR!F551*Scoring!$E$34+WR!G551/Scoring!$F$34+WR!H551*Scoring!$G$34+WR!I551*Scoring!$H$34+K551*Scoring!$I$34+WR!L551*Scoring!$J$34+U549</f>
        <v>0</v>
      </c>
      <c r="N549" s="117" t="n">
        <f aca="false">C549*Scoring!$B$34+D549/Scoring!$C$34+E549*Scoring!$D$34+WR!F549*Scoring!$E$34+WR!G549/Scoring!$F$34+WR!H549*Scoring!$G$34+WR!I549*Scoring!$H$34+K549*Scoring!$I$34+WR!L549*Scoring!$J$34+U549</f>
        <v>0</v>
      </c>
      <c r="O549" s="117" t="n">
        <f aca="false">C550*Scoring!$B$34+D550/Scoring!$C$34+E550*Scoring!$D$34+WR!F550*Scoring!$E$34+WR!G550/Scoring!$F$34+WR!H550*Scoring!$G$34+WR!I550*Scoring!$H$34+K550*Scoring!$I$34+WR!L550*Scoring!$J$34+U549</f>
        <v>0</v>
      </c>
      <c r="P549" s="53" t="n">
        <f aca="false">IF(COUNTIF(Rookies!$A:$A,A549)&gt;0,1,0)</f>
        <v>0</v>
      </c>
      <c r="S549" s="53" t="n">
        <f aca="false">V549/17</f>
        <v>0</v>
      </c>
      <c r="T549" s="53" t="n">
        <f aca="false">IF(P549=1,MAX(0,0.28*(12-S549)),0)</f>
        <v>0</v>
      </c>
      <c r="U549" s="53" t="n">
        <f aca="false">T549*17</f>
        <v>0</v>
      </c>
      <c r="V549" s="53" t="n">
        <f aca="false">C549*Scoring!$B$34+D549/Scoring!$C$34+E549*Scoring!$D$34+WR!F549*Scoring!$E$34+WR!G549/Scoring!$F$34+WR!H549*Scoring!$G$34+WR!I549*Scoring!$H$34+K549*Scoring!$I$34+WR!L549*Scoring!$J$34</f>
        <v>0</v>
      </c>
    </row>
    <row r="550" customFormat="false" ht="14.25" hidden="false" customHeight="true" outlineLevel="0" collapsed="false">
      <c r="K550" s="115" t="n">
        <f aca="false">IFERROR(G550/F550/6.89*0.427*F550,0)</f>
        <v>0</v>
      </c>
      <c r="L550" s="115" t="n">
        <f aca="false">IFERROR(D550/C550/12.87*0.633*C550,0)</f>
        <v>0</v>
      </c>
      <c r="M550" s="118"/>
      <c r="N550" s="118"/>
      <c r="O550" s="118"/>
    </row>
    <row r="551" customFormat="false" ht="14.25" hidden="false" customHeight="true" outlineLevel="0" collapsed="false">
      <c r="K551" s="115" t="n">
        <f aca="false">IFERROR(G551/F551/6.89*0.427*F551,0)</f>
        <v>0</v>
      </c>
      <c r="L551" s="115" t="n">
        <f aca="false">IFERROR(D551/C551/12.87*0.633*C551,0)</f>
        <v>0</v>
      </c>
      <c r="M551" s="118"/>
      <c r="N551" s="118"/>
      <c r="O551" s="118"/>
    </row>
    <row r="552" customFormat="false" ht="14.25" hidden="false" customHeight="true" outlineLevel="0" collapsed="false">
      <c r="K552" s="115" t="n">
        <f aca="false">IFERROR(G552/F552/6.89*0.427*F552,0)</f>
        <v>0</v>
      </c>
      <c r="L552" s="115" t="n">
        <f aca="false">IFERROR(D552/C552/12.87*0.633*C552,0)</f>
        <v>0</v>
      </c>
      <c r="M552" s="117" t="n">
        <f aca="false">C554*Scoring!$B$34+D554/Scoring!$C$34+E554*Scoring!$D$34+WR!F554*Scoring!$E$34+WR!G554/Scoring!$F$34+WR!H554*Scoring!$G$34+WR!I554*Scoring!$H$34+K554*Scoring!$I$34+WR!L554*Scoring!$J$34+U552</f>
        <v>0</v>
      </c>
      <c r="N552" s="117" t="n">
        <f aca="false">C552*Scoring!$B$34+D552/Scoring!$C$34+E552*Scoring!$D$34+WR!F552*Scoring!$E$34+WR!G552/Scoring!$F$34+WR!H552*Scoring!$G$34+WR!I552*Scoring!$H$34+K552*Scoring!$I$34+WR!L552*Scoring!$J$34+U552</f>
        <v>0</v>
      </c>
      <c r="O552" s="117" t="n">
        <f aca="false">C553*Scoring!$B$34+D553/Scoring!$C$34+E553*Scoring!$D$34+WR!F553*Scoring!$E$34+WR!G553/Scoring!$F$34+WR!H553*Scoring!$G$34+WR!I553*Scoring!$H$34+K553*Scoring!$I$34+WR!L553*Scoring!$J$34+U552</f>
        <v>0</v>
      </c>
      <c r="P552" s="53" t="n">
        <f aca="false">IF(COUNTIF(Rookies!$A:$A,A552)&gt;0,1,0)</f>
        <v>0</v>
      </c>
      <c r="S552" s="53" t="n">
        <f aca="false">V552/17</f>
        <v>0</v>
      </c>
      <c r="T552" s="53" t="n">
        <f aca="false">IF(P552=1,MAX(0,0.28*(12-S552)),0)</f>
        <v>0</v>
      </c>
      <c r="U552" s="53" t="n">
        <f aca="false">T552*17</f>
        <v>0</v>
      </c>
      <c r="V552" s="53" t="n">
        <f aca="false">C552*Scoring!$B$34+D552/Scoring!$C$34+E552*Scoring!$D$34+WR!F552*Scoring!$E$34+WR!G552/Scoring!$F$34+WR!H552*Scoring!$G$34+WR!I552*Scoring!$H$34+K552*Scoring!$I$34+WR!L552*Scoring!$J$34</f>
        <v>0</v>
      </c>
    </row>
    <row r="553" customFormat="false" ht="14.25" hidden="false" customHeight="true" outlineLevel="0" collapsed="false">
      <c r="K553" s="115" t="n">
        <f aca="false">IFERROR(G553/F553/6.89*0.427*F553,0)</f>
        <v>0</v>
      </c>
      <c r="L553" s="115" t="n">
        <f aca="false">IFERROR(D553/C553/12.87*0.633*C553,0)</f>
        <v>0</v>
      </c>
      <c r="M553" s="118"/>
      <c r="N553" s="118"/>
      <c r="O553" s="118"/>
    </row>
    <row r="554" customFormat="false" ht="14.25" hidden="false" customHeight="true" outlineLevel="0" collapsed="false">
      <c r="K554" s="115" t="n">
        <f aca="false">IFERROR(G554/F554/6.89*0.427*F554,0)</f>
        <v>0</v>
      </c>
      <c r="L554" s="115" t="n">
        <f aca="false">IFERROR(D554/C554/12.87*0.633*C554,0)</f>
        <v>0</v>
      </c>
      <c r="M554" s="118"/>
      <c r="N554" s="118"/>
      <c r="O554" s="118"/>
    </row>
    <row r="555" customFormat="false" ht="14.25" hidden="false" customHeight="true" outlineLevel="0" collapsed="false">
      <c r="K555" s="115" t="n">
        <f aca="false">IFERROR(G555/F555/6.89*0.427*F555,0)</f>
        <v>0</v>
      </c>
      <c r="L555" s="115" t="n">
        <f aca="false">IFERROR(D555/C555/12.87*0.633*C555,0)</f>
        <v>0</v>
      </c>
      <c r="M555" s="117" t="n">
        <f aca="false">C557*Scoring!$B$34+D557/Scoring!$C$34+E557*Scoring!$D$34+WR!F557*Scoring!$E$34+WR!G557/Scoring!$F$34+WR!H557*Scoring!$G$34+WR!I557*Scoring!$H$34+K557*Scoring!$I$34+WR!L557*Scoring!$J$34+U555</f>
        <v>0</v>
      </c>
      <c r="N555" s="117" t="n">
        <f aca="false">C555*Scoring!$B$34+D555/Scoring!$C$34+E555*Scoring!$D$34+WR!F555*Scoring!$E$34+WR!G555/Scoring!$F$34+WR!H555*Scoring!$G$34+WR!I555*Scoring!$H$34+K555*Scoring!$I$34+WR!L555*Scoring!$J$34+U555</f>
        <v>0</v>
      </c>
      <c r="O555" s="117" t="n">
        <f aca="false">C556*Scoring!$B$34+D556/Scoring!$C$34+E556*Scoring!$D$34+WR!F556*Scoring!$E$34+WR!G556/Scoring!$F$34+WR!H556*Scoring!$G$34+WR!I556*Scoring!$H$34+K556*Scoring!$I$34+WR!L556*Scoring!$J$34+U555</f>
        <v>0</v>
      </c>
      <c r="P555" s="53" t="n">
        <f aca="false">IF(COUNTIF(Rookies!$A:$A,A555)&gt;0,1,0)</f>
        <v>0</v>
      </c>
      <c r="S555" s="53" t="n">
        <f aca="false">V555/17</f>
        <v>0</v>
      </c>
      <c r="T555" s="53" t="n">
        <f aca="false">IF(P555=1,MAX(0,0.28*(12-S555)),0)</f>
        <v>0</v>
      </c>
      <c r="U555" s="53" t="n">
        <f aca="false">T555*17</f>
        <v>0</v>
      </c>
      <c r="V555" s="53" t="n">
        <f aca="false">C555*Scoring!$B$34+D555/Scoring!$C$34+E555*Scoring!$D$34+WR!F555*Scoring!$E$34+WR!G555/Scoring!$F$34+WR!H555*Scoring!$G$34+WR!I555*Scoring!$H$34+K555*Scoring!$I$34+WR!L555*Scoring!$J$34</f>
        <v>0</v>
      </c>
    </row>
    <row r="556" customFormat="false" ht="14.25" hidden="false" customHeight="true" outlineLevel="0" collapsed="false">
      <c r="K556" s="115" t="n">
        <f aca="false">IFERROR(G556/F556/6.89*0.427*F556,0)</f>
        <v>0</v>
      </c>
      <c r="L556" s="115" t="n">
        <f aca="false">IFERROR(D556/C556/12.87*0.633*C556,0)</f>
        <v>0</v>
      </c>
      <c r="M556" s="118"/>
      <c r="N556" s="118"/>
      <c r="O556" s="118"/>
    </row>
    <row r="557" customFormat="false" ht="14.25" hidden="false" customHeight="true" outlineLevel="0" collapsed="false">
      <c r="K557" s="115" t="n">
        <f aca="false">IFERROR(G557/F557/6.89*0.427*F557,0)</f>
        <v>0</v>
      </c>
      <c r="L557" s="115" t="n">
        <f aca="false">IFERROR(D557/C557/12.87*0.633*C557,0)</f>
        <v>0</v>
      </c>
      <c r="M557" s="118"/>
      <c r="N557" s="118"/>
      <c r="O557" s="118"/>
    </row>
    <row r="558" customFormat="false" ht="14.25" hidden="false" customHeight="true" outlineLevel="0" collapsed="false">
      <c r="K558" s="115" t="n">
        <f aca="false">IFERROR(G558/F558/6.89*0.427*F558,0)</f>
        <v>0</v>
      </c>
      <c r="L558" s="115" t="n">
        <f aca="false">IFERROR(D558/C558/12.87*0.633*C558,0)</f>
        <v>0</v>
      </c>
      <c r="M558" s="117" t="n">
        <f aca="false">C560*Scoring!$B$34+D560/Scoring!$C$34+E560*Scoring!$D$34+WR!F560*Scoring!$E$34+WR!G560/Scoring!$F$34+WR!H560*Scoring!$G$34+WR!I560*Scoring!$H$34+K560*Scoring!$I$34+WR!L560*Scoring!$J$34+U558</f>
        <v>0</v>
      </c>
      <c r="N558" s="117" t="n">
        <f aca="false">C558*Scoring!$B$34+D558/Scoring!$C$34+E558*Scoring!$D$34+WR!F558*Scoring!$E$34+WR!G558/Scoring!$F$34+WR!H558*Scoring!$G$34+WR!I558*Scoring!$H$34+K558*Scoring!$I$34+WR!L558*Scoring!$J$34+U558</f>
        <v>0</v>
      </c>
      <c r="O558" s="117" t="n">
        <f aca="false">C559*Scoring!$B$34+D559/Scoring!$C$34+E559*Scoring!$D$34+WR!F559*Scoring!$E$34+WR!G559/Scoring!$F$34+WR!H559*Scoring!$G$34+WR!I559*Scoring!$H$34+K559*Scoring!$I$34+WR!L559*Scoring!$J$34+U558</f>
        <v>0</v>
      </c>
      <c r="P558" s="53" t="n">
        <f aca="false">IF(COUNTIF(Rookies!$A:$A,A558)&gt;0,1,0)</f>
        <v>0</v>
      </c>
      <c r="S558" s="53" t="n">
        <f aca="false">V558/17</f>
        <v>0</v>
      </c>
      <c r="T558" s="53" t="n">
        <f aca="false">IF(P558=1,MAX(0,0.28*(12-S558)),0)</f>
        <v>0</v>
      </c>
      <c r="U558" s="53" t="n">
        <f aca="false">T558*17</f>
        <v>0</v>
      </c>
      <c r="V558" s="53" t="n">
        <f aca="false">C558*Scoring!$B$34+D558/Scoring!$C$34+E558*Scoring!$D$34+WR!F558*Scoring!$E$34+WR!G558/Scoring!$F$34+WR!H558*Scoring!$G$34+WR!I558*Scoring!$H$34+K558*Scoring!$I$34+WR!L558*Scoring!$J$34</f>
        <v>0</v>
      </c>
    </row>
    <row r="559" customFormat="false" ht="14.25" hidden="false" customHeight="true" outlineLevel="0" collapsed="false">
      <c r="K559" s="115" t="n">
        <f aca="false">IFERROR(G559/F559/6.89*0.427*F559,0)</f>
        <v>0</v>
      </c>
      <c r="L559" s="115" t="n">
        <f aca="false">IFERROR(D559/C559/12.87*0.633*C559,0)</f>
        <v>0</v>
      </c>
      <c r="M559" s="118"/>
      <c r="N559" s="118"/>
      <c r="O559" s="118"/>
    </row>
    <row r="560" customFormat="false" ht="14.25" hidden="false" customHeight="true" outlineLevel="0" collapsed="false">
      <c r="K560" s="115" t="n">
        <f aca="false">IFERROR(G560/F560/6.89*0.427*F560,0)</f>
        <v>0</v>
      </c>
      <c r="L560" s="115" t="n">
        <f aca="false">IFERROR(D560/C560/12.87*0.633*C560,0)</f>
        <v>0</v>
      </c>
      <c r="M560" s="118"/>
      <c r="N560" s="118"/>
      <c r="O560" s="118"/>
    </row>
    <row r="561" customFormat="false" ht="14.25" hidden="false" customHeight="true" outlineLevel="0" collapsed="false">
      <c r="K561" s="115" t="n">
        <f aca="false">IFERROR(G561/F561/6.89*0.427*F561,0)</f>
        <v>0</v>
      </c>
      <c r="L561" s="115" t="n">
        <f aca="false">IFERROR(D561/C561/12.87*0.633*C561,0)</f>
        <v>0</v>
      </c>
      <c r="M561" s="117" t="n">
        <f aca="false">C563*Scoring!$B$34+D563/Scoring!$C$34+E563*Scoring!$D$34+WR!F563*Scoring!$E$34+WR!G563/Scoring!$F$34+WR!H563*Scoring!$G$34+WR!I563*Scoring!$H$34+K563*Scoring!$I$34+WR!L563*Scoring!$J$34+U561</f>
        <v>0</v>
      </c>
      <c r="N561" s="117" t="n">
        <f aca="false">C561*Scoring!$B$34+D561/Scoring!$C$34+E561*Scoring!$D$34+WR!F561*Scoring!$E$34+WR!G561/Scoring!$F$34+WR!H561*Scoring!$G$34+WR!I561*Scoring!$H$34+K561*Scoring!$I$34+WR!L561*Scoring!$J$34+U561</f>
        <v>0</v>
      </c>
      <c r="O561" s="117" t="n">
        <f aca="false">C562*Scoring!$B$34+D562/Scoring!$C$34+E562*Scoring!$D$34+WR!F562*Scoring!$E$34+WR!G562/Scoring!$F$34+WR!H562*Scoring!$G$34+WR!I562*Scoring!$H$34+K562*Scoring!$I$34+WR!L562*Scoring!$J$34+U561</f>
        <v>0</v>
      </c>
      <c r="P561" s="53" t="n">
        <f aca="false">IF(COUNTIF(Rookies!$A:$A,A561)&gt;0,1,0)</f>
        <v>0</v>
      </c>
      <c r="S561" s="53" t="n">
        <f aca="false">V561/17</f>
        <v>0</v>
      </c>
      <c r="T561" s="53" t="n">
        <f aca="false">IF(P561=1,MAX(0,0.28*(12-S561)),0)</f>
        <v>0</v>
      </c>
      <c r="U561" s="53" t="n">
        <f aca="false">T561*17</f>
        <v>0</v>
      </c>
      <c r="V561" s="53" t="n">
        <f aca="false">C561*Scoring!$B$34+D561/Scoring!$C$34+E561*Scoring!$D$34+WR!F561*Scoring!$E$34+WR!G561/Scoring!$F$34+WR!H561*Scoring!$G$34+WR!I561*Scoring!$H$34+K561*Scoring!$I$34+WR!L561*Scoring!$J$34</f>
        <v>0</v>
      </c>
    </row>
    <row r="562" customFormat="false" ht="14.25" hidden="false" customHeight="true" outlineLevel="0" collapsed="false">
      <c r="K562" s="115" t="n">
        <f aca="false">IFERROR(G562/F562/6.89*0.427*F562,0)</f>
        <v>0</v>
      </c>
      <c r="L562" s="115" t="n">
        <f aca="false">IFERROR(D562/C562/12.87*0.633*C562,0)</f>
        <v>0</v>
      </c>
      <c r="M562" s="118"/>
      <c r="N562" s="118"/>
      <c r="O562" s="118"/>
    </row>
    <row r="563" customFormat="false" ht="14.25" hidden="false" customHeight="true" outlineLevel="0" collapsed="false">
      <c r="K563" s="115" t="n">
        <f aca="false">IFERROR(G563/F563/6.89*0.427*F563,0)</f>
        <v>0</v>
      </c>
      <c r="L563" s="115" t="n">
        <f aca="false">IFERROR(D563/C563/12.87*0.633*C563,0)</f>
        <v>0</v>
      </c>
      <c r="M563" s="118"/>
      <c r="N563" s="118"/>
      <c r="O563" s="118"/>
    </row>
    <row r="564" customFormat="false" ht="14.25" hidden="false" customHeight="true" outlineLevel="0" collapsed="false">
      <c r="K564" s="115" t="n">
        <f aca="false">IFERROR(G564/F564/6.89*0.427*F564,0)</f>
        <v>0</v>
      </c>
      <c r="L564" s="115" t="n">
        <f aca="false">IFERROR(D564/C564/12.87*0.633*C564,0)</f>
        <v>0</v>
      </c>
      <c r="M564" s="117" t="n">
        <f aca="false">C566*Scoring!$B$34+D566/Scoring!$C$34+E566*Scoring!$D$34+WR!F566*Scoring!$E$34+WR!G566/Scoring!$F$34+WR!H566*Scoring!$G$34+WR!I566*Scoring!$H$34+K566*Scoring!$I$34+WR!L566*Scoring!$J$34+U564</f>
        <v>0</v>
      </c>
      <c r="N564" s="117" t="n">
        <f aca="false">C564*Scoring!$B$34+D564/Scoring!$C$34+E564*Scoring!$D$34+WR!F564*Scoring!$E$34+WR!G564/Scoring!$F$34+WR!H564*Scoring!$G$34+WR!I564*Scoring!$H$34+K564*Scoring!$I$34+WR!L564*Scoring!$J$34+U564</f>
        <v>0</v>
      </c>
      <c r="O564" s="117" t="n">
        <f aca="false">C565*Scoring!$B$34+D565/Scoring!$C$34+E565*Scoring!$D$34+WR!F565*Scoring!$E$34+WR!G565/Scoring!$F$34+WR!H565*Scoring!$G$34+WR!I565*Scoring!$H$34+K565*Scoring!$I$34+WR!L565*Scoring!$J$34+U564</f>
        <v>0</v>
      </c>
      <c r="P564" s="53" t="n">
        <f aca="false">IF(COUNTIF(Rookies!$A:$A,A564)&gt;0,1,0)</f>
        <v>0</v>
      </c>
      <c r="S564" s="53" t="n">
        <f aca="false">V564/17</f>
        <v>0</v>
      </c>
      <c r="T564" s="53" t="n">
        <f aca="false">IF(P564=1,MAX(0,0.28*(12-S564)),0)</f>
        <v>0</v>
      </c>
      <c r="U564" s="53" t="n">
        <f aca="false">T564*17</f>
        <v>0</v>
      </c>
      <c r="V564" s="53" t="n">
        <f aca="false">C564*Scoring!$B$34+D564/Scoring!$C$34+E564*Scoring!$D$34+WR!F564*Scoring!$E$34+WR!G564/Scoring!$F$34+WR!H564*Scoring!$G$34+WR!I564*Scoring!$H$34+K564*Scoring!$I$34+WR!L564*Scoring!$J$34</f>
        <v>0</v>
      </c>
    </row>
    <row r="565" customFormat="false" ht="14.25" hidden="false" customHeight="true" outlineLevel="0" collapsed="false">
      <c r="K565" s="115" t="n">
        <f aca="false">IFERROR(G565/F565/6.89*0.427*F565,0)</f>
        <v>0</v>
      </c>
      <c r="L565" s="115" t="n">
        <f aca="false">IFERROR(D565/C565/12.87*0.633*C565,0)</f>
        <v>0</v>
      </c>
      <c r="M565" s="118"/>
      <c r="N565" s="118"/>
      <c r="O565" s="118"/>
    </row>
    <row r="566" customFormat="false" ht="14.25" hidden="false" customHeight="true" outlineLevel="0" collapsed="false">
      <c r="K566" s="115" t="n">
        <f aca="false">IFERROR(G566/F566/6.89*0.427*F566,0)</f>
        <v>0</v>
      </c>
      <c r="L566" s="115" t="n">
        <f aca="false">IFERROR(D566/C566/12.87*0.633*C566,0)</f>
        <v>0</v>
      </c>
      <c r="M566" s="118"/>
      <c r="N566" s="118"/>
      <c r="O566" s="118"/>
    </row>
    <row r="567" customFormat="false" ht="14.25" hidden="false" customHeight="true" outlineLevel="0" collapsed="false">
      <c r="K567" s="115" t="n">
        <f aca="false">IFERROR(G567/F567/6.89*0.427*F567,0)</f>
        <v>0</v>
      </c>
      <c r="L567" s="115" t="n">
        <f aca="false">IFERROR(D567/C567/12.87*0.633*C567,0)</f>
        <v>0</v>
      </c>
      <c r="M567" s="117" t="n">
        <f aca="false">C569*Scoring!$B$34+D569/Scoring!$C$34+E569*Scoring!$D$34+WR!F569*Scoring!$E$34+WR!G569/Scoring!$F$34+WR!H569*Scoring!$G$34+WR!I569*Scoring!$H$34+K569*Scoring!$I$34+WR!L569*Scoring!$J$34+U567</f>
        <v>0</v>
      </c>
      <c r="N567" s="117" t="n">
        <f aca="false">C567*Scoring!$B$34+D567/Scoring!$C$34+E567*Scoring!$D$34+WR!F567*Scoring!$E$34+WR!G567/Scoring!$F$34+WR!H567*Scoring!$G$34+WR!I567*Scoring!$H$34+K567*Scoring!$I$34+WR!L567*Scoring!$J$34+U567</f>
        <v>0</v>
      </c>
      <c r="O567" s="117" t="n">
        <f aca="false">C568*Scoring!$B$34+D568/Scoring!$C$34+E568*Scoring!$D$34+WR!F568*Scoring!$E$34+WR!G568/Scoring!$F$34+WR!H568*Scoring!$G$34+WR!I568*Scoring!$H$34+K568*Scoring!$I$34+WR!L568*Scoring!$J$34+U567</f>
        <v>0</v>
      </c>
      <c r="P567" s="53" t="n">
        <f aca="false">IF(COUNTIF(Rookies!$A:$A,A567)&gt;0,1,0)</f>
        <v>0</v>
      </c>
      <c r="S567" s="53" t="n">
        <f aca="false">V567/17</f>
        <v>0</v>
      </c>
      <c r="T567" s="53" t="n">
        <f aca="false">IF(P567=1,MAX(0,0.28*(12-S567)),0)</f>
        <v>0</v>
      </c>
      <c r="U567" s="53" t="n">
        <f aca="false">T567*17</f>
        <v>0</v>
      </c>
      <c r="V567" s="53" t="n">
        <f aca="false">C567*Scoring!$B$34+D567/Scoring!$C$34+E567*Scoring!$D$34+WR!F567*Scoring!$E$34+WR!G567/Scoring!$F$34+WR!H567*Scoring!$G$34+WR!I567*Scoring!$H$34+K567*Scoring!$I$34+WR!L567*Scoring!$J$34</f>
        <v>0</v>
      </c>
    </row>
    <row r="568" customFormat="false" ht="14.25" hidden="false" customHeight="true" outlineLevel="0" collapsed="false">
      <c r="K568" s="115" t="n">
        <f aca="false">IFERROR(G568/F568/6.89*0.427*F568,0)</f>
        <v>0</v>
      </c>
      <c r="L568" s="115" t="n">
        <f aca="false">IFERROR(D568/C568/12.87*0.633*C568,0)</f>
        <v>0</v>
      </c>
      <c r="M568" s="118"/>
      <c r="N568" s="118"/>
      <c r="O568" s="118"/>
    </row>
    <row r="569" customFormat="false" ht="14.25" hidden="false" customHeight="true" outlineLevel="0" collapsed="false">
      <c r="K569" s="115" t="n">
        <f aca="false">IFERROR(G569/F569/6.89*0.427*F569,0)</f>
        <v>0</v>
      </c>
      <c r="L569" s="115" t="n">
        <f aca="false">IFERROR(D569/C569/12.87*0.633*C569,0)</f>
        <v>0</v>
      </c>
      <c r="M569" s="118"/>
      <c r="N569" s="118"/>
      <c r="O569" s="118"/>
    </row>
    <row r="570" customFormat="false" ht="14.25" hidden="false" customHeight="true" outlineLevel="0" collapsed="false">
      <c r="K570" s="115" t="n">
        <f aca="false">IFERROR(G570/F570/6.89*0.427*F570,0)</f>
        <v>0</v>
      </c>
      <c r="L570" s="115" t="n">
        <f aca="false">IFERROR(D570/C570/12.87*0.633*C570,0)</f>
        <v>0</v>
      </c>
      <c r="M570" s="117" t="n">
        <f aca="false">C572*Scoring!$B$34+D572/Scoring!$C$34+E572*Scoring!$D$34+WR!F572*Scoring!$E$34+WR!G572/Scoring!$F$34+WR!H572*Scoring!$G$34+WR!I572*Scoring!$H$34+K572*Scoring!$I$34+WR!L572*Scoring!$J$34+U570</f>
        <v>0</v>
      </c>
      <c r="N570" s="117" t="n">
        <f aca="false">C570*Scoring!$B$34+D570/Scoring!$C$34+E570*Scoring!$D$34+WR!F570*Scoring!$E$34+WR!G570/Scoring!$F$34+WR!H570*Scoring!$G$34+WR!I570*Scoring!$H$34+K570*Scoring!$I$34+WR!L570*Scoring!$J$34+U570</f>
        <v>0</v>
      </c>
      <c r="O570" s="117" t="n">
        <f aca="false">C571*Scoring!$B$34+D571/Scoring!$C$34+E571*Scoring!$D$34+WR!F571*Scoring!$E$34+WR!G571/Scoring!$F$34+WR!H571*Scoring!$G$34+WR!I571*Scoring!$H$34+K571*Scoring!$I$34+WR!L571*Scoring!$J$34+U570</f>
        <v>0</v>
      </c>
      <c r="P570" s="53" t="n">
        <f aca="false">IF(COUNTIF(Rookies!$A:$A,A570)&gt;0,1,0)</f>
        <v>0</v>
      </c>
      <c r="S570" s="53" t="n">
        <f aca="false">V570/17</f>
        <v>0</v>
      </c>
      <c r="T570" s="53" t="n">
        <f aca="false">IF(P570=1,MAX(0,0.28*(12-S570)),0)</f>
        <v>0</v>
      </c>
      <c r="U570" s="53" t="n">
        <f aca="false">T570*17</f>
        <v>0</v>
      </c>
      <c r="V570" s="53" t="n">
        <f aca="false">C570*Scoring!$B$34+D570/Scoring!$C$34+E570*Scoring!$D$34+WR!F570*Scoring!$E$34+WR!G570/Scoring!$F$34+WR!H570*Scoring!$G$34+WR!I570*Scoring!$H$34+K570*Scoring!$I$34+WR!L570*Scoring!$J$34</f>
        <v>0</v>
      </c>
    </row>
    <row r="571" customFormat="false" ht="14.25" hidden="false" customHeight="true" outlineLevel="0" collapsed="false">
      <c r="K571" s="115" t="n">
        <f aca="false">IFERROR(G571/F571/6.89*0.427*F571,0)</f>
        <v>0</v>
      </c>
      <c r="L571" s="115" t="n">
        <f aca="false">IFERROR(D571/C571/12.87*0.633*C571,0)</f>
        <v>0</v>
      </c>
      <c r="M571" s="118"/>
      <c r="N571" s="118"/>
      <c r="O571" s="118"/>
    </row>
    <row r="572" customFormat="false" ht="14.25" hidden="false" customHeight="true" outlineLevel="0" collapsed="false">
      <c r="K572" s="115" t="n">
        <f aca="false">IFERROR(G572/F572/6.89*0.427*F572,0)</f>
        <v>0</v>
      </c>
      <c r="L572" s="115" t="n">
        <f aca="false">IFERROR(D572/C572/12.87*0.633*C572,0)</f>
        <v>0</v>
      </c>
      <c r="M572" s="118"/>
      <c r="N572" s="118"/>
      <c r="O572" s="118"/>
    </row>
    <row r="573" customFormat="false" ht="14.25" hidden="false" customHeight="true" outlineLevel="0" collapsed="false">
      <c r="K573" s="115" t="n">
        <f aca="false">IFERROR(G573/F573/6.89*0.427*F573,0)</f>
        <v>0</v>
      </c>
      <c r="L573" s="115" t="n">
        <f aca="false">IFERROR(D573/C573/12.87*0.633*C573,0)</f>
        <v>0</v>
      </c>
      <c r="M573" s="117" t="n">
        <f aca="false">C575*Scoring!$B$34+D575/Scoring!$C$34+E575*Scoring!$D$34+WR!F575*Scoring!$E$34+WR!G575/Scoring!$F$34+WR!H575*Scoring!$G$34+WR!I575*Scoring!$H$34+K575*Scoring!$I$34+WR!L575*Scoring!$J$34+U573</f>
        <v>0</v>
      </c>
      <c r="N573" s="117" t="n">
        <f aca="false">C573*Scoring!$B$34+D573/Scoring!$C$34+E573*Scoring!$D$34+WR!F573*Scoring!$E$34+WR!G573/Scoring!$F$34+WR!H573*Scoring!$G$34+WR!I573*Scoring!$H$34+K573*Scoring!$I$34+WR!L573*Scoring!$J$34+U573</f>
        <v>0</v>
      </c>
      <c r="O573" s="117" t="n">
        <f aca="false">C574*Scoring!$B$34+D574/Scoring!$C$34+E574*Scoring!$D$34+WR!F574*Scoring!$E$34+WR!G574/Scoring!$F$34+WR!H574*Scoring!$G$34+WR!I574*Scoring!$H$34+K574*Scoring!$I$34+WR!L574*Scoring!$J$34+U573</f>
        <v>0</v>
      </c>
      <c r="P573" s="53" t="n">
        <f aca="false">IF(COUNTIF(Rookies!$A:$A,A573)&gt;0,1,0)</f>
        <v>0</v>
      </c>
      <c r="S573" s="53" t="n">
        <f aca="false">V573/17</f>
        <v>0</v>
      </c>
      <c r="T573" s="53" t="n">
        <f aca="false">IF(P573=1,MAX(0,0.28*(12-S573)),0)</f>
        <v>0</v>
      </c>
      <c r="U573" s="53" t="n">
        <f aca="false">T573*17</f>
        <v>0</v>
      </c>
      <c r="V573" s="53" t="n">
        <f aca="false">C573*Scoring!$B$34+D573/Scoring!$C$34+E573*Scoring!$D$34+WR!F573*Scoring!$E$34+WR!G573/Scoring!$F$34+WR!H573*Scoring!$G$34+WR!I573*Scoring!$H$34+K573*Scoring!$I$34+WR!L573*Scoring!$J$34</f>
        <v>0</v>
      </c>
    </row>
    <row r="574" customFormat="false" ht="14.25" hidden="false" customHeight="true" outlineLevel="0" collapsed="false">
      <c r="K574" s="115" t="n">
        <f aca="false">IFERROR(G574/F574/6.89*0.427*F574,0)</f>
        <v>0</v>
      </c>
      <c r="L574" s="115" t="n">
        <f aca="false">IFERROR(D574/C574/12.87*0.633*C574,0)</f>
        <v>0</v>
      </c>
      <c r="M574" s="118"/>
      <c r="N574" s="118"/>
      <c r="O574" s="118"/>
    </row>
    <row r="575" customFormat="false" ht="14.25" hidden="false" customHeight="true" outlineLevel="0" collapsed="false">
      <c r="K575" s="115" t="n">
        <f aca="false">IFERROR(G575/F575/6.89*0.427*F575,0)</f>
        <v>0</v>
      </c>
      <c r="L575" s="115" t="n">
        <f aca="false">IFERROR(D575/C575/12.87*0.633*C575,0)</f>
        <v>0</v>
      </c>
      <c r="M575" s="118"/>
      <c r="N575" s="118"/>
      <c r="O575" s="118"/>
    </row>
    <row r="576" customFormat="false" ht="14.25" hidden="false" customHeight="true" outlineLevel="0" collapsed="false">
      <c r="K576" s="115" t="n">
        <f aca="false">IFERROR(G576/F576/6.89*0.427*F576,0)</f>
        <v>0</v>
      </c>
      <c r="L576" s="115" t="n">
        <f aca="false">IFERROR(D576/C576/12.87*0.633*C576,0)</f>
        <v>0</v>
      </c>
      <c r="M576" s="117" t="n">
        <f aca="false">C578*Scoring!$B$34+D578/Scoring!$C$34+E578*Scoring!$D$34+WR!F578*Scoring!$E$34+WR!G578/Scoring!$F$34+WR!H578*Scoring!$G$34+WR!I578*Scoring!$H$34+K578*Scoring!$I$34+WR!L578*Scoring!$J$34+U576</f>
        <v>0</v>
      </c>
      <c r="N576" s="117" t="n">
        <f aca="false">C576*Scoring!$B$34+D576/Scoring!$C$34+E576*Scoring!$D$34+WR!F576*Scoring!$E$34+WR!G576/Scoring!$F$34+WR!H576*Scoring!$G$34+WR!I576*Scoring!$H$34+K576*Scoring!$I$34+WR!L576*Scoring!$J$34+U576</f>
        <v>0</v>
      </c>
      <c r="O576" s="117" t="n">
        <f aca="false">C577*Scoring!$B$34+D577/Scoring!$C$34+E577*Scoring!$D$34+WR!F577*Scoring!$E$34+WR!G577/Scoring!$F$34+WR!H577*Scoring!$G$34+WR!I577*Scoring!$H$34+K577*Scoring!$I$34+WR!L577*Scoring!$J$34+U576</f>
        <v>0</v>
      </c>
      <c r="P576" s="53" t="n">
        <f aca="false">IF(COUNTIF(Rookies!$A:$A,A576)&gt;0,1,0)</f>
        <v>0</v>
      </c>
      <c r="S576" s="53" t="n">
        <f aca="false">V576/17</f>
        <v>0</v>
      </c>
      <c r="T576" s="53" t="n">
        <f aca="false">IF(P576=1,MAX(0,0.28*(12-S576)),0)</f>
        <v>0</v>
      </c>
      <c r="U576" s="53" t="n">
        <f aca="false">T576*17</f>
        <v>0</v>
      </c>
      <c r="V576" s="53" t="n">
        <f aca="false">C576*Scoring!$B$34+D576/Scoring!$C$34+E576*Scoring!$D$34+WR!F576*Scoring!$E$34+WR!G576/Scoring!$F$34+WR!H576*Scoring!$G$34+WR!I576*Scoring!$H$34+K576*Scoring!$I$34+WR!L576*Scoring!$J$34</f>
        <v>0</v>
      </c>
    </row>
    <row r="577" customFormat="false" ht="14.25" hidden="false" customHeight="true" outlineLevel="0" collapsed="false">
      <c r="K577" s="115" t="n">
        <f aca="false">IFERROR(G577/F577/6.89*0.427*F577,0)</f>
        <v>0</v>
      </c>
      <c r="L577" s="115" t="n">
        <f aca="false">IFERROR(D577/C577/12.87*0.633*C577,0)</f>
        <v>0</v>
      </c>
      <c r="M577" s="118"/>
      <c r="N577" s="118"/>
      <c r="O577" s="118"/>
    </row>
    <row r="578" customFormat="false" ht="14.25" hidden="false" customHeight="true" outlineLevel="0" collapsed="false">
      <c r="K578" s="115" t="n">
        <f aca="false">IFERROR(G578/F578/6.89*0.427*F578,0)</f>
        <v>0</v>
      </c>
      <c r="L578" s="115" t="n">
        <f aca="false">IFERROR(D578/C578/12.87*0.633*C578,0)</f>
        <v>0</v>
      </c>
      <c r="M578" s="118"/>
      <c r="N578" s="118"/>
      <c r="O578" s="118"/>
    </row>
    <row r="579" customFormat="false" ht="14.25" hidden="false" customHeight="true" outlineLevel="0" collapsed="false">
      <c r="K579" s="115" t="n">
        <f aca="false">IFERROR(G579/F579/6.89*0.427*F579,0)</f>
        <v>0</v>
      </c>
      <c r="L579" s="115" t="n">
        <f aca="false">IFERROR(D579/C579/12.87*0.633*C579,0)</f>
        <v>0</v>
      </c>
      <c r="M579" s="117" t="n">
        <f aca="false">C581*Scoring!$B$34+D581/Scoring!$C$34+E581*Scoring!$D$34+WR!F581*Scoring!$E$34+WR!G581/Scoring!$F$34+WR!H581*Scoring!$G$34+WR!I581*Scoring!$H$34+K581*Scoring!$I$34+WR!L581*Scoring!$J$34+U579</f>
        <v>0</v>
      </c>
      <c r="N579" s="117" t="n">
        <f aca="false">C579*Scoring!$B$34+D579/Scoring!$C$34+E579*Scoring!$D$34+WR!F579*Scoring!$E$34+WR!G579/Scoring!$F$34+WR!H579*Scoring!$G$34+WR!I579*Scoring!$H$34+K579*Scoring!$I$34+WR!L579*Scoring!$J$34+U579</f>
        <v>0</v>
      </c>
      <c r="O579" s="117" t="n">
        <f aca="false">C580*Scoring!$B$34+D580/Scoring!$C$34+E580*Scoring!$D$34+WR!F580*Scoring!$E$34+WR!G580/Scoring!$F$34+WR!H580*Scoring!$G$34+WR!I580*Scoring!$H$34+K580*Scoring!$I$34+WR!L580*Scoring!$J$34+U579</f>
        <v>0</v>
      </c>
      <c r="P579" s="53" t="n">
        <f aca="false">IF(COUNTIF(Rookies!$A:$A,A579)&gt;0,1,0)</f>
        <v>0</v>
      </c>
      <c r="S579" s="53" t="n">
        <f aca="false">V579/17</f>
        <v>0</v>
      </c>
      <c r="T579" s="53" t="n">
        <f aca="false">IF(P579=1,MAX(0,0.28*(12-S579)),0)</f>
        <v>0</v>
      </c>
      <c r="U579" s="53" t="n">
        <f aca="false">T579*17</f>
        <v>0</v>
      </c>
      <c r="V579" s="53" t="n">
        <f aca="false">C579*Scoring!$B$34+D579/Scoring!$C$34+E579*Scoring!$D$34+WR!F579*Scoring!$E$34+WR!G579/Scoring!$F$34+WR!H579*Scoring!$G$34+WR!I579*Scoring!$H$34+K579*Scoring!$I$34+WR!L579*Scoring!$J$34</f>
        <v>0</v>
      </c>
    </row>
    <row r="580" customFormat="false" ht="14.25" hidden="false" customHeight="true" outlineLevel="0" collapsed="false">
      <c r="K580" s="115" t="n">
        <f aca="false">IFERROR(G580/F580/6.89*0.427*F580,0)</f>
        <v>0</v>
      </c>
      <c r="L580" s="115" t="n">
        <f aca="false">IFERROR(D580/C580/12.87*0.633*C580,0)</f>
        <v>0</v>
      </c>
      <c r="M580" s="118"/>
      <c r="N580" s="118"/>
      <c r="O580" s="118"/>
    </row>
    <row r="581" customFormat="false" ht="14.25" hidden="false" customHeight="true" outlineLevel="0" collapsed="false">
      <c r="K581" s="115" t="n">
        <f aca="false">IFERROR(G581/F581/6.89*0.427*F581,0)</f>
        <v>0</v>
      </c>
      <c r="L581" s="115" t="n">
        <f aca="false">IFERROR(D581/C581/12.87*0.633*C581,0)</f>
        <v>0</v>
      </c>
      <c r="M581" s="118"/>
      <c r="N581" s="118"/>
      <c r="O581" s="118"/>
    </row>
    <row r="582" customFormat="false" ht="14.25" hidden="false" customHeight="true" outlineLevel="0" collapsed="false">
      <c r="K582" s="115" t="n">
        <f aca="false">IFERROR(G582/F582/6.89*0.427*F582,0)</f>
        <v>0</v>
      </c>
      <c r="L582" s="115" t="n">
        <f aca="false">IFERROR(D582/C582/12.87*0.633*C582,0)</f>
        <v>0</v>
      </c>
      <c r="M582" s="117" t="n">
        <f aca="false">C584*Scoring!$B$34+D584/Scoring!$C$34+E584*Scoring!$D$34+WR!F584*Scoring!$E$34+WR!G584/Scoring!$F$34+WR!H584*Scoring!$G$34+WR!I584*Scoring!$H$34+K584*Scoring!$I$34+WR!L584*Scoring!$J$34+U582</f>
        <v>0</v>
      </c>
      <c r="N582" s="117" t="n">
        <f aca="false">C582*Scoring!$B$34+D582/Scoring!$C$34+E582*Scoring!$D$34+WR!F582*Scoring!$E$34+WR!G582/Scoring!$F$34+WR!H582*Scoring!$G$34+WR!I582*Scoring!$H$34+K582*Scoring!$I$34+WR!L582*Scoring!$J$34+U582</f>
        <v>0</v>
      </c>
      <c r="O582" s="117" t="n">
        <f aca="false">C583*Scoring!$B$34+D583/Scoring!$C$34+E583*Scoring!$D$34+WR!F583*Scoring!$E$34+WR!G583/Scoring!$F$34+WR!H583*Scoring!$G$34+WR!I583*Scoring!$H$34+K583*Scoring!$I$34+WR!L583*Scoring!$J$34+U582</f>
        <v>0</v>
      </c>
      <c r="P582" s="53" t="n">
        <f aca="false">IF(COUNTIF(Rookies!$A:$A,A582)&gt;0,1,0)</f>
        <v>0</v>
      </c>
      <c r="S582" s="53" t="n">
        <f aca="false">V582/17</f>
        <v>0</v>
      </c>
      <c r="T582" s="53" t="n">
        <f aca="false">IF(P582=1,MAX(0,0.28*(12-S582)),0)</f>
        <v>0</v>
      </c>
      <c r="U582" s="53" t="n">
        <f aca="false">T582*17</f>
        <v>0</v>
      </c>
      <c r="V582" s="53" t="n">
        <f aca="false">C582*Scoring!$B$34+D582/Scoring!$C$34+E582*Scoring!$D$34+WR!F582*Scoring!$E$34+WR!G582/Scoring!$F$34+WR!H582*Scoring!$G$34+WR!I582*Scoring!$H$34+K582*Scoring!$I$34+WR!L582*Scoring!$J$34</f>
        <v>0</v>
      </c>
    </row>
    <row r="583" customFormat="false" ht="14.25" hidden="false" customHeight="true" outlineLevel="0" collapsed="false">
      <c r="K583" s="115" t="n">
        <f aca="false">IFERROR(G583/F583/6.89*0.427*F583,0)</f>
        <v>0</v>
      </c>
      <c r="L583" s="115" t="n">
        <f aca="false">IFERROR(D583/C583/12.87*0.633*C583,0)</f>
        <v>0</v>
      </c>
      <c r="M583" s="118"/>
      <c r="N583" s="118"/>
      <c r="O583" s="118"/>
    </row>
    <row r="584" customFormat="false" ht="14.25" hidden="false" customHeight="true" outlineLevel="0" collapsed="false">
      <c r="K584" s="115" t="n">
        <f aca="false">IFERROR(G584/F584/6.89*0.427*F584,0)</f>
        <v>0</v>
      </c>
      <c r="L584" s="115" t="n">
        <f aca="false">IFERROR(D584/C584/12.87*0.633*C584,0)</f>
        <v>0</v>
      </c>
      <c r="M584" s="118"/>
      <c r="N584" s="118"/>
      <c r="O584" s="118"/>
    </row>
    <row r="585" customFormat="false" ht="14.25" hidden="false" customHeight="true" outlineLevel="0" collapsed="false">
      <c r="K585" s="115" t="n">
        <f aca="false">IFERROR(G585/F585/6.89*0.427*F585,0)</f>
        <v>0</v>
      </c>
      <c r="L585" s="115" t="n">
        <f aca="false">IFERROR(D585/C585/12.87*0.633*C585,0)</f>
        <v>0</v>
      </c>
      <c r="M585" s="117" t="n">
        <f aca="false">C587*Scoring!$B$34+D587/Scoring!$C$34+E587*Scoring!$D$34+WR!F587*Scoring!$E$34+WR!G587/Scoring!$F$34+WR!H587*Scoring!$G$34+WR!I587*Scoring!$H$34+K587*Scoring!$I$34+WR!L587*Scoring!$J$34+U585</f>
        <v>0</v>
      </c>
      <c r="N585" s="117" t="n">
        <f aca="false">C585*Scoring!$B$34+D585/Scoring!$C$34+E585*Scoring!$D$34+WR!F585*Scoring!$E$34+WR!G585/Scoring!$F$34+WR!H585*Scoring!$G$34+WR!I585*Scoring!$H$34+K585*Scoring!$I$34+WR!L585*Scoring!$J$34+U585</f>
        <v>0</v>
      </c>
      <c r="O585" s="117" t="n">
        <f aca="false">C586*Scoring!$B$34+D586/Scoring!$C$34+E586*Scoring!$D$34+WR!F586*Scoring!$E$34+WR!G586/Scoring!$F$34+WR!H586*Scoring!$G$34+WR!I586*Scoring!$H$34+K586*Scoring!$I$34+WR!L586*Scoring!$J$34+U585</f>
        <v>0</v>
      </c>
      <c r="P585" s="53" t="n">
        <f aca="false">IF(COUNTIF(Rookies!$A:$A,A585)&gt;0,1,0)</f>
        <v>0</v>
      </c>
      <c r="S585" s="53" t="n">
        <f aca="false">V585/17</f>
        <v>0</v>
      </c>
      <c r="T585" s="53" t="n">
        <f aca="false">IF(P585=1,MAX(0,0.28*(12-S585)),0)</f>
        <v>0</v>
      </c>
      <c r="U585" s="53" t="n">
        <f aca="false">T585*17</f>
        <v>0</v>
      </c>
      <c r="V585" s="53" t="n">
        <f aca="false">C585*Scoring!$B$34+D585/Scoring!$C$34+E585*Scoring!$D$34+WR!F585*Scoring!$E$34+WR!G585/Scoring!$F$34+WR!H585*Scoring!$G$34+WR!I585*Scoring!$H$34+K585*Scoring!$I$34+WR!L585*Scoring!$J$34</f>
        <v>0</v>
      </c>
    </row>
    <row r="586" customFormat="false" ht="14.25" hidden="false" customHeight="true" outlineLevel="0" collapsed="false">
      <c r="K586" s="115" t="n">
        <f aca="false">IFERROR(G586/F586/6.89*0.427*F586,0)</f>
        <v>0</v>
      </c>
      <c r="L586" s="115" t="n">
        <f aca="false">IFERROR(D586/C586/12.87*0.633*C586,0)</f>
        <v>0</v>
      </c>
      <c r="M586" s="118"/>
      <c r="N586" s="118"/>
      <c r="O586" s="118"/>
    </row>
    <row r="587" customFormat="false" ht="14.25" hidden="false" customHeight="true" outlineLevel="0" collapsed="false">
      <c r="K587" s="115" t="n">
        <f aca="false">IFERROR(G587/F587/6.89*0.427*F587,0)</f>
        <v>0</v>
      </c>
      <c r="L587" s="115" t="n">
        <f aca="false">IFERROR(D587/C587/12.87*0.633*C587,0)</f>
        <v>0</v>
      </c>
      <c r="M587" s="118"/>
      <c r="N587" s="118"/>
      <c r="O587" s="118"/>
    </row>
    <row r="588" customFormat="false" ht="14.25" hidden="false" customHeight="true" outlineLevel="0" collapsed="false">
      <c r="K588" s="115" t="n">
        <f aca="false">IFERROR(G588/F588/6.89*0.427*F588,0)</f>
        <v>0</v>
      </c>
      <c r="L588" s="115" t="n">
        <f aca="false">IFERROR(D588/C588/12.87*0.633*C588,0)</f>
        <v>0</v>
      </c>
      <c r="M588" s="117" t="n">
        <f aca="false">C590*Scoring!$B$34+D590/Scoring!$C$34+E590*Scoring!$D$34+WR!F590*Scoring!$E$34+WR!G590/Scoring!$F$34+WR!H590*Scoring!$G$34+WR!I590*Scoring!$H$34+K590*Scoring!$I$34+WR!L590*Scoring!$J$34+U588</f>
        <v>0</v>
      </c>
      <c r="N588" s="117" t="n">
        <f aca="false">C588*Scoring!$B$34+D588/Scoring!$C$34+E588*Scoring!$D$34+WR!F588*Scoring!$E$34+WR!G588/Scoring!$F$34+WR!H588*Scoring!$G$34+WR!I588*Scoring!$H$34+K588*Scoring!$I$34+WR!L588*Scoring!$J$34+U588</f>
        <v>0</v>
      </c>
      <c r="O588" s="117" t="n">
        <f aca="false">C589*Scoring!$B$34+D589/Scoring!$C$34+E589*Scoring!$D$34+WR!F589*Scoring!$E$34+WR!G589/Scoring!$F$34+WR!H589*Scoring!$G$34+WR!I589*Scoring!$H$34+K589*Scoring!$I$34+WR!L589*Scoring!$J$34+U588</f>
        <v>0</v>
      </c>
      <c r="P588" s="53" t="n">
        <f aca="false">IF(COUNTIF(Rookies!$A:$A,A588)&gt;0,1,0)</f>
        <v>0</v>
      </c>
      <c r="S588" s="53" t="n">
        <f aca="false">V588/17</f>
        <v>0</v>
      </c>
      <c r="T588" s="53" t="n">
        <f aca="false">IF(P588=1,MAX(0,0.28*(12-S588)),0)</f>
        <v>0</v>
      </c>
      <c r="U588" s="53" t="n">
        <f aca="false">T588*17</f>
        <v>0</v>
      </c>
      <c r="V588" s="53" t="n">
        <f aca="false">C588*Scoring!$B$34+D588/Scoring!$C$34+E588*Scoring!$D$34+WR!F588*Scoring!$E$34+WR!G588/Scoring!$F$34+WR!H588*Scoring!$G$34+WR!I588*Scoring!$H$34+K588*Scoring!$I$34+WR!L588*Scoring!$J$34</f>
        <v>0</v>
      </c>
    </row>
    <row r="589" customFormat="false" ht="14.25" hidden="false" customHeight="true" outlineLevel="0" collapsed="false">
      <c r="K589" s="115" t="n">
        <f aca="false">IFERROR(G589/F589/6.89*0.427*F589,0)</f>
        <v>0</v>
      </c>
      <c r="L589" s="115" t="n">
        <f aca="false">IFERROR(D589/C589/12.87*0.633*C589,0)</f>
        <v>0</v>
      </c>
      <c r="M589" s="118"/>
      <c r="N589" s="118"/>
      <c r="O589" s="118"/>
    </row>
    <row r="590" customFormat="false" ht="14.25" hidden="false" customHeight="true" outlineLevel="0" collapsed="false">
      <c r="K590" s="115" t="n">
        <f aca="false">IFERROR(G590/F590/6.89*0.427*F590,0)</f>
        <v>0</v>
      </c>
      <c r="L590" s="115" t="n">
        <f aca="false">IFERROR(D590/C590/12.87*0.633*C590,0)</f>
        <v>0</v>
      </c>
      <c r="M590" s="118"/>
      <c r="N590" s="118"/>
      <c r="O590" s="118"/>
    </row>
    <row r="591" customFormat="false" ht="14.25" hidden="false" customHeight="true" outlineLevel="0" collapsed="false">
      <c r="K591" s="115" t="n">
        <f aca="false">IFERROR(G591/F591/6.89*0.427*F591,0)</f>
        <v>0</v>
      </c>
      <c r="L591" s="115" t="n">
        <f aca="false">IFERROR(D591/C591/12.87*0.633*C591,0)</f>
        <v>0</v>
      </c>
      <c r="M591" s="117" t="n">
        <f aca="false">C593*Scoring!$B$34+D593/Scoring!$C$34+E593*Scoring!$D$34+WR!F593*Scoring!$E$34+WR!G593/Scoring!$F$34+WR!H593*Scoring!$G$34+WR!I593*Scoring!$H$34+K593*Scoring!$I$34+WR!L593*Scoring!$J$34+U591</f>
        <v>0</v>
      </c>
      <c r="N591" s="117" t="n">
        <f aca="false">C591*Scoring!$B$34+D591/Scoring!$C$34+E591*Scoring!$D$34+WR!F591*Scoring!$E$34+WR!G591/Scoring!$F$34+WR!H591*Scoring!$G$34+WR!I591*Scoring!$H$34+K591*Scoring!$I$34+WR!L591*Scoring!$J$34+U591</f>
        <v>0</v>
      </c>
      <c r="O591" s="117" t="n">
        <f aca="false">C592*Scoring!$B$34+D592/Scoring!$C$34+E592*Scoring!$D$34+WR!F592*Scoring!$E$34+WR!G592/Scoring!$F$34+WR!H592*Scoring!$G$34+WR!I592*Scoring!$H$34+K592*Scoring!$I$34+WR!L592*Scoring!$J$34+U591</f>
        <v>0</v>
      </c>
      <c r="P591" s="53" t="n">
        <f aca="false">IF(COUNTIF(Rookies!$A:$A,A591)&gt;0,1,0)</f>
        <v>0</v>
      </c>
      <c r="S591" s="53" t="n">
        <f aca="false">V591/17</f>
        <v>0</v>
      </c>
      <c r="T591" s="53" t="n">
        <f aca="false">IF(P591=1,MAX(0,0.28*(12-S591)),0)</f>
        <v>0</v>
      </c>
      <c r="U591" s="53" t="n">
        <f aca="false">T591*17</f>
        <v>0</v>
      </c>
      <c r="V591" s="53" t="n">
        <f aca="false">C591*Scoring!$B$34+D591/Scoring!$C$34+E591*Scoring!$D$34+WR!F591*Scoring!$E$34+WR!G591/Scoring!$F$34+WR!H591*Scoring!$G$34+WR!I591*Scoring!$H$34+K591*Scoring!$I$34+WR!L591*Scoring!$J$34</f>
        <v>0</v>
      </c>
    </row>
    <row r="592" customFormat="false" ht="14.25" hidden="false" customHeight="true" outlineLevel="0" collapsed="false">
      <c r="K592" s="115" t="n">
        <f aca="false">IFERROR(G592/F592/6.89*0.427*F592,0)</f>
        <v>0</v>
      </c>
      <c r="L592" s="115" t="n">
        <f aca="false">IFERROR(D592/C592/12.87*0.633*C592,0)</f>
        <v>0</v>
      </c>
      <c r="M592" s="118"/>
      <c r="N592" s="118"/>
      <c r="O592" s="118"/>
    </row>
    <row r="593" customFormat="false" ht="14.25" hidden="false" customHeight="true" outlineLevel="0" collapsed="false">
      <c r="K593" s="115" t="n">
        <f aca="false">IFERROR(G593/F593/6.89*0.427*F593,0)</f>
        <v>0</v>
      </c>
      <c r="L593" s="115" t="n">
        <f aca="false">IFERROR(D593/C593/12.87*0.633*C593,0)</f>
        <v>0</v>
      </c>
      <c r="M593" s="118"/>
      <c r="N593" s="118"/>
      <c r="O593" s="118"/>
    </row>
    <row r="594" customFormat="false" ht="14.25" hidden="false" customHeight="true" outlineLevel="0" collapsed="false">
      <c r="K594" s="115" t="n">
        <f aca="false">IFERROR(G594/F594/6.89*0.427*F594,0)</f>
        <v>0</v>
      </c>
      <c r="L594" s="115" t="n">
        <f aca="false">IFERROR(D594/C594/12.87*0.633*C594,0)</f>
        <v>0</v>
      </c>
      <c r="M594" s="117" t="n">
        <f aca="false">C596*Scoring!$B$34+D596/Scoring!$C$34+E596*Scoring!$D$34+WR!F596*Scoring!$E$34+WR!G596/Scoring!$F$34+WR!H596*Scoring!$G$34+WR!I596*Scoring!$H$34+K596*Scoring!$I$34+WR!L596*Scoring!$J$34+U594</f>
        <v>0</v>
      </c>
      <c r="N594" s="117" t="n">
        <f aca="false">C594*Scoring!$B$34+D594/Scoring!$C$34+E594*Scoring!$D$34+WR!F594*Scoring!$E$34+WR!G594/Scoring!$F$34+WR!H594*Scoring!$G$34+WR!I594*Scoring!$H$34+K594*Scoring!$I$34+WR!L594*Scoring!$J$34+U594</f>
        <v>0</v>
      </c>
      <c r="O594" s="117" t="n">
        <f aca="false">C595*Scoring!$B$34+D595/Scoring!$C$34+E595*Scoring!$D$34+WR!F595*Scoring!$E$34+WR!G595/Scoring!$F$34+WR!H595*Scoring!$G$34+WR!I595*Scoring!$H$34+K595*Scoring!$I$34+WR!L595*Scoring!$J$34+U594</f>
        <v>0</v>
      </c>
      <c r="P594" s="53" t="n">
        <f aca="false">IF(COUNTIF(Rookies!$A:$A,A594)&gt;0,1,0)</f>
        <v>0</v>
      </c>
      <c r="S594" s="53" t="n">
        <f aca="false">V594/17</f>
        <v>0</v>
      </c>
      <c r="T594" s="53" t="n">
        <f aca="false">IF(P594=1,MAX(0,0.28*(12-S594)),0)</f>
        <v>0</v>
      </c>
      <c r="U594" s="53" t="n">
        <f aca="false">T594*17</f>
        <v>0</v>
      </c>
      <c r="V594" s="53" t="n">
        <f aca="false">C594*Scoring!$B$34+D594/Scoring!$C$34+E594*Scoring!$D$34+WR!F594*Scoring!$E$34+WR!G594/Scoring!$F$34+WR!H594*Scoring!$G$34+WR!I594*Scoring!$H$34+K594*Scoring!$I$34+WR!L594*Scoring!$J$34</f>
        <v>0</v>
      </c>
    </row>
    <row r="595" customFormat="false" ht="14.25" hidden="false" customHeight="true" outlineLevel="0" collapsed="false">
      <c r="K595" s="115" t="n">
        <f aca="false">IFERROR(G595/F595/6.89*0.427*F595,0)</f>
        <v>0</v>
      </c>
      <c r="L595" s="115" t="n">
        <f aca="false">IFERROR(D595/C595/12.87*0.633*C595,0)</f>
        <v>0</v>
      </c>
      <c r="M595" s="118"/>
      <c r="N595" s="118"/>
      <c r="O595" s="118"/>
    </row>
    <row r="596" customFormat="false" ht="14.25" hidden="false" customHeight="true" outlineLevel="0" collapsed="false">
      <c r="K596" s="115" t="n">
        <f aca="false">IFERROR(G596/F596/6.89*0.427*F596,0)</f>
        <v>0</v>
      </c>
      <c r="L596" s="115" t="n">
        <f aca="false">IFERROR(D596/C596/12.87*0.633*C596,0)</f>
        <v>0</v>
      </c>
      <c r="M596" s="118"/>
      <c r="N596" s="118"/>
      <c r="O596" s="118"/>
    </row>
    <row r="597" customFormat="false" ht="14.25" hidden="false" customHeight="true" outlineLevel="0" collapsed="false">
      <c r="K597" s="115" t="n">
        <f aca="false">IFERROR(G597/F597/6.89*0.427*F597,0)</f>
        <v>0</v>
      </c>
      <c r="L597" s="115" t="n">
        <f aca="false">IFERROR(D597/C597/12.87*0.633*C597,0)</f>
        <v>0</v>
      </c>
      <c r="M597" s="117" t="n">
        <f aca="false">C599*Scoring!$B$34+D599/Scoring!$C$34+E599*Scoring!$D$34+WR!F599*Scoring!$E$34+WR!G599/Scoring!$F$34+WR!H599*Scoring!$G$34+WR!I599*Scoring!$H$34+K599*Scoring!$I$34+WR!L599*Scoring!$J$34+U597</f>
        <v>0</v>
      </c>
      <c r="N597" s="117" t="n">
        <f aca="false">C597*Scoring!$B$34+D597/Scoring!$C$34+E597*Scoring!$D$34+WR!F597*Scoring!$E$34+WR!G597/Scoring!$F$34+WR!H597*Scoring!$G$34+WR!I597*Scoring!$H$34+K597*Scoring!$I$34+WR!L597*Scoring!$J$34+U597</f>
        <v>0</v>
      </c>
      <c r="O597" s="117" t="n">
        <f aca="false">C598*Scoring!$B$34+D598/Scoring!$C$34+E598*Scoring!$D$34+WR!F598*Scoring!$E$34+WR!G598/Scoring!$F$34+WR!H598*Scoring!$G$34+WR!I598*Scoring!$H$34+K598*Scoring!$I$34+WR!L598*Scoring!$J$34+U597</f>
        <v>0</v>
      </c>
      <c r="P597" s="53" t="n">
        <f aca="false">IF(COUNTIF(Rookies!$A:$A,A597)&gt;0,1,0)</f>
        <v>0</v>
      </c>
      <c r="S597" s="53" t="n">
        <f aca="false">V597/17</f>
        <v>0</v>
      </c>
      <c r="T597" s="53" t="n">
        <f aca="false">IF(P597=1,MAX(0,0.28*(12-S597)),0)</f>
        <v>0</v>
      </c>
      <c r="U597" s="53" t="n">
        <f aca="false">T597*17</f>
        <v>0</v>
      </c>
      <c r="V597" s="53" t="n">
        <f aca="false">C597*Scoring!$B$34+D597/Scoring!$C$34+E597*Scoring!$D$34+WR!F597*Scoring!$E$34+WR!G597/Scoring!$F$34+WR!H597*Scoring!$G$34+WR!I597*Scoring!$H$34+K597*Scoring!$I$34+WR!L597*Scoring!$J$34</f>
        <v>0</v>
      </c>
    </row>
    <row r="598" customFormat="false" ht="14.25" hidden="false" customHeight="true" outlineLevel="0" collapsed="false">
      <c r="K598" s="115" t="n">
        <f aca="false">IFERROR(G598/F598/6.89*0.427*F598,0)</f>
        <v>0</v>
      </c>
      <c r="L598" s="115" t="n">
        <f aca="false">IFERROR(D598/C598/12.87*0.633*C598,0)</f>
        <v>0</v>
      </c>
      <c r="M598" s="118"/>
      <c r="N598" s="118"/>
      <c r="O598" s="118"/>
    </row>
    <row r="599" customFormat="false" ht="14.25" hidden="false" customHeight="true" outlineLevel="0" collapsed="false">
      <c r="K599" s="115" t="n">
        <f aca="false">IFERROR(G599/F599/6.89*0.427*F599,0)</f>
        <v>0</v>
      </c>
      <c r="L599" s="115" t="n">
        <f aca="false">IFERROR(D599/C599/12.87*0.633*C599,0)</f>
        <v>0</v>
      </c>
      <c r="M599" s="118"/>
      <c r="N599" s="118"/>
      <c r="O599" s="118"/>
    </row>
    <row r="600" customFormat="false" ht="14.25" hidden="false" customHeight="true" outlineLevel="0" collapsed="false">
      <c r="K600" s="115" t="n">
        <f aca="false">IFERROR(G600/F600/6.89*0.427*F600,0)</f>
        <v>0</v>
      </c>
      <c r="L600" s="115" t="n">
        <f aca="false">IFERROR(D600/C600/12.87*0.633*C600,0)</f>
        <v>0</v>
      </c>
      <c r="M600" s="117" t="n">
        <f aca="false">C602*Scoring!$B$34+D602/Scoring!$C$34+E602*Scoring!$D$34+WR!F602*Scoring!$E$34+WR!G602/Scoring!$F$34+WR!H602*Scoring!$G$34+WR!I602*Scoring!$H$34+K602*Scoring!$I$34+WR!L602*Scoring!$J$34+U600</f>
        <v>0</v>
      </c>
      <c r="N600" s="117" t="n">
        <f aca="false">C600*Scoring!$B$34+D600/Scoring!$C$34+E600*Scoring!$D$34+WR!F600*Scoring!$E$34+WR!G600/Scoring!$F$34+WR!H600*Scoring!$G$34+WR!I600*Scoring!$H$34+K600*Scoring!$I$34+WR!L600*Scoring!$J$34+U600</f>
        <v>0</v>
      </c>
      <c r="O600" s="117" t="n">
        <f aca="false">C601*Scoring!$B$34+D601/Scoring!$C$34+E601*Scoring!$D$34+WR!F601*Scoring!$E$34+WR!G601/Scoring!$F$34+WR!H601*Scoring!$G$34+WR!I601*Scoring!$H$34+K601*Scoring!$I$34+WR!L601*Scoring!$J$34+U600</f>
        <v>0</v>
      </c>
      <c r="P600" s="53" t="n">
        <f aca="false">IF(COUNTIF(Rookies!$A:$A,A600)&gt;0,1,0)</f>
        <v>0</v>
      </c>
      <c r="S600" s="53" t="n">
        <f aca="false">V600/17</f>
        <v>0</v>
      </c>
      <c r="T600" s="53" t="n">
        <f aca="false">IF(P600=1,MAX(0,0.28*(12-S600)),0)</f>
        <v>0</v>
      </c>
      <c r="U600" s="53" t="n">
        <f aca="false">T600*17</f>
        <v>0</v>
      </c>
      <c r="V600" s="53" t="n">
        <f aca="false">C600*Scoring!$B$34+D600/Scoring!$C$34+E600*Scoring!$D$34+WR!F600*Scoring!$E$34+WR!G600/Scoring!$F$34+WR!H600*Scoring!$G$34+WR!I600*Scoring!$H$34+K600*Scoring!$I$34+WR!L600*Scoring!$J$34</f>
        <v>0</v>
      </c>
    </row>
    <row r="601" customFormat="false" ht="14.25" hidden="false" customHeight="true" outlineLevel="0" collapsed="false">
      <c r="K601" s="115" t="n">
        <f aca="false">IFERROR(G601/F601/6.89*0.427*F601,0)</f>
        <v>0</v>
      </c>
      <c r="L601" s="115" t="n">
        <f aca="false">IFERROR(D601/C601/12.87*0.633*C601,0)</f>
        <v>0</v>
      </c>
      <c r="M601" s="118"/>
      <c r="N601" s="118"/>
      <c r="O601" s="118"/>
    </row>
    <row r="602" customFormat="false" ht="14.25" hidden="false" customHeight="true" outlineLevel="0" collapsed="false">
      <c r="K602" s="115" t="n">
        <f aca="false">IFERROR(G602/F602/6.89*0.427*F602,0)</f>
        <v>0</v>
      </c>
      <c r="L602" s="115" t="n">
        <f aca="false">IFERROR(D602/C602/12.87*0.633*C602,0)</f>
        <v>0</v>
      </c>
      <c r="M602" s="118"/>
      <c r="N602" s="118"/>
      <c r="O602" s="118"/>
    </row>
    <row r="603" customFormat="false" ht="14.25" hidden="false" customHeight="true" outlineLevel="0" collapsed="false">
      <c r="K603" s="115" t="n">
        <f aca="false">IFERROR(G603/F603/6.89*0.427*F603,0)</f>
        <v>0</v>
      </c>
      <c r="L603" s="115" t="n">
        <f aca="false">IFERROR(D603/C603/12.87*0.633*C603,0)</f>
        <v>0</v>
      </c>
      <c r="M603" s="117" t="n">
        <f aca="false">C605*Scoring!$B$34+D605/Scoring!$C$34+E605*Scoring!$D$34+WR!F605*Scoring!$E$34+WR!G605/Scoring!$F$34+WR!H605*Scoring!$G$34+WR!I605*Scoring!$H$34+K605*Scoring!$I$34+WR!L605*Scoring!$J$34+U603</f>
        <v>0</v>
      </c>
      <c r="N603" s="117" t="n">
        <f aca="false">C603*Scoring!$B$34+D603/Scoring!$C$34+E603*Scoring!$D$34+WR!F603*Scoring!$E$34+WR!G603/Scoring!$F$34+WR!H603*Scoring!$G$34+WR!I603*Scoring!$H$34+K603*Scoring!$I$34+WR!L603*Scoring!$J$34+U603</f>
        <v>0</v>
      </c>
      <c r="O603" s="117" t="n">
        <f aca="false">C604*Scoring!$B$34+D604/Scoring!$C$34+E604*Scoring!$D$34+WR!F604*Scoring!$E$34+WR!G604/Scoring!$F$34+WR!H604*Scoring!$G$34+WR!I604*Scoring!$H$34+K604*Scoring!$I$34+WR!L604*Scoring!$J$34+U603</f>
        <v>0</v>
      </c>
      <c r="P603" s="53" t="n">
        <f aca="false">IF(COUNTIF(Rookies!$A:$A,A603)&gt;0,1,0)</f>
        <v>0</v>
      </c>
      <c r="S603" s="53" t="n">
        <f aca="false">V603/17</f>
        <v>0</v>
      </c>
      <c r="T603" s="53" t="n">
        <f aca="false">IF(P603=1,MAX(0,0.28*(12-S603)),0)</f>
        <v>0</v>
      </c>
      <c r="U603" s="53" t="n">
        <f aca="false">T603*17</f>
        <v>0</v>
      </c>
      <c r="V603" s="53" t="n">
        <f aca="false">C603*Scoring!$B$34+D603/Scoring!$C$34+E603*Scoring!$D$34+WR!F603*Scoring!$E$34+WR!G603/Scoring!$F$34+WR!H603*Scoring!$G$34+WR!I603*Scoring!$H$34+K603*Scoring!$I$34+WR!L603*Scoring!$J$34</f>
        <v>0</v>
      </c>
    </row>
    <row r="604" customFormat="false" ht="14.25" hidden="false" customHeight="true" outlineLevel="0" collapsed="false">
      <c r="K604" s="115" t="n">
        <f aca="false">IFERROR(G604/F604/6.89*0.427*F604,0)</f>
        <v>0</v>
      </c>
      <c r="L604" s="115" t="n">
        <f aca="false">IFERROR(D604/C604/12.87*0.633*C604,0)</f>
        <v>0</v>
      </c>
      <c r="M604" s="118"/>
      <c r="N604" s="118"/>
      <c r="O604" s="118"/>
    </row>
    <row r="605" customFormat="false" ht="14.25" hidden="false" customHeight="true" outlineLevel="0" collapsed="false">
      <c r="K605" s="115" t="n">
        <f aca="false">IFERROR(G605/F605/6.89*0.427*F605,0)</f>
        <v>0</v>
      </c>
      <c r="L605" s="115" t="n">
        <f aca="false">IFERROR(D605/C605/12.87*0.633*C605,0)</f>
        <v>0</v>
      </c>
      <c r="M605" s="118"/>
      <c r="N605" s="118"/>
      <c r="O605" s="118"/>
    </row>
    <row r="606" customFormat="false" ht="14.25" hidden="false" customHeight="true" outlineLevel="0" collapsed="false">
      <c r="K606" s="115" t="n">
        <f aca="false">IFERROR(G606/F606/6.89*0.427*F606,0)</f>
        <v>0</v>
      </c>
      <c r="L606" s="115" t="n">
        <f aca="false">IFERROR(D606/C606/12.87*0.633*C606,0)</f>
        <v>0</v>
      </c>
      <c r="M606" s="117" t="n">
        <f aca="false">C608*Scoring!$B$34+D608/Scoring!$C$34+E608*Scoring!$D$34+WR!F608*Scoring!$E$34+WR!G608/Scoring!$F$34+WR!H608*Scoring!$G$34+WR!I608*Scoring!$H$34+K608*Scoring!$I$34+WR!L608*Scoring!$J$34+U606</f>
        <v>0</v>
      </c>
      <c r="N606" s="117" t="n">
        <f aca="false">C606*Scoring!$B$34+D606/Scoring!$C$34+E606*Scoring!$D$34+WR!F606*Scoring!$E$34+WR!G606/Scoring!$F$34+WR!H606*Scoring!$G$34+WR!I606*Scoring!$H$34+K606*Scoring!$I$34+WR!L606*Scoring!$J$34+U606</f>
        <v>0</v>
      </c>
      <c r="O606" s="117" t="n">
        <f aca="false">C607*Scoring!$B$34+D607/Scoring!$C$34+E607*Scoring!$D$34+WR!F607*Scoring!$E$34+WR!G607/Scoring!$F$34+WR!H607*Scoring!$G$34+WR!I607*Scoring!$H$34+K607*Scoring!$I$34+WR!L607*Scoring!$J$34+U606</f>
        <v>0</v>
      </c>
      <c r="P606" s="53" t="n">
        <f aca="false">IF(COUNTIF(Rookies!$A:$A,A606)&gt;0,1,0)</f>
        <v>0</v>
      </c>
      <c r="S606" s="53" t="n">
        <f aca="false">V606/17</f>
        <v>0</v>
      </c>
      <c r="T606" s="53" t="n">
        <f aca="false">IF(P606=1,MAX(0,0.28*(12-S606)),0)</f>
        <v>0</v>
      </c>
      <c r="U606" s="53" t="n">
        <f aca="false">T606*17</f>
        <v>0</v>
      </c>
      <c r="V606" s="53" t="n">
        <f aca="false">C606*Scoring!$B$34+D606/Scoring!$C$34+E606*Scoring!$D$34+WR!F606*Scoring!$E$34+WR!G606/Scoring!$F$34+WR!H606*Scoring!$G$34+WR!I606*Scoring!$H$34+K606*Scoring!$I$34+WR!L606*Scoring!$J$34</f>
        <v>0</v>
      </c>
    </row>
    <row r="607" customFormat="false" ht="14.25" hidden="false" customHeight="true" outlineLevel="0" collapsed="false">
      <c r="K607" s="115" t="n">
        <f aca="false">IFERROR(G607/F607/6.89*0.427*F607,0)</f>
        <v>0</v>
      </c>
      <c r="L607" s="115" t="n">
        <f aca="false">IFERROR(D607/C607/12.87*0.633*C607,0)</f>
        <v>0</v>
      </c>
      <c r="M607" s="118"/>
      <c r="N607" s="118"/>
      <c r="O607" s="118"/>
    </row>
    <row r="608" customFormat="false" ht="14.25" hidden="false" customHeight="true" outlineLevel="0" collapsed="false">
      <c r="K608" s="115" t="n">
        <f aca="false">IFERROR(G608/F608/6.89*0.427*F608,0)</f>
        <v>0</v>
      </c>
      <c r="L608" s="115" t="n">
        <f aca="false">IFERROR(D608/C608/12.87*0.633*C608,0)</f>
        <v>0</v>
      </c>
      <c r="M608" s="118"/>
      <c r="N608" s="118"/>
      <c r="O608" s="118"/>
    </row>
    <row r="609" customFormat="false" ht="14.25" hidden="false" customHeight="true" outlineLevel="0" collapsed="false">
      <c r="K609" s="115" t="n">
        <f aca="false">IFERROR(G609/F609/6.89*0.427*F609,0)</f>
        <v>0</v>
      </c>
      <c r="L609" s="115" t="n">
        <f aca="false">IFERROR(D609/C609/12.87*0.633*C609,0)</f>
        <v>0</v>
      </c>
      <c r="M609" s="117" t="n">
        <f aca="false">C611*Scoring!$B$34+D611/Scoring!$C$34+E611*Scoring!$D$34+WR!F611*Scoring!$E$34+WR!G611/Scoring!$F$34+WR!H611*Scoring!$G$34+WR!I611*Scoring!$H$34+K611*Scoring!$I$34+WR!L611*Scoring!$J$34+U609</f>
        <v>0</v>
      </c>
      <c r="N609" s="117" t="n">
        <f aca="false">C609*Scoring!$B$34+D609/Scoring!$C$34+E609*Scoring!$D$34+WR!F609*Scoring!$E$34+WR!G609/Scoring!$F$34+WR!H609*Scoring!$G$34+WR!I609*Scoring!$H$34+K609*Scoring!$I$34+WR!L609*Scoring!$J$34+U609</f>
        <v>0</v>
      </c>
      <c r="O609" s="117" t="n">
        <f aca="false">C610*Scoring!$B$34+D610/Scoring!$C$34+E610*Scoring!$D$34+WR!F610*Scoring!$E$34+WR!G610/Scoring!$F$34+WR!H610*Scoring!$G$34+WR!I610*Scoring!$H$34+K610*Scoring!$I$34+WR!L610*Scoring!$J$34+U609</f>
        <v>0</v>
      </c>
      <c r="P609" s="53" t="n">
        <f aca="false">IF(COUNTIF(Rookies!$A:$A,A609)&gt;0,1,0)</f>
        <v>0</v>
      </c>
      <c r="S609" s="53" t="n">
        <f aca="false">V609/17</f>
        <v>0</v>
      </c>
      <c r="T609" s="53" t="n">
        <f aca="false">IF(P609=1,MAX(0,0.28*(12-S609)),0)</f>
        <v>0</v>
      </c>
      <c r="U609" s="53" t="n">
        <f aca="false">T609*17</f>
        <v>0</v>
      </c>
      <c r="V609" s="53" t="n">
        <f aca="false">C609*Scoring!$B$34+D609/Scoring!$C$34+E609*Scoring!$D$34+WR!F609*Scoring!$E$34+WR!G609/Scoring!$F$34+WR!H609*Scoring!$G$34+WR!I609*Scoring!$H$34+K609*Scoring!$I$34+WR!L609*Scoring!$J$34</f>
        <v>0</v>
      </c>
    </row>
    <row r="610" customFormat="false" ht="14.25" hidden="false" customHeight="true" outlineLevel="0" collapsed="false">
      <c r="K610" s="115" t="n">
        <f aca="false">IFERROR(G610/F610/6.89*0.427*F610,0)</f>
        <v>0</v>
      </c>
      <c r="L610" s="115" t="n">
        <f aca="false">IFERROR(D610/C610/12.87*0.633*C610,0)</f>
        <v>0</v>
      </c>
      <c r="M610" s="118"/>
      <c r="N610" s="118"/>
      <c r="O610" s="118"/>
    </row>
    <row r="611" customFormat="false" ht="14.25" hidden="false" customHeight="true" outlineLevel="0" collapsed="false">
      <c r="K611" s="115" t="n">
        <f aca="false">IFERROR(G611/F611/6.89*0.427*F611,0)</f>
        <v>0</v>
      </c>
      <c r="L611" s="115" t="n">
        <f aca="false">IFERROR(D611/C611/12.87*0.633*C611,0)</f>
        <v>0</v>
      </c>
      <c r="M611" s="118"/>
      <c r="N611" s="118"/>
      <c r="O611" s="118"/>
    </row>
    <row r="612" customFormat="false" ht="14.25" hidden="false" customHeight="true" outlineLevel="0" collapsed="false">
      <c r="K612" s="115" t="n">
        <f aca="false">IFERROR(G612/F612/6.89*0.427*F612,0)</f>
        <v>0</v>
      </c>
      <c r="L612" s="115" t="n">
        <f aca="false">IFERROR(D612/C612/12.87*0.633*C612,0)</f>
        <v>0</v>
      </c>
      <c r="M612" s="117" t="n">
        <f aca="false">C614*Scoring!$B$34+D614/Scoring!$C$34+E614*Scoring!$D$34+WR!F614*Scoring!$E$34+WR!G614/Scoring!$F$34+WR!H614*Scoring!$G$34+WR!I614*Scoring!$H$34+K614*Scoring!$I$34+WR!L614*Scoring!$J$34+U612</f>
        <v>0</v>
      </c>
      <c r="N612" s="117" t="n">
        <f aca="false">C612*Scoring!$B$34+D612/Scoring!$C$34+E612*Scoring!$D$34+WR!F612*Scoring!$E$34+WR!G612/Scoring!$F$34+WR!H612*Scoring!$G$34+WR!I612*Scoring!$H$34+K612*Scoring!$I$34+WR!L612*Scoring!$J$34+U612</f>
        <v>0</v>
      </c>
      <c r="O612" s="117" t="n">
        <f aca="false">C613*Scoring!$B$34+D613/Scoring!$C$34+E613*Scoring!$D$34+WR!F613*Scoring!$E$34+WR!G613/Scoring!$F$34+WR!H613*Scoring!$G$34+WR!I613*Scoring!$H$34+K613*Scoring!$I$34+WR!L613*Scoring!$J$34+U612</f>
        <v>0</v>
      </c>
      <c r="P612" s="53" t="n">
        <f aca="false">IF(COUNTIF(Rookies!$A:$A,A612)&gt;0,1,0)</f>
        <v>0</v>
      </c>
      <c r="S612" s="53" t="n">
        <f aca="false">V612/17</f>
        <v>0</v>
      </c>
      <c r="T612" s="53" t="n">
        <f aca="false">IF(P612=1,MAX(0,0.28*(12-S612)),0)</f>
        <v>0</v>
      </c>
      <c r="U612" s="53" t="n">
        <f aca="false">T612*17</f>
        <v>0</v>
      </c>
      <c r="V612" s="53" t="n">
        <f aca="false">C612*Scoring!$B$34+D612/Scoring!$C$34+E612*Scoring!$D$34+WR!F612*Scoring!$E$34+WR!G612/Scoring!$F$34+WR!H612*Scoring!$G$34+WR!I612*Scoring!$H$34+K612*Scoring!$I$34+WR!L612*Scoring!$J$34</f>
        <v>0</v>
      </c>
    </row>
    <row r="613" customFormat="false" ht="14.25" hidden="false" customHeight="true" outlineLevel="0" collapsed="false">
      <c r="K613" s="115" t="n">
        <f aca="false">IFERROR(G613/F613/6.89*0.427*F613,0)</f>
        <v>0</v>
      </c>
      <c r="L613" s="115" t="n">
        <f aca="false">IFERROR(D613/C613/12.87*0.633*C613,0)</f>
        <v>0</v>
      </c>
      <c r="M613" s="118"/>
      <c r="N613" s="118"/>
      <c r="O613" s="118"/>
    </row>
    <row r="614" customFormat="false" ht="14.25" hidden="false" customHeight="true" outlineLevel="0" collapsed="false">
      <c r="K614" s="115" t="n">
        <f aca="false">IFERROR(G614/F614/6.89*0.427*F614,0)</f>
        <v>0</v>
      </c>
      <c r="L614" s="115" t="n">
        <f aca="false">IFERROR(D614/C614/12.87*0.633*C614,0)</f>
        <v>0</v>
      </c>
      <c r="M614" s="118"/>
      <c r="N614" s="118"/>
      <c r="O614" s="118"/>
    </row>
    <row r="615" customFormat="false" ht="14.25" hidden="false" customHeight="true" outlineLevel="0" collapsed="false">
      <c r="K615" s="115" t="n">
        <f aca="false">IFERROR(G615/F615/6.89*0.427*F615,0)</f>
        <v>0</v>
      </c>
      <c r="L615" s="115" t="n">
        <f aca="false">IFERROR(D615/C615/12.87*0.633*C615,0)</f>
        <v>0</v>
      </c>
      <c r="M615" s="117" t="n">
        <f aca="false">C617*Scoring!$B$34+D617/Scoring!$C$34+E617*Scoring!$D$34+WR!F617*Scoring!$E$34+WR!G617/Scoring!$F$34+WR!H617*Scoring!$G$34+WR!I617*Scoring!$H$34+K617*Scoring!$I$34+WR!L617*Scoring!$J$34+U615</f>
        <v>0</v>
      </c>
      <c r="N615" s="117" t="n">
        <f aca="false">C615*Scoring!$B$34+D615/Scoring!$C$34+E615*Scoring!$D$34+WR!F615*Scoring!$E$34+WR!G615/Scoring!$F$34+WR!H615*Scoring!$G$34+WR!I615*Scoring!$H$34+K615*Scoring!$I$34+WR!L615*Scoring!$J$34+U615</f>
        <v>0</v>
      </c>
      <c r="O615" s="117" t="n">
        <f aca="false">C616*Scoring!$B$34+D616/Scoring!$C$34+E616*Scoring!$D$34+WR!F616*Scoring!$E$34+WR!G616/Scoring!$F$34+WR!H616*Scoring!$G$34+WR!I616*Scoring!$H$34+K616*Scoring!$I$34+WR!L616*Scoring!$J$34+U615</f>
        <v>0</v>
      </c>
      <c r="P615" s="53" t="n">
        <f aca="false">IF(COUNTIF(Rookies!$A:$A,A615)&gt;0,1,0)</f>
        <v>0</v>
      </c>
      <c r="S615" s="53" t="n">
        <f aca="false">V615/17</f>
        <v>0</v>
      </c>
      <c r="T615" s="53" t="n">
        <f aca="false">IF(P615=1,MAX(0,0.28*(12-S615)),0)</f>
        <v>0</v>
      </c>
      <c r="U615" s="53" t="n">
        <f aca="false">T615*17</f>
        <v>0</v>
      </c>
      <c r="V615" s="53" t="n">
        <f aca="false">C615*Scoring!$B$34+D615/Scoring!$C$34+E615*Scoring!$D$34+WR!F615*Scoring!$E$34+WR!G615/Scoring!$F$34+WR!H615*Scoring!$G$34+WR!I615*Scoring!$H$34+K615*Scoring!$I$34+WR!L615*Scoring!$J$34</f>
        <v>0</v>
      </c>
    </row>
    <row r="616" customFormat="false" ht="14.25" hidden="false" customHeight="true" outlineLevel="0" collapsed="false">
      <c r="K616" s="115" t="n">
        <f aca="false">IFERROR(G616/F616/6.89*0.427*F616,0)</f>
        <v>0</v>
      </c>
      <c r="L616" s="115" t="n">
        <f aca="false">IFERROR(D616/C616/12.87*0.633*C616,0)</f>
        <v>0</v>
      </c>
      <c r="M616" s="118"/>
      <c r="N616" s="118"/>
      <c r="O616" s="118"/>
    </row>
    <row r="617" customFormat="false" ht="14.25" hidden="false" customHeight="true" outlineLevel="0" collapsed="false">
      <c r="K617" s="115" t="n">
        <f aca="false">IFERROR(G617/F617/6.89*0.427*F617,0)</f>
        <v>0</v>
      </c>
      <c r="L617" s="115" t="n">
        <f aca="false">IFERROR(D617/C617/12.87*0.633*C617,0)</f>
        <v>0</v>
      </c>
      <c r="M617" s="118"/>
      <c r="N617" s="118"/>
      <c r="O617" s="118"/>
    </row>
    <row r="618" customFormat="false" ht="14.25" hidden="false" customHeight="true" outlineLevel="0" collapsed="false">
      <c r="K618" s="115" t="n">
        <f aca="false">IFERROR(G618/F618/6.89*0.427*F618,0)</f>
        <v>0</v>
      </c>
      <c r="L618" s="115" t="n">
        <f aca="false">IFERROR(D618/C618/12.87*0.633*C618,0)</f>
        <v>0</v>
      </c>
      <c r="M618" s="117" t="n">
        <f aca="false">C620*Scoring!$B$34+D620/Scoring!$C$34+E620*Scoring!$D$34+WR!F620*Scoring!$E$34+WR!G620/Scoring!$F$34+WR!H620*Scoring!$G$34+WR!I620*Scoring!$H$34+K620*Scoring!$I$34+WR!L620*Scoring!$J$34+U618</f>
        <v>0</v>
      </c>
      <c r="N618" s="117" t="n">
        <f aca="false">C618*Scoring!$B$34+D618/Scoring!$C$34+E618*Scoring!$D$34+WR!F618*Scoring!$E$34+WR!G618/Scoring!$F$34+WR!H618*Scoring!$G$34+WR!I618*Scoring!$H$34+K618*Scoring!$I$34+WR!L618*Scoring!$J$34+U618</f>
        <v>0</v>
      </c>
      <c r="O618" s="117" t="n">
        <f aca="false">C619*Scoring!$B$34+D619/Scoring!$C$34+E619*Scoring!$D$34+WR!F619*Scoring!$E$34+WR!G619/Scoring!$F$34+WR!H619*Scoring!$G$34+WR!I619*Scoring!$H$34+K619*Scoring!$I$34+WR!L619*Scoring!$J$34+U618</f>
        <v>0</v>
      </c>
      <c r="P618" s="53" t="n">
        <f aca="false">IF(COUNTIF(Rookies!$A:$A,A618)&gt;0,1,0)</f>
        <v>0</v>
      </c>
      <c r="S618" s="53" t="n">
        <f aca="false">V618/17</f>
        <v>0</v>
      </c>
      <c r="T618" s="53" t="n">
        <f aca="false">IF(P618=1,MAX(0,0.28*(12-S618)),0)</f>
        <v>0</v>
      </c>
      <c r="U618" s="53" t="n">
        <f aca="false">T618*17</f>
        <v>0</v>
      </c>
      <c r="V618" s="53" t="n">
        <f aca="false">C618*Scoring!$B$34+D618/Scoring!$C$34+E618*Scoring!$D$34+WR!F618*Scoring!$E$34+WR!G618/Scoring!$F$34+WR!H618*Scoring!$G$34+WR!I618*Scoring!$H$34+K618*Scoring!$I$34+WR!L618*Scoring!$J$34</f>
        <v>0</v>
      </c>
    </row>
    <row r="619" customFormat="false" ht="14.25" hidden="false" customHeight="true" outlineLevel="0" collapsed="false">
      <c r="K619" s="115" t="n">
        <f aca="false">IFERROR(G619/F619/6.89*0.427*F619,0)</f>
        <v>0</v>
      </c>
      <c r="L619" s="115" t="n">
        <f aca="false">IFERROR(D619/C619/12.87*0.633*C619,0)</f>
        <v>0</v>
      </c>
      <c r="M619" s="118"/>
      <c r="N619" s="118"/>
      <c r="O619" s="118"/>
    </row>
    <row r="620" customFormat="false" ht="14.25" hidden="false" customHeight="true" outlineLevel="0" collapsed="false">
      <c r="K620" s="115" t="n">
        <f aca="false">IFERROR(G620/F620/6.89*0.427*F620,0)</f>
        <v>0</v>
      </c>
      <c r="L620" s="115" t="n">
        <f aca="false">IFERROR(D620/C620/12.87*0.633*C620,0)</f>
        <v>0</v>
      </c>
      <c r="M620" s="118"/>
      <c r="N620" s="118"/>
      <c r="O620" s="118"/>
    </row>
    <row r="621" customFormat="false" ht="14.25" hidden="false" customHeight="true" outlineLevel="0" collapsed="false">
      <c r="K621" s="115" t="n">
        <f aca="false">IFERROR(G621/F621/6.89*0.427*F621,0)</f>
        <v>0</v>
      </c>
      <c r="L621" s="115" t="n">
        <f aca="false">IFERROR(D621/C621/12.87*0.633*C621,0)</f>
        <v>0</v>
      </c>
      <c r="M621" s="117" t="n">
        <f aca="false">C623*Scoring!$B$34+D623/Scoring!$C$34+E623*Scoring!$D$34+WR!F623*Scoring!$E$34+WR!G623/Scoring!$F$34+WR!H623*Scoring!$G$34+WR!I623*Scoring!$H$34+K623*Scoring!$I$34+WR!L623*Scoring!$J$34+U621</f>
        <v>0</v>
      </c>
      <c r="N621" s="117" t="n">
        <f aca="false">C621*Scoring!$B$34+D621/Scoring!$C$34+E621*Scoring!$D$34+WR!F621*Scoring!$E$34+WR!G621/Scoring!$F$34+WR!H621*Scoring!$G$34+WR!I621*Scoring!$H$34+K621*Scoring!$I$34+WR!L621*Scoring!$J$34+U621</f>
        <v>0</v>
      </c>
      <c r="O621" s="117" t="n">
        <f aca="false">C622*Scoring!$B$34+D622/Scoring!$C$34+E622*Scoring!$D$34+WR!F622*Scoring!$E$34+WR!G622/Scoring!$F$34+WR!H622*Scoring!$G$34+WR!I622*Scoring!$H$34+K622*Scoring!$I$34+WR!L622*Scoring!$J$34+U621</f>
        <v>0</v>
      </c>
      <c r="P621" s="53" t="n">
        <f aca="false">IF(COUNTIF(Rookies!$A:$A,A621)&gt;0,1,0)</f>
        <v>0</v>
      </c>
      <c r="S621" s="53" t="n">
        <f aca="false">V621/17</f>
        <v>0</v>
      </c>
      <c r="T621" s="53" t="n">
        <f aca="false">IF(P621=1,MAX(0,0.28*(12-S621)),0)</f>
        <v>0</v>
      </c>
      <c r="U621" s="53" t="n">
        <f aca="false">T621*17</f>
        <v>0</v>
      </c>
      <c r="V621" s="53" t="n">
        <f aca="false">C621*Scoring!$B$34+D621/Scoring!$C$34+E621*Scoring!$D$34+WR!F621*Scoring!$E$34+WR!G621/Scoring!$F$34+WR!H621*Scoring!$G$34+WR!I621*Scoring!$H$34+K621*Scoring!$I$34+WR!L621*Scoring!$J$34</f>
        <v>0</v>
      </c>
    </row>
    <row r="622" customFormat="false" ht="14.25" hidden="false" customHeight="true" outlineLevel="0" collapsed="false">
      <c r="K622" s="115" t="n">
        <f aca="false">IFERROR(G622/F622/6.89*0.427*F622,0)</f>
        <v>0</v>
      </c>
      <c r="L622" s="115" t="n">
        <f aca="false">IFERROR(D622/C622/12.87*0.633*C622,0)</f>
        <v>0</v>
      </c>
      <c r="M622" s="118"/>
      <c r="N622" s="118"/>
      <c r="O622" s="118"/>
    </row>
    <row r="623" customFormat="false" ht="14.25" hidden="false" customHeight="true" outlineLevel="0" collapsed="false">
      <c r="K623" s="115" t="n">
        <f aca="false">IFERROR(G623/F623/6.89*0.427*F623,0)</f>
        <v>0</v>
      </c>
      <c r="L623" s="115" t="n">
        <f aca="false">IFERROR(D623/C623/12.87*0.633*C623,0)</f>
        <v>0</v>
      </c>
      <c r="M623" s="118"/>
      <c r="N623" s="118"/>
      <c r="O623" s="118"/>
    </row>
    <row r="624" customFormat="false" ht="14.25" hidden="false" customHeight="true" outlineLevel="0" collapsed="false">
      <c r="K624" s="115" t="n">
        <f aca="false">IFERROR(G624/F624/6.89*0.427*F624,0)</f>
        <v>0</v>
      </c>
      <c r="L624" s="115" t="n">
        <f aca="false">IFERROR(D624/C624/12.87*0.633*C624,0)</f>
        <v>0</v>
      </c>
      <c r="M624" s="117" t="n">
        <f aca="false">C626*Scoring!$B$34+D626/Scoring!$C$34+E626*Scoring!$D$34+WR!F626*Scoring!$E$34+WR!G626/Scoring!$F$34+WR!H626*Scoring!$G$34+WR!I626*Scoring!$H$34+K626*Scoring!$I$34+WR!L626*Scoring!$J$34+U624</f>
        <v>0</v>
      </c>
      <c r="N624" s="117" t="n">
        <f aca="false">C624*Scoring!$B$34+D624/Scoring!$C$34+E624*Scoring!$D$34+WR!F624*Scoring!$E$34+WR!G624/Scoring!$F$34+WR!H624*Scoring!$G$34+WR!I624*Scoring!$H$34+K624*Scoring!$I$34+WR!L624*Scoring!$J$34+U624</f>
        <v>0</v>
      </c>
      <c r="O624" s="117" t="n">
        <f aca="false">C625*Scoring!$B$34+D625/Scoring!$C$34+E625*Scoring!$D$34+WR!F625*Scoring!$E$34+WR!G625/Scoring!$F$34+WR!H625*Scoring!$G$34+WR!I625*Scoring!$H$34+K625*Scoring!$I$34+WR!L625*Scoring!$J$34+U624</f>
        <v>0</v>
      </c>
      <c r="P624" s="53" t="n">
        <f aca="false">IF(COUNTIF(Rookies!$A:$A,A624)&gt;0,1,0)</f>
        <v>0</v>
      </c>
      <c r="S624" s="53" t="n">
        <f aca="false">V624/17</f>
        <v>0</v>
      </c>
      <c r="T624" s="53" t="n">
        <f aca="false">IF(P624=1,MAX(0,0.28*(12-S624)),0)</f>
        <v>0</v>
      </c>
      <c r="U624" s="53" t="n">
        <f aca="false">T624*17</f>
        <v>0</v>
      </c>
      <c r="V624" s="53" t="n">
        <f aca="false">C624*Scoring!$B$34+D624/Scoring!$C$34+E624*Scoring!$D$34+WR!F624*Scoring!$E$34+WR!G624/Scoring!$F$34+WR!H624*Scoring!$G$34+WR!I624*Scoring!$H$34+K624*Scoring!$I$34+WR!L624*Scoring!$J$34</f>
        <v>0</v>
      </c>
    </row>
    <row r="625" customFormat="false" ht="14.25" hidden="false" customHeight="true" outlineLevel="0" collapsed="false">
      <c r="K625" s="115" t="n">
        <f aca="false">IFERROR(G625/F625/6.89*0.427*F625,0)</f>
        <v>0</v>
      </c>
      <c r="L625" s="115" t="n">
        <f aca="false">IFERROR(D625/C625/12.87*0.633*C625,0)</f>
        <v>0</v>
      </c>
      <c r="M625" s="118"/>
      <c r="N625" s="118"/>
      <c r="O625" s="118"/>
    </row>
    <row r="626" customFormat="false" ht="14.25" hidden="false" customHeight="true" outlineLevel="0" collapsed="false">
      <c r="K626" s="115" t="n">
        <f aca="false">IFERROR(G626/F626/6.89*0.427*F626,0)</f>
        <v>0</v>
      </c>
      <c r="L626" s="115" t="n">
        <f aca="false">IFERROR(D626/C626/12.87*0.633*C626,0)</f>
        <v>0</v>
      </c>
      <c r="M626" s="118"/>
      <c r="N626" s="118"/>
      <c r="O626" s="118"/>
    </row>
    <row r="627" customFormat="false" ht="14.25" hidden="false" customHeight="true" outlineLevel="0" collapsed="false">
      <c r="K627" s="115" t="n">
        <f aca="false">IFERROR(G627/F627/6.89*0.427*F627,0)</f>
        <v>0</v>
      </c>
      <c r="L627" s="115" t="n">
        <f aca="false">IFERROR(D627/C627/12.87*0.633*C627,0)</f>
        <v>0</v>
      </c>
      <c r="M627" s="117" t="n">
        <f aca="false">C629*Scoring!$B$34+D629/Scoring!$C$34+E629*Scoring!$D$34+WR!F629*Scoring!$E$34+WR!G629/Scoring!$F$34+WR!H629*Scoring!$G$34+WR!I629*Scoring!$H$34+K629*Scoring!$I$34+WR!L629*Scoring!$J$34+U627</f>
        <v>0</v>
      </c>
      <c r="N627" s="117" t="n">
        <f aca="false">C627*Scoring!$B$34+D627/Scoring!$C$34+E627*Scoring!$D$34+WR!F627*Scoring!$E$34+WR!G627/Scoring!$F$34+WR!H627*Scoring!$G$34+WR!I627*Scoring!$H$34+K627*Scoring!$I$34+WR!L627*Scoring!$J$34+U627</f>
        <v>0</v>
      </c>
      <c r="O627" s="117" t="n">
        <f aca="false">C628*Scoring!$B$34+D628/Scoring!$C$34+E628*Scoring!$D$34+WR!F628*Scoring!$E$34+WR!G628/Scoring!$F$34+WR!H628*Scoring!$G$34+WR!I628*Scoring!$H$34+K628*Scoring!$I$34+WR!L628*Scoring!$J$34+U627</f>
        <v>0</v>
      </c>
      <c r="P627" s="53" t="n">
        <f aca="false">IF(COUNTIF(Rookies!$A:$A,A627)&gt;0,1,0)</f>
        <v>0</v>
      </c>
      <c r="S627" s="53" t="n">
        <f aca="false">V627/17</f>
        <v>0</v>
      </c>
      <c r="T627" s="53" t="n">
        <f aca="false">IF(P627=1,MAX(0,0.28*(12-S627)),0)</f>
        <v>0</v>
      </c>
      <c r="U627" s="53" t="n">
        <f aca="false">T627*17</f>
        <v>0</v>
      </c>
      <c r="V627" s="53" t="n">
        <f aca="false">C627*Scoring!$B$34+D627/Scoring!$C$34+E627*Scoring!$D$34+WR!F627*Scoring!$E$34+WR!G627/Scoring!$F$34+WR!H627*Scoring!$G$34+WR!I627*Scoring!$H$34+K627*Scoring!$I$34+WR!L627*Scoring!$J$34</f>
        <v>0</v>
      </c>
    </row>
    <row r="628" customFormat="false" ht="14.25" hidden="false" customHeight="true" outlineLevel="0" collapsed="false">
      <c r="K628" s="115" t="n">
        <f aca="false">IFERROR(G628/F628/6.89*0.427*F628,0)</f>
        <v>0</v>
      </c>
      <c r="L628" s="115" t="n">
        <f aca="false">IFERROR(D628/C628/12.87*0.633*C628,0)</f>
        <v>0</v>
      </c>
      <c r="M628" s="118"/>
      <c r="N628" s="118"/>
      <c r="O628" s="118"/>
    </row>
    <row r="629" customFormat="false" ht="14.25" hidden="false" customHeight="true" outlineLevel="0" collapsed="false">
      <c r="K629" s="115" t="n">
        <f aca="false">IFERROR(G629/F629/6.89*0.427*F629,0)</f>
        <v>0</v>
      </c>
      <c r="L629" s="115" t="n">
        <f aca="false">IFERROR(D629/C629/12.87*0.633*C629,0)</f>
        <v>0</v>
      </c>
      <c r="M629" s="118"/>
      <c r="N629" s="118"/>
      <c r="O629" s="118"/>
    </row>
    <row r="630" customFormat="false" ht="14.25" hidden="false" customHeight="true" outlineLevel="0" collapsed="false">
      <c r="K630" s="115" t="n">
        <f aca="false">IFERROR(G630/F630/6.89*0.427*F630,0)</f>
        <v>0</v>
      </c>
      <c r="L630" s="115" t="n">
        <f aca="false">IFERROR(D630/C630/12.87*0.633*C630,0)</f>
        <v>0</v>
      </c>
      <c r="M630" s="117" t="n">
        <f aca="false">C632*Scoring!$B$34+D632/Scoring!$C$34+E632*Scoring!$D$34+WR!F632*Scoring!$E$34+WR!G632/Scoring!$F$34+WR!H632*Scoring!$G$34+WR!I632*Scoring!$H$34+K632*Scoring!$I$34+WR!L632*Scoring!$J$34+U630</f>
        <v>0</v>
      </c>
      <c r="N630" s="117" t="n">
        <f aca="false">C630*Scoring!$B$34+D630/Scoring!$C$34+E630*Scoring!$D$34+WR!F630*Scoring!$E$34+WR!G630/Scoring!$F$34+WR!H630*Scoring!$G$34+WR!I630*Scoring!$H$34+K630*Scoring!$I$34+WR!L630*Scoring!$J$34+U630</f>
        <v>0</v>
      </c>
      <c r="O630" s="117" t="n">
        <f aca="false">C631*Scoring!$B$34+D631/Scoring!$C$34+E631*Scoring!$D$34+WR!F631*Scoring!$E$34+WR!G631/Scoring!$F$34+WR!H631*Scoring!$G$34+WR!I631*Scoring!$H$34+K631*Scoring!$I$34+WR!L631*Scoring!$J$34+U630</f>
        <v>0</v>
      </c>
      <c r="P630" s="53" t="n">
        <f aca="false">IF(COUNTIF(Rookies!$A:$A,A630)&gt;0,1,0)</f>
        <v>0</v>
      </c>
      <c r="S630" s="53" t="n">
        <f aca="false">V630/17</f>
        <v>0</v>
      </c>
      <c r="T630" s="53" t="n">
        <f aca="false">IF(P630=1,MAX(0,0.28*(12-S630)),0)</f>
        <v>0</v>
      </c>
      <c r="U630" s="53" t="n">
        <f aca="false">T630*17</f>
        <v>0</v>
      </c>
      <c r="V630" s="53" t="n">
        <f aca="false">C630*Scoring!$B$34+D630/Scoring!$C$34+E630*Scoring!$D$34+WR!F630*Scoring!$E$34+WR!G630/Scoring!$F$34+WR!H630*Scoring!$G$34+WR!I630*Scoring!$H$34+K630*Scoring!$I$34+WR!L630*Scoring!$J$34</f>
        <v>0</v>
      </c>
    </row>
    <row r="631" customFormat="false" ht="14.25" hidden="false" customHeight="true" outlineLevel="0" collapsed="false">
      <c r="K631" s="115" t="n">
        <f aca="false">IFERROR(G631/F631/6.89*0.427*F631,0)</f>
        <v>0</v>
      </c>
      <c r="L631" s="115" t="n">
        <f aca="false">IFERROR(D631/C631/12.87*0.633*C631,0)</f>
        <v>0</v>
      </c>
      <c r="M631" s="118"/>
      <c r="N631" s="118"/>
      <c r="O631" s="118"/>
    </row>
    <row r="632" customFormat="false" ht="14.25" hidden="false" customHeight="true" outlineLevel="0" collapsed="false">
      <c r="K632" s="115" t="n">
        <f aca="false">IFERROR(G632/F632/6.89*0.427*F632,0)</f>
        <v>0</v>
      </c>
      <c r="L632" s="115" t="n">
        <f aca="false">IFERROR(D632/C632/12.87*0.633*C632,0)</f>
        <v>0</v>
      </c>
      <c r="M632" s="118"/>
      <c r="N632" s="118"/>
      <c r="O632" s="118"/>
    </row>
    <row r="633" customFormat="false" ht="14.25" hidden="false" customHeight="true" outlineLevel="0" collapsed="false">
      <c r="K633" s="115" t="n">
        <f aca="false">IFERROR(G633/F633/6.89*0.427*F633,0)</f>
        <v>0</v>
      </c>
      <c r="L633" s="115" t="n">
        <f aca="false">IFERROR(D633/C633/12.87*0.633*C633,0)</f>
        <v>0</v>
      </c>
      <c r="M633" s="117" t="n">
        <f aca="false">C635*Scoring!$B$34+D635/Scoring!$C$34+E635*Scoring!$D$34+WR!F635*Scoring!$E$34+WR!G635/Scoring!$F$34+WR!H635*Scoring!$G$34+WR!I635*Scoring!$H$34+K635*Scoring!$I$34+WR!L635*Scoring!$J$34+U633</f>
        <v>0</v>
      </c>
      <c r="N633" s="117" t="n">
        <f aca="false">C633*Scoring!$B$34+D633/Scoring!$C$34+E633*Scoring!$D$34+WR!F633*Scoring!$E$34+WR!G633/Scoring!$F$34+WR!H633*Scoring!$G$34+WR!I633*Scoring!$H$34+K633*Scoring!$I$34+WR!L633*Scoring!$J$34+U633</f>
        <v>0</v>
      </c>
      <c r="O633" s="117" t="n">
        <f aca="false">C634*Scoring!$B$34+D634/Scoring!$C$34+E634*Scoring!$D$34+WR!F634*Scoring!$E$34+WR!G634/Scoring!$F$34+WR!H634*Scoring!$G$34+WR!I634*Scoring!$H$34+K634*Scoring!$I$34+WR!L634*Scoring!$J$34+U633</f>
        <v>0</v>
      </c>
      <c r="P633" s="53" t="n">
        <f aca="false">IF(COUNTIF(Rookies!$A:$A,A633)&gt;0,1,0)</f>
        <v>0</v>
      </c>
      <c r="S633" s="53" t="n">
        <f aca="false">V633/17</f>
        <v>0</v>
      </c>
      <c r="T633" s="53" t="n">
        <f aca="false">IF(P633=1,MAX(0,0.28*(12-S633)),0)</f>
        <v>0</v>
      </c>
      <c r="U633" s="53" t="n">
        <f aca="false">T633*17</f>
        <v>0</v>
      </c>
      <c r="V633" s="53" t="n">
        <f aca="false">C633*Scoring!$B$34+D633/Scoring!$C$34+E633*Scoring!$D$34+WR!F633*Scoring!$E$34+WR!G633/Scoring!$F$34+WR!H633*Scoring!$G$34+WR!I633*Scoring!$H$34+K633*Scoring!$I$34+WR!L633*Scoring!$J$34</f>
        <v>0</v>
      </c>
    </row>
    <row r="634" customFormat="false" ht="14.25" hidden="false" customHeight="true" outlineLevel="0" collapsed="false">
      <c r="K634" s="115" t="n">
        <f aca="false">IFERROR(G634/F634/6.89*0.427*F634,0)</f>
        <v>0</v>
      </c>
      <c r="L634" s="115" t="n">
        <f aca="false">IFERROR(D634/C634/12.87*0.633*C634,0)</f>
        <v>0</v>
      </c>
      <c r="M634" s="118"/>
      <c r="N634" s="118"/>
      <c r="O634" s="118"/>
    </row>
    <row r="635" customFormat="false" ht="14.25" hidden="false" customHeight="true" outlineLevel="0" collapsed="false">
      <c r="K635" s="115" t="n">
        <f aca="false">IFERROR(G635/F635/6.89*0.427*F635,0)</f>
        <v>0</v>
      </c>
      <c r="L635" s="115" t="n">
        <f aca="false">IFERROR(D635/C635/12.87*0.633*C635,0)</f>
        <v>0</v>
      </c>
      <c r="M635" s="118"/>
      <c r="N635" s="118"/>
      <c r="O635" s="118"/>
    </row>
    <row r="636" customFormat="false" ht="14.25" hidden="false" customHeight="true" outlineLevel="0" collapsed="false">
      <c r="K636" s="115" t="n">
        <f aca="false">IFERROR(G636/F636/6.89*0.427*F636,0)</f>
        <v>0</v>
      </c>
      <c r="L636" s="115" t="n">
        <f aca="false">IFERROR(D636/C636/12.87*0.633*C636,0)</f>
        <v>0</v>
      </c>
      <c r="M636" s="117" t="n">
        <f aca="false">C638*Scoring!$B$34+D638/Scoring!$C$34+E638*Scoring!$D$34+WR!F638*Scoring!$E$34+WR!G638/Scoring!$F$34+WR!H638*Scoring!$G$34+WR!I638*Scoring!$H$34+K638*Scoring!$I$34+WR!L638*Scoring!$J$34+U636</f>
        <v>0</v>
      </c>
      <c r="N636" s="117" t="n">
        <f aca="false">C636*Scoring!$B$34+D636/Scoring!$C$34+E636*Scoring!$D$34+WR!F636*Scoring!$E$34+WR!G636/Scoring!$F$34+WR!H636*Scoring!$G$34+WR!I636*Scoring!$H$34+K636*Scoring!$I$34+WR!L636*Scoring!$J$34+U636</f>
        <v>0</v>
      </c>
      <c r="O636" s="117" t="n">
        <f aca="false">C637*Scoring!$B$34+D637/Scoring!$C$34+E637*Scoring!$D$34+WR!F637*Scoring!$E$34+WR!G637/Scoring!$F$34+WR!H637*Scoring!$G$34+WR!I637*Scoring!$H$34+K637*Scoring!$I$34+WR!L637*Scoring!$J$34+U636</f>
        <v>0</v>
      </c>
      <c r="P636" s="53" t="n">
        <f aca="false">IF(COUNTIF(Rookies!$A:$A,A636)&gt;0,1,0)</f>
        <v>0</v>
      </c>
      <c r="S636" s="53" t="n">
        <f aca="false">V636/17</f>
        <v>0</v>
      </c>
      <c r="T636" s="53" t="n">
        <f aca="false">IF(P636=1,MAX(0,0.28*(12-S636)),0)</f>
        <v>0</v>
      </c>
      <c r="U636" s="53" t="n">
        <f aca="false">T636*17</f>
        <v>0</v>
      </c>
      <c r="V636" s="53" t="n">
        <f aca="false">C636*Scoring!$B$34+D636/Scoring!$C$34+E636*Scoring!$D$34+WR!F636*Scoring!$E$34+WR!G636/Scoring!$F$34+WR!H636*Scoring!$G$34+WR!I636*Scoring!$H$34+K636*Scoring!$I$34+WR!L636*Scoring!$J$34</f>
        <v>0</v>
      </c>
    </row>
    <row r="637" customFormat="false" ht="14.25" hidden="false" customHeight="true" outlineLevel="0" collapsed="false">
      <c r="K637" s="115" t="n">
        <f aca="false">IFERROR(G637/F637/6.89*0.427*F637,0)</f>
        <v>0</v>
      </c>
      <c r="L637" s="115" t="n">
        <f aca="false">IFERROR(D637/C637/12.87*0.633*C637,0)</f>
        <v>0</v>
      </c>
      <c r="M637" s="118"/>
      <c r="N637" s="118"/>
      <c r="O637" s="118"/>
    </row>
    <row r="638" customFormat="false" ht="14.25" hidden="false" customHeight="true" outlineLevel="0" collapsed="false">
      <c r="K638" s="115" t="n">
        <f aca="false">IFERROR(G638/F638/6.89*0.427*F638,0)</f>
        <v>0</v>
      </c>
      <c r="L638" s="115" t="n">
        <f aca="false">IFERROR(D638/C638/12.87*0.633*C638,0)</f>
        <v>0</v>
      </c>
      <c r="M638" s="118"/>
      <c r="N638" s="118"/>
      <c r="O638" s="118"/>
    </row>
    <row r="639" customFormat="false" ht="14.25" hidden="false" customHeight="true" outlineLevel="0" collapsed="false">
      <c r="K639" s="115" t="n">
        <f aca="false">IFERROR(G639/F639/6.89*0.427*F639,0)</f>
        <v>0</v>
      </c>
      <c r="L639" s="115" t="n">
        <f aca="false">IFERROR(D639/C639/12.87*0.633*C639,0)</f>
        <v>0</v>
      </c>
      <c r="M639" s="117" t="n">
        <f aca="false">C641*Scoring!$B$34+D641/Scoring!$C$34+E641*Scoring!$D$34+WR!F641*Scoring!$E$34+WR!G641/Scoring!$F$34+WR!H641*Scoring!$G$34+WR!I641*Scoring!$H$34+K641*Scoring!$I$34+WR!L641*Scoring!$J$34+U639</f>
        <v>0</v>
      </c>
      <c r="N639" s="117" t="n">
        <f aca="false">C639*Scoring!$B$34+D639/Scoring!$C$34+E639*Scoring!$D$34+WR!F639*Scoring!$E$34+WR!G639/Scoring!$F$34+WR!H639*Scoring!$G$34+WR!I639*Scoring!$H$34+K639*Scoring!$I$34+WR!L639*Scoring!$J$34+U639</f>
        <v>0</v>
      </c>
      <c r="O639" s="117" t="n">
        <f aca="false">C640*Scoring!$B$34+D640/Scoring!$C$34+E640*Scoring!$D$34+WR!F640*Scoring!$E$34+WR!G640/Scoring!$F$34+WR!H640*Scoring!$G$34+WR!I640*Scoring!$H$34+K640*Scoring!$I$34+WR!L640*Scoring!$J$34+U639</f>
        <v>0</v>
      </c>
      <c r="P639" s="53" t="n">
        <f aca="false">IF(COUNTIF(Rookies!$A:$A,A639)&gt;0,1,0)</f>
        <v>0</v>
      </c>
      <c r="S639" s="53" t="n">
        <f aca="false">V639/17</f>
        <v>0</v>
      </c>
      <c r="T639" s="53" t="n">
        <f aca="false">IF(P639=1,MAX(0,0.28*(12-S639)),0)</f>
        <v>0</v>
      </c>
      <c r="U639" s="53" t="n">
        <f aca="false">T639*17</f>
        <v>0</v>
      </c>
      <c r="V639" s="53" t="n">
        <f aca="false">C639*Scoring!$B$34+D639/Scoring!$C$34+E639*Scoring!$D$34+WR!F639*Scoring!$E$34+WR!G639/Scoring!$F$34+WR!H639*Scoring!$G$34+WR!I639*Scoring!$H$34+K639*Scoring!$I$34+WR!L639*Scoring!$J$34</f>
        <v>0</v>
      </c>
    </row>
    <row r="640" customFormat="false" ht="14.25" hidden="false" customHeight="true" outlineLevel="0" collapsed="false">
      <c r="K640" s="115" t="n">
        <f aca="false">IFERROR(G640/F640/6.89*0.427*F640,0)</f>
        <v>0</v>
      </c>
      <c r="L640" s="115" t="n">
        <f aca="false">IFERROR(D640/C640/12.87*0.633*C640,0)</f>
        <v>0</v>
      </c>
      <c r="M640" s="118"/>
      <c r="N640" s="118"/>
      <c r="O640" s="118"/>
    </row>
    <row r="641" customFormat="false" ht="14.25" hidden="false" customHeight="true" outlineLevel="0" collapsed="false">
      <c r="K641" s="115" t="n">
        <f aca="false">IFERROR(G641/F641/6.89*0.427*F641,0)</f>
        <v>0</v>
      </c>
      <c r="L641" s="115" t="n">
        <f aca="false">IFERROR(D641/C641/12.87*0.633*C641,0)</f>
        <v>0</v>
      </c>
      <c r="M641" s="118"/>
      <c r="N641" s="118"/>
      <c r="O641" s="118"/>
    </row>
    <row r="642" customFormat="false" ht="14.25" hidden="false" customHeight="true" outlineLevel="0" collapsed="false">
      <c r="K642" s="115" t="n">
        <f aca="false">IFERROR(G642/F642/6.89*0.427*F642,0)</f>
        <v>0</v>
      </c>
      <c r="L642" s="115" t="n">
        <f aca="false">IFERROR(D642/C642/12.87*0.633*C642,0)</f>
        <v>0</v>
      </c>
      <c r="M642" s="117" t="n">
        <f aca="false">C644*Scoring!$B$34+D644/Scoring!$C$34+E644*Scoring!$D$34+WR!F644*Scoring!$E$34+WR!G644/Scoring!$F$34+WR!H644*Scoring!$G$34+WR!I644*Scoring!$H$34+K644*Scoring!$I$34+WR!L644*Scoring!$J$34+U642</f>
        <v>0</v>
      </c>
      <c r="N642" s="117" t="n">
        <f aca="false">C642*Scoring!$B$34+D642/Scoring!$C$34+E642*Scoring!$D$34+WR!F642*Scoring!$E$34+WR!G642/Scoring!$F$34+WR!H642*Scoring!$G$34+WR!I642*Scoring!$H$34+K642*Scoring!$I$34+WR!L642*Scoring!$J$34+U642</f>
        <v>0</v>
      </c>
      <c r="O642" s="117" t="n">
        <f aca="false">C643*Scoring!$B$34+D643/Scoring!$C$34+E643*Scoring!$D$34+WR!F643*Scoring!$E$34+WR!G643/Scoring!$F$34+WR!H643*Scoring!$G$34+WR!I643*Scoring!$H$34+K643*Scoring!$I$34+WR!L643*Scoring!$J$34+U642</f>
        <v>0</v>
      </c>
    </row>
    <row r="643" customFormat="false" ht="14.25" hidden="false" customHeight="true" outlineLevel="0" collapsed="false">
      <c r="K643" s="115" t="n">
        <f aca="false">IFERROR(G643/F643/6.89*0.427*F643,0)</f>
        <v>0</v>
      </c>
      <c r="L643" s="115" t="n">
        <f aca="false">IFERROR(D643/C643/12.87*0.633*C643,0)</f>
        <v>0</v>
      </c>
      <c r="M643" s="118"/>
      <c r="N643" s="118"/>
      <c r="O643" s="118"/>
    </row>
    <row r="644" customFormat="false" ht="14.25" hidden="false" customHeight="true" outlineLevel="0" collapsed="false">
      <c r="K644" s="115" t="n">
        <f aca="false">IFERROR(G644/F644/6.89*0.427*F644,0)</f>
        <v>0</v>
      </c>
      <c r="L644" s="115" t="n">
        <f aca="false">IFERROR(D644/C644/12.87*0.633*C644,0)</f>
        <v>0</v>
      </c>
      <c r="M644" s="118"/>
      <c r="N644" s="118"/>
      <c r="O644" s="118"/>
    </row>
    <row r="645" customFormat="false" ht="14.25" hidden="false" customHeight="true" outlineLevel="0" collapsed="false">
      <c r="K645" s="115" t="n">
        <f aca="false">IFERROR(G645/F645/6.89*0.427*F645,0)</f>
        <v>0</v>
      </c>
      <c r="L645" s="115" t="n">
        <f aca="false">IFERROR(D645/C645/12.87*0.633*C645,0)</f>
        <v>0</v>
      </c>
      <c r="M645" s="117" t="n">
        <f aca="false">C647*Scoring!$B$34+D647/Scoring!$C$34+E647*Scoring!$D$34+WR!F647*Scoring!$E$34+WR!G647/Scoring!$F$34+WR!H647*Scoring!$G$34+WR!I647*Scoring!$H$34+K647*Scoring!$I$34+WR!L647*Scoring!$J$34+U645</f>
        <v>0</v>
      </c>
      <c r="N645" s="117" t="n">
        <f aca="false">C645*Scoring!$B$34+D645/Scoring!$C$34+E645*Scoring!$D$34+WR!F645*Scoring!$E$34+WR!G645/Scoring!$F$34+WR!H645*Scoring!$G$34+WR!I645*Scoring!$H$34+K645*Scoring!$I$34+WR!L645*Scoring!$J$34+U645</f>
        <v>0</v>
      </c>
      <c r="O645" s="117" t="n">
        <f aca="false">C646*Scoring!$B$34+D646/Scoring!$C$34+E646*Scoring!$D$34+WR!F646*Scoring!$E$34+WR!G646/Scoring!$F$34+WR!H646*Scoring!$G$34+WR!I646*Scoring!$H$34+K646*Scoring!$I$34+WR!L646*Scoring!$J$34+U645</f>
        <v>0</v>
      </c>
    </row>
    <row r="646" customFormat="false" ht="14.25" hidden="false" customHeight="true" outlineLevel="0" collapsed="false">
      <c r="K646" s="115" t="n">
        <f aca="false">IFERROR(G646/F646/6.89*0.427*F646,0)</f>
        <v>0</v>
      </c>
      <c r="L646" s="115" t="n">
        <f aca="false">IFERROR(D646/C646/12.87*0.633*C646,0)</f>
        <v>0</v>
      </c>
      <c r="M646" s="118"/>
      <c r="N646" s="118"/>
      <c r="O646" s="118"/>
    </row>
    <row r="647" customFormat="false" ht="14.25" hidden="false" customHeight="true" outlineLevel="0" collapsed="false">
      <c r="K647" s="115" t="n">
        <f aca="false">IFERROR(G647/F647/6.89*0.427*F647,0)</f>
        <v>0</v>
      </c>
      <c r="L647" s="115" t="n">
        <f aca="false">IFERROR(D647/C647/12.87*0.633*C647,0)</f>
        <v>0</v>
      </c>
      <c r="M647" s="118"/>
      <c r="N647" s="118"/>
      <c r="O647" s="118"/>
    </row>
    <row r="648" customFormat="false" ht="14.25" hidden="false" customHeight="true" outlineLevel="0" collapsed="false">
      <c r="K648" s="115" t="n">
        <f aca="false">IFERROR(G648/F648/6.89*0.427*F648,0)</f>
        <v>0</v>
      </c>
      <c r="L648" s="115" t="n">
        <f aca="false">IFERROR(D648/C648/12.87*0.633*C648,0)</f>
        <v>0</v>
      </c>
      <c r="M648" s="117" t="n">
        <f aca="false">C650*Scoring!$B$34+D650/Scoring!$C$34+E650*Scoring!$D$34+WR!F650*Scoring!$E$34+WR!G650/Scoring!$F$34+WR!H650*Scoring!$G$34+WR!I650*Scoring!$H$34+K650*Scoring!$I$34+WR!L650*Scoring!$J$34+U648</f>
        <v>0</v>
      </c>
      <c r="N648" s="117" t="n">
        <f aca="false">C648*Scoring!$B$34+D648/Scoring!$C$34+E648*Scoring!$D$34+WR!F648*Scoring!$E$34+WR!G648/Scoring!$F$34+WR!H648*Scoring!$G$34+WR!I648*Scoring!$H$34+K648*Scoring!$I$34+WR!L648*Scoring!$J$34+U648</f>
        <v>0</v>
      </c>
      <c r="O648" s="117" t="n">
        <f aca="false">C649*Scoring!$B$34+D649/Scoring!$C$34+E649*Scoring!$D$34+WR!F649*Scoring!$E$34+WR!G649/Scoring!$F$34+WR!H649*Scoring!$G$34+WR!I649*Scoring!$H$34+K649*Scoring!$I$34+WR!L649*Scoring!$J$34+U648</f>
        <v>0</v>
      </c>
    </row>
    <row r="649" customFormat="false" ht="14.25" hidden="false" customHeight="true" outlineLevel="0" collapsed="false">
      <c r="K649" s="115" t="n">
        <f aca="false">IFERROR(G649/F649/6.89*0.427*F649,0)</f>
        <v>0</v>
      </c>
      <c r="L649" s="115" t="n">
        <f aca="false">IFERROR(D649/C649/12.87*0.633*C649,0)</f>
        <v>0</v>
      </c>
      <c r="M649" s="118"/>
      <c r="N649" s="118"/>
      <c r="O649" s="118"/>
    </row>
    <row r="650" customFormat="false" ht="14.25" hidden="false" customHeight="true" outlineLevel="0" collapsed="false">
      <c r="K650" s="115" t="n">
        <f aca="false">IFERROR(G650/F650/6.89*0.427*F650,0)</f>
        <v>0</v>
      </c>
      <c r="L650" s="115" t="n">
        <f aca="false">IFERROR(D650/C650/12.87*0.633*C650,0)</f>
        <v>0</v>
      </c>
      <c r="M650" s="118"/>
      <c r="N650" s="118"/>
      <c r="O650" s="118"/>
    </row>
    <row r="651" customFormat="false" ht="14.25" hidden="false" customHeight="true" outlineLevel="0" collapsed="false">
      <c r="K651" s="115" t="n">
        <f aca="false">IFERROR(G651/F651/6.89*0.427*F651,0)</f>
        <v>0</v>
      </c>
      <c r="L651" s="115" t="n">
        <f aca="false">IFERROR(D651/C651/12.87*0.633*C651,0)</f>
        <v>0</v>
      </c>
      <c r="M651" s="117" t="n">
        <f aca="false">C653*Scoring!$B$34+D653/Scoring!$C$34+E653*Scoring!$D$34+WR!F653*Scoring!$E$34+WR!G653/Scoring!$F$34+WR!H653*Scoring!$G$34+WR!I653*Scoring!$H$34+K653*Scoring!$I$34+WR!L653*Scoring!$J$34+U651</f>
        <v>0</v>
      </c>
      <c r="N651" s="117" t="n">
        <f aca="false">C651*Scoring!$B$34+D651/Scoring!$C$34+E651*Scoring!$D$34+WR!F651*Scoring!$E$34+WR!G651/Scoring!$F$34+WR!H651*Scoring!$G$34+WR!I651*Scoring!$H$34+K651*Scoring!$I$34+WR!L651*Scoring!$J$34+U651</f>
        <v>0</v>
      </c>
      <c r="O651" s="117" t="n">
        <f aca="false">C652*Scoring!$B$34+D652/Scoring!$C$34+E652*Scoring!$D$34+WR!F652*Scoring!$E$34+WR!G652/Scoring!$F$34+WR!H652*Scoring!$G$34+WR!I652*Scoring!$H$34+K652*Scoring!$I$34+WR!L652*Scoring!$J$34+U651</f>
        <v>0</v>
      </c>
    </row>
    <row r="652" customFormat="false" ht="14.25" hidden="false" customHeight="true" outlineLevel="0" collapsed="false">
      <c r="K652" s="115" t="n">
        <f aca="false">IFERROR(G652/F652/6.89*0.427*F652,0)</f>
        <v>0</v>
      </c>
      <c r="L652" s="115" t="n">
        <f aca="false">IFERROR(D652/C652/12.87*0.633*C652,0)</f>
        <v>0</v>
      </c>
      <c r="M652" s="118"/>
      <c r="N652" s="118"/>
      <c r="O652" s="118"/>
    </row>
    <row r="653" customFormat="false" ht="14.25" hidden="false" customHeight="true" outlineLevel="0" collapsed="false">
      <c r="K653" s="115" t="n">
        <f aca="false">IFERROR(G653/F653/6.89*0.427*F653,0)</f>
        <v>0</v>
      </c>
      <c r="L653" s="115" t="n">
        <f aca="false">IFERROR(D653/C653/12.87*0.633*C653,0)</f>
        <v>0</v>
      </c>
      <c r="M653" s="118"/>
      <c r="N653" s="118"/>
      <c r="O653" s="118"/>
    </row>
    <row r="654" customFormat="false" ht="14.25" hidden="false" customHeight="true" outlineLevel="0" collapsed="false">
      <c r="K654" s="115" t="n">
        <f aca="false">IFERROR(G654/F654/6.89*0.427*F654,0)</f>
        <v>0</v>
      </c>
      <c r="L654" s="115" t="n">
        <f aca="false">IFERROR(D654/C654/12.87*0.633*C654,0)</f>
        <v>0</v>
      </c>
      <c r="M654" s="117" t="n">
        <f aca="false">C656*Scoring!$B$34+D656/Scoring!$C$34+E656*Scoring!$D$34+WR!F656*Scoring!$E$34+WR!G656/Scoring!$F$34+WR!H656*Scoring!$G$34+WR!I656*Scoring!$H$34+K656*Scoring!$I$34+WR!L656*Scoring!$J$34+U654</f>
        <v>0</v>
      </c>
      <c r="N654" s="117" t="n">
        <f aca="false">C654*Scoring!$B$34+D654/Scoring!$C$34+E654*Scoring!$D$34+WR!F654*Scoring!$E$34+WR!G654/Scoring!$F$34+WR!H654*Scoring!$G$34+WR!I654*Scoring!$H$34+K654*Scoring!$I$34+WR!L654*Scoring!$J$34+U654</f>
        <v>0</v>
      </c>
      <c r="O654" s="117" t="n">
        <f aca="false">C655*Scoring!$B$34+D655/Scoring!$C$34+E655*Scoring!$D$34+WR!F655*Scoring!$E$34+WR!G655/Scoring!$F$34+WR!H655*Scoring!$G$34+WR!I655*Scoring!$H$34+K655*Scoring!$I$34+WR!L655*Scoring!$J$34+U654</f>
        <v>0</v>
      </c>
    </row>
    <row r="655" customFormat="false" ht="14.25" hidden="false" customHeight="true" outlineLevel="0" collapsed="false">
      <c r="K655" s="115" t="n">
        <f aca="false">IFERROR(G655/F655/6.89*0.427*F655,0)</f>
        <v>0</v>
      </c>
      <c r="L655" s="115" t="n">
        <f aca="false">IFERROR(D655/C655/12.87*0.633*C655,0)</f>
        <v>0</v>
      </c>
      <c r="M655" s="118"/>
      <c r="N655" s="118"/>
      <c r="O655" s="118"/>
    </row>
    <row r="656" customFormat="false" ht="14.25" hidden="false" customHeight="true" outlineLevel="0" collapsed="false">
      <c r="K656" s="115" t="n">
        <f aca="false">IFERROR(G656/F656/6.89*0.427*F656,0)</f>
        <v>0</v>
      </c>
      <c r="L656" s="115" t="n">
        <f aca="false">IFERROR(D656/C656/12.87*0.633*C656,0)</f>
        <v>0</v>
      </c>
      <c r="M656" s="118"/>
      <c r="N656" s="118"/>
      <c r="O656" s="118"/>
    </row>
    <row r="657" customFormat="false" ht="14.25" hidden="false" customHeight="true" outlineLevel="0" collapsed="false">
      <c r="K657" s="115" t="n">
        <f aca="false">IFERROR(G657/F657/6.89*0.427*F657,0)</f>
        <v>0</v>
      </c>
      <c r="L657" s="115" t="n">
        <f aca="false">IFERROR(D657/C657/12.87*0.633*C657,0)</f>
        <v>0</v>
      </c>
      <c r="M657" s="117" t="n">
        <f aca="false">C659*Scoring!$B$34+D659/Scoring!$C$34+E659*Scoring!$D$34+WR!F659*Scoring!$E$34+WR!G659/Scoring!$F$34+WR!H659*Scoring!$G$34+WR!I659*Scoring!$H$34+K659*Scoring!$I$34+WR!L659*Scoring!$J$34+U657</f>
        <v>0</v>
      </c>
      <c r="N657" s="117" t="n">
        <f aca="false">C657*Scoring!$B$34+D657/Scoring!$C$34+E657*Scoring!$D$34+WR!F657*Scoring!$E$34+WR!G657/Scoring!$F$34+WR!H657*Scoring!$G$34+WR!I657*Scoring!$H$34+K657*Scoring!$I$34+WR!L657*Scoring!$J$34+U657</f>
        <v>0</v>
      </c>
      <c r="O657" s="117" t="n">
        <f aca="false">C658*Scoring!$B$34+D658/Scoring!$C$34+E658*Scoring!$D$34+WR!F658*Scoring!$E$34+WR!G658/Scoring!$F$34+WR!H658*Scoring!$G$34+WR!I658*Scoring!$H$34+K658*Scoring!$I$34+WR!L658*Scoring!$J$34+U657</f>
        <v>0</v>
      </c>
    </row>
    <row r="658" customFormat="false" ht="14.25" hidden="false" customHeight="true" outlineLevel="0" collapsed="false">
      <c r="K658" s="115" t="n">
        <f aca="false">IFERROR(G658/F658/6.89*0.427*F658,0)</f>
        <v>0</v>
      </c>
      <c r="L658" s="115" t="n">
        <f aca="false">IFERROR(D658/C658/12.87*0.633*C658,0)</f>
        <v>0</v>
      </c>
      <c r="M658" s="118"/>
      <c r="N658" s="118"/>
      <c r="O658" s="118"/>
    </row>
    <row r="659" customFormat="false" ht="14.25" hidden="false" customHeight="true" outlineLevel="0" collapsed="false">
      <c r="K659" s="115" t="n">
        <f aca="false">IFERROR(G659/F659/6.89*0.427*F659,0)</f>
        <v>0</v>
      </c>
      <c r="L659" s="115" t="n">
        <f aca="false">IFERROR(D659/C659/12.87*0.633*C659,0)</f>
        <v>0</v>
      </c>
      <c r="M659" s="118"/>
      <c r="N659" s="118"/>
      <c r="O659" s="118"/>
    </row>
    <row r="660" customFormat="false" ht="14.25" hidden="false" customHeight="true" outlineLevel="0" collapsed="false">
      <c r="K660" s="115" t="n">
        <f aca="false">IFERROR(G660/F660/6.89*0.427*F660,0)</f>
        <v>0</v>
      </c>
      <c r="L660" s="115" t="n">
        <f aca="false">IFERROR(D660/C660/12.87*0.633*C660,0)</f>
        <v>0</v>
      </c>
      <c r="M660" s="117" t="n">
        <f aca="false">C662*Scoring!$B$34+D662/Scoring!$C$34+E662*Scoring!$D$34+WR!F662*Scoring!$E$34+WR!G662/Scoring!$F$34+WR!H662*Scoring!$G$34+WR!I662*Scoring!$H$34+K662*Scoring!$I$34+WR!L662*Scoring!$J$34+U660</f>
        <v>0</v>
      </c>
      <c r="N660" s="117" t="n">
        <f aca="false">C660*Scoring!$B$34+D660/Scoring!$C$34+E660*Scoring!$D$34+WR!F660*Scoring!$E$34+WR!G660/Scoring!$F$34+WR!H660*Scoring!$G$34+WR!I660*Scoring!$H$34+K660*Scoring!$I$34+WR!L660*Scoring!$J$34+U660</f>
        <v>0</v>
      </c>
      <c r="O660" s="117" t="n">
        <f aca="false">C661*Scoring!$B$34+D661/Scoring!$C$34+E661*Scoring!$D$34+WR!F661*Scoring!$E$34+WR!G661/Scoring!$F$34+WR!H661*Scoring!$G$34+WR!I661*Scoring!$H$34+K661*Scoring!$I$34+WR!L661*Scoring!$J$34+U660</f>
        <v>0</v>
      </c>
    </row>
    <row r="661" customFormat="false" ht="14.25" hidden="false" customHeight="true" outlineLevel="0" collapsed="false">
      <c r="K661" s="115" t="n">
        <f aca="false">IFERROR(G661/F661/6.89*0.427*F661,0)</f>
        <v>0</v>
      </c>
      <c r="L661" s="115" t="n">
        <f aca="false">IFERROR(D661/C661/12.87*0.633*C661,0)</f>
        <v>0</v>
      </c>
      <c r="M661" s="118"/>
      <c r="N661" s="118"/>
      <c r="O661" s="118"/>
    </row>
    <row r="662" customFormat="false" ht="14.25" hidden="false" customHeight="true" outlineLevel="0" collapsed="false">
      <c r="K662" s="115" t="n">
        <f aca="false">IFERROR(G662/F662/6.89*0.427*F662,0)</f>
        <v>0</v>
      </c>
      <c r="L662" s="115" t="n">
        <f aca="false">IFERROR(D662/C662/12.87*0.633*C662,0)</f>
        <v>0</v>
      </c>
      <c r="M662" s="118"/>
      <c r="N662" s="118"/>
      <c r="O662" s="118"/>
    </row>
    <row r="663" customFormat="false" ht="14.25" hidden="false" customHeight="true" outlineLevel="0" collapsed="false">
      <c r="K663" s="115" t="n">
        <f aca="false">IFERROR(G663/F663/6.89*0.427*F663,0)</f>
        <v>0</v>
      </c>
      <c r="L663" s="115" t="n">
        <f aca="false">IFERROR(D663/C663/12.87*0.633*C663,0)</f>
        <v>0</v>
      </c>
      <c r="M663" s="117" t="n">
        <f aca="false">C665*Scoring!$B$34+D665/Scoring!$C$34+E665*Scoring!$D$34+WR!F665*Scoring!$E$34+WR!G665/Scoring!$F$34+WR!H665*Scoring!$G$34+WR!I665*Scoring!$H$34+K665*Scoring!$I$34+WR!L665*Scoring!$J$34+U663</f>
        <v>0</v>
      </c>
      <c r="N663" s="117" t="n">
        <f aca="false">C663*Scoring!$B$34+D663/Scoring!$C$34+E663*Scoring!$D$34+WR!F663*Scoring!$E$34+WR!G663/Scoring!$F$34+WR!H663*Scoring!$G$34+WR!I663*Scoring!$H$34+K663*Scoring!$I$34+WR!L663*Scoring!$J$34+U663</f>
        <v>0</v>
      </c>
      <c r="O663" s="117" t="n">
        <f aca="false">C664*Scoring!$B$34+D664/Scoring!$C$34+E664*Scoring!$D$34+WR!F664*Scoring!$E$34+WR!G664/Scoring!$F$34+WR!H664*Scoring!$G$34+WR!I664*Scoring!$H$34+K664*Scoring!$I$34+WR!L664*Scoring!$J$34+U663</f>
        <v>0</v>
      </c>
    </row>
    <row r="664" customFormat="false" ht="14.25" hidden="false" customHeight="true" outlineLevel="0" collapsed="false">
      <c r="K664" s="115" t="n">
        <f aca="false">IFERROR(G664/F664/6.89*0.427*F664,0)</f>
        <v>0</v>
      </c>
      <c r="L664" s="115" t="n">
        <f aca="false">IFERROR(D664/C664/12.87*0.633*C664,0)</f>
        <v>0</v>
      </c>
      <c r="M664" s="118"/>
      <c r="N664" s="118"/>
      <c r="O664" s="118"/>
    </row>
    <row r="665" customFormat="false" ht="14.25" hidden="false" customHeight="true" outlineLevel="0" collapsed="false">
      <c r="K665" s="115" t="n">
        <f aca="false">IFERROR(G665/F665/6.89*0.427*F665,0)</f>
        <v>0</v>
      </c>
      <c r="L665" s="115" t="n">
        <f aca="false">IFERROR(D665/C665/12.87*0.633*C665,0)</f>
        <v>0</v>
      </c>
      <c r="M665" s="118"/>
      <c r="N665" s="118"/>
      <c r="O665" s="118"/>
    </row>
    <row r="666" customFormat="false" ht="14.25" hidden="false" customHeight="true" outlineLevel="0" collapsed="false">
      <c r="K666" s="115" t="n">
        <f aca="false">IFERROR(G666/F666/6.89*0.427*F666,0)</f>
        <v>0</v>
      </c>
      <c r="L666" s="115" t="n">
        <f aca="false">IFERROR(D666/C666/12.87*0.633*C666,0)</f>
        <v>0</v>
      </c>
      <c r="M666" s="117" t="n">
        <f aca="false">C668*Scoring!$B$34+D668/Scoring!$C$34+E668*Scoring!$D$34+WR!F668*Scoring!$E$34+WR!G668/Scoring!$F$34+WR!H668*Scoring!$G$34+WR!I668*Scoring!$H$34+K668*Scoring!$I$34+WR!L668*Scoring!$J$34+U666</f>
        <v>0</v>
      </c>
      <c r="N666" s="117" t="n">
        <f aca="false">C666*Scoring!$B$34+D666/Scoring!$C$34+E666*Scoring!$D$34+WR!F666*Scoring!$E$34+WR!G666/Scoring!$F$34+WR!H666*Scoring!$G$34+WR!I666*Scoring!$H$34+K666*Scoring!$I$34+WR!L666*Scoring!$J$34+U666</f>
        <v>0</v>
      </c>
      <c r="O666" s="117" t="n">
        <f aca="false">C667*Scoring!$B$34+D667/Scoring!$C$34+E667*Scoring!$D$34+WR!F667*Scoring!$E$34+WR!G667/Scoring!$F$34+WR!H667*Scoring!$G$34+WR!I667*Scoring!$H$34+K667*Scoring!$I$34+WR!L667*Scoring!$J$34+U666</f>
        <v>0</v>
      </c>
    </row>
    <row r="667" customFormat="false" ht="14.25" hidden="false" customHeight="true" outlineLevel="0" collapsed="false">
      <c r="K667" s="115" t="n">
        <f aca="false">IFERROR(G667/F667/6.89*0.427*F667,0)</f>
        <v>0</v>
      </c>
      <c r="L667" s="115" t="n">
        <f aca="false">IFERROR(D667/C667/12.87*0.633*C667,0)</f>
        <v>0</v>
      </c>
      <c r="M667" s="118"/>
      <c r="N667" s="118"/>
      <c r="O667" s="118"/>
    </row>
    <row r="668" customFormat="false" ht="14.25" hidden="false" customHeight="true" outlineLevel="0" collapsed="false">
      <c r="K668" s="115" t="n">
        <f aca="false">IFERROR(G668/F668/6.89*0.427*F668,0)</f>
        <v>0</v>
      </c>
      <c r="L668" s="115" t="n">
        <f aca="false">IFERROR(D668/C668/12.87*0.633*C668,0)</f>
        <v>0</v>
      </c>
      <c r="M668" s="118"/>
      <c r="N668" s="118"/>
      <c r="O668" s="118"/>
    </row>
    <row r="669" customFormat="false" ht="14.25" hidden="false" customHeight="true" outlineLevel="0" collapsed="false">
      <c r="K669" s="115" t="n">
        <f aca="false">IFERROR(G669/F669/6.89*0.427*F669,0)</f>
        <v>0</v>
      </c>
      <c r="L669" s="115" t="n">
        <f aca="false">IFERROR(D669/C669/12.87*0.633*C669,0)</f>
        <v>0</v>
      </c>
      <c r="M669" s="117" t="n">
        <f aca="false">C671*Scoring!$B$34+D671/Scoring!$C$34+E671*Scoring!$D$34+WR!F671*Scoring!$E$34+WR!G671/Scoring!$F$34+WR!H671*Scoring!$G$34+WR!I671*Scoring!$H$34+K671*Scoring!$I$34+WR!L671*Scoring!$J$34+U669</f>
        <v>0</v>
      </c>
      <c r="N669" s="117" t="n">
        <f aca="false">C669*Scoring!$B$34+D669/Scoring!$C$34+E669*Scoring!$D$34+WR!F669*Scoring!$E$34+WR!G669/Scoring!$F$34+WR!H669*Scoring!$G$34+WR!I669*Scoring!$H$34+K669*Scoring!$I$34+WR!L669*Scoring!$J$34+U669</f>
        <v>0</v>
      </c>
      <c r="O669" s="117" t="n">
        <f aca="false">C670*Scoring!$B$34+D670/Scoring!$C$34+E670*Scoring!$D$34+WR!F670*Scoring!$E$34+WR!G670/Scoring!$F$34+WR!H670*Scoring!$G$34+WR!I670*Scoring!$H$34+K670*Scoring!$I$34+WR!L670*Scoring!$J$34+U669</f>
        <v>0</v>
      </c>
    </row>
    <row r="670" customFormat="false" ht="14.25" hidden="false" customHeight="true" outlineLevel="0" collapsed="false">
      <c r="K670" s="115" t="n">
        <f aca="false">IFERROR(G670/F670/6.89*0.427*F670,0)</f>
        <v>0</v>
      </c>
      <c r="L670" s="115" t="n">
        <f aca="false">IFERROR(D670/C670/12.87*0.633*C670,0)</f>
        <v>0</v>
      </c>
      <c r="M670" s="118"/>
      <c r="N670" s="118"/>
      <c r="O670" s="118"/>
    </row>
    <row r="671" customFormat="false" ht="14.25" hidden="false" customHeight="true" outlineLevel="0" collapsed="false">
      <c r="K671" s="115" t="n">
        <f aca="false">IFERROR(G671/F671/6.89*0.427*F671,0)</f>
        <v>0</v>
      </c>
      <c r="L671" s="115" t="n">
        <f aca="false">IFERROR(D671/C671/12.87*0.633*C671,0)</f>
        <v>0</v>
      </c>
      <c r="M671" s="118"/>
      <c r="N671" s="118"/>
      <c r="O671" s="118"/>
    </row>
    <row r="672" customFormat="false" ht="14.25" hidden="false" customHeight="true" outlineLevel="0" collapsed="false">
      <c r="K672" s="115" t="n">
        <f aca="false">IFERROR(G672/F672/6.89*0.427*F672,0)</f>
        <v>0</v>
      </c>
      <c r="L672" s="115" t="n">
        <f aca="false">IFERROR(D672/C672/12.87*0.633*C672,0)</f>
        <v>0</v>
      </c>
      <c r="M672" s="117" t="n">
        <f aca="false">C674*Scoring!$B$34+D674/Scoring!$C$34+E674*Scoring!$D$34+WR!F674*Scoring!$E$34+WR!G674/Scoring!$F$34+WR!H674*Scoring!$G$34+WR!I674*Scoring!$H$34+K674*Scoring!$I$34+WR!L674*Scoring!$J$34+U672</f>
        <v>0</v>
      </c>
      <c r="N672" s="117" t="n">
        <f aca="false">C672*Scoring!$B$34+D672/Scoring!$C$34+E672*Scoring!$D$34+WR!F672*Scoring!$E$34+WR!G672/Scoring!$F$34+WR!H672*Scoring!$G$34+WR!I672*Scoring!$H$34+K672*Scoring!$I$34+WR!L672*Scoring!$J$34+U672</f>
        <v>0</v>
      </c>
      <c r="O672" s="117" t="n">
        <f aca="false">C673*Scoring!$B$34+D673/Scoring!$C$34+E673*Scoring!$D$34+WR!F673*Scoring!$E$34+WR!G673/Scoring!$F$34+WR!H673*Scoring!$G$34+WR!I673*Scoring!$H$34+K673*Scoring!$I$34+WR!L673*Scoring!$J$34+U672</f>
        <v>0</v>
      </c>
    </row>
    <row r="673" customFormat="false" ht="14.25" hidden="false" customHeight="true" outlineLevel="0" collapsed="false">
      <c r="K673" s="115" t="n">
        <f aca="false">IFERROR(G673/F673/6.89*0.427*F673,0)</f>
        <v>0</v>
      </c>
      <c r="L673" s="115" t="n">
        <f aca="false">IFERROR(D673/C673/12.87*0.633*C673,0)</f>
        <v>0</v>
      </c>
      <c r="M673" s="118"/>
      <c r="N673" s="118"/>
      <c r="O673" s="118"/>
    </row>
    <row r="674" customFormat="false" ht="14.25" hidden="false" customHeight="true" outlineLevel="0" collapsed="false">
      <c r="K674" s="115" t="n">
        <f aca="false">IFERROR(G674/F674/6.89*0.427*F674,0)</f>
        <v>0</v>
      </c>
      <c r="L674" s="115" t="n">
        <f aca="false">IFERROR(D674/C674/12.87*0.633*C674,0)</f>
        <v>0</v>
      </c>
      <c r="M674" s="118"/>
      <c r="N674" s="118"/>
      <c r="O674" s="118"/>
    </row>
    <row r="675" customFormat="false" ht="14.25" hidden="false" customHeight="true" outlineLevel="0" collapsed="false">
      <c r="K675" s="115" t="n">
        <f aca="false">IFERROR(G675/F675/6.89*0.427*F675,0)</f>
        <v>0</v>
      </c>
      <c r="L675" s="115" t="n">
        <f aca="false">IFERROR(D675/C675/12.87*0.633*C675,0)</f>
        <v>0</v>
      </c>
      <c r="M675" s="117" t="n">
        <f aca="false">C677*Scoring!$B$34+D677/Scoring!$C$34+E677*Scoring!$D$34+WR!F677*Scoring!$E$34+WR!G677/Scoring!$F$34+WR!H677*Scoring!$G$34+WR!I677*Scoring!$H$34+K677*Scoring!$I$34+WR!L677*Scoring!$J$34+U675</f>
        <v>0</v>
      </c>
      <c r="N675" s="117" t="n">
        <f aca="false">C675*Scoring!$B$34+D675/Scoring!$C$34+E675*Scoring!$D$34+WR!F675*Scoring!$E$34+WR!G675/Scoring!$F$34+WR!H675*Scoring!$G$34+WR!I675*Scoring!$H$34+K675*Scoring!$I$34+WR!L675*Scoring!$J$34+U675</f>
        <v>0</v>
      </c>
      <c r="O675" s="117" t="n">
        <f aca="false">C676*Scoring!$B$34+D676/Scoring!$C$34+E676*Scoring!$D$34+WR!F676*Scoring!$E$34+WR!G676/Scoring!$F$34+WR!H676*Scoring!$G$34+WR!I676*Scoring!$H$34+K676*Scoring!$I$34+WR!L676*Scoring!$J$34+U675</f>
        <v>0</v>
      </c>
    </row>
    <row r="676" customFormat="false" ht="14.25" hidden="false" customHeight="true" outlineLevel="0" collapsed="false">
      <c r="K676" s="115" t="n">
        <f aca="false">IFERROR(G676/F676/6.89*0.427*F676,0)</f>
        <v>0</v>
      </c>
      <c r="L676" s="115" t="n">
        <f aca="false">IFERROR(D676/C676/12.87*0.633*C676,0)</f>
        <v>0</v>
      </c>
      <c r="M676" s="118"/>
      <c r="N676" s="118"/>
      <c r="O676" s="118"/>
    </row>
    <row r="677" customFormat="false" ht="14.25" hidden="false" customHeight="true" outlineLevel="0" collapsed="false">
      <c r="K677" s="115" t="n">
        <f aca="false">IFERROR(G677/F677/6.89*0.427*F677,0)</f>
        <v>0</v>
      </c>
      <c r="L677" s="115" t="n">
        <f aca="false">IFERROR(D677/C677/12.87*0.633*C677,0)</f>
        <v>0</v>
      </c>
      <c r="M677" s="118"/>
      <c r="N677" s="118"/>
      <c r="O677" s="118"/>
    </row>
    <row r="678" customFormat="false" ht="14.25" hidden="false" customHeight="true" outlineLevel="0" collapsed="false">
      <c r="K678" s="115" t="n">
        <f aca="false">IFERROR(G678/F678/6.89*0.427*F678,0)</f>
        <v>0</v>
      </c>
      <c r="L678" s="115" t="n">
        <f aca="false">IFERROR(D678/C678/12.87*0.633*C678,0)</f>
        <v>0</v>
      </c>
      <c r="M678" s="117" t="n">
        <f aca="false">C680*Scoring!$B$34+D680/Scoring!$C$34+E680*Scoring!$D$34+WR!F680*Scoring!$E$34+WR!G680/Scoring!$F$34+WR!H680*Scoring!$G$34+WR!I680*Scoring!$H$34+K680*Scoring!$I$34+WR!L680*Scoring!$J$34+U678</f>
        <v>0</v>
      </c>
      <c r="N678" s="117" t="n">
        <f aca="false">C678*Scoring!$B$34+D678/Scoring!$C$34+E678*Scoring!$D$34+WR!F678*Scoring!$E$34+WR!G678/Scoring!$F$34+WR!H678*Scoring!$G$34+WR!I678*Scoring!$H$34+K678*Scoring!$I$34+WR!L678*Scoring!$J$34+U678</f>
        <v>0</v>
      </c>
      <c r="O678" s="117" t="n">
        <f aca="false">C679*Scoring!$B$34+D679/Scoring!$C$34+E679*Scoring!$D$34+WR!F679*Scoring!$E$34+WR!G679/Scoring!$F$34+WR!H679*Scoring!$G$34+WR!I679*Scoring!$H$34+K679*Scoring!$I$34+WR!L679*Scoring!$J$34+U678</f>
        <v>0</v>
      </c>
    </row>
    <row r="679" customFormat="false" ht="14.25" hidden="false" customHeight="true" outlineLevel="0" collapsed="false">
      <c r="K679" s="115" t="n">
        <f aca="false">IFERROR(G679/F679/6.89*0.427*F679,0)</f>
        <v>0</v>
      </c>
      <c r="L679" s="115" t="n">
        <f aca="false">IFERROR(D679/C679/12.87*0.633*C679,0)</f>
        <v>0</v>
      </c>
      <c r="M679" s="118"/>
      <c r="N679" s="118"/>
      <c r="O679" s="118"/>
    </row>
    <row r="680" customFormat="false" ht="14.25" hidden="false" customHeight="true" outlineLevel="0" collapsed="false">
      <c r="K680" s="115" t="n">
        <f aca="false">IFERROR(G680/F680/6.89*0.427*F680,0)</f>
        <v>0</v>
      </c>
      <c r="L680" s="115" t="n">
        <f aca="false">IFERROR(D680/C680/12.87*0.633*C680,0)</f>
        <v>0</v>
      </c>
      <c r="M680" s="118"/>
      <c r="N680" s="118"/>
      <c r="O680" s="118"/>
    </row>
    <row r="681" customFormat="false" ht="14.25" hidden="false" customHeight="true" outlineLevel="0" collapsed="false">
      <c r="K681" s="115" t="n">
        <f aca="false">IFERROR(G681/F681/6.89*0.427*F681,0)</f>
        <v>0</v>
      </c>
      <c r="L681" s="115" t="n">
        <f aca="false">IFERROR(D681/C681/12.87*0.633*C681,0)</f>
        <v>0</v>
      </c>
      <c r="M681" s="117" t="n">
        <f aca="false">C683*Scoring!$B$34+D683/Scoring!$C$34+E683*Scoring!$D$34+WR!F683*Scoring!$E$34+WR!G683/Scoring!$F$34+WR!H683*Scoring!$G$34+WR!I683*Scoring!$H$34+K683*Scoring!$I$34+WR!L683*Scoring!$J$34+U681</f>
        <v>0</v>
      </c>
      <c r="N681" s="117" t="n">
        <f aca="false">C681*Scoring!$B$34+D681/Scoring!$C$34+E681*Scoring!$D$34+WR!F681*Scoring!$E$34+WR!G681/Scoring!$F$34+WR!H681*Scoring!$G$34+WR!I681*Scoring!$H$34+K681*Scoring!$I$34+WR!L681*Scoring!$J$34+U681</f>
        <v>0</v>
      </c>
      <c r="O681" s="117" t="n">
        <f aca="false">C682*Scoring!$B$34+D682/Scoring!$C$34+E682*Scoring!$D$34+WR!F682*Scoring!$E$34+WR!G682/Scoring!$F$34+WR!H682*Scoring!$G$34+WR!I682*Scoring!$H$34+K682*Scoring!$I$34+WR!L682*Scoring!$J$34+U681</f>
        <v>0</v>
      </c>
    </row>
    <row r="682" customFormat="false" ht="14.25" hidden="false" customHeight="true" outlineLevel="0" collapsed="false">
      <c r="K682" s="115" t="n">
        <f aca="false">IFERROR(G682/F682/6.89*0.427*F682,0)</f>
        <v>0</v>
      </c>
      <c r="L682" s="115" t="n">
        <f aca="false">IFERROR(D682/C682/12.87*0.633*C682,0)</f>
        <v>0</v>
      </c>
      <c r="M682" s="118"/>
      <c r="N682" s="118"/>
      <c r="O682" s="118"/>
    </row>
    <row r="683" customFormat="false" ht="14.25" hidden="false" customHeight="true" outlineLevel="0" collapsed="false">
      <c r="K683" s="115" t="n">
        <f aca="false">IFERROR(G683/F683/6.89*0.427*F683,0)</f>
        <v>0</v>
      </c>
      <c r="L683" s="115" t="n">
        <f aca="false">IFERROR(D683/C683/12.87*0.633*C683,0)</f>
        <v>0</v>
      </c>
      <c r="M683" s="118"/>
      <c r="N683" s="118"/>
      <c r="O683" s="118"/>
    </row>
    <row r="684" customFormat="false" ht="14.25" hidden="false" customHeight="true" outlineLevel="0" collapsed="false">
      <c r="K684" s="115" t="n">
        <f aca="false">IFERROR(G684/F684/6.89*0.427*F684,0)</f>
        <v>0</v>
      </c>
      <c r="L684" s="115" t="n">
        <f aca="false">IFERROR(D684/C684/12.87*0.633*C684,0)</f>
        <v>0</v>
      </c>
      <c r="M684" s="117" t="n">
        <f aca="false">C686*Scoring!$B$34+D686/Scoring!$C$34+E686*Scoring!$D$34+WR!F686*Scoring!$E$34+WR!G686/Scoring!$F$34+WR!H686*Scoring!$G$34+WR!I686*Scoring!$H$34+K686*Scoring!$I$34+WR!L686*Scoring!$J$34+U684</f>
        <v>0</v>
      </c>
      <c r="N684" s="117" t="n">
        <f aca="false">C684*Scoring!$B$34+D684/Scoring!$C$34+E684*Scoring!$D$34+WR!F684*Scoring!$E$34+WR!G684/Scoring!$F$34+WR!H684*Scoring!$G$34+WR!I684*Scoring!$H$34+K684*Scoring!$I$34+WR!L684*Scoring!$J$34+U684</f>
        <v>0</v>
      </c>
      <c r="O684" s="117" t="n">
        <f aca="false">C685*Scoring!$B$34+D685/Scoring!$C$34+E685*Scoring!$D$34+WR!F685*Scoring!$E$34+WR!G685/Scoring!$F$34+WR!H685*Scoring!$G$34+WR!I685*Scoring!$H$34+K685*Scoring!$I$34+WR!L685*Scoring!$J$34+U684</f>
        <v>0</v>
      </c>
    </row>
    <row r="685" customFormat="false" ht="14.25" hidden="false" customHeight="true" outlineLevel="0" collapsed="false">
      <c r="K685" s="115" t="n">
        <f aca="false">IFERROR(G685/F685/6.89*0.427*F685,0)</f>
        <v>0</v>
      </c>
      <c r="L685" s="115" t="n">
        <f aca="false">IFERROR(D685/C685/12.87*0.633*C685,0)</f>
        <v>0</v>
      </c>
      <c r="M685" s="118"/>
      <c r="N685" s="118"/>
      <c r="O685" s="118"/>
    </row>
    <row r="686" customFormat="false" ht="14.25" hidden="false" customHeight="true" outlineLevel="0" collapsed="false">
      <c r="K686" s="115" t="n">
        <f aca="false">IFERROR(G686/F686/6.89*0.427*F686,0)</f>
        <v>0</v>
      </c>
      <c r="L686" s="115" t="n">
        <f aca="false">IFERROR(D686/C686/12.87*0.633*C686,0)</f>
        <v>0</v>
      </c>
      <c r="M686" s="118"/>
      <c r="N686" s="118"/>
      <c r="O686" s="118"/>
    </row>
    <row r="687" customFormat="false" ht="14.25" hidden="false" customHeight="true" outlineLevel="0" collapsed="false">
      <c r="K687" s="115" t="n">
        <f aca="false">IFERROR(G687/F687/6.89*0.427*F687,0)</f>
        <v>0</v>
      </c>
      <c r="L687" s="115" t="n">
        <f aca="false">IFERROR(D687/C687/12.87*0.633*C687,0)</f>
        <v>0</v>
      </c>
      <c r="M687" s="117" t="n">
        <f aca="false">C689*Scoring!$B$34+D689/Scoring!$C$34+E689*Scoring!$D$34+WR!F689*Scoring!$E$34+WR!G689/Scoring!$F$34+WR!H689*Scoring!$G$34+WR!I689*Scoring!$H$34+K689*Scoring!$I$34+WR!L689*Scoring!$J$34+U687</f>
        <v>0</v>
      </c>
      <c r="N687" s="117" t="n">
        <f aca="false">C687*Scoring!$B$34+D687/Scoring!$C$34+E687*Scoring!$D$34+WR!F687*Scoring!$E$34+WR!G687/Scoring!$F$34+WR!H687*Scoring!$G$34+WR!I687*Scoring!$H$34+K687*Scoring!$I$34+WR!L687*Scoring!$J$34+U687</f>
        <v>0</v>
      </c>
      <c r="O687" s="117" t="n">
        <f aca="false">C688*Scoring!$B$34+D688/Scoring!$C$34+E688*Scoring!$D$34+WR!F688*Scoring!$E$34+WR!G688/Scoring!$F$34+WR!H688*Scoring!$G$34+WR!I688*Scoring!$H$34+K688*Scoring!$I$34+WR!L688*Scoring!$J$34+U687</f>
        <v>0</v>
      </c>
    </row>
    <row r="688" customFormat="false" ht="14.25" hidden="false" customHeight="true" outlineLevel="0" collapsed="false">
      <c r="K688" s="115" t="n">
        <f aca="false">IFERROR(G688/F688/6.89*0.427*F688,0)</f>
        <v>0</v>
      </c>
      <c r="L688" s="115" t="n">
        <f aca="false">IFERROR(D688/C688/12.87*0.633*C688,0)</f>
        <v>0</v>
      </c>
      <c r="M688" s="118"/>
      <c r="N688" s="118"/>
      <c r="O688" s="118"/>
    </row>
    <row r="689" customFormat="false" ht="14.25" hidden="false" customHeight="true" outlineLevel="0" collapsed="false">
      <c r="K689" s="115" t="n">
        <f aca="false">IFERROR(G689/F689/6.89*0.427*F689,0)</f>
        <v>0</v>
      </c>
      <c r="L689" s="115" t="n">
        <f aca="false">IFERROR(D689/C689/12.87*0.633*C689,0)</f>
        <v>0</v>
      </c>
      <c r="M689" s="118"/>
      <c r="N689" s="118"/>
      <c r="O689" s="118"/>
    </row>
    <row r="690" customFormat="false" ht="14.25" hidden="false" customHeight="true" outlineLevel="0" collapsed="false">
      <c r="K690" s="115" t="n">
        <f aca="false">IFERROR(G690/F690/6.89*0.427*F690,0)</f>
        <v>0</v>
      </c>
      <c r="L690" s="115" t="n">
        <f aca="false">IFERROR(D690/C690/12.87*0.633*C690,0)</f>
        <v>0</v>
      </c>
      <c r="M690" s="117" t="n">
        <f aca="false">C692*Scoring!$B$34+D692/Scoring!$C$34+E692*Scoring!$D$34+WR!F692*Scoring!$E$34+WR!G692/Scoring!$F$34+WR!H692*Scoring!$G$34+WR!I692*Scoring!$H$34+K692*Scoring!$I$34+WR!L692*Scoring!$J$34+U690</f>
        <v>0</v>
      </c>
      <c r="N690" s="117" t="n">
        <f aca="false">C690*Scoring!$B$34+D690/Scoring!$C$34+E690*Scoring!$D$34+WR!F690*Scoring!$E$34+WR!G690/Scoring!$F$34+WR!H690*Scoring!$G$34+WR!I690*Scoring!$H$34+K690*Scoring!$I$34+WR!L690*Scoring!$J$34+U690</f>
        <v>0</v>
      </c>
      <c r="O690" s="117" t="n">
        <f aca="false">C691*Scoring!$B$34+D691/Scoring!$C$34+E691*Scoring!$D$34+WR!F691*Scoring!$E$34+WR!G691/Scoring!$F$34+WR!H691*Scoring!$G$34+WR!I691*Scoring!$H$34+K691*Scoring!$I$34+WR!L691*Scoring!$J$34+U690</f>
        <v>0</v>
      </c>
    </row>
    <row r="691" customFormat="false" ht="14.25" hidden="false" customHeight="true" outlineLevel="0" collapsed="false">
      <c r="K691" s="115" t="n">
        <f aca="false">IFERROR(G691/F691/6.89*0.427*F691,0)</f>
        <v>0</v>
      </c>
      <c r="L691" s="115" t="n">
        <f aca="false">IFERROR(D691/C691/12.87*0.633*C691,0)</f>
        <v>0</v>
      </c>
      <c r="M691" s="118"/>
      <c r="N691" s="118"/>
      <c r="O691" s="118"/>
    </row>
    <row r="692" customFormat="false" ht="14.25" hidden="false" customHeight="true" outlineLevel="0" collapsed="false">
      <c r="K692" s="115" t="n">
        <f aca="false">IFERROR(G692/F692/6.89*0.427*F692,0)</f>
        <v>0</v>
      </c>
      <c r="L692" s="115" t="n">
        <f aca="false">IFERROR(D692/C692/12.87*0.633*C692,0)</f>
        <v>0</v>
      </c>
      <c r="M692" s="118"/>
      <c r="N692" s="118"/>
      <c r="O692" s="118"/>
    </row>
    <row r="693" customFormat="false" ht="14.25" hidden="false" customHeight="true" outlineLevel="0" collapsed="false">
      <c r="K693" s="115" t="n">
        <f aca="false">IFERROR(G693/F693/6.89*0.427*F693,0)</f>
        <v>0</v>
      </c>
      <c r="L693" s="115" t="n">
        <f aca="false">IFERROR(D693/C693/12.87*0.633*C693,0)</f>
        <v>0</v>
      </c>
      <c r="M693" s="117" t="n">
        <f aca="false">C695*Scoring!$B$34+D695/Scoring!$C$34+E695*Scoring!$D$34+WR!F695*Scoring!$E$34+WR!G695/Scoring!$F$34+WR!H695*Scoring!$G$34+WR!I695*Scoring!$H$34+K695*Scoring!$I$34+WR!L695*Scoring!$J$34</f>
        <v>0</v>
      </c>
      <c r="N693" s="117" t="n">
        <f aca="false">C693*Scoring!$B$34+D693/Scoring!$C$34+E693*Scoring!$D$34+WR!F693*Scoring!$E$34+WR!G693/Scoring!$F$34+WR!H693*Scoring!$G$34+WR!I693*Scoring!$H$34+K693*Scoring!$I$34+WR!L693*Scoring!$J$34</f>
        <v>0</v>
      </c>
      <c r="O693" s="117" t="n">
        <f aca="false">C694*Scoring!$B$34+D694/Scoring!$C$34+E694*Scoring!$D$34+WR!F694*Scoring!$E$34+WR!G694/Scoring!$F$34+WR!H694*Scoring!$G$34+WR!I694*Scoring!$H$34+K694*Scoring!$I$34+WR!L694*Scoring!$J$34</f>
        <v>0</v>
      </c>
    </row>
    <row r="694" customFormat="false" ht="14.25" hidden="false" customHeight="true" outlineLevel="0" collapsed="false">
      <c r="K694" s="115" t="n">
        <f aca="false">IFERROR(G694/F694/6.89*0.427*F694,0)</f>
        <v>0</v>
      </c>
      <c r="L694" s="115" t="n">
        <f aca="false">IFERROR(D694/C694/12.87*0.633*C694,0)</f>
        <v>0</v>
      </c>
      <c r="M694" s="118"/>
      <c r="N694" s="118"/>
      <c r="O694" s="118"/>
    </row>
    <row r="695" customFormat="false" ht="14.25" hidden="false" customHeight="true" outlineLevel="0" collapsed="false">
      <c r="K695" s="115" t="n">
        <f aca="false">IFERROR(G695/F695/6.89*0.427*F695,0)</f>
        <v>0</v>
      </c>
      <c r="L695" s="115" t="n">
        <f aca="false">IFERROR(D695/C695/12.87*0.633*C695,0)</f>
        <v>0</v>
      </c>
      <c r="M695" s="118"/>
      <c r="N695" s="118"/>
      <c r="O695" s="118"/>
    </row>
    <row r="696" customFormat="false" ht="14.25" hidden="false" customHeight="true" outlineLevel="0" collapsed="false">
      <c r="K696" s="115" t="n">
        <f aca="false">IFERROR(G696/F696/6.89*0.427*F696,0)</f>
        <v>0</v>
      </c>
      <c r="L696" s="115" t="n">
        <f aca="false">IFERROR(D696/C696/12.87*0.633*C696,0)</f>
        <v>0</v>
      </c>
      <c r="M696" s="117" t="n">
        <f aca="false">C698*Scoring!$B$34+D698/Scoring!$C$34+E698*Scoring!$D$34+WR!F698*Scoring!$E$34+WR!G698/Scoring!$F$34+WR!H698*Scoring!$G$34+WR!I698*Scoring!$H$34+K698*Scoring!$I$34+WR!L698*Scoring!$J$34</f>
        <v>0</v>
      </c>
      <c r="N696" s="117" t="n">
        <f aca="false">C696*Scoring!$B$34+D696/Scoring!$C$34+E696*Scoring!$D$34+WR!F696*Scoring!$E$34+WR!G696/Scoring!$F$34+WR!H696*Scoring!$G$34+WR!I696*Scoring!$H$34+K696*Scoring!$I$34+WR!L696*Scoring!$J$34</f>
        <v>0</v>
      </c>
      <c r="O696" s="117" t="n">
        <f aca="false">C697*Scoring!$B$34+D697/Scoring!$C$34+E697*Scoring!$D$34+WR!F697*Scoring!$E$34+WR!G697/Scoring!$F$34+WR!H697*Scoring!$G$34+WR!I697*Scoring!$H$34+K697*Scoring!$I$34+WR!L697*Scoring!$J$34</f>
        <v>0</v>
      </c>
    </row>
    <row r="697" customFormat="false" ht="14.25" hidden="false" customHeight="true" outlineLevel="0" collapsed="false">
      <c r="K697" s="115" t="n">
        <f aca="false">IFERROR(G697/F697/6.89*0.427*F697,0)</f>
        <v>0</v>
      </c>
      <c r="L697" s="115" t="n">
        <f aca="false">IFERROR(D697/C697/12.87*0.633*C697,0)</f>
        <v>0</v>
      </c>
      <c r="M697" s="118"/>
      <c r="N697" s="118"/>
      <c r="O697" s="118"/>
    </row>
    <row r="698" customFormat="false" ht="14.25" hidden="false" customHeight="true" outlineLevel="0" collapsed="false">
      <c r="K698" s="115" t="n">
        <f aca="false">IFERROR(G698/F698/6.89*0.427*F698,0)</f>
        <v>0</v>
      </c>
      <c r="L698" s="115" t="n">
        <f aca="false">IFERROR(D698/C698/12.87*0.633*C698,0)</f>
        <v>0</v>
      </c>
      <c r="M698" s="118"/>
      <c r="N698" s="118"/>
      <c r="O698" s="1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3" activeCellId="0" sqref="M13"/>
    </sheetView>
  </sheetViews>
  <sheetFormatPr defaultColWidth="8.55859375" defaultRowHeight="14.25" zeroHeight="false" outlineLevelRow="0" outlineLevelCol="0"/>
  <cols>
    <col collapsed="false" customWidth="true" hidden="false" outlineLevel="0" max="8" min="8" style="113" width="6.33"/>
    <col collapsed="false" customWidth="true" hidden="false" outlineLevel="0" max="11" min="9" style="0" width="5.56"/>
  </cols>
  <sheetData>
    <row r="1" customFormat="false" ht="14.25" hidden="false" customHeight="true" outlineLevel="0" collapsed="false">
      <c r="A1" s="0" t="s">
        <v>480</v>
      </c>
      <c r="B1" s="0" t="s">
        <v>103</v>
      </c>
      <c r="C1" s="0" t="s">
        <v>600</v>
      </c>
      <c r="D1" s="0" t="s">
        <v>483</v>
      </c>
      <c r="E1" s="0" t="s">
        <v>484</v>
      </c>
      <c r="F1" s="0" t="s">
        <v>54</v>
      </c>
      <c r="G1" s="0" t="s">
        <v>485</v>
      </c>
      <c r="H1" s="113" t="s">
        <v>60</v>
      </c>
      <c r="I1" s="87" t="s">
        <v>106</v>
      </c>
      <c r="J1" s="87" t="s">
        <v>107</v>
      </c>
      <c r="K1" s="87" t="s">
        <v>108</v>
      </c>
    </row>
    <row r="2" customFormat="false" ht="14.25" hidden="false" customHeight="true" outlineLevel="0" collapsed="false">
      <c r="A2" s="0" t="s">
        <v>488</v>
      </c>
      <c r="I2" s="87"/>
      <c r="J2" s="87"/>
      <c r="K2" s="87"/>
    </row>
    <row r="3" customFormat="false" ht="14.25" hidden="false" customHeight="true" outlineLevel="0" collapsed="false">
      <c r="A3" s="0" t="s">
        <v>899</v>
      </c>
      <c r="B3" s="0" t="s">
        <v>546</v>
      </c>
      <c r="C3" s="0" t="n">
        <v>108.9</v>
      </c>
      <c r="D3" s="0" t="n">
        <v>1068.9</v>
      </c>
      <c r="E3" s="0" t="n">
        <v>6.8</v>
      </c>
      <c r="F3" s="0" t="n">
        <v>0.2</v>
      </c>
      <c r="G3" s="0" t="n">
        <v>201.5</v>
      </c>
      <c r="H3" s="115" t="n">
        <f aca="false">IFERROR(D3/C3/11.1*0.585*C3,0)</f>
        <v>56.3339189189189</v>
      </c>
      <c r="I3" s="117" t="n">
        <f aca="false">C5*Scoring!$B$36+TE!D5/Scoring!$C$36+TE!E5*Scoring!$D$36+TE!F5*Scoring!$E$36+H5*Scoring!$F$36</f>
        <v>185.08</v>
      </c>
      <c r="J3" s="117" t="n">
        <f aca="false">C3*Scoring!$B$36+TE!D3/Scoring!$C$36+TE!E3*Scoring!$D$36+TE!F3*Scoring!$E$36+H3*Scoring!$F$36</f>
        <v>201.74</v>
      </c>
      <c r="K3" s="117" t="n">
        <f aca="false">C4*Scoring!$B$36+TE!D4/Scoring!$C$36+TE!E4*Scoring!$D$36+TE!F4*Scoring!$E$36+H4*Scoring!$F$36</f>
        <v>219</v>
      </c>
    </row>
    <row r="4" customFormat="false" ht="14.25" hidden="false" customHeight="true" outlineLevel="0" collapsed="false">
      <c r="B4" s="0" t="s">
        <v>491</v>
      </c>
      <c r="C4" s="0" t="n">
        <v>115</v>
      </c>
      <c r="D4" s="0" t="n">
        <v>1135</v>
      </c>
      <c r="E4" s="0" t="n">
        <v>8</v>
      </c>
      <c r="F4" s="0" t="n">
        <v>0</v>
      </c>
      <c r="G4" s="0" t="n">
        <v>253.4</v>
      </c>
      <c r="H4" s="115" t="n">
        <f aca="false">IFERROR(D4/C4/11.1*0.585*C4,0)</f>
        <v>59.8175675675676</v>
      </c>
      <c r="I4" s="119"/>
      <c r="J4" s="119"/>
      <c r="K4" s="119"/>
    </row>
    <row r="5" customFormat="false" ht="14.25" hidden="false" customHeight="true" outlineLevel="0" collapsed="false">
      <c r="B5" s="0" t="s">
        <v>492</v>
      </c>
      <c r="C5" s="0" t="n">
        <v>104</v>
      </c>
      <c r="D5" s="0" t="n">
        <v>1022.8</v>
      </c>
      <c r="E5" s="0" t="n">
        <v>5.3</v>
      </c>
      <c r="F5" s="0" t="n">
        <v>0.5</v>
      </c>
      <c r="G5" s="0" t="n">
        <v>188.4</v>
      </c>
      <c r="H5" s="115" t="n">
        <f aca="false">IFERROR(D5/C5/11.1*0.585*C5,0)</f>
        <v>53.9043243243243</v>
      </c>
      <c r="I5" s="119"/>
      <c r="J5" s="119"/>
      <c r="K5" s="119"/>
    </row>
    <row r="6" customFormat="false" ht="14.25" hidden="false" customHeight="true" outlineLevel="0" collapsed="false">
      <c r="A6" s="0" t="s">
        <v>900</v>
      </c>
      <c r="B6" s="0" t="s">
        <v>550</v>
      </c>
      <c r="C6" s="0" t="n">
        <v>99</v>
      </c>
      <c r="D6" s="0" t="n">
        <v>1023</v>
      </c>
      <c r="E6" s="0" t="n">
        <v>8</v>
      </c>
      <c r="F6" s="0" t="n">
        <v>0.2</v>
      </c>
      <c r="G6" s="0" t="n">
        <v>195.4</v>
      </c>
      <c r="H6" s="115" t="n">
        <f aca="false">IFERROR(D6/C6/11.1*0.585*C6,0)</f>
        <v>53.9148648648649</v>
      </c>
      <c r="I6" s="117" t="n">
        <f aca="false">C8*Scoring!$B$36+TE!D8/Scoring!$C$36+TE!E8*Scoring!$D$36+TE!F8*Scoring!$E$36+H8*Scoring!$F$36</f>
        <v>184.9</v>
      </c>
      <c r="J6" s="117" t="n">
        <f aca="false">C6*Scoring!$B$36+TE!D6/Scoring!$C$36+TE!E6*Scoring!$D$36+TE!F6*Scoring!$E$36+H6*Scoring!$F$36</f>
        <v>199.4</v>
      </c>
      <c r="K6" s="117" t="n">
        <f aca="false">C7*Scoring!$B$36+TE!D7/Scoring!$C$36+TE!E7*Scoring!$D$36+TE!F7*Scoring!$E$36+H7*Scoring!$F$36</f>
        <v>214.3</v>
      </c>
    </row>
    <row r="7" customFormat="false" ht="14.25" hidden="false" customHeight="true" outlineLevel="0" collapsed="false">
      <c r="B7" s="0" t="s">
        <v>491</v>
      </c>
      <c r="C7" s="0" t="n">
        <v>103</v>
      </c>
      <c r="D7" s="0" t="n">
        <v>1088</v>
      </c>
      <c r="E7" s="0" t="n">
        <v>9</v>
      </c>
      <c r="F7" s="0" t="n">
        <v>0</v>
      </c>
      <c r="G7" s="0" t="n">
        <v>250.6</v>
      </c>
      <c r="H7" s="115" t="n">
        <f aca="false">IFERROR(D7/C7/11.1*0.585*C7,0)</f>
        <v>57.3405405405405</v>
      </c>
      <c r="I7" s="119"/>
      <c r="J7" s="119"/>
      <c r="K7" s="119"/>
    </row>
    <row r="8" customFormat="false" ht="14.25" hidden="false" customHeight="true" outlineLevel="0" collapsed="false">
      <c r="B8" s="0" t="s">
        <v>492</v>
      </c>
      <c r="C8" s="0" t="n">
        <v>91</v>
      </c>
      <c r="D8" s="0" t="n">
        <v>982</v>
      </c>
      <c r="E8" s="0" t="n">
        <v>7</v>
      </c>
      <c r="F8" s="0" t="n">
        <v>0.4</v>
      </c>
      <c r="G8" s="0" t="n">
        <v>190.5</v>
      </c>
      <c r="H8" s="115" t="n">
        <f aca="false">IFERROR(D8/C8/11.1*0.585*C8,0)</f>
        <v>51.7540540540541</v>
      </c>
      <c r="I8" s="119"/>
      <c r="J8" s="119"/>
      <c r="K8" s="119"/>
    </row>
    <row r="9" customFormat="false" ht="14.25" hidden="false" customHeight="true" outlineLevel="0" collapsed="false">
      <c r="A9" s="0" t="s">
        <v>901</v>
      </c>
      <c r="B9" s="0" t="s">
        <v>514</v>
      </c>
      <c r="C9" s="0" t="n">
        <v>79.3</v>
      </c>
      <c r="D9" s="0" t="n">
        <v>928.3</v>
      </c>
      <c r="E9" s="0" t="n">
        <v>6.7</v>
      </c>
      <c r="F9" s="0" t="n">
        <v>0.2</v>
      </c>
      <c r="G9" s="0" t="n">
        <v>172.1</v>
      </c>
      <c r="H9" s="115" t="n">
        <f aca="false">IFERROR(D9/C9/11.1*0.585*C9,0)</f>
        <v>48.9239189189189</v>
      </c>
      <c r="I9" s="117" t="n">
        <f aca="false">C11*Scoring!$B$36+TE!D11/Scoring!$C$36+TE!E11*Scoring!$D$36+TE!F11*Scoring!$E$36+H11*Scoring!$F$36</f>
        <v>156.5</v>
      </c>
      <c r="J9" s="117" t="n">
        <f aca="false">C9*Scoring!$B$36+TE!D9/Scoring!$C$36+TE!E9*Scoring!$D$36+TE!F9*Scoring!$E$36+H9*Scoring!$F$36</f>
        <v>172.28</v>
      </c>
      <c r="K9" s="117" t="n">
        <f aca="false">C10*Scoring!$B$36+TE!D10/Scoring!$C$36+TE!E10*Scoring!$D$36+TE!F10*Scoring!$E$36+H10*Scoring!$F$36</f>
        <v>193.6</v>
      </c>
    </row>
    <row r="10" customFormat="false" ht="14.25" hidden="false" customHeight="true" outlineLevel="0" collapsed="false">
      <c r="B10" s="0" t="s">
        <v>491</v>
      </c>
      <c r="C10" s="0" t="n">
        <v>84</v>
      </c>
      <c r="D10" s="0" t="n">
        <v>1036</v>
      </c>
      <c r="E10" s="0" t="n">
        <v>8</v>
      </c>
      <c r="F10" s="0" t="n">
        <v>0</v>
      </c>
      <c r="G10" s="0" t="n">
        <v>197</v>
      </c>
      <c r="H10" s="115" t="n">
        <f aca="false">IFERROR(D10/C10/11.1*0.585*C10,0)</f>
        <v>54.6</v>
      </c>
      <c r="I10" s="119"/>
      <c r="J10" s="119"/>
      <c r="K10" s="119"/>
    </row>
    <row r="11" customFormat="false" ht="14.25" hidden="false" customHeight="true" outlineLevel="0" collapsed="false">
      <c r="B11" s="0" t="s">
        <v>492</v>
      </c>
      <c r="C11" s="0" t="n">
        <v>73</v>
      </c>
      <c r="D11" s="0" t="n">
        <v>848</v>
      </c>
      <c r="E11" s="0" t="n">
        <v>6</v>
      </c>
      <c r="F11" s="0" t="n">
        <v>0.4</v>
      </c>
      <c r="G11" s="0" t="n">
        <v>165.6</v>
      </c>
      <c r="H11" s="115" t="n">
        <f aca="false">IFERROR(D11/C11/11.1*0.585*C11,0)</f>
        <v>44.6918918918919</v>
      </c>
      <c r="I11" s="119"/>
      <c r="J11" s="119"/>
      <c r="K11" s="119"/>
    </row>
    <row r="12" customFormat="false" ht="14.25" hidden="false" customHeight="true" outlineLevel="0" collapsed="false">
      <c r="A12" s="0" t="s">
        <v>902</v>
      </c>
      <c r="B12" s="0" t="s">
        <v>532</v>
      </c>
      <c r="C12" s="0" t="n">
        <v>78.9</v>
      </c>
      <c r="D12" s="0" t="n">
        <v>877.8</v>
      </c>
      <c r="E12" s="0" t="n">
        <v>5.5</v>
      </c>
      <c r="F12" s="0" t="n">
        <v>0.3</v>
      </c>
      <c r="G12" s="0" t="n">
        <v>159.7</v>
      </c>
      <c r="H12" s="115" t="n">
        <f aca="false">IFERROR(D12/C12/11.1*0.585*C12,0)</f>
        <v>46.2624324324324</v>
      </c>
      <c r="I12" s="117" t="n">
        <f aca="false">C14*Scoring!$B$36+TE!D14/Scoring!$C$36+TE!E14*Scoring!$D$36+TE!F14*Scoring!$E$36+H14*Scoring!$F$36</f>
        <v>149.4</v>
      </c>
      <c r="J12" s="117" t="n">
        <f aca="false">C12*Scoring!$B$36+TE!D12/Scoring!$C$36+TE!E12*Scoring!$D$36+TE!F12*Scoring!$E$36+H12*Scoring!$F$36</f>
        <v>159.63</v>
      </c>
      <c r="K12" s="117" t="n">
        <f aca="false">C13*Scoring!$B$36+TE!D13/Scoring!$C$36+TE!E13*Scoring!$D$36+TE!F13*Scoring!$E$36+H13*Scoring!$F$36</f>
        <v>168.7</v>
      </c>
    </row>
    <row r="13" customFormat="false" ht="14.25" hidden="false" customHeight="true" outlineLevel="0" collapsed="false">
      <c r="B13" s="0" t="s">
        <v>491</v>
      </c>
      <c r="C13" s="0" t="n">
        <v>84.6</v>
      </c>
      <c r="D13" s="0" t="n">
        <v>904</v>
      </c>
      <c r="E13" s="0" t="n">
        <v>6</v>
      </c>
      <c r="F13" s="0" t="n">
        <v>0</v>
      </c>
      <c r="G13" s="0" t="n">
        <v>192</v>
      </c>
      <c r="H13" s="115" t="n">
        <f aca="false">IFERROR(D13/C13/11.1*0.585*C13,0)</f>
        <v>47.6432432432432</v>
      </c>
      <c r="I13" s="119"/>
      <c r="J13" s="119"/>
      <c r="K13" s="119"/>
    </row>
    <row r="14" customFormat="false" ht="14.25" hidden="false" customHeight="true" outlineLevel="0" collapsed="false">
      <c r="B14" s="0" t="s">
        <v>492</v>
      </c>
      <c r="C14" s="0" t="n">
        <v>74</v>
      </c>
      <c r="D14" s="0" t="n">
        <v>836</v>
      </c>
      <c r="E14" s="0" t="n">
        <v>5</v>
      </c>
      <c r="F14" s="0" t="n">
        <v>0.6</v>
      </c>
      <c r="G14" s="0" t="n">
        <v>164.4</v>
      </c>
      <c r="H14" s="115" t="n">
        <f aca="false">IFERROR(D14/C14/11.1*0.585*C14,0)</f>
        <v>44.0594594594595</v>
      </c>
      <c r="I14" s="119"/>
      <c r="J14" s="119"/>
      <c r="K14" s="119"/>
    </row>
    <row r="15" customFormat="false" ht="14.25" hidden="false" customHeight="true" outlineLevel="0" collapsed="false">
      <c r="A15" s="0" t="s">
        <v>903</v>
      </c>
      <c r="B15" s="0" t="s">
        <v>554</v>
      </c>
      <c r="C15" s="0" t="n">
        <v>82.6</v>
      </c>
      <c r="D15" s="0" t="n">
        <v>834.3</v>
      </c>
      <c r="E15" s="0" t="n">
        <v>5.7</v>
      </c>
      <c r="F15" s="0" t="n">
        <v>0.8</v>
      </c>
      <c r="G15" s="0" t="n">
        <v>157.5</v>
      </c>
      <c r="H15" s="115" t="n">
        <f aca="false">IFERROR(D15/C15/11.1*0.585*C15,0)</f>
        <v>43.9698648648649</v>
      </c>
      <c r="I15" s="117" t="n">
        <f aca="false">C17*Scoring!$B$36+TE!D17/Scoring!$C$36+TE!E17*Scoring!$D$36+TE!F17*Scoring!$E$36+H17*Scoring!$F$36</f>
        <v>135.8</v>
      </c>
      <c r="J15" s="117" t="n">
        <f aca="false">C15*Scoring!$B$36+TE!D15/Scoring!$C$36+TE!E15*Scoring!$D$36+TE!F15*Scoring!$E$36+H15*Scoring!$F$36</f>
        <v>157.33</v>
      </c>
      <c r="K15" s="117" t="n">
        <f aca="false">C16*Scoring!$B$36+TE!D16/Scoring!$C$36+TE!E16*Scoring!$D$36+TE!F16*Scoring!$E$36+H16*Scoring!$F$36</f>
        <v>184</v>
      </c>
    </row>
    <row r="16" customFormat="false" ht="14.25" hidden="false" customHeight="true" outlineLevel="0" collapsed="false">
      <c r="B16" s="0" t="s">
        <v>491</v>
      </c>
      <c r="C16" s="0" t="n">
        <v>87</v>
      </c>
      <c r="D16" s="0" t="n">
        <v>877</v>
      </c>
      <c r="E16" s="0" t="n">
        <v>9</v>
      </c>
      <c r="F16" s="0" t="n">
        <v>0.6</v>
      </c>
      <c r="G16" s="0" t="n">
        <v>189.9</v>
      </c>
      <c r="H16" s="115" t="n">
        <f aca="false">IFERROR(D16/C16/11.1*0.585*C16,0)</f>
        <v>46.2202702702703</v>
      </c>
      <c r="I16" s="119"/>
      <c r="J16" s="119"/>
      <c r="K16" s="119"/>
    </row>
    <row r="17" customFormat="false" ht="14.25" hidden="false" customHeight="true" outlineLevel="0" collapsed="false">
      <c r="B17" s="0" t="s">
        <v>492</v>
      </c>
      <c r="C17" s="0" t="n">
        <v>77</v>
      </c>
      <c r="D17" s="0" t="n">
        <v>801</v>
      </c>
      <c r="E17" s="0" t="n">
        <v>3.2</v>
      </c>
      <c r="F17" s="0" t="n">
        <v>1</v>
      </c>
      <c r="G17" s="0" t="n">
        <v>146.4</v>
      </c>
      <c r="H17" s="115" t="n">
        <f aca="false">IFERROR(D17/C17/11.1*0.585*C17,0)</f>
        <v>42.2148648648649</v>
      </c>
      <c r="I17" s="119"/>
      <c r="J17" s="119"/>
      <c r="K17" s="119"/>
    </row>
    <row r="18" customFormat="false" ht="14.25" hidden="false" customHeight="true" outlineLevel="0" collapsed="false">
      <c r="A18" s="0" t="s">
        <v>904</v>
      </c>
      <c r="B18" s="0" t="s">
        <v>508</v>
      </c>
      <c r="C18" s="0" t="n">
        <v>70.2</v>
      </c>
      <c r="D18" s="0" t="n">
        <v>796.2</v>
      </c>
      <c r="E18" s="0" t="n">
        <v>6.2</v>
      </c>
      <c r="F18" s="0" t="n">
        <v>0.2</v>
      </c>
      <c r="G18" s="0" t="n">
        <v>151.7</v>
      </c>
      <c r="H18" s="115" t="n">
        <f aca="false">IFERROR(D18/C18/11.1*0.585*C18,0)</f>
        <v>41.9618918918919</v>
      </c>
      <c r="I18" s="117" t="n">
        <f aca="false">C20*Scoring!$B$36+TE!D20/Scoring!$C$36+TE!E20*Scoring!$D$36+TE!F20*Scoring!$E$36+H20*Scoring!$F$36</f>
        <v>123.2</v>
      </c>
      <c r="J18" s="117" t="n">
        <f aca="false">C18*Scoring!$B$36+TE!D18/Scoring!$C$36+TE!E18*Scoring!$D$36+TE!F18*Scoring!$E$36+H18*Scoring!$F$36</f>
        <v>151.52</v>
      </c>
      <c r="K18" s="117" t="n">
        <f aca="false">C19*Scoring!$B$36+TE!D19/Scoring!$C$36+TE!E19*Scoring!$D$36+TE!F19*Scoring!$E$36+H19*Scoring!$F$36</f>
        <v>177</v>
      </c>
    </row>
    <row r="19" customFormat="false" ht="14.25" hidden="false" customHeight="true" outlineLevel="0" collapsed="false">
      <c r="B19" s="0" t="s">
        <v>491</v>
      </c>
      <c r="C19" s="0" t="n">
        <v>77</v>
      </c>
      <c r="D19" s="0" t="n">
        <v>905</v>
      </c>
      <c r="E19" s="0" t="n">
        <v>8</v>
      </c>
      <c r="F19" s="0" t="n">
        <v>0</v>
      </c>
      <c r="G19" s="0" t="n">
        <v>166.1</v>
      </c>
      <c r="H19" s="115" t="n">
        <f aca="false">IFERROR(D19/C19/11.1*0.585*C19,0)</f>
        <v>47.6959459459459</v>
      </c>
      <c r="I19" s="119"/>
      <c r="J19" s="119"/>
      <c r="K19" s="119"/>
    </row>
    <row r="20" customFormat="false" ht="14.25" hidden="false" customHeight="true" outlineLevel="0" collapsed="false">
      <c r="B20" s="0" t="s">
        <v>492</v>
      </c>
      <c r="C20" s="0" t="n">
        <v>57</v>
      </c>
      <c r="D20" s="0" t="n">
        <v>655</v>
      </c>
      <c r="E20" s="0" t="n">
        <v>5</v>
      </c>
      <c r="F20" s="0" t="n">
        <v>0.4</v>
      </c>
      <c r="G20" s="0" t="n">
        <v>152</v>
      </c>
      <c r="H20" s="115" t="n">
        <f aca="false">IFERROR(D20/C20/11.1*0.585*C20,0)</f>
        <v>34.5202702702703</v>
      </c>
      <c r="I20" s="119"/>
      <c r="J20" s="119"/>
      <c r="K20" s="119"/>
    </row>
    <row r="21" customFormat="false" ht="14.25" hidden="false" customHeight="true" outlineLevel="0" collapsed="false">
      <c r="A21" s="0" t="s">
        <v>905</v>
      </c>
      <c r="B21" s="0" t="s">
        <v>524</v>
      </c>
      <c r="C21" s="0" t="n">
        <v>70.5</v>
      </c>
      <c r="D21" s="0" t="n">
        <v>814</v>
      </c>
      <c r="E21" s="0" t="n">
        <v>5.5</v>
      </c>
      <c r="F21" s="0" t="n">
        <v>0.2</v>
      </c>
      <c r="G21" s="0" t="n">
        <v>149</v>
      </c>
      <c r="H21" s="115" t="n">
        <f aca="false">IFERROR(D21/C21/11.1*0.585*C21,0)</f>
        <v>42.9</v>
      </c>
      <c r="I21" s="117" t="n">
        <f aca="false">C23*Scoring!$B$36+TE!D23/Scoring!$C$36+TE!E23*Scoring!$D$36+TE!F23*Scoring!$E$36+H23*Scoring!$F$36</f>
        <v>134.2</v>
      </c>
      <c r="J21" s="117" t="n">
        <f aca="false">C21*Scoring!$B$36+TE!D21/Scoring!$C$36+TE!E21*Scoring!$D$36+TE!F21*Scoring!$E$36+H21*Scoring!$F$36</f>
        <v>149.25</v>
      </c>
      <c r="K21" s="117" t="n">
        <f aca="false">C22*Scoring!$B$36+TE!D22/Scoring!$C$36+TE!E22*Scoring!$D$36+TE!F22*Scoring!$E$36+H22*Scoring!$F$36</f>
        <v>166.25</v>
      </c>
    </row>
    <row r="22" customFormat="false" ht="14.25" hidden="false" customHeight="true" outlineLevel="0" collapsed="false">
      <c r="B22" s="0" t="s">
        <v>491</v>
      </c>
      <c r="C22" s="0" t="n">
        <v>78.5</v>
      </c>
      <c r="D22" s="0" t="n">
        <v>910</v>
      </c>
      <c r="E22" s="0" t="n">
        <v>6</v>
      </c>
      <c r="F22" s="0" t="n">
        <v>0</v>
      </c>
      <c r="G22" s="0" t="n">
        <v>170.2</v>
      </c>
      <c r="H22" s="115" t="n">
        <f aca="false">IFERROR(D22/C22/11.1*0.585*C22,0)</f>
        <v>47.9594594594595</v>
      </c>
      <c r="I22" s="119"/>
      <c r="J22" s="119"/>
      <c r="K22" s="119"/>
    </row>
    <row r="23" customFormat="false" ht="14.25" hidden="false" customHeight="true" outlineLevel="0" collapsed="false">
      <c r="B23" s="0" t="s">
        <v>492</v>
      </c>
      <c r="C23" s="0" t="n">
        <v>61</v>
      </c>
      <c r="D23" s="0" t="n">
        <v>745</v>
      </c>
      <c r="E23" s="0" t="n">
        <v>5</v>
      </c>
      <c r="F23" s="0" t="n">
        <v>0.4</v>
      </c>
      <c r="G23" s="0" t="n">
        <v>145.7</v>
      </c>
      <c r="H23" s="115" t="n">
        <f aca="false">IFERROR(D23/C23/11.1*0.585*C23,0)</f>
        <v>39.2635135135135</v>
      </c>
      <c r="I23" s="119"/>
      <c r="J23" s="119"/>
      <c r="K23" s="119"/>
    </row>
    <row r="24" customFormat="false" ht="14.25" hidden="false" customHeight="true" outlineLevel="0" collapsed="false">
      <c r="A24" s="0" t="s">
        <v>906</v>
      </c>
      <c r="B24" s="0" t="s">
        <v>552</v>
      </c>
      <c r="C24" s="0" t="n">
        <v>76.8</v>
      </c>
      <c r="D24" s="0" t="n">
        <v>844.9</v>
      </c>
      <c r="E24" s="0" t="n">
        <v>4.4</v>
      </c>
      <c r="F24" s="0" t="n">
        <v>0.1</v>
      </c>
      <c r="G24" s="0" t="n">
        <v>149</v>
      </c>
      <c r="H24" s="115" t="n">
        <f aca="false">IFERROR(D24/C24/11.1*0.585*C24,0)</f>
        <v>44.5285135135135</v>
      </c>
      <c r="I24" s="117" t="n">
        <f aca="false">C26*Scoring!$B$36+TE!D26/Scoring!$C$36+TE!E26*Scoring!$D$36+TE!F26*Scoring!$E$36+H26*Scoring!$F$36</f>
        <v>137.7</v>
      </c>
      <c r="J24" s="117" t="n">
        <f aca="false">C24*Scoring!$B$36+TE!D24/Scoring!$C$36+TE!E24*Scoring!$D$36+TE!F24*Scoring!$E$36+H24*Scoring!$F$36</f>
        <v>149.09</v>
      </c>
      <c r="K24" s="117" t="n">
        <f aca="false">C25*Scoring!$B$36+TE!D25/Scoring!$C$36+TE!E25*Scoring!$D$36+TE!F25*Scoring!$E$36+H25*Scoring!$F$36</f>
        <v>162.01</v>
      </c>
    </row>
    <row r="25" customFormat="false" ht="14.25" hidden="false" customHeight="true" outlineLevel="0" collapsed="false">
      <c r="B25" s="0" t="s">
        <v>491</v>
      </c>
      <c r="C25" s="0" t="n">
        <v>80.5</v>
      </c>
      <c r="D25" s="0" t="n">
        <v>857.6</v>
      </c>
      <c r="E25" s="0" t="n">
        <v>6</v>
      </c>
      <c r="F25" s="0" t="n">
        <v>0</v>
      </c>
      <c r="G25" s="0" t="n">
        <v>186</v>
      </c>
      <c r="H25" s="115" t="n">
        <f aca="false">IFERROR(D25/C25/11.1*0.585*C25,0)</f>
        <v>45.1978378378378</v>
      </c>
      <c r="I25" s="119"/>
      <c r="J25" s="119"/>
      <c r="K25" s="119"/>
    </row>
    <row r="26" customFormat="false" ht="14.25" hidden="false" customHeight="true" outlineLevel="0" collapsed="false">
      <c r="B26" s="0" t="s">
        <v>492</v>
      </c>
      <c r="C26" s="0" t="n">
        <v>74</v>
      </c>
      <c r="D26" s="0" t="n">
        <v>821</v>
      </c>
      <c r="E26" s="0" t="n">
        <v>3.2</v>
      </c>
      <c r="F26" s="0" t="n">
        <v>0.3</v>
      </c>
      <c r="G26" s="0" t="n">
        <v>143.1</v>
      </c>
      <c r="H26" s="115" t="n">
        <f aca="false">IFERROR(D26/C26/11.1*0.585*C26,0)</f>
        <v>43.2689189189189</v>
      </c>
      <c r="I26" s="119"/>
      <c r="J26" s="119"/>
      <c r="K26" s="119"/>
    </row>
    <row r="27" customFormat="false" ht="14.25" hidden="false" customHeight="true" outlineLevel="0" collapsed="false">
      <c r="A27" s="0" t="s">
        <v>907</v>
      </c>
      <c r="B27" s="0" t="s">
        <v>500</v>
      </c>
      <c r="C27" s="0" t="n">
        <v>65.5</v>
      </c>
      <c r="D27" s="0" t="n">
        <v>690.1</v>
      </c>
      <c r="E27" s="0" t="n">
        <v>7.6</v>
      </c>
      <c r="F27" s="0" t="n">
        <v>0.2</v>
      </c>
      <c r="G27" s="0" t="n">
        <v>146.8</v>
      </c>
      <c r="H27" s="115" t="n">
        <f aca="false">IFERROR(D27/C27/11.1*0.585*C27,0)</f>
        <v>36.3701351351351</v>
      </c>
      <c r="I27" s="117" t="n">
        <f aca="false">C29*Scoring!$B$36+TE!D29/Scoring!$C$36+TE!E29*Scoring!$D$36+TE!F29*Scoring!$E$36+H29*Scoring!$F$36</f>
        <v>124.9</v>
      </c>
      <c r="J27" s="117" t="n">
        <f aca="false">C27*Scoring!$B$36+TE!D27/Scoring!$C$36+TE!E27*Scoring!$D$36+TE!F27*Scoring!$E$36+H27*Scoring!$F$36</f>
        <v>146.96</v>
      </c>
      <c r="K27" s="117" t="n">
        <f aca="false">C28*Scoring!$B$36+TE!D28/Scoring!$C$36+TE!E28*Scoring!$D$36+TE!F28*Scoring!$E$36+H28*Scoring!$F$36</f>
        <v>173.84</v>
      </c>
    </row>
    <row r="28" customFormat="false" ht="14.25" hidden="false" customHeight="true" outlineLevel="0" collapsed="false">
      <c r="B28" s="0" t="s">
        <v>491</v>
      </c>
      <c r="C28" s="0" t="n">
        <v>70.6</v>
      </c>
      <c r="D28" s="0" t="n">
        <v>725.4</v>
      </c>
      <c r="E28" s="0" t="n">
        <v>11</v>
      </c>
      <c r="F28" s="0" t="n">
        <v>0</v>
      </c>
      <c r="G28" s="0" t="n">
        <v>168.8</v>
      </c>
      <c r="H28" s="115" t="n">
        <f aca="false">IFERROR(D28/C28/11.1*0.585*C28,0)</f>
        <v>38.2305405405405</v>
      </c>
      <c r="I28" s="119"/>
      <c r="J28" s="119"/>
      <c r="K28" s="119"/>
    </row>
    <row r="29" customFormat="false" ht="14.25" hidden="false" customHeight="true" outlineLevel="0" collapsed="false">
      <c r="B29" s="0" t="s">
        <v>492</v>
      </c>
      <c r="C29" s="0" t="n">
        <v>58</v>
      </c>
      <c r="D29" s="0" t="n">
        <v>625</v>
      </c>
      <c r="E29" s="0" t="n">
        <v>5.7</v>
      </c>
      <c r="F29" s="0" t="n">
        <v>0.4</v>
      </c>
      <c r="G29" s="0" t="n">
        <v>139.1</v>
      </c>
      <c r="H29" s="115" t="n">
        <f aca="false">IFERROR(D29/C29/11.1*0.585*C29,0)</f>
        <v>32.9391891891892</v>
      </c>
      <c r="I29" s="119"/>
      <c r="J29" s="119"/>
      <c r="K29" s="119"/>
    </row>
    <row r="30" customFormat="false" ht="14.25" hidden="false" customHeight="true" outlineLevel="0" collapsed="false">
      <c r="A30" s="0" t="s">
        <v>908</v>
      </c>
      <c r="B30" s="0" t="s">
        <v>512</v>
      </c>
      <c r="C30" s="0" t="n">
        <v>74.9</v>
      </c>
      <c r="D30" s="0" t="n">
        <v>784.8</v>
      </c>
      <c r="E30" s="0" t="n">
        <v>4.8</v>
      </c>
      <c r="F30" s="0" t="n">
        <v>0.3</v>
      </c>
      <c r="G30" s="0" t="n">
        <v>144.4</v>
      </c>
      <c r="H30" s="115" t="n">
        <f aca="false">IFERROR(D30/C30/11.1*0.585*C30,0)</f>
        <v>41.3610810810811</v>
      </c>
      <c r="I30" s="117" t="n">
        <f aca="false">C32*Scoring!$B$36+TE!D32/Scoring!$C$36+TE!E32*Scoring!$D$36+TE!F32*Scoring!$E$36+H32*Scoring!$F$36</f>
        <v>136.54</v>
      </c>
      <c r="J30" s="117" t="n">
        <f aca="false">C30*Scoring!$B$36+TE!D30/Scoring!$C$36+TE!E30*Scoring!$D$36+TE!F30*Scoring!$E$36+H30*Scoring!$F$36</f>
        <v>144.13</v>
      </c>
      <c r="K30" s="117" t="n">
        <f aca="false">C31*Scoring!$B$36+TE!D31/Scoring!$C$36+TE!E31*Scoring!$D$36+TE!F31*Scoring!$E$36+H31*Scoring!$F$36</f>
        <v>156.3</v>
      </c>
    </row>
    <row r="31" customFormat="false" ht="14.25" hidden="false" customHeight="true" outlineLevel="0" collapsed="false">
      <c r="B31" s="0" t="s">
        <v>491</v>
      </c>
      <c r="C31" s="0" t="n">
        <v>78</v>
      </c>
      <c r="D31" s="0" t="n">
        <v>813</v>
      </c>
      <c r="E31" s="0" t="n">
        <v>6</v>
      </c>
      <c r="F31" s="0" t="n">
        <v>0</v>
      </c>
      <c r="G31" s="0" t="n">
        <v>175.1</v>
      </c>
      <c r="H31" s="115" t="n">
        <f aca="false">IFERROR(D31/C31/11.1*0.585*C31,0)</f>
        <v>42.8472972972973</v>
      </c>
      <c r="I31" s="119"/>
      <c r="J31" s="119"/>
      <c r="K31" s="119"/>
    </row>
    <row r="32" customFormat="false" ht="14.25" hidden="false" customHeight="true" outlineLevel="0" collapsed="false">
      <c r="B32" s="0" t="s">
        <v>492</v>
      </c>
      <c r="C32" s="0" t="n">
        <v>73</v>
      </c>
      <c r="D32" s="0" t="n">
        <v>770.4</v>
      </c>
      <c r="E32" s="0" t="n">
        <v>4</v>
      </c>
      <c r="F32" s="0" t="n">
        <v>0.5</v>
      </c>
      <c r="G32" s="0" t="n">
        <v>140.9</v>
      </c>
      <c r="H32" s="115" t="n">
        <f aca="false">IFERROR(D32/C32/11.1*0.585*C32,0)</f>
        <v>40.6021621621622</v>
      </c>
      <c r="I32" s="119"/>
      <c r="J32" s="119"/>
      <c r="K32" s="119"/>
    </row>
    <row r="33" customFormat="false" ht="14.25" hidden="false" customHeight="true" outlineLevel="0" collapsed="false">
      <c r="A33" s="0" t="s">
        <v>909</v>
      </c>
      <c r="B33" s="0" t="s">
        <v>530</v>
      </c>
      <c r="C33" s="0" t="n">
        <v>60</v>
      </c>
      <c r="D33" s="0" t="n">
        <v>760.8</v>
      </c>
      <c r="E33" s="0" t="n">
        <v>6.4</v>
      </c>
      <c r="F33" s="0" t="n">
        <v>0.2</v>
      </c>
      <c r="G33" s="0" t="n">
        <v>144.1</v>
      </c>
      <c r="H33" s="115" t="n">
        <f aca="false">IFERROR(D33/C33/11.1*0.585*C33,0)</f>
        <v>40.0962162162162</v>
      </c>
      <c r="I33" s="117" t="n">
        <f aca="false">C35*Scoring!$B$36+TE!D35/Scoring!$C$36+TE!E35*Scoring!$D$36+TE!F35*Scoring!$E$36+H35*Scoring!$F$36</f>
        <v>124.3</v>
      </c>
      <c r="J33" s="117" t="n">
        <f aca="false">C33*Scoring!$B$36+TE!D33/Scoring!$C$36+TE!E33*Scoring!$D$36+TE!F33*Scoring!$E$36+H33*Scoring!$F$36</f>
        <v>144.08</v>
      </c>
      <c r="K33" s="117" t="n">
        <f aca="false">C34*Scoring!$B$36+TE!D34/Scoring!$C$36+TE!E34*Scoring!$D$36+TE!F34*Scoring!$E$36+H34*Scoring!$F$36</f>
        <v>172.1</v>
      </c>
    </row>
    <row r="34" customFormat="false" ht="14.25" hidden="false" customHeight="true" outlineLevel="0" collapsed="false">
      <c r="B34" s="0" t="s">
        <v>491</v>
      </c>
      <c r="C34" s="0" t="n">
        <v>68</v>
      </c>
      <c r="D34" s="0" t="n">
        <v>781</v>
      </c>
      <c r="E34" s="0" t="n">
        <v>10</v>
      </c>
      <c r="F34" s="0" t="n">
        <v>0</v>
      </c>
      <c r="G34" s="0" t="n">
        <v>160.9</v>
      </c>
      <c r="H34" s="115" t="n">
        <f aca="false">IFERROR(D34/C34/11.1*0.585*C34,0)</f>
        <v>41.1608108108108</v>
      </c>
      <c r="I34" s="119"/>
      <c r="J34" s="119"/>
      <c r="K34" s="119"/>
    </row>
    <row r="35" customFormat="false" ht="14.25" hidden="false" customHeight="true" outlineLevel="0" collapsed="false">
      <c r="B35" s="0" t="s">
        <v>492</v>
      </c>
      <c r="C35" s="0" t="n">
        <v>55</v>
      </c>
      <c r="D35" s="0" t="n">
        <v>724</v>
      </c>
      <c r="E35" s="0" t="n">
        <v>4.2</v>
      </c>
      <c r="F35" s="0" t="n">
        <v>0.4</v>
      </c>
      <c r="G35" s="0" t="n">
        <v>134.2</v>
      </c>
      <c r="H35" s="115" t="n">
        <f aca="false">IFERROR(D35/C35/11.1*0.585*C35,0)</f>
        <v>38.1567567567568</v>
      </c>
      <c r="I35" s="119"/>
      <c r="J35" s="119"/>
      <c r="K35" s="119"/>
    </row>
    <row r="36" customFormat="false" ht="14.25" hidden="false" customHeight="true" outlineLevel="0" collapsed="false">
      <c r="A36" s="0" t="s">
        <v>910</v>
      </c>
      <c r="B36" s="0" t="s">
        <v>494</v>
      </c>
      <c r="C36" s="0" t="n">
        <v>59.6</v>
      </c>
      <c r="D36" s="0" t="n">
        <v>618.2</v>
      </c>
      <c r="E36" s="0" t="n">
        <v>7.7</v>
      </c>
      <c r="F36" s="0" t="n">
        <v>0.3</v>
      </c>
      <c r="G36" s="0" t="n">
        <v>137.3</v>
      </c>
      <c r="H36" s="115" t="n">
        <f aca="false">IFERROR(D36/C36/11.1*0.585*C36,0)</f>
        <v>32.5808108108108</v>
      </c>
      <c r="I36" s="117" t="n">
        <f aca="false">C38*Scoring!$B$36+TE!D38/Scoring!$C$36+TE!E38*Scoring!$D$36+TE!F38*Scoring!$E$36+H38*Scoring!$F$36</f>
        <v>123.25</v>
      </c>
      <c r="J36" s="117" t="n">
        <f aca="false">C36*Scoring!$B$36+TE!D36/Scoring!$C$36+TE!E36*Scoring!$D$36+TE!F36*Scoring!$E$36+H36*Scoring!$F$36</f>
        <v>137.22</v>
      </c>
      <c r="K36" s="117" t="n">
        <f aca="false">C37*Scoring!$B$36+TE!D37/Scoring!$C$36+TE!E37*Scoring!$D$36+TE!F37*Scoring!$E$36+H37*Scoring!$F$36</f>
        <v>155</v>
      </c>
    </row>
    <row r="37" customFormat="false" ht="14.25" hidden="false" customHeight="true" outlineLevel="0" collapsed="false">
      <c r="B37" s="0" t="s">
        <v>491</v>
      </c>
      <c r="C37" s="0" t="n">
        <v>61</v>
      </c>
      <c r="D37" s="0" t="n">
        <v>645</v>
      </c>
      <c r="E37" s="0" t="n">
        <v>10</v>
      </c>
      <c r="F37" s="0" t="n">
        <v>0</v>
      </c>
      <c r="G37" s="0" t="n">
        <v>160.8</v>
      </c>
      <c r="H37" s="115" t="n">
        <f aca="false">IFERROR(D37/C37/11.1*0.585*C37,0)</f>
        <v>33.9932432432432</v>
      </c>
      <c r="I37" s="119"/>
      <c r="J37" s="119"/>
      <c r="K37" s="119"/>
    </row>
    <row r="38" customFormat="false" ht="14.25" hidden="false" customHeight="true" outlineLevel="0" collapsed="false">
      <c r="B38" s="0" t="s">
        <v>492</v>
      </c>
      <c r="C38" s="0" t="n">
        <v>57.9</v>
      </c>
      <c r="D38" s="0" t="n">
        <v>593</v>
      </c>
      <c r="E38" s="0" t="n">
        <v>6</v>
      </c>
      <c r="F38" s="0" t="n">
        <v>0.5</v>
      </c>
      <c r="G38" s="0" t="n">
        <v>141</v>
      </c>
      <c r="H38" s="115" t="n">
        <f aca="false">IFERROR(D38/C38/11.1*0.585*C38,0)</f>
        <v>31.2527027027027</v>
      </c>
      <c r="I38" s="119"/>
      <c r="J38" s="119"/>
      <c r="K38" s="119"/>
    </row>
    <row r="39" customFormat="false" ht="14.25" hidden="false" customHeight="true" outlineLevel="0" collapsed="false">
      <c r="A39" s="0" t="s">
        <v>911</v>
      </c>
      <c r="B39" s="0" t="s">
        <v>504</v>
      </c>
      <c r="C39" s="0" t="n">
        <v>63.7</v>
      </c>
      <c r="D39" s="0" t="n">
        <v>744.4</v>
      </c>
      <c r="E39" s="0" t="n">
        <v>5</v>
      </c>
      <c r="F39" s="0" t="n">
        <v>1.3</v>
      </c>
      <c r="G39" s="0" t="n">
        <v>133.9</v>
      </c>
      <c r="H39" s="115" t="n">
        <f aca="false">IFERROR(D39/C39/11.1*0.585*C39,0)</f>
        <v>39.2318918918919</v>
      </c>
      <c r="I39" s="117" t="n">
        <f aca="false">C41*Scoring!$B$36+TE!D41/Scoring!$C$36+TE!E41*Scoring!$D$36+TE!F41*Scoring!$E$36+H41*Scoring!$F$36</f>
        <v>113.6</v>
      </c>
      <c r="J39" s="117" t="n">
        <f aca="false">C39*Scoring!$B$36+TE!D39/Scoring!$C$36+TE!E39*Scoring!$D$36+TE!F39*Scoring!$E$36+H39*Scoring!$F$36</f>
        <v>133.69</v>
      </c>
      <c r="K39" s="117" t="n">
        <f aca="false">C40*Scoring!$B$36+TE!D40/Scoring!$C$36+TE!E40*Scoring!$D$36+TE!F40*Scoring!$E$36+H40*Scoring!$F$36</f>
        <v>166.5</v>
      </c>
    </row>
    <row r="40" customFormat="false" ht="14.25" hidden="false" customHeight="true" outlineLevel="0" collapsed="false">
      <c r="B40" s="0" t="s">
        <v>491</v>
      </c>
      <c r="C40" s="0" t="n">
        <v>72</v>
      </c>
      <c r="D40" s="0" t="n">
        <v>895</v>
      </c>
      <c r="E40" s="0" t="n">
        <v>7</v>
      </c>
      <c r="F40" s="0" t="n">
        <v>0.5</v>
      </c>
      <c r="G40" s="0" t="n">
        <v>150.8</v>
      </c>
      <c r="H40" s="115" t="n">
        <f aca="false">IFERROR(D40/C40/11.1*0.585*C40,0)</f>
        <v>47.1689189189189</v>
      </c>
      <c r="I40" s="119"/>
      <c r="J40" s="119"/>
      <c r="K40" s="119"/>
    </row>
    <row r="41" customFormat="false" ht="14.25" hidden="false" customHeight="true" outlineLevel="0" collapsed="false">
      <c r="B41" s="0" t="s">
        <v>492</v>
      </c>
      <c r="C41" s="0" t="n">
        <v>56</v>
      </c>
      <c r="D41" s="0" t="n">
        <v>656</v>
      </c>
      <c r="E41" s="0" t="n">
        <v>4</v>
      </c>
      <c r="F41" s="0" t="n">
        <v>2</v>
      </c>
      <c r="G41" s="0" t="n">
        <v>123.9</v>
      </c>
      <c r="H41" s="115" t="n">
        <f aca="false">IFERROR(D41/C41/11.1*0.585*C41,0)</f>
        <v>34.572972972973</v>
      </c>
      <c r="I41" s="119"/>
      <c r="J41" s="119"/>
      <c r="K41" s="119"/>
    </row>
    <row r="42" customFormat="false" ht="14.25" hidden="false" customHeight="true" outlineLevel="0" collapsed="false">
      <c r="A42" s="0" t="s">
        <v>912</v>
      </c>
      <c r="B42" s="0" t="s">
        <v>490</v>
      </c>
      <c r="C42" s="0" t="n">
        <v>56.8</v>
      </c>
      <c r="D42" s="0" t="n">
        <v>706.3</v>
      </c>
      <c r="E42" s="0" t="n">
        <v>5.5</v>
      </c>
      <c r="F42" s="0" t="n">
        <v>0.2</v>
      </c>
      <c r="G42" s="0" t="n">
        <v>131.4</v>
      </c>
      <c r="H42" s="115" t="n">
        <f aca="false">IFERROR(D42/C42/11.1*0.585*C42,0)</f>
        <v>37.2239189189189</v>
      </c>
      <c r="I42" s="117" t="n">
        <f aca="false">C44*Scoring!$B$36+TE!D44/Scoring!$C$36+TE!E44*Scoring!$D$36+TE!F44*Scoring!$E$36+H44*Scoring!$F$36</f>
        <v>115.9</v>
      </c>
      <c r="J42" s="117" t="n">
        <f aca="false">C42*Scoring!$B$36+TE!D42/Scoring!$C$36+TE!E42*Scoring!$D$36+TE!F42*Scoring!$E$36+H42*Scoring!$F$36</f>
        <v>131.63</v>
      </c>
      <c r="K42" s="117" t="n">
        <f aca="false">C43*Scoring!$B$36+TE!D43/Scoring!$C$36+TE!E43*Scoring!$D$36+TE!F43*Scoring!$E$36+H43*Scoring!$F$36</f>
        <v>149.25</v>
      </c>
    </row>
    <row r="43" customFormat="false" ht="14.25" hidden="false" customHeight="true" outlineLevel="0" collapsed="false">
      <c r="B43" s="0" t="s">
        <v>491</v>
      </c>
      <c r="C43" s="0" t="n">
        <v>59.3</v>
      </c>
      <c r="D43" s="0" t="n">
        <v>776</v>
      </c>
      <c r="E43" s="0" t="n">
        <v>7</v>
      </c>
      <c r="F43" s="0" t="n">
        <v>0</v>
      </c>
      <c r="G43" s="0" t="n">
        <v>148.9</v>
      </c>
      <c r="H43" s="115" t="n">
        <f aca="false">IFERROR(D43/C43/11.1*0.585*C43,0)</f>
        <v>40.8972972972973</v>
      </c>
      <c r="I43" s="119"/>
      <c r="J43" s="119"/>
      <c r="K43" s="119"/>
    </row>
    <row r="44" customFormat="false" ht="14.25" hidden="false" customHeight="true" outlineLevel="0" collapsed="false">
      <c r="B44" s="0" t="s">
        <v>492</v>
      </c>
      <c r="C44" s="0" t="n">
        <v>52</v>
      </c>
      <c r="D44" s="0" t="n">
        <v>645</v>
      </c>
      <c r="E44" s="0" t="n">
        <v>4.4</v>
      </c>
      <c r="F44" s="0" t="n">
        <v>0.5</v>
      </c>
      <c r="G44" s="0" t="n">
        <v>124.7</v>
      </c>
      <c r="H44" s="115" t="n">
        <f aca="false">IFERROR(D44/C44/11.1*0.585*C44,0)</f>
        <v>33.9932432432432</v>
      </c>
      <c r="I44" s="119"/>
      <c r="J44" s="119"/>
      <c r="K44" s="119"/>
    </row>
    <row r="45" customFormat="false" ht="14.25" hidden="false" customHeight="true" outlineLevel="0" collapsed="false">
      <c r="A45" s="0" t="s">
        <v>913</v>
      </c>
      <c r="B45" s="0" t="s">
        <v>510</v>
      </c>
      <c r="C45" s="0" t="n">
        <v>74</v>
      </c>
      <c r="D45" s="0" t="n">
        <v>605.6</v>
      </c>
      <c r="E45" s="0" t="n">
        <v>5.9</v>
      </c>
      <c r="F45" s="0" t="n">
        <v>1.4</v>
      </c>
      <c r="G45" s="0" t="n">
        <v>130.4</v>
      </c>
      <c r="H45" s="115" t="n">
        <f aca="false">IFERROR(D45/C45/11.1*0.585*C45,0)</f>
        <v>31.9167567567568</v>
      </c>
      <c r="I45" s="117" t="n">
        <f aca="false">C47*Scoring!$B$36+TE!D47/Scoring!$C$36+TE!E47*Scoring!$D$36+TE!F47*Scoring!$E$36+H47*Scoring!$F$36</f>
        <v>120</v>
      </c>
      <c r="J45" s="117" t="n">
        <f aca="false">C45*Scoring!$B$36+TE!D45/Scoring!$C$36+TE!E45*Scoring!$D$36+TE!F45*Scoring!$E$36+H45*Scoring!$F$36</f>
        <v>130.16</v>
      </c>
      <c r="K45" s="117" t="n">
        <f aca="false">C46*Scoring!$B$36+TE!D46/Scoring!$C$36+TE!E46*Scoring!$D$36+TE!F46*Scoring!$E$36+H46*Scoring!$F$36</f>
        <v>142.8</v>
      </c>
    </row>
    <row r="46" customFormat="false" ht="14.25" hidden="false" customHeight="true" outlineLevel="0" collapsed="false">
      <c r="B46" s="0" t="s">
        <v>491</v>
      </c>
      <c r="C46" s="0" t="n">
        <v>78</v>
      </c>
      <c r="D46" s="0" t="n">
        <v>634</v>
      </c>
      <c r="E46" s="0" t="n">
        <v>7</v>
      </c>
      <c r="F46" s="0" t="n">
        <v>0.8</v>
      </c>
      <c r="G46" s="0" t="n">
        <v>161</v>
      </c>
      <c r="H46" s="115" t="n">
        <f aca="false">IFERROR(D46/C46/11.1*0.585*C46,0)</f>
        <v>33.4135135135135</v>
      </c>
      <c r="I46" s="119"/>
      <c r="J46" s="119"/>
      <c r="K46" s="119"/>
    </row>
    <row r="47" customFormat="false" ht="14.25" hidden="false" customHeight="true" outlineLevel="0" collapsed="false">
      <c r="B47" s="0" t="s">
        <v>492</v>
      </c>
      <c r="C47" s="0" t="n">
        <v>71</v>
      </c>
      <c r="D47" s="0" t="n">
        <v>585</v>
      </c>
      <c r="E47" s="0" t="n">
        <v>5</v>
      </c>
      <c r="F47" s="0" t="n">
        <v>2</v>
      </c>
      <c r="G47" s="0" t="n">
        <v>130</v>
      </c>
      <c r="H47" s="115" t="n">
        <f aca="false">IFERROR(D47/C47/11.1*0.585*C47,0)</f>
        <v>30.8310810810811</v>
      </c>
      <c r="I47" s="119"/>
      <c r="J47" s="119"/>
      <c r="K47" s="119"/>
    </row>
    <row r="48" customFormat="false" ht="14.25" hidden="false" customHeight="true" outlineLevel="0" collapsed="false">
      <c r="A48" s="0" t="s">
        <v>914</v>
      </c>
      <c r="B48" s="0" t="s">
        <v>498</v>
      </c>
      <c r="C48" s="0" t="n">
        <v>55.9</v>
      </c>
      <c r="D48" s="0" t="n">
        <v>651.7</v>
      </c>
      <c r="E48" s="0" t="n">
        <v>5.4</v>
      </c>
      <c r="F48" s="0" t="n">
        <v>0.1</v>
      </c>
      <c r="G48" s="0" t="n">
        <v>125.5</v>
      </c>
      <c r="H48" s="115" t="n">
        <f aca="false">IFERROR(D48/C48/11.1*0.585*C48,0)</f>
        <v>34.3463513513514</v>
      </c>
      <c r="I48" s="117" t="n">
        <f aca="false">C50*Scoring!$B$36+TE!D50/Scoring!$C$36+TE!E50*Scoring!$D$36+TE!F50*Scoring!$E$36+H50*Scoring!$F$36</f>
        <v>119.5</v>
      </c>
      <c r="J48" s="117" t="n">
        <f aca="false">C48*Scoring!$B$36+TE!D48/Scoring!$C$36+TE!E48*Scoring!$D$36+TE!F48*Scoring!$E$36+H48*Scoring!$F$36</f>
        <v>125.32</v>
      </c>
      <c r="K48" s="117" t="n">
        <f aca="false">C49*Scoring!$B$36+TE!D49/Scoring!$C$36+TE!E49*Scoring!$D$36+TE!F49*Scoring!$E$36+H49*Scoring!$F$36</f>
        <v>134.7</v>
      </c>
    </row>
    <row r="49" customFormat="false" ht="14.25" hidden="false" customHeight="true" outlineLevel="0" collapsed="false">
      <c r="B49" s="0" t="s">
        <v>491</v>
      </c>
      <c r="C49" s="0" t="n">
        <v>57</v>
      </c>
      <c r="D49" s="0" t="n">
        <v>702</v>
      </c>
      <c r="E49" s="0" t="n">
        <v>6</v>
      </c>
      <c r="F49" s="0" t="n">
        <v>0</v>
      </c>
      <c r="G49" s="0" t="n">
        <v>147.8</v>
      </c>
      <c r="H49" s="115" t="n">
        <f aca="false">IFERROR(D49/C49/11.1*0.585*C49,0)</f>
        <v>36.9972972972973</v>
      </c>
      <c r="I49" s="119"/>
      <c r="J49" s="119"/>
      <c r="K49" s="119"/>
    </row>
    <row r="50" customFormat="false" ht="14.25" hidden="false" customHeight="true" outlineLevel="0" collapsed="false">
      <c r="B50" s="0" t="s">
        <v>492</v>
      </c>
      <c r="C50" s="0" t="n">
        <v>55</v>
      </c>
      <c r="D50" s="0" t="n">
        <v>624</v>
      </c>
      <c r="E50" s="0" t="n">
        <v>5</v>
      </c>
      <c r="F50" s="0" t="n">
        <v>0.2</v>
      </c>
      <c r="G50" s="0" t="n">
        <v>122.6</v>
      </c>
      <c r="H50" s="115" t="n">
        <f aca="false">IFERROR(D50/C50/11.1*0.585*C50,0)</f>
        <v>32.8864864864865</v>
      </c>
      <c r="I50" s="119"/>
      <c r="J50" s="119"/>
      <c r="K50" s="119"/>
    </row>
    <row r="51" customFormat="false" ht="14.25" hidden="false" customHeight="true" outlineLevel="0" collapsed="false">
      <c r="A51" s="0" t="s">
        <v>915</v>
      </c>
      <c r="B51" s="0" t="s">
        <v>526</v>
      </c>
      <c r="C51" s="0" t="n">
        <v>65.2</v>
      </c>
      <c r="D51" s="0" t="n">
        <v>736.3</v>
      </c>
      <c r="E51" s="0" t="n">
        <v>3.3</v>
      </c>
      <c r="F51" s="0" t="n">
        <v>1.3</v>
      </c>
      <c r="G51" s="0" t="n">
        <v>123.3</v>
      </c>
      <c r="H51" s="115" t="n">
        <f aca="false">IFERROR(D51/C51/11.1*0.585*C51,0)</f>
        <v>38.805</v>
      </c>
      <c r="I51" s="117" t="n">
        <f aca="false">C53*Scoring!$B$36+TE!D53/Scoring!$C$36+TE!E53*Scoring!$D$36+TE!F53*Scoring!$E$36+H53*Scoring!$F$36</f>
        <v>109.48</v>
      </c>
      <c r="J51" s="117" t="n">
        <f aca="false">C51*Scoring!$B$36+TE!D51/Scoring!$C$36+TE!E51*Scoring!$D$36+TE!F51*Scoring!$E$36+H51*Scoring!$F$36</f>
        <v>123.43</v>
      </c>
      <c r="K51" s="117" t="n">
        <f aca="false">C52*Scoring!$B$36+TE!D52/Scoring!$C$36+TE!E52*Scoring!$D$36+TE!F52*Scoring!$E$36+H52*Scoring!$F$36</f>
        <v>145.5</v>
      </c>
    </row>
    <row r="52" customFormat="false" ht="14.25" hidden="false" customHeight="true" outlineLevel="0" collapsed="false">
      <c r="B52" s="0" t="s">
        <v>491</v>
      </c>
      <c r="C52" s="0" t="n">
        <v>71</v>
      </c>
      <c r="D52" s="0" t="n">
        <v>872</v>
      </c>
      <c r="E52" s="0" t="n">
        <v>4</v>
      </c>
      <c r="F52" s="0" t="n">
        <v>0.6</v>
      </c>
      <c r="G52" s="0" t="n">
        <v>148.2</v>
      </c>
      <c r="H52" s="115" t="n">
        <f aca="false">IFERROR(D52/C52/11.1*0.585*C52,0)</f>
        <v>45.9567567567568</v>
      </c>
      <c r="I52" s="119"/>
      <c r="J52" s="119"/>
      <c r="K52" s="119"/>
    </row>
    <row r="53" customFormat="false" ht="14.25" hidden="false" customHeight="true" outlineLevel="0" collapsed="false">
      <c r="B53" s="0" t="s">
        <v>492</v>
      </c>
      <c r="C53" s="0" t="n">
        <v>60</v>
      </c>
      <c r="D53" s="0" t="n">
        <v>660.8</v>
      </c>
      <c r="E53" s="0" t="n">
        <v>2.9</v>
      </c>
      <c r="F53" s="0" t="n">
        <v>2</v>
      </c>
      <c r="G53" s="0" t="n">
        <v>114.9</v>
      </c>
      <c r="H53" s="115" t="n">
        <f aca="false">IFERROR(D53/C53/11.1*0.585*C53,0)</f>
        <v>34.8259459459459</v>
      </c>
      <c r="I53" s="119"/>
      <c r="J53" s="119"/>
      <c r="K53" s="119"/>
    </row>
    <row r="54" customFormat="false" ht="14.25" hidden="false" customHeight="true" outlineLevel="0" collapsed="false">
      <c r="A54" s="0" t="s">
        <v>916</v>
      </c>
      <c r="B54" s="0" t="s">
        <v>506</v>
      </c>
      <c r="C54" s="0" t="n">
        <v>60</v>
      </c>
      <c r="D54" s="0" t="n">
        <v>661.3</v>
      </c>
      <c r="E54" s="0" t="n">
        <v>4.3</v>
      </c>
      <c r="F54" s="0" t="n">
        <v>0.2</v>
      </c>
      <c r="G54" s="0" t="n">
        <v>121.8</v>
      </c>
      <c r="H54" s="115" t="n">
        <f aca="false">IFERROR(D54/C54/11.1*0.585*C54,0)</f>
        <v>34.8522972972973</v>
      </c>
      <c r="I54" s="117" t="n">
        <f aca="false">C56*Scoring!$B$36+TE!D56/Scoring!$C$36+TE!E56*Scoring!$D$36+TE!F56*Scoring!$E$36+H56*Scoring!$F$36</f>
        <v>105.8</v>
      </c>
      <c r="J54" s="117" t="n">
        <f aca="false">C54*Scoring!$B$36+TE!D54/Scoring!$C$36+TE!E54*Scoring!$D$36+TE!F54*Scoring!$E$36+H54*Scoring!$F$36</f>
        <v>121.53</v>
      </c>
      <c r="K54" s="117" t="n">
        <f aca="false">C55*Scoring!$B$36+TE!D55/Scoring!$C$36+TE!E55*Scoring!$D$36+TE!F55*Scoring!$E$36+H55*Scoring!$F$36</f>
        <v>146.4</v>
      </c>
    </row>
    <row r="55" customFormat="false" ht="14.25" hidden="false" customHeight="true" outlineLevel="0" collapsed="false">
      <c r="B55" s="0" t="s">
        <v>491</v>
      </c>
      <c r="C55" s="0" t="n">
        <v>70</v>
      </c>
      <c r="D55" s="0" t="n">
        <v>814</v>
      </c>
      <c r="E55" s="0" t="n">
        <v>5</v>
      </c>
      <c r="F55" s="0" t="n">
        <v>0</v>
      </c>
      <c r="G55" s="0" t="n">
        <v>136.6</v>
      </c>
      <c r="H55" s="115" t="n">
        <f aca="false">IFERROR(D55/C55/11.1*0.585*C55,0)</f>
        <v>42.9</v>
      </c>
      <c r="I55" s="119"/>
      <c r="J55" s="119"/>
      <c r="K55" s="119"/>
    </row>
    <row r="56" customFormat="false" ht="14.25" hidden="false" customHeight="true" outlineLevel="0" collapsed="false">
      <c r="B56" s="0" t="s">
        <v>492</v>
      </c>
      <c r="C56" s="0" t="n">
        <v>51</v>
      </c>
      <c r="D56" s="0" t="n">
        <v>571</v>
      </c>
      <c r="E56" s="0" t="n">
        <v>4</v>
      </c>
      <c r="F56" s="0" t="n">
        <v>0.4</v>
      </c>
      <c r="G56" s="0" t="n">
        <v>113.5</v>
      </c>
      <c r="H56" s="115" t="n">
        <f aca="false">IFERROR(D56/C56/11.1*0.585*C56,0)</f>
        <v>30.0932432432432</v>
      </c>
      <c r="I56" s="119"/>
      <c r="J56" s="119"/>
      <c r="K56" s="119"/>
    </row>
    <row r="57" customFormat="false" ht="14.25" hidden="false" customHeight="true" outlineLevel="0" collapsed="false">
      <c r="A57" s="0" t="s">
        <v>917</v>
      </c>
      <c r="B57" s="0" t="s">
        <v>538</v>
      </c>
      <c r="C57" s="0" t="n">
        <v>65.9</v>
      </c>
      <c r="D57" s="0" t="n">
        <v>628.7</v>
      </c>
      <c r="E57" s="0" t="n">
        <v>3.4</v>
      </c>
      <c r="F57" s="0" t="n">
        <v>0.2</v>
      </c>
      <c r="G57" s="0" t="n">
        <v>115.7</v>
      </c>
      <c r="H57" s="115" t="n">
        <f aca="false">IFERROR(D57/C57/11.1*0.585*C57,0)</f>
        <v>33.1341891891892</v>
      </c>
      <c r="I57" s="117" t="n">
        <f aca="false">C59*Scoring!$B$36+TE!D59/Scoring!$C$36+TE!E59*Scoring!$D$36+TE!F59*Scoring!$E$36+H59*Scoring!$F$36</f>
        <v>101.95</v>
      </c>
      <c r="J57" s="117" t="n">
        <f aca="false">C57*Scoring!$B$36+TE!D57/Scoring!$C$36+TE!E57*Scoring!$D$36+TE!F57*Scoring!$E$36+H57*Scoring!$F$36</f>
        <v>115.82</v>
      </c>
      <c r="K57" s="117" t="n">
        <f aca="false">C58*Scoring!$B$36+TE!D58/Scoring!$C$36+TE!E58*Scoring!$D$36+TE!F58*Scoring!$E$36+H58*Scoring!$F$36</f>
        <v>128.6</v>
      </c>
    </row>
    <row r="58" customFormat="false" ht="14.25" hidden="false" customHeight="true" outlineLevel="0" collapsed="false">
      <c r="B58" s="0" t="s">
        <v>491</v>
      </c>
      <c r="C58" s="0" t="n">
        <v>71</v>
      </c>
      <c r="D58" s="0" t="n">
        <v>691</v>
      </c>
      <c r="E58" s="0" t="n">
        <v>4</v>
      </c>
      <c r="F58" s="0" t="n">
        <v>0</v>
      </c>
      <c r="G58" s="0" t="n">
        <v>149</v>
      </c>
      <c r="H58" s="115" t="n">
        <f aca="false">IFERROR(D58/C58/11.1*0.585*C58,0)</f>
        <v>36.4175675675676</v>
      </c>
      <c r="I58" s="119"/>
      <c r="J58" s="119"/>
      <c r="K58" s="119"/>
    </row>
    <row r="59" customFormat="false" ht="14.25" hidden="false" customHeight="true" outlineLevel="0" collapsed="false">
      <c r="B59" s="0" t="s">
        <v>492</v>
      </c>
      <c r="C59" s="0" t="n">
        <v>59.7</v>
      </c>
      <c r="D59" s="0" t="n">
        <v>549</v>
      </c>
      <c r="E59" s="0" t="n">
        <v>3</v>
      </c>
      <c r="F59" s="0" t="n">
        <v>0.4</v>
      </c>
      <c r="G59" s="0" t="n">
        <v>106.2</v>
      </c>
      <c r="H59" s="115" t="n">
        <f aca="false">IFERROR(D59/C59/11.1*0.585*C59,0)</f>
        <v>28.9337837837838</v>
      </c>
      <c r="I59" s="119"/>
      <c r="J59" s="119"/>
      <c r="K59" s="119"/>
    </row>
    <row r="60" customFormat="false" ht="14.25" hidden="false" customHeight="true" outlineLevel="0" collapsed="false">
      <c r="A60" s="0" t="s">
        <v>918</v>
      </c>
      <c r="B60" s="0" t="s">
        <v>522</v>
      </c>
      <c r="C60" s="0" t="n">
        <v>64.1</v>
      </c>
      <c r="D60" s="0" t="n">
        <v>575.2</v>
      </c>
      <c r="E60" s="0" t="n">
        <v>3.3</v>
      </c>
      <c r="F60" s="0" t="n">
        <v>0.2</v>
      </c>
      <c r="G60" s="0" t="n">
        <v>108.9</v>
      </c>
      <c r="H60" s="115" t="n">
        <f aca="false">IFERROR(D60/C60/11.1*0.585*C60,0)</f>
        <v>30.3145945945946</v>
      </c>
      <c r="I60" s="117" t="n">
        <f aca="false">C62*Scoring!$B$36+TE!D62/Scoring!$C$36+TE!E62*Scoring!$D$36+TE!F62*Scoring!$E$36+H62*Scoring!$F$36</f>
        <v>96.1</v>
      </c>
      <c r="J60" s="117" t="n">
        <f aca="false">C60*Scoring!$B$36+TE!D60/Scoring!$C$36+TE!E60*Scoring!$D$36+TE!F60*Scoring!$E$36+H60*Scoring!$F$36</f>
        <v>108.97</v>
      </c>
      <c r="K60" s="117" t="n">
        <f aca="false">C61*Scoring!$B$36+TE!D61/Scoring!$C$36+TE!E61*Scoring!$D$36+TE!F61*Scoring!$E$36+H61*Scoring!$F$36</f>
        <v>127.07</v>
      </c>
    </row>
    <row r="61" customFormat="false" ht="14.25" hidden="false" customHeight="true" outlineLevel="0" collapsed="false">
      <c r="B61" s="0" t="s">
        <v>491</v>
      </c>
      <c r="C61" s="0" t="n">
        <v>78.2</v>
      </c>
      <c r="D61" s="0" t="n">
        <v>639.7</v>
      </c>
      <c r="E61" s="0" t="n">
        <v>4</v>
      </c>
      <c r="F61" s="0" t="n">
        <v>0</v>
      </c>
      <c r="G61" s="0" t="n">
        <v>136.3</v>
      </c>
      <c r="H61" s="115" t="n">
        <f aca="false">IFERROR(D61/C61/11.1*0.585*C61,0)</f>
        <v>33.7139189189189</v>
      </c>
      <c r="I61" s="119"/>
      <c r="J61" s="119"/>
      <c r="K61" s="119"/>
    </row>
    <row r="62" customFormat="false" ht="14.25" hidden="false" customHeight="true" outlineLevel="0" collapsed="false">
      <c r="B62" s="0" t="s">
        <v>492</v>
      </c>
      <c r="C62" s="0" t="n">
        <v>55</v>
      </c>
      <c r="D62" s="0" t="n">
        <v>518</v>
      </c>
      <c r="E62" s="0" t="n">
        <v>2.9</v>
      </c>
      <c r="F62" s="0" t="n">
        <v>0.3</v>
      </c>
      <c r="G62" s="0" t="n">
        <v>100</v>
      </c>
      <c r="H62" s="115" t="n">
        <f aca="false">IFERROR(D62/C62/11.1*0.585*C62,0)</f>
        <v>27.3</v>
      </c>
      <c r="I62" s="119"/>
      <c r="J62" s="119"/>
      <c r="K62" s="119"/>
    </row>
    <row r="63" customFormat="false" ht="14.25" hidden="false" customHeight="true" outlineLevel="0" collapsed="false">
      <c r="A63" s="0" t="s">
        <v>919</v>
      </c>
      <c r="B63" s="0" t="s">
        <v>548</v>
      </c>
      <c r="C63" s="0" t="n">
        <v>53</v>
      </c>
      <c r="D63" s="0" t="n">
        <v>559.6</v>
      </c>
      <c r="E63" s="0" t="n">
        <v>4.3</v>
      </c>
      <c r="F63" s="0" t="n">
        <v>0.2</v>
      </c>
      <c r="G63" s="0" t="n">
        <v>107.6</v>
      </c>
      <c r="H63" s="115" t="n">
        <f aca="false">IFERROR(D63/C63/11.1*0.585*C63,0)</f>
        <v>29.4924324324324</v>
      </c>
      <c r="I63" s="117" t="n">
        <f aca="false">C65*Scoring!$B$36+TE!D65/Scoring!$C$36+TE!E65*Scoring!$D$36+TE!F65*Scoring!$E$36+H65*Scoring!$F$36</f>
        <v>89.8</v>
      </c>
      <c r="J63" s="117" t="n">
        <f aca="false">C63*Scoring!$B$36+TE!D63/Scoring!$C$36+TE!E63*Scoring!$D$36+TE!F63*Scoring!$E$36+H63*Scoring!$F$36</f>
        <v>107.86</v>
      </c>
      <c r="K63" s="117" t="n">
        <f aca="false">C64*Scoring!$B$36+TE!D64/Scoring!$C$36+TE!E64*Scoring!$D$36+TE!F64*Scoring!$E$36+H64*Scoring!$F$36</f>
        <v>120.22</v>
      </c>
    </row>
    <row r="64" customFormat="false" ht="14.25" hidden="false" customHeight="true" outlineLevel="0" collapsed="false">
      <c r="B64" s="0" t="s">
        <v>491</v>
      </c>
      <c r="C64" s="0" t="n">
        <v>59.9</v>
      </c>
      <c r="D64" s="0" t="n">
        <v>602.7</v>
      </c>
      <c r="E64" s="0" t="n">
        <v>5</v>
      </c>
      <c r="F64" s="0" t="n">
        <v>0</v>
      </c>
      <c r="G64" s="0" t="n">
        <v>139.6</v>
      </c>
      <c r="H64" s="115" t="n">
        <f aca="false">IFERROR(D64/C64/11.1*0.585*C64,0)</f>
        <v>31.7639189189189</v>
      </c>
      <c r="I64" s="119"/>
      <c r="J64" s="119"/>
      <c r="K64" s="119"/>
    </row>
    <row r="65" customFormat="false" ht="14.25" hidden="false" customHeight="true" outlineLevel="0" collapsed="false">
      <c r="B65" s="0" t="s">
        <v>492</v>
      </c>
      <c r="C65" s="0" t="n">
        <v>46</v>
      </c>
      <c r="D65" s="0" t="n">
        <v>510</v>
      </c>
      <c r="E65" s="0" t="n">
        <v>2.8</v>
      </c>
      <c r="F65" s="0" t="n">
        <v>0.5</v>
      </c>
      <c r="G65" s="0" t="n">
        <v>100.5</v>
      </c>
      <c r="H65" s="115" t="n">
        <f aca="false">IFERROR(D65/C65/11.1*0.585*C65,0)</f>
        <v>26.8783783783784</v>
      </c>
      <c r="I65" s="119"/>
      <c r="J65" s="119"/>
      <c r="K65" s="119"/>
    </row>
    <row r="66" customFormat="false" ht="14.25" hidden="false" customHeight="true" outlineLevel="0" collapsed="false">
      <c r="A66" s="0" t="s">
        <v>920</v>
      </c>
      <c r="B66" s="0" t="s">
        <v>534</v>
      </c>
      <c r="C66" s="0" t="n">
        <v>54.9</v>
      </c>
      <c r="D66" s="0" t="n">
        <v>620.8</v>
      </c>
      <c r="E66" s="0" t="n">
        <v>3.2</v>
      </c>
      <c r="F66" s="0" t="n">
        <v>1.2</v>
      </c>
      <c r="G66" s="0" t="n">
        <v>106.4</v>
      </c>
      <c r="H66" s="115" t="n">
        <f aca="false">IFERROR(D66/C66/11.1*0.585*C66,0)</f>
        <v>32.7178378378378</v>
      </c>
      <c r="I66" s="117" t="n">
        <f aca="false">C68*Scoring!$B$36+TE!D68/Scoring!$C$36+TE!E68*Scoring!$D$36+TE!F68*Scoring!$E$36+H68*Scoring!$F$36</f>
        <v>89.54</v>
      </c>
      <c r="J66" s="117" t="n">
        <f aca="false">C66*Scoring!$B$36+TE!D66/Scoring!$C$36+TE!E66*Scoring!$D$36+TE!F66*Scoring!$E$36+H66*Scoring!$F$36</f>
        <v>106.33</v>
      </c>
      <c r="K66" s="117" t="n">
        <f aca="false">C67*Scoring!$B$36+TE!D67/Scoring!$C$36+TE!E67*Scoring!$D$36+TE!F67*Scoring!$E$36+H67*Scoring!$F$36</f>
        <v>120.2</v>
      </c>
    </row>
    <row r="67" customFormat="false" ht="14.25" hidden="false" customHeight="true" outlineLevel="0" collapsed="false">
      <c r="B67" s="0" t="s">
        <v>491</v>
      </c>
      <c r="C67" s="0" t="n">
        <v>59</v>
      </c>
      <c r="D67" s="0" t="n">
        <v>675</v>
      </c>
      <c r="E67" s="0" t="n">
        <v>4</v>
      </c>
      <c r="F67" s="0" t="n">
        <v>0.4</v>
      </c>
      <c r="G67" s="0" t="n">
        <v>139</v>
      </c>
      <c r="H67" s="115" t="n">
        <f aca="false">IFERROR(D67/C67/11.1*0.585*C67,0)</f>
        <v>35.5743243243243</v>
      </c>
      <c r="I67" s="119"/>
      <c r="J67" s="119"/>
      <c r="K67" s="119"/>
    </row>
    <row r="68" customFormat="false" ht="14.25" hidden="false" customHeight="true" outlineLevel="0" collapsed="false">
      <c r="B68" s="0" t="s">
        <v>492</v>
      </c>
      <c r="C68" s="0" t="n">
        <v>51.6</v>
      </c>
      <c r="D68" s="0" t="n">
        <v>581.4</v>
      </c>
      <c r="E68" s="0" t="n">
        <v>1.6</v>
      </c>
      <c r="F68" s="0" t="n">
        <v>2</v>
      </c>
      <c r="G68" s="0" t="n">
        <v>94.8</v>
      </c>
      <c r="H68" s="115" t="n">
        <f aca="false">IFERROR(D68/C68/11.1*0.585*C68,0)</f>
        <v>30.6413513513514</v>
      </c>
      <c r="I68" s="119"/>
      <c r="J68" s="119"/>
      <c r="K68" s="119"/>
    </row>
    <row r="69" customFormat="false" ht="14.25" hidden="false" customHeight="true" outlineLevel="0" collapsed="false">
      <c r="A69" s="0" t="s">
        <v>921</v>
      </c>
      <c r="B69" s="0" t="s">
        <v>542</v>
      </c>
      <c r="C69" s="0" t="n">
        <v>50.7</v>
      </c>
      <c r="D69" s="0" t="n">
        <v>558.9</v>
      </c>
      <c r="E69" s="0" t="n">
        <v>4.3</v>
      </c>
      <c r="F69" s="0" t="n">
        <v>0.7</v>
      </c>
      <c r="G69" s="0" t="n">
        <v>105.7</v>
      </c>
      <c r="H69" s="115" t="n">
        <f aca="false">IFERROR(D69/C69/11.1*0.585*C69,0)</f>
        <v>29.4555405405405</v>
      </c>
      <c r="I69" s="117" t="n">
        <f aca="false">C71*Scoring!$B$36+TE!D71/Scoring!$C$36+TE!E71*Scoring!$D$36+TE!F71*Scoring!$E$36+H71*Scoring!$F$36</f>
        <v>91.2</v>
      </c>
      <c r="J69" s="117" t="n">
        <f aca="false">C69*Scoring!$B$36+TE!D69/Scoring!$C$36+TE!E69*Scoring!$D$36+TE!F69*Scoring!$E$36+H69*Scoring!$F$36</f>
        <v>105.64</v>
      </c>
      <c r="K69" s="117" t="n">
        <f aca="false">C70*Scoring!$B$36+TE!D70/Scoring!$C$36+TE!E70*Scoring!$D$36+TE!F70*Scoring!$E$36+H70*Scoring!$F$36</f>
        <v>127.46</v>
      </c>
    </row>
    <row r="70" customFormat="false" ht="14.25" hidden="false" customHeight="true" outlineLevel="0" collapsed="false">
      <c r="B70" s="0" t="s">
        <v>491</v>
      </c>
      <c r="C70" s="0" t="n">
        <v>60.2</v>
      </c>
      <c r="D70" s="0" t="n">
        <v>621.6</v>
      </c>
      <c r="E70" s="0" t="n">
        <v>6</v>
      </c>
      <c r="F70" s="0" t="n">
        <v>0.4</v>
      </c>
      <c r="G70" s="0" t="n">
        <v>118.6</v>
      </c>
      <c r="H70" s="115" t="n">
        <f aca="false">IFERROR(D70/C70/11.1*0.585*C70,0)</f>
        <v>32.76</v>
      </c>
      <c r="I70" s="119"/>
      <c r="J70" s="119"/>
      <c r="K70" s="119"/>
    </row>
    <row r="71" customFormat="false" ht="14.25" hidden="false" customHeight="true" outlineLevel="0" collapsed="false">
      <c r="B71" s="0" t="s">
        <v>492</v>
      </c>
      <c r="C71" s="0" t="n">
        <v>45</v>
      </c>
      <c r="D71" s="0" t="n">
        <v>527</v>
      </c>
      <c r="E71" s="0" t="n">
        <v>3</v>
      </c>
      <c r="F71" s="0" t="n">
        <v>1</v>
      </c>
      <c r="G71" s="0" t="n">
        <v>105.4</v>
      </c>
      <c r="H71" s="115" t="n">
        <f aca="false">IFERROR(D71/C71/11.1*0.585*C71,0)</f>
        <v>27.7743243243243</v>
      </c>
      <c r="I71" s="119"/>
      <c r="J71" s="119"/>
      <c r="K71" s="119"/>
    </row>
    <row r="72" customFormat="false" ht="14.25" hidden="false" customHeight="true" outlineLevel="0" collapsed="false">
      <c r="A72" s="0" t="s">
        <v>922</v>
      </c>
      <c r="B72" s="0" t="s">
        <v>520</v>
      </c>
      <c r="C72" s="0" t="n">
        <v>39</v>
      </c>
      <c r="D72" s="0" t="n">
        <v>532.8</v>
      </c>
      <c r="E72" s="0" t="n">
        <v>5.1</v>
      </c>
      <c r="F72" s="0" t="n">
        <v>0.2</v>
      </c>
      <c r="G72" s="0" t="n">
        <v>103.2</v>
      </c>
      <c r="H72" s="115" t="n">
        <f aca="false">IFERROR(D72/C72/11.1*0.585*C72,0)</f>
        <v>28.08</v>
      </c>
      <c r="I72" s="117" t="n">
        <f aca="false">C74*Scoring!$B$36+TE!D74/Scoring!$C$36+TE!E74*Scoring!$D$36+TE!F74*Scoring!$E$36+H74*Scoring!$F$36</f>
        <v>92.9</v>
      </c>
      <c r="J72" s="117" t="n">
        <f aca="false">C72*Scoring!$B$36+TE!D72/Scoring!$C$36+TE!E72*Scoring!$D$36+TE!F72*Scoring!$E$36+H72*Scoring!$F$36</f>
        <v>102.98</v>
      </c>
      <c r="K72" s="117" t="n">
        <f aca="false">C73*Scoring!$B$36+TE!D73/Scoring!$C$36+TE!E73*Scoring!$D$36+TE!F73*Scoring!$E$36+H73*Scoring!$F$36</f>
        <v>113.25</v>
      </c>
    </row>
    <row r="73" customFormat="false" ht="14.25" hidden="false" customHeight="true" outlineLevel="0" collapsed="false">
      <c r="B73" s="0" t="s">
        <v>491</v>
      </c>
      <c r="C73" s="0" t="n">
        <v>46</v>
      </c>
      <c r="D73" s="0" t="n">
        <v>578.5</v>
      </c>
      <c r="E73" s="0" t="n">
        <v>5.4</v>
      </c>
      <c r="F73" s="0" t="n">
        <v>0</v>
      </c>
      <c r="G73" s="0" t="n">
        <v>119.5</v>
      </c>
      <c r="H73" s="115" t="n">
        <f aca="false">IFERROR(D73/C73/11.1*0.585*C73,0)</f>
        <v>30.4885135135135</v>
      </c>
      <c r="I73" s="119"/>
      <c r="J73" s="119"/>
      <c r="K73" s="119"/>
    </row>
    <row r="74" customFormat="false" ht="14.25" hidden="false" customHeight="true" outlineLevel="0" collapsed="false">
      <c r="B74" s="0" t="s">
        <v>492</v>
      </c>
      <c r="C74" s="0" t="n">
        <v>29</v>
      </c>
      <c r="D74" s="0" t="n">
        <v>490</v>
      </c>
      <c r="E74" s="0" t="n">
        <v>5</v>
      </c>
      <c r="F74" s="0" t="n">
        <v>0.3</v>
      </c>
      <c r="G74" s="0" t="n">
        <v>95.5</v>
      </c>
      <c r="H74" s="115" t="n">
        <f aca="false">IFERROR(D74/C74/11.1*0.585*C74,0)</f>
        <v>25.8243243243243</v>
      </c>
      <c r="I74" s="119"/>
      <c r="J74" s="119"/>
      <c r="K74" s="119"/>
    </row>
    <row r="75" customFormat="false" ht="14.25" hidden="false" customHeight="true" outlineLevel="0" collapsed="false">
      <c r="A75" s="0" t="s">
        <v>923</v>
      </c>
      <c r="B75" s="0" t="s">
        <v>528</v>
      </c>
      <c r="C75" s="0" t="n">
        <v>54.8</v>
      </c>
      <c r="D75" s="0" t="n">
        <v>557.1</v>
      </c>
      <c r="E75" s="0" t="n">
        <v>3.1</v>
      </c>
      <c r="F75" s="0" t="n">
        <v>0.1</v>
      </c>
      <c r="G75" s="0" t="n">
        <v>101.4</v>
      </c>
      <c r="H75" s="115" t="n">
        <f aca="false">IFERROR(D75/C75/11.1*0.585*C75,0)</f>
        <v>29.3606756756757</v>
      </c>
      <c r="I75" s="117" t="n">
        <f aca="false">C77*Scoring!$B$36+TE!D77/Scoring!$C$36+TE!E77*Scoring!$D$36+TE!F77*Scoring!$E$36+H77*Scoring!$F$36</f>
        <v>79.47</v>
      </c>
      <c r="J75" s="117" t="n">
        <f aca="false">C75*Scoring!$B$36+TE!D75/Scoring!$C$36+TE!E75*Scoring!$D$36+TE!F75*Scoring!$E$36+H75*Scoring!$F$36</f>
        <v>101.51</v>
      </c>
      <c r="K75" s="117" t="n">
        <f aca="false">C76*Scoring!$B$36+TE!D76/Scoring!$C$36+TE!E76*Scoring!$D$36+TE!F76*Scoring!$E$36+H76*Scoring!$F$36</f>
        <v>128.1</v>
      </c>
    </row>
    <row r="76" customFormat="false" ht="14.25" hidden="false" customHeight="true" outlineLevel="0" collapsed="false">
      <c r="B76" s="0" t="s">
        <v>491</v>
      </c>
      <c r="C76" s="0" t="n">
        <v>67</v>
      </c>
      <c r="D76" s="0" t="n">
        <v>706</v>
      </c>
      <c r="E76" s="0" t="n">
        <v>4</v>
      </c>
      <c r="F76" s="0" t="n">
        <v>0</v>
      </c>
      <c r="G76" s="0" t="n">
        <v>124.4</v>
      </c>
      <c r="H76" s="115" t="n">
        <f aca="false">IFERROR(D76/C76/11.1*0.585*C76,0)</f>
        <v>37.2081081081081</v>
      </c>
      <c r="I76" s="119"/>
      <c r="J76" s="119"/>
      <c r="K76" s="119"/>
    </row>
    <row r="77" customFormat="false" ht="14.25" hidden="false" customHeight="true" outlineLevel="0" collapsed="false">
      <c r="B77" s="0" t="s">
        <v>492</v>
      </c>
      <c r="C77" s="0" t="n">
        <v>44.5</v>
      </c>
      <c r="D77" s="0" t="n">
        <v>440.2</v>
      </c>
      <c r="E77" s="0" t="n">
        <v>2.3</v>
      </c>
      <c r="F77" s="0" t="n">
        <v>0.3</v>
      </c>
      <c r="G77" s="0" t="n">
        <v>85</v>
      </c>
      <c r="H77" s="115" t="n">
        <f aca="false">IFERROR(D77/C77/11.1*0.585*C77,0)</f>
        <v>23.1997297297297</v>
      </c>
      <c r="I77" s="119"/>
      <c r="J77" s="119"/>
      <c r="K77" s="119"/>
    </row>
    <row r="78" customFormat="false" ht="14.25" hidden="false" customHeight="true" outlineLevel="0" collapsed="false">
      <c r="A78" s="0" t="s">
        <v>924</v>
      </c>
      <c r="B78" s="0" t="s">
        <v>536</v>
      </c>
      <c r="C78" s="0" t="n">
        <v>48.2</v>
      </c>
      <c r="D78" s="0" t="n">
        <v>468.9</v>
      </c>
      <c r="E78" s="0" t="n">
        <v>4.9</v>
      </c>
      <c r="F78" s="0" t="n">
        <v>0.2</v>
      </c>
      <c r="G78" s="0" t="n">
        <v>99.8</v>
      </c>
      <c r="H78" s="115" t="n">
        <f aca="false">IFERROR(D78/C78/11.1*0.585*C78,0)</f>
        <v>24.7122972972973</v>
      </c>
      <c r="I78" s="117" t="n">
        <f aca="false">C80*Scoring!$B$36+TE!D80/Scoring!$C$36+TE!E80*Scoring!$D$36+TE!F80*Scoring!$E$36+H80*Scoring!$F$36</f>
        <v>86.21</v>
      </c>
      <c r="J78" s="117" t="n">
        <f aca="false">C78*Scoring!$B$36+TE!D78/Scoring!$C$36+TE!E78*Scoring!$D$36+TE!F78*Scoring!$E$36+H78*Scoring!$F$36</f>
        <v>99.99</v>
      </c>
      <c r="K78" s="117" t="n">
        <f aca="false">C79*Scoring!$B$36+TE!D79/Scoring!$C$36+TE!E79*Scoring!$D$36+TE!F79*Scoring!$E$36+H79*Scoring!$F$36</f>
        <v>119.4</v>
      </c>
    </row>
    <row r="79" customFormat="false" ht="14.25" hidden="false" customHeight="true" outlineLevel="0" collapsed="false">
      <c r="B79" s="0" t="s">
        <v>491</v>
      </c>
      <c r="C79" s="0" t="n">
        <v>54</v>
      </c>
      <c r="D79" s="0" t="n">
        <v>504</v>
      </c>
      <c r="E79" s="0" t="n">
        <v>7</v>
      </c>
      <c r="F79" s="0" t="n">
        <v>0</v>
      </c>
      <c r="G79" s="0" t="n">
        <v>125.5</v>
      </c>
      <c r="H79" s="115" t="n">
        <f aca="false">IFERROR(D79/C79/11.1*0.585*C79,0)</f>
        <v>26.5621621621622</v>
      </c>
      <c r="I79" s="119"/>
      <c r="J79" s="119"/>
      <c r="K79" s="119"/>
    </row>
    <row r="80" customFormat="false" ht="14.25" hidden="false" customHeight="true" outlineLevel="0" collapsed="false">
      <c r="B80" s="0" t="s">
        <v>492</v>
      </c>
      <c r="C80" s="0" t="n">
        <v>44.7</v>
      </c>
      <c r="D80" s="0" t="n">
        <v>432.6</v>
      </c>
      <c r="E80" s="0" t="n">
        <v>3.6</v>
      </c>
      <c r="F80" s="0" t="n">
        <v>0.5</v>
      </c>
      <c r="G80" s="0" t="n">
        <v>93.2</v>
      </c>
      <c r="H80" s="115" t="n">
        <f aca="false">IFERROR(D80/C80/11.1*0.585*C80,0)</f>
        <v>22.7991891891892</v>
      </c>
      <c r="I80" s="119"/>
      <c r="J80" s="119"/>
      <c r="K80" s="119"/>
    </row>
    <row r="81" customFormat="false" ht="14.25" hidden="false" customHeight="true" outlineLevel="0" collapsed="false">
      <c r="A81" s="0" t="s">
        <v>925</v>
      </c>
      <c r="B81" s="0" t="s">
        <v>496</v>
      </c>
      <c r="C81" s="0" t="n">
        <v>52.7</v>
      </c>
      <c r="D81" s="0" t="n">
        <v>568.7</v>
      </c>
      <c r="E81" s="0" t="n">
        <v>2.8</v>
      </c>
      <c r="F81" s="0" t="n">
        <v>0.1</v>
      </c>
      <c r="G81" s="0" t="n">
        <v>99.6</v>
      </c>
      <c r="H81" s="115" t="n">
        <f aca="false">IFERROR(D81/C81/11.1*0.585*C81,0)</f>
        <v>29.972027027027</v>
      </c>
      <c r="I81" s="117" t="n">
        <f aca="false">C83*Scoring!$B$36+TE!D83/Scoring!$C$36+TE!E83*Scoring!$D$36+TE!F83*Scoring!$E$36+H83*Scoring!$F$36</f>
        <v>90.65</v>
      </c>
      <c r="J81" s="117" t="n">
        <f aca="false">C81*Scoring!$B$36+TE!D81/Scoring!$C$36+TE!E81*Scoring!$D$36+TE!F81*Scoring!$E$36+H81*Scoring!$F$36</f>
        <v>99.82</v>
      </c>
      <c r="K81" s="117" t="n">
        <f aca="false">C82*Scoring!$B$36+TE!D82/Scoring!$C$36+TE!E82*Scoring!$D$36+TE!F82*Scoring!$E$36+H82*Scoring!$F$36</f>
        <v>107.8</v>
      </c>
    </row>
    <row r="82" customFormat="false" ht="14.25" hidden="false" customHeight="true" outlineLevel="0" collapsed="false">
      <c r="B82" s="0" t="s">
        <v>491</v>
      </c>
      <c r="C82" s="0" t="n">
        <v>54</v>
      </c>
      <c r="D82" s="0" t="n">
        <v>628</v>
      </c>
      <c r="E82" s="0" t="n">
        <v>3</v>
      </c>
      <c r="F82" s="0" t="n">
        <v>0</v>
      </c>
      <c r="G82" s="0" t="n">
        <v>123.3</v>
      </c>
      <c r="H82" s="115" t="n">
        <f aca="false">IFERROR(D82/C82/11.1*0.585*C82,0)</f>
        <v>33.0972972972973</v>
      </c>
      <c r="I82" s="119"/>
      <c r="J82" s="119"/>
      <c r="K82" s="119"/>
    </row>
    <row r="83" customFormat="false" ht="14.25" hidden="false" customHeight="true" outlineLevel="0" collapsed="false">
      <c r="B83" s="0" t="s">
        <v>492</v>
      </c>
      <c r="C83" s="0" t="n">
        <v>51.1</v>
      </c>
      <c r="D83" s="0" t="n">
        <v>519</v>
      </c>
      <c r="E83" s="0" t="n">
        <v>2.3</v>
      </c>
      <c r="F83" s="0" t="n">
        <v>0.3</v>
      </c>
      <c r="G83" s="0" t="n">
        <v>96.2</v>
      </c>
      <c r="H83" s="115" t="n">
        <f aca="false">IFERROR(D83/C83/11.1*0.585*C83,0)</f>
        <v>27.3527027027027</v>
      </c>
      <c r="I83" s="119"/>
      <c r="J83" s="119"/>
      <c r="K83" s="119"/>
    </row>
    <row r="84" customFormat="false" ht="14.25" hidden="false" customHeight="true" outlineLevel="0" collapsed="false">
      <c r="A84" s="0" t="s">
        <v>926</v>
      </c>
      <c r="B84" s="0" t="s">
        <v>540</v>
      </c>
      <c r="C84" s="0" t="n">
        <v>43.3</v>
      </c>
      <c r="D84" s="0" t="n">
        <v>446.2</v>
      </c>
      <c r="E84" s="0" t="n">
        <v>4.7</v>
      </c>
      <c r="F84" s="0" t="n">
        <v>0.1</v>
      </c>
      <c r="G84" s="0" t="n">
        <v>94.1</v>
      </c>
      <c r="H84" s="115" t="n">
        <f aca="false">IFERROR(D84/C84/11.1*0.585*C84,0)</f>
        <v>23.5159459459459</v>
      </c>
      <c r="I84" s="117" t="n">
        <f aca="false">C86*Scoring!$B$36+TE!D86/Scoring!$C$36+TE!E86*Scoring!$D$36+TE!F86*Scoring!$E$36+H86*Scoring!$F$36</f>
        <v>83.8</v>
      </c>
      <c r="J84" s="117" t="n">
        <f aca="false">C84*Scoring!$B$36+TE!D84/Scoring!$C$36+TE!E84*Scoring!$D$36+TE!F84*Scoring!$E$36+H84*Scoring!$F$36</f>
        <v>94.27</v>
      </c>
      <c r="K84" s="117" t="n">
        <f aca="false">C85*Scoring!$B$36+TE!D85/Scoring!$C$36+TE!E85*Scoring!$D$36+TE!F85*Scoring!$E$36+H85*Scoring!$F$36</f>
        <v>106.27</v>
      </c>
    </row>
    <row r="85" customFormat="false" ht="14.25" hidden="false" customHeight="true" outlineLevel="0" collapsed="false">
      <c r="B85" s="0" t="s">
        <v>491</v>
      </c>
      <c r="C85" s="0" t="n">
        <v>46</v>
      </c>
      <c r="D85" s="0" t="n">
        <v>472.7</v>
      </c>
      <c r="E85" s="0" t="n">
        <v>6</v>
      </c>
      <c r="F85" s="0" t="n">
        <v>0</v>
      </c>
      <c r="G85" s="0" t="n">
        <v>105.9</v>
      </c>
      <c r="H85" s="115" t="n">
        <f aca="false">IFERROR(D85/C85/11.1*0.585*C85,0)</f>
        <v>24.9125675675676</v>
      </c>
      <c r="I85" s="119"/>
      <c r="J85" s="119"/>
      <c r="K85" s="119"/>
    </row>
    <row r="86" customFormat="false" ht="14.25" hidden="false" customHeight="true" outlineLevel="0" collapsed="false">
      <c r="B86" s="0" t="s">
        <v>492</v>
      </c>
      <c r="C86" s="0" t="n">
        <v>41</v>
      </c>
      <c r="D86" s="0" t="n">
        <v>397</v>
      </c>
      <c r="E86" s="0" t="n">
        <v>4</v>
      </c>
      <c r="F86" s="0" t="n">
        <v>0.2</v>
      </c>
      <c r="G86" s="0" t="n">
        <v>93.2</v>
      </c>
      <c r="H86" s="115" t="n">
        <f aca="false">IFERROR(D86/C86/11.1*0.585*C86,0)</f>
        <v>20.922972972973</v>
      </c>
      <c r="I86" s="119"/>
      <c r="J86" s="119"/>
      <c r="K86" s="119"/>
    </row>
    <row r="87" customFormat="false" ht="14.25" hidden="false" customHeight="true" outlineLevel="0" collapsed="false">
      <c r="A87" s="0" t="s">
        <v>927</v>
      </c>
      <c r="B87" s="0" t="s">
        <v>518</v>
      </c>
      <c r="C87" s="0" t="n">
        <v>53.4</v>
      </c>
      <c r="D87" s="0" t="n">
        <v>475.8</v>
      </c>
      <c r="E87" s="0" t="n">
        <v>2.7</v>
      </c>
      <c r="F87" s="0" t="n">
        <v>0.1</v>
      </c>
      <c r="G87" s="0" t="n">
        <v>90.4</v>
      </c>
      <c r="H87" s="115" t="n">
        <f aca="false">IFERROR(D87/C87/11.1*0.585*C87,0)</f>
        <v>25.0759459459459</v>
      </c>
      <c r="I87" s="117" t="n">
        <f aca="false">C89*Scoring!$B$36+TE!D89/Scoring!$C$36+TE!E89*Scoring!$D$36+TE!F89*Scoring!$E$36+H89*Scoring!$F$36</f>
        <v>82.69</v>
      </c>
      <c r="J87" s="117" t="n">
        <f aca="false">C87*Scoring!$B$36+TE!D87/Scoring!$C$36+TE!E87*Scoring!$D$36+TE!F87*Scoring!$E$36+H87*Scoring!$F$36</f>
        <v>90.28</v>
      </c>
      <c r="K87" s="117" t="n">
        <f aca="false">C88*Scoring!$B$36+TE!D88/Scoring!$C$36+TE!E88*Scoring!$D$36+TE!F88*Scoring!$E$36+H88*Scoring!$F$36</f>
        <v>94.9</v>
      </c>
    </row>
    <row r="88" customFormat="false" ht="14.25" hidden="false" customHeight="true" outlineLevel="0" collapsed="false">
      <c r="B88" s="0" t="s">
        <v>491</v>
      </c>
      <c r="C88" s="0" t="n">
        <v>57</v>
      </c>
      <c r="D88" s="0" t="n">
        <v>484</v>
      </c>
      <c r="E88" s="0" t="n">
        <v>3</v>
      </c>
      <c r="F88" s="0" t="n">
        <v>0</v>
      </c>
      <c r="G88" s="0" t="n">
        <v>121.6</v>
      </c>
      <c r="H88" s="115" t="n">
        <f aca="false">IFERROR(D88/C88/11.1*0.585*C88,0)</f>
        <v>25.5081081081081</v>
      </c>
      <c r="I88" s="119"/>
      <c r="J88" s="119"/>
      <c r="K88" s="119"/>
    </row>
    <row r="89" customFormat="false" ht="14.25" hidden="false" customHeight="true" outlineLevel="0" collapsed="false">
      <c r="B89" s="0" t="s">
        <v>492</v>
      </c>
      <c r="C89" s="0" t="n">
        <v>47.3</v>
      </c>
      <c r="D89" s="0" t="n">
        <v>464.4</v>
      </c>
      <c r="E89" s="0" t="n">
        <v>2.2</v>
      </c>
      <c r="F89" s="0" t="n">
        <v>0.3</v>
      </c>
      <c r="G89" s="0" t="n">
        <v>83.7</v>
      </c>
      <c r="H89" s="115" t="n">
        <f aca="false">IFERROR(D89/C89/11.1*0.585*C89,0)</f>
        <v>24.4751351351351</v>
      </c>
      <c r="I89" s="119"/>
      <c r="J89" s="119"/>
      <c r="K89" s="119"/>
    </row>
    <row r="90" customFormat="false" ht="14.25" hidden="false" customHeight="true" outlineLevel="0" collapsed="false">
      <c r="A90" s="0" t="s">
        <v>928</v>
      </c>
      <c r="B90" s="0" t="s">
        <v>502</v>
      </c>
      <c r="C90" s="0" t="n">
        <v>42.7</v>
      </c>
      <c r="D90" s="0" t="n">
        <v>447.9</v>
      </c>
      <c r="E90" s="0" t="n">
        <v>3.7</v>
      </c>
      <c r="F90" s="0" t="n">
        <v>0.1</v>
      </c>
      <c r="G90" s="0" t="n">
        <v>88.3</v>
      </c>
      <c r="H90" s="115" t="n">
        <f aca="false">IFERROR(D90/C90/11.1*0.585*C90,0)</f>
        <v>23.6055405405405</v>
      </c>
      <c r="I90" s="117" t="n">
        <f aca="false">C92*Scoring!$B$36+TE!D92/Scoring!$C$36+TE!E92*Scoring!$D$36+TE!F92*Scoring!$E$36+H92*Scoring!$F$36</f>
        <v>70.97</v>
      </c>
      <c r="J90" s="117" t="n">
        <f aca="false">C90*Scoring!$B$36+TE!D90/Scoring!$C$36+TE!E90*Scoring!$D$36+TE!F90*Scoring!$E$36+H90*Scoring!$F$36</f>
        <v>88.14</v>
      </c>
      <c r="K90" s="117" t="n">
        <f aca="false">C91*Scoring!$B$36+TE!D91/Scoring!$C$36+TE!E91*Scoring!$D$36+TE!F91*Scoring!$E$36+H91*Scoring!$F$36</f>
        <v>103.8</v>
      </c>
    </row>
    <row r="91" customFormat="false" ht="14.25" hidden="false" customHeight="true" outlineLevel="0" collapsed="false">
      <c r="B91" s="0" t="s">
        <v>491</v>
      </c>
      <c r="C91" s="0" t="n">
        <v>49</v>
      </c>
      <c r="D91" s="0" t="n">
        <v>541</v>
      </c>
      <c r="E91" s="0" t="n">
        <v>4.2</v>
      </c>
      <c r="F91" s="0" t="n">
        <v>0</v>
      </c>
      <c r="G91" s="0" t="n">
        <v>111.9</v>
      </c>
      <c r="H91" s="115" t="n">
        <f aca="false">IFERROR(D91/C91/11.1*0.585*C91,0)</f>
        <v>28.5121621621622</v>
      </c>
      <c r="I91" s="119"/>
      <c r="J91" s="119"/>
      <c r="K91" s="119"/>
    </row>
    <row r="92" customFormat="false" ht="14.25" hidden="false" customHeight="true" outlineLevel="0" collapsed="false">
      <c r="B92" s="0" t="s">
        <v>492</v>
      </c>
      <c r="C92" s="0" t="n">
        <v>36.2</v>
      </c>
      <c r="D92" s="0" t="n">
        <v>352.7</v>
      </c>
      <c r="E92" s="0" t="n">
        <v>3</v>
      </c>
      <c r="F92" s="0" t="n">
        <v>0.2</v>
      </c>
      <c r="G92" s="0" t="n">
        <v>81.6</v>
      </c>
      <c r="H92" s="115" t="n">
        <f aca="false">IFERROR(D92/C92/11.1*0.585*C92,0)</f>
        <v>18.5882432432432</v>
      </c>
      <c r="I92" s="119"/>
      <c r="J92" s="119"/>
      <c r="K92" s="119"/>
    </row>
    <row r="93" customFormat="false" ht="14.25" hidden="false" customHeight="true" outlineLevel="0" collapsed="false">
      <c r="A93" s="0" t="s">
        <v>929</v>
      </c>
      <c r="B93" s="0" t="s">
        <v>544</v>
      </c>
      <c r="C93" s="0" t="n">
        <v>48.9</v>
      </c>
      <c r="D93" s="0" t="n">
        <v>443.6</v>
      </c>
      <c r="E93" s="0" t="n">
        <v>3.1</v>
      </c>
      <c r="F93" s="0" t="n">
        <v>0.2</v>
      </c>
      <c r="G93" s="0" t="n">
        <v>87.1</v>
      </c>
      <c r="H93" s="115" t="n">
        <f aca="false">IFERROR(D93/C93/11.1*0.585*C93,0)</f>
        <v>23.3789189189189</v>
      </c>
      <c r="I93" s="117" t="n">
        <f aca="false">C95*Scoring!$B$36+TE!D95/Scoring!$C$36+TE!E95*Scoring!$D$36+TE!F95*Scoring!$E$36+H95*Scoring!$F$36</f>
        <v>76.9</v>
      </c>
      <c r="J93" s="117" t="n">
        <f aca="false">C93*Scoring!$B$36+TE!D93/Scoring!$C$36+TE!E93*Scoring!$D$36+TE!F93*Scoring!$E$36+H93*Scoring!$F$36</f>
        <v>87.01</v>
      </c>
      <c r="K93" s="117" t="n">
        <f aca="false">C94*Scoring!$B$36+TE!D94/Scoring!$C$36+TE!E94*Scoring!$D$36+TE!F94*Scoring!$E$36+H94*Scoring!$F$36</f>
        <v>98.54</v>
      </c>
    </row>
    <row r="94" customFormat="false" ht="14.25" hidden="false" customHeight="true" outlineLevel="0" collapsed="false">
      <c r="B94" s="0" t="s">
        <v>491</v>
      </c>
      <c r="C94" s="0" t="n">
        <v>57.7</v>
      </c>
      <c r="D94" s="0" t="n">
        <v>498.9</v>
      </c>
      <c r="E94" s="0" t="n">
        <v>3.3</v>
      </c>
      <c r="F94" s="0" t="n">
        <v>0</v>
      </c>
      <c r="G94" s="0" t="n">
        <v>110.5</v>
      </c>
      <c r="H94" s="115" t="n">
        <f aca="false">IFERROR(D94/C94/11.1*0.585*C94,0)</f>
        <v>26.2933783783784</v>
      </c>
      <c r="I94" s="119"/>
      <c r="J94" s="119"/>
      <c r="K94" s="119"/>
    </row>
    <row r="95" customFormat="false" ht="14.25" hidden="false" customHeight="true" outlineLevel="0" collapsed="false">
      <c r="B95" s="0" t="s">
        <v>492</v>
      </c>
      <c r="C95" s="0" t="n">
        <v>44</v>
      </c>
      <c r="D95" s="0" t="n">
        <v>377</v>
      </c>
      <c r="E95" s="0" t="n">
        <v>3</v>
      </c>
      <c r="F95" s="0" t="n">
        <v>0.4</v>
      </c>
      <c r="G95" s="0" t="n">
        <v>72.5</v>
      </c>
      <c r="H95" s="115" t="n">
        <f aca="false">IFERROR(D95/C95/11.1*0.585*C95,0)</f>
        <v>19.8689189189189</v>
      </c>
      <c r="I95" s="119"/>
      <c r="J95" s="119"/>
      <c r="K95" s="119"/>
    </row>
    <row r="96" customFormat="false" ht="14.25" hidden="false" customHeight="true" outlineLevel="0" collapsed="false">
      <c r="A96" s="0" t="s">
        <v>930</v>
      </c>
      <c r="B96" s="0" t="s">
        <v>516</v>
      </c>
      <c r="C96" s="0" t="n">
        <v>42.3</v>
      </c>
      <c r="D96" s="0" t="n">
        <v>396.2</v>
      </c>
      <c r="E96" s="0" t="n">
        <v>4.3</v>
      </c>
      <c r="F96" s="0" t="n">
        <v>0.1</v>
      </c>
      <c r="G96" s="0" t="n">
        <v>86.2</v>
      </c>
      <c r="H96" s="115" t="n">
        <f aca="false">IFERROR(D96/C96/11.1*0.585*C96,0)</f>
        <v>20.8808108108108</v>
      </c>
      <c r="I96" s="117" t="n">
        <f aca="false">C98*Scoring!$B$36+TE!D98/Scoring!$C$36+TE!E98*Scoring!$D$36+TE!F98*Scoring!$E$36+H98*Scoring!$F$36</f>
        <v>74.25</v>
      </c>
      <c r="J96" s="117" t="n">
        <f aca="false">C96*Scoring!$B$36+TE!D96/Scoring!$C$36+TE!E96*Scoring!$D$36+TE!F96*Scoring!$E$36+H96*Scoring!$F$36</f>
        <v>86.37</v>
      </c>
      <c r="K96" s="117" t="n">
        <f aca="false">C97*Scoring!$B$36+TE!D97/Scoring!$C$36+TE!E97*Scoring!$D$36+TE!F97*Scoring!$E$36+H97*Scoring!$F$36</f>
        <v>100.17</v>
      </c>
    </row>
    <row r="97" customFormat="false" ht="14.25" hidden="false" customHeight="true" outlineLevel="0" collapsed="false">
      <c r="B97" s="0" t="s">
        <v>491</v>
      </c>
      <c r="C97" s="0" t="n">
        <v>45</v>
      </c>
      <c r="D97" s="0" t="n">
        <v>416.7</v>
      </c>
      <c r="E97" s="0" t="n">
        <v>6</v>
      </c>
      <c r="F97" s="0" t="n">
        <v>0</v>
      </c>
      <c r="G97" s="0" t="n">
        <v>98.5</v>
      </c>
      <c r="H97" s="115" t="n">
        <f aca="false">IFERROR(D97/C97/11.1*0.585*C97,0)</f>
        <v>21.9612162162162</v>
      </c>
      <c r="I97" s="119"/>
      <c r="J97" s="119"/>
      <c r="K97" s="119"/>
    </row>
    <row r="98" customFormat="false" ht="14.25" hidden="false" customHeight="true" outlineLevel="0" collapsed="false">
      <c r="B98" s="0" t="s">
        <v>492</v>
      </c>
      <c r="C98" s="0" t="n">
        <v>39.9</v>
      </c>
      <c r="D98" s="0" t="n">
        <v>369</v>
      </c>
      <c r="E98" s="0" t="n">
        <v>3</v>
      </c>
      <c r="F98" s="0" t="n">
        <v>0.3</v>
      </c>
      <c r="G98" s="0" t="n">
        <v>85.6</v>
      </c>
      <c r="H98" s="115" t="n">
        <f aca="false">IFERROR(D98/C98/11.1*0.585*C98,0)</f>
        <v>19.4472972972973</v>
      </c>
      <c r="I98" s="119"/>
      <c r="J98" s="119"/>
      <c r="K98" s="119"/>
    </row>
    <row r="99" customFormat="false" ht="14.25" hidden="false" customHeight="true" outlineLevel="0" collapsed="false">
      <c r="A99" s="0" t="s">
        <v>931</v>
      </c>
      <c r="B99" s="0" t="s">
        <v>542</v>
      </c>
      <c r="C99" s="0" t="n">
        <v>44.2</v>
      </c>
      <c r="D99" s="0" t="n">
        <v>386.9</v>
      </c>
      <c r="E99" s="0" t="n">
        <v>2.5</v>
      </c>
      <c r="F99" s="0" t="n">
        <v>0.1</v>
      </c>
      <c r="G99" s="0" t="n">
        <v>75.4</v>
      </c>
      <c r="H99" s="115" t="n">
        <f aca="false">IFERROR(D99/C99/11.1*0.585*C99,0)</f>
        <v>20.3906756756757</v>
      </c>
      <c r="I99" s="117" t="n">
        <f aca="false">C101*Scoring!$B$36+TE!D101/Scoring!$C$36+TE!E101*Scoring!$D$36+TE!F101*Scoring!$E$36+H101*Scoring!$F$36</f>
        <v>53.23</v>
      </c>
      <c r="J99" s="117" t="n">
        <f aca="false">C99*Scoring!$B$36+TE!D99/Scoring!$C$36+TE!E99*Scoring!$D$36+TE!F99*Scoring!$E$36+H99*Scoring!$F$36</f>
        <v>75.59</v>
      </c>
      <c r="K99" s="117" t="n">
        <f aca="false">C100*Scoring!$B$36+TE!D100/Scoring!$C$36+TE!E100*Scoring!$D$36+TE!F100*Scoring!$E$36+H100*Scoring!$F$36</f>
        <v>98.1</v>
      </c>
    </row>
    <row r="100" customFormat="false" ht="14.25" hidden="false" customHeight="true" outlineLevel="0" collapsed="false">
      <c r="B100" s="0" t="s">
        <v>491</v>
      </c>
      <c r="C100" s="0" t="n">
        <v>56</v>
      </c>
      <c r="D100" s="0" t="n">
        <v>461</v>
      </c>
      <c r="E100" s="0" t="n">
        <v>4</v>
      </c>
      <c r="F100" s="0" t="n">
        <v>0</v>
      </c>
      <c r="G100" s="0" t="n">
        <v>97.1</v>
      </c>
      <c r="H100" s="115" t="n">
        <f aca="false">IFERROR(D100/C100/11.1*0.585*C100,0)</f>
        <v>24.2959459459459</v>
      </c>
      <c r="I100" s="119"/>
      <c r="J100" s="119"/>
      <c r="K100" s="119"/>
    </row>
    <row r="101" customFormat="false" ht="14.25" hidden="false" customHeight="true" outlineLevel="0" collapsed="false">
      <c r="B101" s="0" t="s">
        <v>492</v>
      </c>
      <c r="C101" s="0" t="n">
        <v>33.5</v>
      </c>
      <c r="D101" s="0" t="n">
        <v>284.8</v>
      </c>
      <c r="E101" s="0" t="n">
        <v>1.4</v>
      </c>
      <c r="F101" s="0" t="n">
        <v>0.2</v>
      </c>
      <c r="G101" s="0" t="n">
        <v>59</v>
      </c>
      <c r="H101" s="115" t="n">
        <f aca="false">IFERROR(D101/C101/11.1*0.585*C101,0)</f>
        <v>15.0097297297297</v>
      </c>
      <c r="I101" s="119"/>
      <c r="J101" s="119"/>
      <c r="K101" s="119"/>
    </row>
    <row r="102" customFormat="false" ht="14.25" hidden="false" customHeight="true" outlineLevel="0" collapsed="false">
      <c r="A102" s="0" t="s">
        <v>932</v>
      </c>
      <c r="B102" s="0" t="s">
        <v>520</v>
      </c>
      <c r="C102" s="0" t="n">
        <v>33.4</v>
      </c>
      <c r="D102" s="0" t="n">
        <v>342.2</v>
      </c>
      <c r="E102" s="0" t="n">
        <v>4</v>
      </c>
      <c r="F102" s="0" t="n">
        <v>0.6</v>
      </c>
      <c r="G102" s="0" t="n">
        <v>73.8</v>
      </c>
      <c r="H102" s="115" t="n">
        <f aca="false">IFERROR(D102/C102/11.1*0.585*C102,0)</f>
        <v>18.0348648648649</v>
      </c>
      <c r="I102" s="117" t="n">
        <f aca="false">C104*Scoring!$B$36+TE!D104/Scoring!$C$36+TE!E104*Scoring!$D$36+TE!F104*Scoring!$E$36+H104*Scoring!$F$36</f>
        <v>59.12</v>
      </c>
      <c r="J102" s="117" t="n">
        <f aca="false">C102*Scoring!$B$36+TE!D102/Scoring!$C$36+TE!E102*Scoring!$D$36+TE!F102*Scoring!$E$36+H102*Scoring!$F$36</f>
        <v>73.72</v>
      </c>
      <c r="K102" s="117" t="n">
        <f aca="false">C103*Scoring!$B$36+TE!D103/Scoring!$C$36+TE!E103*Scoring!$D$36+TE!F103*Scoring!$E$36+H103*Scoring!$F$36</f>
        <v>99.4</v>
      </c>
    </row>
    <row r="103" customFormat="false" ht="14.25" hidden="false" customHeight="true" outlineLevel="0" collapsed="false">
      <c r="B103" s="0" t="s">
        <v>491</v>
      </c>
      <c r="C103" s="0" t="n">
        <v>41</v>
      </c>
      <c r="D103" s="0" t="n">
        <v>435</v>
      </c>
      <c r="E103" s="0" t="n">
        <v>6</v>
      </c>
      <c r="F103" s="0" t="n">
        <v>0.3</v>
      </c>
      <c r="G103" s="0" t="n">
        <v>85.7</v>
      </c>
      <c r="H103" s="115" t="n">
        <f aca="false">IFERROR(D103/C103/11.1*0.585*C103,0)</f>
        <v>22.9256756756757</v>
      </c>
      <c r="I103" s="119"/>
      <c r="J103" s="119"/>
      <c r="K103" s="119"/>
    </row>
    <row r="104" customFormat="false" ht="14.25" hidden="false" customHeight="true" outlineLevel="0" collapsed="false">
      <c r="B104" s="0" t="s">
        <v>492</v>
      </c>
      <c r="C104" s="0" t="n">
        <v>28.1</v>
      </c>
      <c r="D104" s="0" t="n">
        <v>290.7</v>
      </c>
      <c r="E104" s="0" t="n">
        <v>3</v>
      </c>
      <c r="F104" s="0" t="n">
        <v>1</v>
      </c>
      <c r="G104" s="0" t="n">
        <v>64</v>
      </c>
      <c r="H104" s="115" t="n">
        <f aca="false">IFERROR(D104/C104/11.1*0.585*C104,0)</f>
        <v>15.3206756756757</v>
      </c>
      <c r="I104" s="119"/>
      <c r="J104" s="119"/>
      <c r="K104" s="119"/>
    </row>
    <row r="105" customFormat="false" ht="14.25" hidden="false" customHeight="true" outlineLevel="0" collapsed="false">
      <c r="A105" s="0" t="s">
        <v>933</v>
      </c>
      <c r="B105" s="0" t="s">
        <v>516</v>
      </c>
      <c r="C105" s="0" t="n">
        <v>33.1</v>
      </c>
      <c r="D105" s="0" t="n">
        <v>413.2</v>
      </c>
      <c r="E105" s="0" t="n">
        <v>2.5</v>
      </c>
      <c r="F105" s="0" t="n">
        <v>0.6</v>
      </c>
      <c r="G105" s="0" t="n">
        <v>71.7</v>
      </c>
      <c r="H105" s="115" t="n">
        <f aca="false">IFERROR(D105/C105/11.1*0.585*C105,0)</f>
        <v>21.7767567567568</v>
      </c>
      <c r="I105" s="117" t="n">
        <f aca="false">C107*Scoring!$B$36+TE!D107/Scoring!$C$36+TE!E107*Scoring!$D$36+TE!F107*Scoring!$E$36+H107*Scoring!$F$36</f>
        <v>57.32</v>
      </c>
      <c r="J105" s="117" t="n">
        <f aca="false">C105*Scoring!$B$36+TE!D105/Scoring!$C$36+TE!E105*Scoring!$D$36+TE!F105*Scoring!$E$36+H105*Scoring!$F$36</f>
        <v>71.67</v>
      </c>
      <c r="K105" s="117" t="n">
        <f aca="false">C106*Scoring!$B$36+TE!D106/Scoring!$C$36+TE!E106*Scoring!$D$36+TE!F106*Scoring!$E$36+H106*Scoring!$F$36</f>
        <v>90</v>
      </c>
    </row>
    <row r="106" customFormat="false" ht="14.25" hidden="false" customHeight="true" outlineLevel="0" collapsed="false">
      <c r="B106" s="0" t="s">
        <v>491</v>
      </c>
      <c r="C106" s="0" t="n">
        <v>38</v>
      </c>
      <c r="D106" s="0" t="n">
        <v>534</v>
      </c>
      <c r="E106" s="0" t="n">
        <v>3</v>
      </c>
      <c r="F106" s="0" t="n">
        <v>0.2</v>
      </c>
      <c r="G106" s="0" t="n">
        <v>82.4</v>
      </c>
      <c r="H106" s="115" t="n">
        <f aca="false">IFERROR(D106/C106/11.1*0.585*C106,0)</f>
        <v>28.1432432432432</v>
      </c>
      <c r="I106" s="119"/>
      <c r="J106" s="119"/>
      <c r="K106" s="119"/>
    </row>
    <row r="107" customFormat="false" ht="14.25" hidden="false" customHeight="true" outlineLevel="0" collapsed="false">
      <c r="B107" s="0" t="s">
        <v>492</v>
      </c>
      <c r="C107" s="0" t="n">
        <v>30.3</v>
      </c>
      <c r="D107" s="0" t="n">
        <v>321.7</v>
      </c>
      <c r="E107" s="0" t="n">
        <v>2</v>
      </c>
      <c r="F107" s="0" t="n">
        <v>1</v>
      </c>
      <c r="G107" s="0" t="n">
        <v>63.5</v>
      </c>
      <c r="H107" s="115" t="n">
        <f aca="false">IFERROR(D107/C107/11.1*0.585*C107,0)</f>
        <v>16.9544594594595</v>
      </c>
      <c r="I107" s="119"/>
      <c r="J107" s="119"/>
      <c r="K107" s="119"/>
    </row>
    <row r="108" customFormat="false" ht="14.25" hidden="false" customHeight="true" outlineLevel="0" collapsed="false">
      <c r="A108" s="0" t="s">
        <v>934</v>
      </c>
      <c r="B108" s="0" t="s">
        <v>550</v>
      </c>
      <c r="C108" s="0" t="n">
        <v>40</v>
      </c>
      <c r="D108" s="0" t="n">
        <v>376.7</v>
      </c>
      <c r="E108" s="0" t="n">
        <v>2.1</v>
      </c>
      <c r="F108" s="0" t="n">
        <v>0.1</v>
      </c>
      <c r="G108" s="0" t="n">
        <v>70</v>
      </c>
      <c r="H108" s="115" t="n">
        <f aca="false">IFERROR(D108/C108/11.1*0.585*C108,0)</f>
        <v>19.8531081081081</v>
      </c>
      <c r="I108" s="117" t="n">
        <f aca="false">C110*Scoring!$B$36+TE!D110/Scoring!$C$36+TE!E110*Scoring!$D$36+TE!F110*Scoring!$E$36+H110*Scoring!$F$36</f>
        <v>60.3</v>
      </c>
      <c r="J108" s="117" t="n">
        <f aca="false">C108*Scoring!$B$36+TE!D108/Scoring!$C$36+TE!E108*Scoring!$D$36+TE!F108*Scoring!$E$36+H108*Scoring!$F$36</f>
        <v>70.07</v>
      </c>
      <c r="K108" s="117" t="n">
        <f aca="false">C109*Scoring!$B$36+TE!D109/Scoring!$C$36+TE!E109*Scoring!$D$36+TE!F109*Scoring!$E$36+H109*Scoring!$F$36</f>
        <v>81.5</v>
      </c>
    </row>
    <row r="109" customFormat="false" ht="14.25" hidden="false" customHeight="true" outlineLevel="0" collapsed="false">
      <c r="B109" s="0" t="s">
        <v>491</v>
      </c>
      <c r="C109" s="0" t="n">
        <v>43</v>
      </c>
      <c r="D109" s="0" t="n">
        <v>420</v>
      </c>
      <c r="E109" s="0" t="n">
        <v>3</v>
      </c>
      <c r="F109" s="0" t="n">
        <v>0</v>
      </c>
      <c r="G109" s="0" t="n">
        <v>101.5</v>
      </c>
      <c r="H109" s="115" t="n">
        <f aca="false">IFERROR(D109/C109/11.1*0.585*C109,0)</f>
        <v>22.1351351351351</v>
      </c>
      <c r="I109" s="119"/>
      <c r="J109" s="119"/>
      <c r="K109" s="119"/>
    </row>
    <row r="110" customFormat="false" ht="14.25" hidden="false" customHeight="true" outlineLevel="0" collapsed="false">
      <c r="B110" s="0" t="s">
        <v>492</v>
      </c>
      <c r="C110" s="0" t="n">
        <v>37</v>
      </c>
      <c r="D110" s="0" t="n">
        <v>346</v>
      </c>
      <c r="E110" s="0" t="n">
        <v>1.3</v>
      </c>
      <c r="F110" s="0" t="n">
        <v>0.3</v>
      </c>
      <c r="G110" s="0" t="n">
        <v>59</v>
      </c>
      <c r="H110" s="115" t="n">
        <f aca="false">IFERROR(D110/C110/11.1*0.585*C110,0)</f>
        <v>18.2351351351351</v>
      </c>
      <c r="I110" s="119"/>
      <c r="J110" s="119"/>
      <c r="K110" s="119"/>
    </row>
    <row r="111" customFormat="false" ht="14.25" hidden="false" customHeight="true" outlineLevel="0" collapsed="false">
      <c r="A111" s="0" t="s">
        <v>935</v>
      </c>
      <c r="B111" s="0" t="s">
        <v>490</v>
      </c>
      <c r="C111" s="0" t="n">
        <v>28.7</v>
      </c>
      <c r="D111" s="0" t="n">
        <v>331.4</v>
      </c>
      <c r="E111" s="0" t="n">
        <v>2.9</v>
      </c>
      <c r="F111" s="0" t="n">
        <v>0.1</v>
      </c>
      <c r="G111" s="0" t="n">
        <v>64.9</v>
      </c>
      <c r="H111" s="115" t="n">
        <f aca="false">IFERROR(D111/C111/11.1*0.585*C111,0)</f>
        <v>17.4656756756757</v>
      </c>
      <c r="I111" s="117" t="n">
        <f aca="false">C113*Scoring!$B$36+TE!D113/Scoring!$C$36+TE!E113*Scoring!$D$36+TE!F113*Scoring!$E$36+H113*Scoring!$F$36</f>
        <v>55.62</v>
      </c>
      <c r="J111" s="117" t="n">
        <f aca="false">C111*Scoring!$B$36+TE!D111/Scoring!$C$36+TE!E111*Scoring!$D$36+TE!F111*Scoring!$E$36+H111*Scoring!$F$36</f>
        <v>64.69</v>
      </c>
      <c r="K111" s="117" t="n">
        <f aca="false">C112*Scoring!$B$36+TE!D112/Scoring!$C$36+TE!E112*Scoring!$D$36+TE!F112*Scoring!$E$36+H112*Scoring!$F$36</f>
        <v>75.5</v>
      </c>
    </row>
    <row r="112" customFormat="false" ht="14.25" hidden="false" customHeight="true" outlineLevel="0" collapsed="false">
      <c r="B112" s="0" t="s">
        <v>491</v>
      </c>
      <c r="C112" s="0" t="n">
        <v>35</v>
      </c>
      <c r="D112" s="0" t="n">
        <v>400</v>
      </c>
      <c r="E112" s="0" t="n">
        <v>3</v>
      </c>
      <c r="F112" s="0" t="n">
        <v>0</v>
      </c>
      <c r="G112" s="0" t="n">
        <v>78.2</v>
      </c>
      <c r="H112" s="115" t="n">
        <f aca="false">IFERROR(D112/C112/11.1*0.585*C112,0)</f>
        <v>21.0810810810811</v>
      </c>
      <c r="I112" s="119"/>
      <c r="J112" s="119"/>
      <c r="K112" s="119"/>
    </row>
    <row r="113" customFormat="false" ht="14.25" hidden="false" customHeight="true" outlineLevel="0" collapsed="false">
      <c r="B113" s="0" t="s">
        <v>492</v>
      </c>
      <c r="C113" s="0" t="n">
        <v>25</v>
      </c>
      <c r="D113" s="0" t="n">
        <v>265.2</v>
      </c>
      <c r="E113" s="0" t="n">
        <v>2.8</v>
      </c>
      <c r="F113" s="0" t="n">
        <v>0.1</v>
      </c>
      <c r="G113" s="0" t="n">
        <v>57.6</v>
      </c>
      <c r="H113" s="115" t="n">
        <f aca="false">IFERROR(D113/C113/11.1*0.585*C113,0)</f>
        <v>13.9767567567568</v>
      </c>
      <c r="I113" s="119"/>
      <c r="J113" s="119"/>
      <c r="K113" s="119"/>
    </row>
    <row r="114" customFormat="false" ht="14.25" hidden="false" customHeight="true" outlineLevel="0" collapsed="false">
      <c r="A114" s="0" t="s">
        <v>936</v>
      </c>
      <c r="B114" s="0" t="s">
        <v>504</v>
      </c>
      <c r="C114" s="0" t="n">
        <v>28.1</v>
      </c>
      <c r="D114" s="0" t="n">
        <v>313.3</v>
      </c>
      <c r="E114" s="0" t="n">
        <v>2.9</v>
      </c>
      <c r="F114" s="0" t="n">
        <v>0.1</v>
      </c>
      <c r="G114" s="0" t="n">
        <v>62.4</v>
      </c>
      <c r="H114" s="115" t="n">
        <f aca="false">IFERROR(D114/C114/11.1*0.585*C114,0)</f>
        <v>16.5117567567568</v>
      </c>
      <c r="I114" s="117" t="n">
        <f aca="false">C116*Scoring!$B$36+TE!D116/Scoring!$C$36+TE!E116*Scoring!$D$36+TE!F116*Scoring!$E$36+H116*Scoring!$F$36</f>
        <v>48.28</v>
      </c>
      <c r="J114" s="117" t="n">
        <f aca="false">C114*Scoring!$B$36+TE!D114/Scoring!$C$36+TE!E114*Scoring!$D$36+TE!F114*Scoring!$E$36+H114*Scoring!$F$36</f>
        <v>62.58</v>
      </c>
      <c r="K114" s="117" t="n">
        <f aca="false">C115*Scoring!$B$36+TE!D115/Scoring!$C$36+TE!E115*Scoring!$D$36+TE!F115*Scoring!$E$36+H115*Scoring!$F$36</f>
        <v>86.4</v>
      </c>
    </row>
    <row r="115" customFormat="false" ht="14.25" hidden="false" customHeight="true" outlineLevel="0" collapsed="false">
      <c r="B115" s="0" t="s">
        <v>491</v>
      </c>
      <c r="C115" s="0" t="n">
        <v>35</v>
      </c>
      <c r="D115" s="0" t="n">
        <v>389</v>
      </c>
      <c r="E115" s="0" t="n">
        <v>5</v>
      </c>
      <c r="F115" s="0" t="n">
        <v>0</v>
      </c>
      <c r="G115" s="0" t="n">
        <v>74</v>
      </c>
      <c r="H115" s="115" t="n">
        <f aca="false">IFERROR(D115/C115/11.1*0.585*C115,0)</f>
        <v>20.5013513513514</v>
      </c>
      <c r="I115" s="119"/>
      <c r="J115" s="119"/>
      <c r="K115" s="119"/>
    </row>
    <row r="116" customFormat="false" ht="14.25" hidden="false" customHeight="true" outlineLevel="0" collapsed="false">
      <c r="B116" s="0" t="s">
        <v>492</v>
      </c>
      <c r="C116" s="0" t="n">
        <v>24</v>
      </c>
      <c r="D116" s="0" t="n">
        <v>268.8</v>
      </c>
      <c r="E116" s="0" t="n">
        <v>1.6</v>
      </c>
      <c r="F116" s="0" t="n">
        <v>0.1</v>
      </c>
      <c r="G116" s="0" t="n">
        <v>50.3</v>
      </c>
      <c r="H116" s="115" t="n">
        <f aca="false">IFERROR(D116/C116/11.1*0.585*C116,0)</f>
        <v>14.1664864864865</v>
      </c>
      <c r="I116" s="119"/>
      <c r="J116" s="119"/>
      <c r="K116" s="119"/>
    </row>
    <row r="117" customFormat="false" ht="14.25" hidden="false" customHeight="true" outlineLevel="0" collapsed="false">
      <c r="A117" s="0" t="s">
        <v>937</v>
      </c>
      <c r="B117" s="0" t="s">
        <v>548</v>
      </c>
      <c r="C117" s="0" t="n">
        <v>30.7</v>
      </c>
      <c r="D117" s="0" t="n">
        <v>329</v>
      </c>
      <c r="E117" s="0" t="n">
        <v>2</v>
      </c>
      <c r="F117" s="0" t="n">
        <v>0.6</v>
      </c>
      <c r="G117" s="0" t="n">
        <v>58.7</v>
      </c>
      <c r="H117" s="115" t="n">
        <f aca="false">IFERROR(D117/C117/11.1*0.585*C117,0)</f>
        <v>17.3391891891892</v>
      </c>
      <c r="I117" s="117" t="n">
        <f aca="false">C119*Scoring!$B$36+TE!D119/Scoring!$C$36+TE!E119*Scoring!$D$36+TE!F119*Scoring!$E$36+H119*Scoring!$F$36</f>
        <v>52.3</v>
      </c>
      <c r="J117" s="117" t="n">
        <f aca="false">C117*Scoring!$B$36+TE!D117/Scoring!$C$36+TE!E117*Scoring!$D$36+TE!F117*Scoring!$E$36+H117*Scoring!$F$36</f>
        <v>59.05</v>
      </c>
      <c r="K117" s="117" t="n">
        <f aca="false">C118*Scoring!$B$36+TE!D118/Scoring!$C$36+TE!E118*Scoring!$D$36+TE!F118*Scoring!$E$36+H118*Scoring!$F$36</f>
        <v>67.2</v>
      </c>
    </row>
    <row r="118" customFormat="false" ht="14.25" hidden="false" customHeight="true" outlineLevel="0" collapsed="false">
      <c r="B118" s="0" t="s">
        <v>491</v>
      </c>
      <c r="C118" s="0" t="n">
        <v>35</v>
      </c>
      <c r="D118" s="0" t="n">
        <v>383</v>
      </c>
      <c r="E118" s="0" t="n">
        <v>2</v>
      </c>
      <c r="F118" s="0" t="n">
        <v>0.3</v>
      </c>
      <c r="G118" s="0" t="n">
        <v>70.2</v>
      </c>
      <c r="H118" s="115" t="n">
        <f aca="false">IFERROR(D118/C118/11.1*0.585*C118,0)</f>
        <v>20.1851351351351</v>
      </c>
      <c r="I118" s="119"/>
      <c r="J118" s="119"/>
      <c r="K118" s="119"/>
    </row>
    <row r="119" customFormat="false" ht="14.25" hidden="false" customHeight="true" outlineLevel="0" collapsed="false">
      <c r="B119" s="0" t="s">
        <v>492</v>
      </c>
      <c r="C119" s="0" t="n">
        <v>26</v>
      </c>
      <c r="D119" s="0" t="n">
        <v>299</v>
      </c>
      <c r="E119" s="0" t="n">
        <v>1.9</v>
      </c>
      <c r="F119" s="0" t="n">
        <v>1</v>
      </c>
      <c r="G119" s="0" t="n">
        <v>55.3</v>
      </c>
      <c r="H119" s="115" t="n">
        <f aca="false">IFERROR(D119/C119/11.1*0.585*C119,0)</f>
        <v>15.7581081081081</v>
      </c>
      <c r="I119" s="119"/>
      <c r="J119" s="119"/>
      <c r="K119" s="119"/>
    </row>
    <row r="120" customFormat="false" ht="14.25" hidden="false" customHeight="true" outlineLevel="0" collapsed="false">
      <c r="A120" s="0" t="s">
        <v>938</v>
      </c>
      <c r="B120" s="0" t="s">
        <v>502</v>
      </c>
      <c r="C120" s="0" t="n">
        <v>33.1</v>
      </c>
      <c r="D120" s="0" t="n">
        <v>288.5</v>
      </c>
      <c r="E120" s="0" t="n">
        <v>2.1</v>
      </c>
      <c r="F120" s="0" t="n">
        <v>0.1</v>
      </c>
      <c r="G120" s="0" t="n">
        <v>57.7</v>
      </c>
      <c r="H120" s="115" t="n">
        <f aca="false">IFERROR(D120/C120/11.1*0.585*C120,0)</f>
        <v>15.2047297297297</v>
      </c>
      <c r="I120" s="117" t="n">
        <f aca="false">C122*Scoring!$B$36+TE!D122/Scoring!$C$36+TE!E122*Scoring!$D$36+TE!F122*Scoring!$E$36+H122*Scoring!$F$36</f>
        <v>54.25</v>
      </c>
      <c r="J120" s="117" t="n">
        <f aca="false">C120*Scoring!$B$36+TE!D120/Scoring!$C$36+TE!E120*Scoring!$D$36+TE!F120*Scoring!$E$36+H120*Scoring!$F$36</f>
        <v>57.8</v>
      </c>
      <c r="K120" s="117" t="n">
        <f aca="false">C121*Scoring!$B$36+TE!D121/Scoring!$C$36+TE!E121*Scoring!$D$36+TE!F121*Scoring!$E$36+H121*Scoring!$F$36</f>
        <v>61.4</v>
      </c>
    </row>
    <row r="121" customFormat="false" ht="14.25" hidden="false" customHeight="true" outlineLevel="0" collapsed="false">
      <c r="B121" s="0" t="s">
        <v>491</v>
      </c>
      <c r="C121" s="0" t="n">
        <v>36</v>
      </c>
      <c r="D121" s="0" t="n">
        <v>302</v>
      </c>
      <c r="E121" s="0" t="n">
        <v>2.2</v>
      </c>
      <c r="F121" s="0" t="n">
        <v>0</v>
      </c>
      <c r="G121" s="0" t="n">
        <v>56.9</v>
      </c>
      <c r="H121" s="115" t="n">
        <f aca="false">IFERROR(D121/C121/11.1*0.585*C121,0)</f>
        <v>15.9162162162162</v>
      </c>
      <c r="I121" s="119"/>
      <c r="J121" s="119"/>
      <c r="K121" s="119"/>
    </row>
    <row r="122" customFormat="false" ht="14.25" hidden="false" customHeight="true" outlineLevel="0" collapsed="false">
      <c r="B122" s="0" t="s">
        <v>492</v>
      </c>
      <c r="C122" s="0" t="n">
        <v>30.3</v>
      </c>
      <c r="D122" s="0" t="n">
        <v>275</v>
      </c>
      <c r="E122" s="0" t="n">
        <v>2</v>
      </c>
      <c r="F122" s="0" t="n">
        <v>0.2</v>
      </c>
      <c r="G122" s="0" t="n">
        <v>49.6</v>
      </c>
      <c r="H122" s="115" t="n">
        <f aca="false">IFERROR(D122/C122/11.1*0.585*C122,0)</f>
        <v>14.4932432432432</v>
      </c>
      <c r="I122" s="119"/>
      <c r="J122" s="119"/>
      <c r="K122" s="119"/>
    </row>
    <row r="123" customFormat="false" ht="14.25" hidden="false" customHeight="true" outlineLevel="0" collapsed="false">
      <c r="A123" s="0" t="s">
        <v>939</v>
      </c>
      <c r="B123" s="0" t="s">
        <v>520</v>
      </c>
      <c r="C123" s="0" t="n">
        <v>25.1</v>
      </c>
      <c r="D123" s="0" t="n">
        <v>296.7</v>
      </c>
      <c r="E123" s="0" t="n">
        <v>2.4</v>
      </c>
      <c r="F123" s="0" t="n">
        <v>0</v>
      </c>
      <c r="G123" s="0" t="n">
        <v>56.6</v>
      </c>
      <c r="H123" s="115" t="n">
        <f aca="false">IFERROR(D123/C123/11.1*0.585*C123,0)</f>
        <v>15.6368918918919</v>
      </c>
      <c r="I123" s="117" t="n">
        <f aca="false">C125*Scoring!$B$36+TE!D125/Scoring!$C$36+TE!E125*Scoring!$D$36+TE!F125*Scoring!$E$36+H125*Scoring!$F$36</f>
        <v>30.65</v>
      </c>
      <c r="J123" s="117" t="n">
        <f aca="false">C123*Scoring!$B$36+TE!D123/Scoring!$C$36+TE!E123*Scoring!$D$36+TE!F123*Scoring!$E$36+H123*Scoring!$F$36</f>
        <v>56.62</v>
      </c>
      <c r="K123" s="117" t="n">
        <f aca="false">C124*Scoring!$B$36+TE!D124/Scoring!$C$36+TE!E124*Scoring!$D$36+TE!F124*Scoring!$E$36+H124*Scoring!$F$36</f>
        <v>94</v>
      </c>
    </row>
    <row r="124" customFormat="false" ht="14.25" hidden="false" customHeight="true" outlineLevel="0" collapsed="false">
      <c r="B124" s="0" t="s">
        <v>491</v>
      </c>
      <c r="C124" s="0" t="n">
        <v>40</v>
      </c>
      <c r="D124" s="0" t="n">
        <v>500</v>
      </c>
      <c r="E124" s="0" t="n">
        <v>4</v>
      </c>
      <c r="F124" s="0" t="n">
        <v>0</v>
      </c>
      <c r="G124" s="0" t="n">
        <v>77.6</v>
      </c>
      <c r="H124" s="115" t="n">
        <f aca="false">IFERROR(D124/C124/11.1*0.585*C124,0)</f>
        <v>26.3513513513514</v>
      </c>
      <c r="I124" s="119"/>
      <c r="J124" s="119"/>
      <c r="K124" s="119"/>
    </row>
    <row r="125" customFormat="false" ht="14.25" hidden="false" customHeight="true" outlineLevel="0" collapsed="false">
      <c r="B125" s="0" t="s">
        <v>492</v>
      </c>
      <c r="C125" s="0" t="n">
        <v>15.3</v>
      </c>
      <c r="D125" s="0" t="n">
        <v>154</v>
      </c>
      <c r="E125" s="0" t="n">
        <v>1.3</v>
      </c>
      <c r="F125" s="0" t="n">
        <v>0.1</v>
      </c>
      <c r="G125" s="0" t="n">
        <v>35.3</v>
      </c>
      <c r="H125" s="115" t="n">
        <f aca="false">IFERROR(D125/C125/11.1*0.585*C125,0)</f>
        <v>8.11621621621622</v>
      </c>
      <c r="I125" s="119"/>
      <c r="J125" s="119"/>
      <c r="K125" s="119"/>
    </row>
    <row r="126" customFormat="false" ht="14.25" hidden="false" customHeight="true" outlineLevel="0" collapsed="false">
      <c r="A126" s="0" t="s">
        <v>940</v>
      </c>
      <c r="B126" s="0" t="s">
        <v>514</v>
      </c>
      <c r="C126" s="0" t="n">
        <v>26.3</v>
      </c>
      <c r="D126" s="0" t="n">
        <v>274.3</v>
      </c>
      <c r="E126" s="0" t="n">
        <v>2.2</v>
      </c>
      <c r="F126" s="0" t="n">
        <v>0.1</v>
      </c>
      <c r="G126" s="0" t="n">
        <v>53.8</v>
      </c>
      <c r="H126" s="115" t="n">
        <f aca="false">IFERROR(D126/C126/11.1*0.585*C126,0)</f>
        <v>14.4563513513514</v>
      </c>
      <c r="I126" s="117" t="n">
        <f aca="false">C128*Scoring!$B$36+TE!D128/Scoring!$C$36+TE!E128*Scoring!$D$36+TE!F128*Scoring!$E$36+H128*Scoring!$F$36</f>
        <v>42.94</v>
      </c>
      <c r="J126" s="117" t="n">
        <f aca="false">C126*Scoring!$B$36+TE!D126/Scoring!$C$36+TE!E126*Scoring!$D$36+TE!F126*Scoring!$E$36+H126*Scoring!$F$36</f>
        <v>53.58</v>
      </c>
      <c r="K126" s="117" t="n">
        <f aca="false">C127*Scoring!$B$36+TE!D127/Scoring!$C$36+TE!E127*Scoring!$D$36+TE!F127*Scoring!$E$36+H127*Scoring!$F$36</f>
        <v>72.9</v>
      </c>
    </row>
    <row r="127" customFormat="false" ht="14.25" hidden="false" customHeight="true" outlineLevel="0" collapsed="false">
      <c r="B127" s="0" t="s">
        <v>491</v>
      </c>
      <c r="C127" s="0" t="n">
        <v>35</v>
      </c>
      <c r="D127" s="0" t="n">
        <v>374</v>
      </c>
      <c r="E127" s="0" t="n">
        <v>3</v>
      </c>
      <c r="F127" s="0" t="n">
        <v>0</v>
      </c>
      <c r="G127" s="0" t="n">
        <v>86</v>
      </c>
      <c r="H127" s="115" t="n">
        <f aca="false">IFERROR(D127/C127/11.1*0.585*C127,0)</f>
        <v>19.7108108108108</v>
      </c>
      <c r="I127" s="119"/>
      <c r="J127" s="119"/>
      <c r="K127" s="119"/>
    </row>
    <row r="128" customFormat="false" ht="14.25" hidden="false" customHeight="true" outlineLevel="0" collapsed="false">
      <c r="B128" s="0" t="s">
        <v>492</v>
      </c>
      <c r="C128" s="0" t="n">
        <v>21.9</v>
      </c>
      <c r="D128" s="0" t="n">
        <v>219.9</v>
      </c>
      <c r="E128" s="0" t="n">
        <v>1.7</v>
      </c>
      <c r="F128" s="0" t="n">
        <v>0.1</v>
      </c>
      <c r="G128" s="0" t="n">
        <v>40.1</v>
      </c>
      <c r="H128" s="115" t="n">
        <f aca="false">IFERROR(D128/C128/11.1*0.585*C128,0)</f>
        <v>11.5893243243243</v>
      </c>
      <c r="I128" s="119"/>
      <c r="J128" s="119"/>
      <c r="K128" s="119"/>
    </row>
    <row r="129" customFormat="false" ht="14.25" hidden="false" customHeight="true" outlineLevel="0" collapsed="false">
      <c r="A129" s="0" t="s">
        <v>941</v>
      </c>
      <c r="B129" s="0" t="s">
        <v>526</v>
      </c>
      <c r="C129" s="0" t="n">
        <v>29.9</v>
      </c>
      <c r="D129" s="0" t="n">
        <v>279.7</v>
      </c>
      <c r="E129" s="0" t="n">
        <v>1.6</v>
      </c>
      <c r="F129" s="0" t="n">
        <v>1.6</v>
      </c>
      <c r="G129" s="0" t="n">
        <v>49.5</v>
      </c>
      <c r="H129" s="115" t="n">
        <f aca="false">IFERROR(D129/C129/11.1*0.585*C129,0)</f>
        <v>14.7409459459459</v>
      </c>
      <c r="I129" s="117" t="n">
        <f aca="false">C131*Scoring!$B$36+TE!D131/Scoring!$C$36+TE!E131*Scoring!$D$36+TE!F131*Scoring!$E$36+H131*Scoring!$F$36</f>
        <v>24.72</v>
      </c>
      <c r="J129" s="117" t="n">
        <f aca="false">C129*Scoring!$B$36+TE!D129/Scoring!$C$36+TE!E129*Scoring!$D$36+TE!F129*Scoring!$E$36+H129*Scoring!$F$36</f>
        <v>49.32</v>
      </c>
      <c r="K129" s="117" t="n">
        <f aca="false">C130*Scoring!$B$36+TE!D130/Scoring!$C$36+TE!E130*Scoring!$D$36+TE!F130*Scoring!$E$36+H130*Scoring!$F$36</f>
        <v>76.2</v>
      </c>
    </row>
    <row r="130" customFormat="false" ht="14.25" hidden="false" customHeight="true" outlineLevel="0" collapsed="false">
      <c r="B130" s="0" t="s">
        <v>491</v>
      </c>
      <c r="C130" s="0" t="n">
        <v>44</v>
      </c>
      <c r="D130" s="0" t="n">
        <v>424</v>
      </c>
      <c r="E130" s="0" t="n">
        <v>2</v>
      </c>
      <c r="F130" s="0" t="n">
        <v>0.1</v>
      </c>
      <c r="G130" s="0" t="n">
        <v>65.9</v>
      </c>
      <c r="H130" s="115" t="n">
        <f aca="false">IFERROR(D130/C130/11.1*0.585*C130,0)</f>
        <v>22.3459459459459</v>
      </c>
      <c r="I130" s="119"/>
      <c r="J130" s="119"/>
      <c r="K130" s="119"/>
    </row>
    <row r="131" customFormat="false" ht="14.25" hidden="false" customHeight="true" outlineLevel="0" collapsed="false">
      <c r="B131" s="0" t="s">
        <v>492</v>
      </c>
      <c r="C131" s="0" t="n">
        <v>18.6</v>
      </c>
      <c r="D131" s="0" t="n">
        <v>160.2</v>
      </c>
      <c r="E131" s="0" t="n">
        <v>0.9</v>
      </c>
      <c r="F131" s="0" t="n">
        <v>3</v>
      </c>
      <c r="G131" s="0" t="n">
        <v>36</v>
      </c>
      <c r="H131" s="115" t="n">
        <f aca="false">IFERROR(D131/C131/11.1*0.585*C131,0)</f>
        <v>8.44297297297297</v>
      </c>
      <c r="I131" s="119"/>
      <c r="J131" s="119"/>
      <c r="K131" s="119"/>
    </row>
    <row r="132" customFormat="false" ht="14.25" hidden="false" customHeight="true" outlineLevel="0" collapsed="false">
      <c r="A132" s="0" t="s">
        <v>942</v>
      </c>
      <c r="B132" s="0" t="s">
        <v>534</v>
      </c>
      <c r="C132" s="0" t="n">
        <v>26.5</v>
      </c>
      <c r="D132" s="0" t="n">
        <v>251.4</v>
      </c>
      <c r="E132" s="0" t="n">
        <v>1.9</v>
      </c>
      <c r="F132" s="0" t="n">
        <v>0.6</v>
      </c>
      <c r="G132" s="0" t="n">
        <v>48.5</v>
      </c>
      <c r="H132" s="115" t="n">
        <f aca="false">IFERROR(D132/C132/11.1*0.585*C132,0)</f>
        <v>13.2494594594595</v>
      </c>
      <c r="I132" s="117" t="n">
        <f aca="false">C134*Scoring!$B$36+TE!D134/Scoring!$C$36+TE!E134*Scoring!$D$36+TE!F134*Scoring!$E$36+H134*Scoring!$F$36</f>
        <v>29.33</v>
      </c>
      <c r="J132" s="117" t="n">
        <f aca="false">C132*Scoring!$B$36+TE!D132/Scoring!$C$36+TE!E132*Scoring!$D$36+TE!F132*Scoring!$E$36+H132*Scoring!$F$36</f>
        <v>48.59</v>
      </c>
      <c r="K132" s="117" t="n">
        <f aca="false">C133*Scoring!$B$36+TE!D133/Scoring!$C$36+TE!E133*Scoring!$D$36+TE!F133*Scoring!$E$36+H133*Scoring!$F$36</f>
        <v>68.1</v>
      </c>
    </row>
    <row r="133" customFormat="false" ht="14.25" hidden="false" customHeight="true" outlineLevel="0" collapsed="false">
      <c r="B133" s="0" t="s">
        <v>491</v>
      </c>
      <c r="C133" s="0" t="n">
        <v>35</v>
      </c>
      <c r="D133" s="0" t="n">
        <v>328</v>
      </c>
      <c r="E133" s="0" t="n">
        <v>3</v>
      </c>
      <c r="F133" s="0" t="n">
        <v>0.1</v>
      </c>
      <c r="G133" s="0" t="n">
        <v>53.3</v>
      </c>
      <c r="H133" s="115" t="n">
        <f aca="false">IFERROR(D133/C133/11.1*0.585*C133,0)</f>
        <v>17.2864864864865</v>
      </c>
      <c r="I133" s="119"/>
      <c r="J133" s="119"/>
      <c r="K133" s="119"/>
    </row>
    <row r="134" customFormat="false" ht="14.25" hidden="false" customHeight="true" outlineLevel="0" collapsed="false">
      <c r="B134" s="0" t="s">
        <v>492</v>
      </c>
      <c r="C134" s="0" t="n">
        <v>18.1</v>
      </c>
      <c r="D134" s="0" t="n">
        <v>174.8</v>
      </c>
      <c r="E134" s="0" t="n">
        <v>0.8</v>
      </c>
      <c r="F134" s="0" t="n">
        <v>1</v>
      </c>
      <c r="G134" s="0" t="n">
        <v>35.1</v>
      </c>
      <c r="H134" s="115" t="n">
        <f aca="false">IFERROR(D134/C134/11.1*0.585*C134,0)</f>
        <v>9.21243243243243</v>
      </c>
      <c r="I134" s="119"/>
      <c r="J134" s="119"/>
      <c r="K134" s="119"/>
    </row>
    <row r="135" customFormat="false" ht="14.25" hidden="false" customHeight="true" outlineLevel="0" collapsed="false">
      <c r="A135" s="0" t="s">
        <v>943</v>
      </c>
      <c r="B135" s="0" t="s">
        <v>516</v>
      </c>
      <c r="C135" s="0" t="n">
        <v>21.6</v>
      </c>
      <c r="D135" s="0" t="n">
        <v>243.3</v>
      </c>
      <c r="E135" s="0" t="n">
        <v>2</v>
      </c>
      <c r="F135" s="0" t="n">
        <v>0.1</v>
      </c>
      <c r="G135" s="0" t="n">
        <v>47.3</v>
      </c>
      <c r="H135" s="115" t="n">
        <f aca="false">IFERROR(D135/C135/11.1*0.585*C135,0)</f>
        <v>12.8225675675676</v>
      </c>
      <c r="I135" s="117" t="n">
        <f aca="false">C137*Scoring!$B$36+TE!D137/Scoring!$C$36+TE!E137*Scoring!$D$36+TE!F137*Scoring!$E$36+H137*Scoring!$F$36</f>
        <v>28.03</v>
      </c>
      <c r="J135" s="117" t="n">
        <f aca="false">C135*Scoring!$B$36+TE!D135/Scoring!$C$36+TE!E135*Scoring!$D$36+TE!F135*Scoring!$E$36+H135*Scoring!$F$36</f>
        <v>46.93</v>
      </c>
      <c r="K135" s="117" t="n">
        <f aca="false">C136*Scoring!$B$36+TE!D136/Scoring!$C$36+TE!E136*Scoring!$D$36+TE!F136*Scoring!$E$36+H136*Scoring!$F$36</f>
        <v>69.7</v>
      </c>
    </row>
    <row r="136" customFormat="false" ht="14.25" hidden="false" customHeight="true" outlineLevel="0" collapsed="false">
      <c r="B136" s="0" t="s">
        <v>491</v>
      </c>
      <c r="C136" s="0" t="n">
        <v>25</v>
      </c>
      <c r="D136" s="0" t="n">
        <v>332</v>
      </c>
      <c r="E136" s="0" t="n">
        <v>4</v>
      </c>
      <c r="F136" s="0" t="n">
        <v>0</v>
      </c>
      <c r="G136" s="0" t="n">
        <v>58.8</v>
      </c>
      <c r="H136" s="115" t="n">
        <f aca="false">IFERROR(D136/C136/11.1*0.585*C136,0)</f>
        <v>17.4972972972973</v>
      </c>
      <c r="I136" s="119"/>
      <c r="J136" s="119"/>
      <c r="K136" s="119"/>
    </row>
    <row r="137" customFormat="false" ht="14.25" hidden="false" customHeight="true" outlineLevel="0" collapsed="false">
      <c r="B137" s="0" t="s">
        <v>492</v>
      </c>
      <c r="C137" s="0" t="n">
        <v>14.7</v>
      </c>
      <c r="D137" s="0" t="n">
        <v>148.8</v>
      </c>
      <c r="E137" s="0" t="n">
        <v>1</v>
      </c>
      <c r="F137" s="0" t="n">
        <v>0.1</v>
      </c>
      <c r="G137" s="0" t="n">
        <v>32.3</v>
      </c>
      <c r="H137" s="115" t="n">
        <f aca="false">IFERROR(D137/C137/11.1*0.585*C137,0)</f>
        <v>7.84216216216216</v>
      </c>
      <c r="I137" s="119"/>
      <c r="J137" s="119"/>
      <c r="K137" s="119"/>
    </row>
    <row r="138" customFormat="false" ht="14.25" hidden="false" customHeight="true" outlineLevel="0" collapsed="false">
      <c r="A138" s="0" t="s">
        <v>944</v>
      </c>
      <c r="B138" s="0" t="s">
        <v>530</v>
      </c>
      <c r="C138" s="0" t="n">
        <v>22.5</v>
      </c>
      <c r="D138" s="0" t="n">
        <v>204.8</v>
      </c>
      <c r="E138" s="0" t="n">
        <v>2.1</v>
      </c>
      <c r="F138" s="0" t="n">
        <v>0.1</v>
      </c>
      <c r="G138" s="0" t="n">
        <v>43.9</v>
      </c>
      <c r="H138" s="115" t="n">
        <f aca="false">IFERROR(D138/C138/11.1*0.585*C138,0)</f>
        <v>10.7935135135135</v>
      </c>
      <c r="I138" s="117" t="n">
        <f aca="false">C140*Scoring!$B$36+TE!D140/Scoring!$C$36+TE!E140*Scoring!$D$36+TE!F140*Scoring!$E$36+H140*Scoring!$F$36</f>
        <v>30.42</v>
      </c>
      <c r="J138" s="117" t="n">
        <f aca="false">C138*Scoring!$B$36+TE!D138/Scoring!$C$36+TE!E138*Scoring!$D$36+TE!F138*Scoring!$E$36+H138*Scoring!$F$36</f>
        <v>44.13</v>
      </c>
      <c r="K138" s="117" t="n">
        <f aca="false">C139*Scoring!$B$36+TE!D139/Scoring!$C$36+TE!E139*Scoring!$D$36+TE!F139*Scoring!$E$36+H139*Scoring!$F$36</f>
        <v>57.3</v>
      </c>
    </row>
    <row r="139" customFormat="false" ht="14.25" hidden="false" customHeight="true" outlineLevel="0" collapsed="false">
      <c r="B139" s="0" t="s">
        <v>491</v>
      </c>
      <c r="C139" s="0" t="n">
        <v>28</v>
      </c>
      <c r="D139" s="0" t="n">
        <v>253</v>
      </c>
      <c r="E139" s="0" t="n">
        <v>3</v>
      </c>
      <c r="F139" s="0" t="n">
        <v>0</v>
      </c>
      <c r="G139" s="0" t="n">
        <v>54.3</v>
      </c>
      <c r="H139" s="115" t="n">
        <f aca="false">IFERROR(D139/C139/11.1*0.585*C139,0)</f>
        <v>13.3337837837838</v>
      </c>
      <c r="I139" s="119"/>
      <c r="J139" s="119"/>
      <c r="K139" s="119"/>
    </row>
    <row r="140" customFormat="false" ht="14.25" hidden="false" customHeight="true" outlineLevel="0" collapsed="false">
      <c r="B140" s="0" t="s">
        <v>492</v>
      </c>
      <c r="C140" s="0" t="n">
        <v>17.1</v>
      </c>
      <c r="D140" s="0" t="n">
        <v>156.7</v>
      </c>
      <c r="E140" s="0" t="n">
        <v>1.1</v>
      </c>
      <c r="F140" s="0" t="n">
        <v>0.2</v>
      </c>
      <c r="G140" s="0" t="n">
        <v>35.2</v>
      </c>
      <c r="H140" s="115" t="n">
        <f aca="false">IFERROR(D140/C140/11.1*0.585*C140,0)</f>
        <v>8.25851351351351</v>
      </c>
      <c r="I140" s="119"/>
      <c r="J140" s="119"/>
      <c r="K140" s="119"/>
    </row>
    <row r="141" customFormat="false" ht="14.25" hidden="false" customHeight="true" outlineLevel="0" collapsed="false">
      <c r="A141" s="0" t="s">
        <v>945</v>
      </c>
      <c r="B141" s="0" t="s">
        <v>524</v>
      </c>
      <c r="C141" s="0" t="n">
        <v>20.9</v>
      </c>
      <c r="D141" s="0" t="n">
        <v>187.6</v>
      </c>
      <c r="E141" s="0" t="n">
        <v>2.3</v>
      </c>
      <c r="F141" s="0" t="n">
        <v>0</v>
      </c>
      <c r="G141" s="0" t="n">
        <v>43</v>
      </c>
      <c r="H141" s="115" t="n">
        <f aca="false">IFERROR(D141/C141/11.1*0.585*C141,0)</f>
        <v>9.88702702702703</v>
      </c>
      <c r="I141" s="117" t="n">
        <f aca="false">C143*Scoring!$B$36+TE!D143/Scoring!$C$36+TE!E143*Scoring!$D$36+TE!F143*Scoring!$E$36+H143*Scoring!$F$36</f>
        <v>14.67</v>
      </c>
      <c r="J141" s="117" t="n">
        <f aca="false">C141*Scoring!$B$36+TE!D141/Scoring!$C$36+TE!E141*Scoring!$D$36+TE!F141*Scoring!$E$36+H141*Scoring!$F$36</f>
        <v>43.01</v>
      </c>
      <c r="K141" s="117" t="n">
        <f aca="false">C142*Scoring!$B$36+TE!D142/Scoring!$C$36+TE!E142*Scoring!$D$36+TE!F142*Scoring!$E$36+H142*Scoring!$F$36</f>
        <v>71.3</v>
      </c>
    </row>
    <row r="142" customFormat="false" ht="14.25" hidden="false" customHeight="true" outlineLevel="0" collapsed="false">
      <c r="B142" s="0" t="s">
        <v>491</v>
      </c>
      <c r="C142" s="0" t="n">
        <v>34</v>
      </c>
      <c r="D142" s="0" t="n">
        <v>303</v>
      </c>
      <c r="E142" s="0" t="n">
        <v>4</v>
      </c>
      <c r="F142" s="0" t="n">
        <v>0</v>
      </c>
      <c r="G142" s="0" t="n">
        <v>55.4</v>
      </c>
      <c r="H142" s="115" t="n">
        <f aca="false">IFERROR(D142/C142/11.1*0.585*C142,0)</f>
        <v>15.9689189189189</v>
      </c>
      <c r="I142" s="119"/>
      <c r="J142" s="119"/>
      <c r="K142" s="119"/>
    </row>
    <row r="143" customFormat="false" ht="14.25" hidden="false" customHeight="true" outlineLevel="0" collapsed="false">
      <c r="B143" s="0" t="s">
        <v>492</v>
      </c>
      <c r="C143" s="0" t="n">
        <v>7.7</v>
      </c>
      <c r="D143" s="0" t="n">
        <v>72.2</v>
      </c>
      <c r="E143" s="0" t="n">
        <v>0.6</v>
      </c>
      <c r="F143" s="0" t="n">
        <v>0</v>
      </c>
      <c r="G143" s="0" t="n">
        <v>21.3</v>
      </c>
      <c r="H143" s="115" t="n">
        <f aca="false">IFERROR(D143/C143/11.1*0.585*C143,0)</f>
        <v>3.80513513513514</v>
      </c>
      <c r="I143" s="119"/>
      <c r="J143" s="119"/>
      <c r="K143" s="119"/>
    </row>
    <row r="144" customFormat="false" ht="14.25" hidden="false" customHeight="true" outlineLevel="0" collapsed="false">
      <c r="A144" s="0" t="s">
        <v>946</v>
      </c>
      <c r="B144" s="0" t="s">
        <v>522</v>
      </c>
      <c r="C144" s="0" t="n">
        <v>18.6</v>
      </c>
      <c r="D144" s="0" t="n">
        <v>194.3</v>
      </c>
      <c r="E144" s="0" t="n">
        <v>2.4</v>
      </c>
      <c r="F144" s="0" t="n">
        <v>0.1</v>
      </c>
      <c r="G144" s="0" t="n">
        <v>42.9</v>
      </c>
      <c r="H144" s="115" t="n">
        <f aca="false">IFERROR(D144/C144/11.1*0.585*C144,0)</f>
        <v>10.2401351351351</v>
      </c>
      <c r="I144" s="117" t="n">
        <f aca="false">C146*Scoring!$B$36+TE!D146/Scoring!$C$36+TE!E146*Scoring!$D$36+TE!F146*Scoring!$E$36+H146*Scoring!$F$36</f>
        <v>29.89</v>
      </c>
      <c r="J144" s="117" t="n">
        <f aca="false">C144*Scoring!$B$36+TE!D144/Scoring!$C$36+TE!E144*Scoring!$D$36+TE!F144*Scoring!$E$36+H144*Scoring!$F$36</f>
        <v>42.93</v>
      </c>
      <c r="K144" s="117" t="n">
        <f aca="false">C145*Scoring!$B$36+TE!D145/Scoring!$C$36+TE!E145*Scoring!$D$36+TE!F145*Scoring!$E$36+H145*Scoring!$F$36</f>
        <v>59.4</v>
      </c>
    </row>
    <row r="145" customFormat="false" ht="14.25" hidden="false" customHeight="true" outlineLevel="0" collapsed="false">
      <c r="B145" s="0" t="s">
        <v>491</v>
      </c>
      <c r="C145" s="0" t="n">
        <v>22</v>
      </c>
      <c r="D145" s="0" t="n">
        <v>244</v>
      </c>
      <c r="E145" s="0" t="n">
        <v>4</v>
      </c>
      <c r="F145" s="0" t="n">
        <v>0</v>
      </c>
      <c r="G145" s="0" t="n">
        <v>49.3</v>
      </c>
      <c r="H145" s="115" t="n">
        <f aca="false">IFERROR(D145/C145/11.1*0.585*C145,0)</f>
        <v>12.8594594594595</v>
      </c>
      <c r="I145" s="119"/>
      <c r="J145" s="119"/>
      <c r="K145" s="119"/>
    </row>
    <row r="146" customFormat="false" ht="14.25" hidden="false" customHeight="true" outlineLevel="0" collapsed="false">
      <c r="B146" s="0" t="s">
        <v>492</v>
      </c>
      <c r="C146" s="0" t="n">
        <v>16.8</v>
      </c>
      <c r="D146" s="0" t="n">
        <v>150.9</v>
      </c>
      <c r="E146" s="0" t="n">
        <v>1.1</v>
      </c>
      <c r="F146" s="0" t="n">
        <v>0.1</v>
      </c>
      <c r="G146" s="0" t="n">
        <v>31.1</v>
      </c>
      <c r="H146" s="115" t="n">
        <f aca="false">IFERROR(D146/C146/11.1*0.585*C146,0)</f>
        <v>7.95283783783784</v>
      </c>
      <c r="I146" s="119"/>
      <c r="J146" s="119"/>
      <c r="K146" s="119"/>
    </row>
    <row r="147" customFormat="false" ht="14.25" hidden="false" customHeight="true" outlineLevel="0" collapsed="false">
      <c r="A147" s="0" t="s">
        <v>947</v>
      </c>
      <c r="B147" s="0" t="s">
        <v>544</v>
      </c>
      <c r="C147" s="0" t="n">
        <v>19.3</v>
      </c>
      <c r="D147" s="0" t="n">
        <v>222.2</v>
      </c>
      <c r="E147" s="0" t="n">
        <v>1.8</v>
      </c>
      <c r="F147" s="0" t="n">
        <v>0</v>
      </c>
      <c r="G147" s="0" t="n">
        <v>42.3</v>
      </c>
      <c r="H147" s="115" t="n">
        <f aca="false">IFERROR(D147/C147/11.1*0.585*C147,0)</f>
        <v>11.7105405405405</v>
      </c>
      <c r="I147" s="117" t="n">
        <f aca="false">C149*Scoring!$B$36+TE!D149/Scoring!$C$36+TE!E149*Scoring!$D$36+TE!F149*Scoring!$E$36+H149*Scoring!$F$36</f>
        <v>20.4</v>
      </c>
      <c r="J147" s="117" t="n">
        <f aca="false">C147*Scoring!$B$36+TE!D147/Scoring!$C$36+TE!E147*Scoring!$D$36+TE!F147*Scoring!$E$36+H147*Scoring!$F$36</f>
        <v>42.67</v>
      </c>
      <c r="K147" s="117" t="n">
        <f aca="false">C148*Scoring!$B$36+TE!D148/Scoring!$C$36+TE!E148*Scoring!$D$36+TE!F148*Scoring!$E$36+H148*Scoring!$F$36</f>
        <v>64.2</v>
      </c>
    </row>
    <row r="148" customFormat="false" ht="14.25" hidden="false" customHeight="true" outlineLevel="0" collapsed="false">
      <c r="B148" s="0" t="s">
        <v>491</v>
      </c>
      <c r="C148" s="0" t="n">
        <v>26</v>
      </c>
      <c r="D148" s="0" t="n">
        <v>332</v>
      </c>
      <c r="E148" s="0" t="n">
        <v>3</v>
      </c>
      <c r="F148" s="0" t="n">
        <v>0</v>
      </c>
      <c r="G148" s="0" t="n">
        <v>51.7</v>
      </c>
      <c r="H148" s="115" t="n">
        <f aca="false">IFERROR(D148/C148/11.1*0.585*C148,0)</f>
        <v>17.4972972972973</v>
      </c>
      <c r="I148" s="119"/>
      <c r="J148" s="119"/>
      <c r="K148" s="119"/>
    </row>
    <row r="149" customFormat="false" ht="14.25" hidden="false" customHeight="true" outlineLevel="0" collapsed="false">
      <c r="B149" s="0" t="s">
        <v>492</v>
      </c>
      <c r="C149" s="0" t="n">
        <v>12.7</v>
      </c>
      <c r="D149" s="0" t="n">
        <v>112.5</v>
      </c>
      <c r="E149" s="0" t="n">
        <v>0.5</v>
      </c>
      <c r="F149" s="0" t="n">
        <v>0.1</v>
      </c>
      <c r="G149" s="0" t="n">
        <v>23.7</v>
      </c>
      <c r="H149" s="115" t="n">
        <f aca="false">IFERROR(D149/C149/11.1*0.585*C149,0)</f>
        <v>5.92905405405405</v>
      </c>
      <c r="I149" s="119"/>
      <c r="J149" s="119"/>
      <c r="K149" s="119"/>
    </row>
    <row r="150" customFormat="false" ht="14.25" hidden="false" customHeight="true" outlineLevel="0" collapsed="false">
      <c r="A150" s="0" t="s">
        <v>948</v>
      </c>
      <c r="B150" s="0" t="s">
        <v>518</v>
      </c>
      <c r="C150" s="0" t="n">
        <v>21.3</v>
      </c>
      <c r="D150" s="0" t="n">
        <v>216.7</v>
      </c>
      <c r="E150" s="0" t="n">
        <v>1.6</v>
      </c>
      <c r="F150" s="0" t="n">
        <v>0.1</v>
      </c>
      <c r="G150" s="0" t="n">
        <v>42.1</v>
      </c>
      <c r="H150" s="115" t="n">
        <f aca="false">IFERROR(D150/C150/11.1*0.585*C150,0)</f>
        <v>11.4206756756757</v>
      </c>
      <c r="I150" s="117" t="n">
        <f aca="false">C152*Scoring!$B$36+TE!D152/Scoring!$C$36+TE!E152*Scoring!$D$36+TE!F152*Scoring!$E$36+H152*Scoring!$F$36</f>
        <v>30.54</v>
      </c>
      <c r="J150" s="117" t="n">
        <f aca="false">C150*Scoring!$B$36+TE!D150/Scoring!$C$36+TE!E150*Scoring!$D$36+TE!F150*Scoring!$E$36+H150*Scoring!$F$36</f>
        <v>41.72</v>
      </c>
      <c r="K150" s="117" t="n">
        <f aca="false">C151*Scoring!$B$36+TE!D151/Scoring!$C$36+TE!E151*Scoring!$D$36+TE!F151*Scoring!$E$36+H151*Scoring!$F$36</f>
        <v>53.7</v>
      </c>
    </row>
    <row r="151" customFormat="false" ht="14.25" hidden="false" customHeight="true" outlineLevel="0" collapsed="false">
      <c r="B151" s="0" t="s">
        <v>491</v>
      </c>
      <c r="C151" s="0" t="n">
        <v>27</v>
      </c>
      <c r="D151" s="0" t="n">
        <v>282</v>
      </c>
      <c r="E151" s="0" t="n">
        <v>2</v>
      </c>
      <c r="F151" s="0" t="n">
        <v>0</v>
      </c>
      <c r="G151" s="0" t="n">
        <v>41.6</v>
      </c>
      <c r="H151" s="115" t="n">
        <f aca="false">IFERROR(D151/C151/11.1*0.585*C151,0)</f>
        <v>14.8621621621622</v>
      </c>
      <c r="I151" s="119"/>
      <c r="J151" s="119"/>
      <c r="K151" s="119"/>
    </row>
    <row r="152" customFormat="false" ht="14.25" hidden="false" customHeight="true" outlineLevel="0" collapsed="false">
      <c r="B152" s="0" t="s">
        <v>492</v>
      </c>
      <c r="C152" s="0" t="n">
        <v>15.6</v>
      </c>
      <c r="D152" s="0" t="n">
        <v>151.4</v>
      </c>
      <c r="E152" s="0" t="n">
        <v>1.3</v>
      </c>
      <c r="F152" s="0" t="n">
        <v>0.1</v>
      </c>
      <c r="G152" s="0" t="n">
        <v>33.5</v>
      </c>
      <c r="H152" s="115" t="n">
        <f aca="false">IFERROR(D152/C152/11.1*0.585*C152,0)</f>
        <v>7.97918918918919</v>
      </c>
      <c r="I152" s="119"/>
      <c r="J152" s="119"/>
      <c r="K152" s="119"/>
    </row>
    <row r="153" customFormat="false" ht="14.25" hidden="false" customHeight="true" outlineLevel="0" collapsed="false">
      <c r="A153" s="0" t="s">
        <v>949</v>
      </c>
      <c r="B153" s="0" t="s">
        <v>552</v>
      </c>
      <c r="C153" s="0" t="n">
        <v>21.9</v>
      </c>
      <c r="D153" s="0" t="n">
        <v>225.4</v>
      </c>
      <c r="E153" s="0" t="n">
        <v>1.3</v>
      </c>
      <c r="F153" s="0" t="n">
        <v>0.1</v>
      </c>
      <c r="G153" s="0" t="n">
        <v>41</v>
      </c>
      <c r="H153" s="115" t="n">
        <f aca="false">IFERROR(D153/C153/11.1*0.585*C153,0)</f>
        <v>11.8791891891892</v>
      </c>
      <c r="I153" s="117" t="n">
        <f aca="false">C155*Scoring!$B$36+TE!D155/Scoring!$C$36+TE!E155*Scoring!$D$36+TE!F155*Scoring!$E$36+H155*Scoring!$F$36</f>
        <v>33.02</v>
      </c>
      <c r="J153" s="117" t="n">
        <f aca="false">C153*Scoring!$B$36+TE!D153/Scoring!$C$36+TE!E153*Scoring!$D$36+TE!F153*Scoring!$E$36+H153*Scoring!$F$36</f>
        <v>41.09</v>
      </c>
      <c r="K153" s="117" t="n">
        <f aca="false">C154*Scoring!$B$36+TE!D154/Scoring!$C$36+TE!E154*Scoring!$D$36+TE!F154*Scoring!$E$36+H154*Scoring!$F$36</f>
        <v>48.5</v>
      </c>
    </row>
    <row r="154" customFormat="false" ht="14.25" hidden="false" customHeight="true" outlineLevel="0" collapsed="false">
      <c r="B154" s="0" t="s">
        <v>491</v>
      </c>
      <c r="C154" s="0" t="n">
        <v>23</v>
      </c>
      <c r="D154" s="0" t="n">
        <v>250</v>
      </c>
      <c r="E154" s="0" t="n">
        <v>2</v>
      </c>
      <c r="F154" s="0" t="n">
        <v>0</v>
      </c>
      <c r="G154" s="0" t="n">
        <v>58.4</v>
      </c>
      <c r="H154" s="115" t="n">
        <f aca="false">IFERROR(D154/C154/11.1*0.585*C154,0)</f>
        <v>13.1756756756757</v>
      </c>
      <c r="I154" s="119"/>
      <c r="J154" s="119"/>
      <c r="K154" s="119"/>
    </row>
    <row r="155" customFormat="false" ht="14.25" hidden="false" customHeight="true" outlineLevel="0" collapsed="false">
      <c r="B155" s="0" t="s">
        <v>492</v>
      </c>
      <c r="C155" s="0" t="n">
        <v>20.6</v>
      </c>
      <c r="D155" s="0" t="n">
        <v>181.2</v>
      </c>
      <c r="E155" s="0" t="n">
        <v>0.8</v>
      </c>
      <c r="F155" s="0" t="n">
        <v>0.1</v>
      </c>
      <c r="G155" s="0" t="n">
        <v>32.9</v>
      </c>
      <c r="H155" s="115" t="n">
        <f aca="false">IFERROR(D155/C155/11.1*0.585*C155,0)</f>
        <v>9.54972972972973</v>
      </c>
      <c r="I155" s="119"/>
      <c r="J155" s="119"/>
      <c r="K155" s="119"/>
    </row>
    <row r="156" customFormat="false" ht="14.25" hidden="false" customHeight="true" outlineLevel="0" collapsed="false">
      <c r="A156" s="0" t="s">
        <v>950</v>
      </c>
      <c r="B156" s="0" t="s">
        <v>498</v>
      </c>
      <c r="C156" s="0" t="n">
        <v>20.7</v>
      </c>
      <c r="D156" s="0" t="n">
        <v>215.1</v>
      </c>
      <c r="E156" s="0" t="n">
        <v>1.7</v>
      </c>
      <c r="F156" s="0" t="n">
        <v>0.6</v>
      </c>
      <c r="G156" s="0" t="n">
        <v>40.9</v>
      </c>
      <c r="H156" s="115" t="n">
        <f aca="false">IFERROR(D156/C156/11.1*0.585*C156,0)</f>
        <v>11.3363513513514</v>
      </c>
      <c r="I156" s="117" t="n">
        <f aca="false">C158*Scoring!$B$36+TE!D158/Scoring!$C$36+TE!E158*Scoring!$D$36+TE!F158*Scoring!$E$36+H158*Scoring!$F$36</f>
        <v>35.01</v>
      </c>
      <c r="J156" s="117" t="n">
        <f aca="false">C156*Scoring!$B$36+TE!D156/Scoring!$C$36+TE!E156*Scoring!$D$36+TE!F156*Scoring!$E$36+H156*Scoring!$F$36</f>
        <v>40.86</v>
      </c>
      <c r="K156" s="117" t="n">
        <f aca="false">C157*Scoring!$B$36+TE!D157/Scoring!$C$36+TE!E157*Scoring!$D$36+TE!F157*Scoring!$E$36+H157*Scoring!$F$36</f>
        <v>46.9</v>
      </c>
    </row>
    <row r="157" customFormat="false" ht="14.25" hidden="false" customHeight="true" outlineLevel="0" collapsed="false">
      <c r="B157" s="0" t="s">
        <v>491</v>
      </c>
      <c r="C157" s="0" t="n">
        <v>22</v>
      </c>
      <c r="D157" s="0" t="n">
        <v>241</v>
      </c>
      <c r="E157" s="0" t="n">
        <v>2</v>
      </c>
      <c r="F157" s="0" t="n">
        <v>0.1</v>
      </c>
      <c r="G157" s="0" t="n">
        <v>37.4</v>
      </c>
      <c r="H157" s="115" t="n">
        <f aca="false">IFERROR(D157/C157/11.1*0.585*C157,0)</f>
        <v>12.7013513513514</v>
      </c>
      <c r="I157" s="119"/>
      <c r="J157" s="119"/>
      <c r="K157" s="119"/>
    </row>
    <row r="158" customFormat="false" ht="14.25" hidden="false" customHeight="true" outlineLevel="0" collapsed="false">
      <c r="B158" s="0" t="s">
        <v>492</v>
      </c>
      <c r="C158" s="0" t="n">
        <v>19.4</v>
      </c>
      <c r="D158" s="0" t="n">
        <v>189.1</v>
      </c>
      <c r="E158" s="0" t="n">
        <v>1.4</v>
      </c>
      <c r="F158" s="0" t="n">
        <v>1</v>
      </c>
      <c r="G158" s="0" t="n">
        <v>36.4</v>
      </c>
      <c r="H158" s="115" t="n">
        <f aca="false">IFERROR(D158/C158/11.1*0.585*C158,0)</f>
        <v>9.96608108108108</v>
      </c>
      <c r="I158" s="119"/>
      <c r="J158" s="119"/>
      <c r="K158" s="119"/>
    </row>
    <row r="159" customFormat="false" ht="14.25" hidden="false" customHeight="true" outlineLevel="0" collapsed="false">
      <c r="A159" s="0" t="s">
        <v>951</v>
      </c>
      <c r="B159" s="0" t="s">
        <v>540</v>
      </c>
      <c r="C159" s="0" t="n">
        <v>21.1</v>
      </c>
      <c r="D159" s="0" t="n">
        <v>197.8</v>
      </c>
      <c r="E159" s="0" t="n">
        <v>1.8</v>
      </c>
      <c r="F159" s="0" t="n">
        <v>0.1</v>
      </c>
      <c r="G159" s="0" t="n">
        <v>40.8</v>
      </c>
      <c r="H159" s="115" t="n">
        <f aca="false">IFERROR(D159/C159/11.1*0.585*C159,0)</f>
        <v>10.4245945945946</v>
      </c>
      <c r="I159" s="117" t="n">
        <f aca="false">C161*Scoring!$B$36+TE!D161/Scoring!$C$36+TE!E161*Scoring!$D$36+TE!F161*Scoring!$E$36+H161*Scoring!$F$36</f>
        <v>34.43</v>
      </c>
      <c r="J159" s="117" t="n">
        <f aca="false">C159*Scoring!$B$36+TE!D159/Scoring!$C$36+TE!E159*Scoring!$D$36+TE!F159*Scoring!$E$36+H159*Scoring!$F$36</f>
        <v>40.93</v>
      </c>
      <c r="K159" s="117" t="n">
        <f aca="false">C160*Scoring!$B$36+TE!D160/Scoring!$C$36+TE!E160*Scoring!$D$36+TE!F160*Scoring!$E$36+H160*Scoring!$F$36</f>
        <v>45</v>
      </c>
    </row>
    <row r="160" customFormat="false" ht="14.25" hidden="false" customHeight="true" outlineLevel="0" collapsed="false">
      <c r="B160" s="0" t="s">
        <v>491</v>
      </c>
      <c r="C160" s="0" t="n">
        <v>23</v>
      </c>
      <c r="D160" s="0" t="n">
        <v>215</v>
      </c>
      <c r="E160" s="0" t="n">
        <v>2</v>
      </c>
      <c r="F160" s="0" t="n">
        <v>0</v>
      </c>
      <c r="G160" s="0" t="n">
        <v>55.1</v>
      </c>
      <c r="H160" s="115" t="n">
        <f aca="false">IFERROR(D160/C160/11.1*0.585*C160,0)</f>
        <v>11.3310810810811</v>
      </c>
      <c r="I160" s="119"/>
      <c r="J160" s="119"/>
      <c r="K160" s="119"/>
    </row>
    <row r="161" customFormat="false" ht="14.25" hidden="false" customHeight="true" outlineLevel="0" collapsed="false">
      <c r="B161" s="0" t="s">
        <v>492</v>
      </c>
      <c r="C161" s="0" t="n">
        <v>18.4</v>
      </c>
      <c r="D161" s="0" t="n">
        <v>176.3</v>
      </c>
      <c r="E161" s="0" t="n">
        <v>1.3</v>
      </c>
      <c r="F161" s="0" t="n">
        <v>0.1</v>
      </c>
      <c r="G161" s="0" t="n">
        <v>34.6</v>
      </c>
      <c r="H161" s="115" t="n">
        <f aca="false">IFERROR(D161/C161/11.1*0.585*C161,0)</f>
        <v>9.29148648648649</v>
      </c>
      <c r="I161" s="119"/>
      <c r="J161" s="119"/>
      <c r="K161" s="119"/>
    </row>
    <row r="162" customFormat="false" ht="14.25" hidden="false" customHeight="true" outlineLevel="0" collapsed="false">
      <c r="A162" s="0" t="s">
        <v>952</v>
      </c>
      <c r="B162" s="0" t="s">
        <v>512</v>
      </c>
      <c r="C162" s="0" t="n">
        <v>21</v>
      </c>
      <c r="D162" s="0" t="n">
        <v>211.4</v>
      </c>
      <c r="E162" s="0" t="n">
        <v>1.5</v>
      </c>
      <c r="F162" s="0" t="n">
        <v>0.1</v>
      </c>
      <c r="G162" s="0" t="n">
        <v>40.4</v>
      </c>
      <c r="H162" s="115" t="n">
        <f aca="false">IFERROR(D162/C162/11.1*0.585*C162,0)</f>
        <v>11.1413513513514</v>
      </c>
      <c r="I162" s="117" t="n">
        <f aca="false">C164*Scoring!$B$36+TE!D164/Scoring!$C$36+TE!E164*Scoring!$D$36+TE!F164*Scoring!$E$36+H164*Scoring!$F$36</f>
        <v>27.1</v>
      </c>
      <c r="J162" s="117" t="n">
        <f aca="false">C162*Scoring!$B$36+TE!D162/Scoring!$C$36+TE!E162*Scoring!$D$36+TE!F162*Scoring!$E$36+H162*Scoring!$F$36</f>
        <v>40.44</v>
      </c>
      <c r="K162" s="117" t="n">
        <f aca="false">C163*Scoring!$B$36+TE!D163/Scoring!$C$36+TE!E163*Scoring!$D$36+TE!F163*Scoring!$E$36+H163*Scoring!$F$36</f>
        <v>51.26</v>
      </c>
    </row>
    <row r="163" customFormat="false" ht="14.25" hidden="false" customHeight="true" outlineLevel="0" collapsed="false">
      <c r="B163" s="0" t="s">
        <v>491</v>
      </c>
      <c r="C163" s="0" t="n">
        <v>26.1</v>
      </c>
      <c r="D163" s="0" t="n">
        <v>262.1</v>
      </c>
      <c r="E163" s="0" t="n">
        <v>2</v>
      </c>
      <c r="F163" s="0" t="n">
        <v>0</v>
      </c>
      <c r="G163" s="0" t="n">
        <v>56.9</v>
      </c>
      <c r="H163" s="115" t="n">
        <f aca="false">IFERROR(D163/C163/11.1*0.585*C163,0)</f>
        <v>13.8133783783784</v>
      </c>
      <c r="I163" s="119"/>
      <c r="J163" s="119"/>
      <c r="K163" s="119"/>
    </row>
    <row r="164" customFormat="false" ht="14.25" hidden="false" customHeight="true" outlineLevel="0" collapsed="false">
      <c r="B164" s="0" t="s">
        <v>492</v>
      </c>
      <c r="C164" s="0" t="n">
        <v>15</v>
      </c>
      <c r="D164" s="0" t="n">
        <v>138</v>
      </c>
      <c r="E164" s="0" t="n">
        <v>1</v>
      </c>
      <c r="F164" s="0" t="n">
        <v>0.1</v>
      </c>
      <c r="G164" s="0" t="n">
        <v>22.5</v>
      </c>
      <c r="H164" s="115" t="n">
        <f aca="false">IFERROR(D164/C164/11.1*0.585*C164,0)</f>
        <v>7.27297297297297</v>
      </c>
      <c r="I164" s="119"/>
      <c r="J164" s="119"/>
      <c r="K164" s="119"/>
    </row>
    <row r="165" customFormat="false" ht="14.25" hidden="false" customHeight="true" outlineLevel="0" collapsed="false">
      <c r="A165" s="0" t="s">
        <v>953</v>
      </c>
      <c r="B165" s="0" t="s">
        <v>500</v>
      </c>
      <c r="C165" s="0" t="n">
        <v>20.9</v>
      </c>
      <c r="D165" s="0" t="n">
        <v>214.9</v>
      </c>
      <c r="E165" s="0" t="n">
        <v>1.4</v>
      </c>
      <c r="F165" s="0" t="n">
        <v>0.6</v>
      </c>
      <c r="G165" s="0" t="n">
        <v>39.1</v>
      </c>
      <c r="H165" s="115" t="n">
        <f aca="false">IFERROR(D165/C165/11.1*0.585*C165,0)</f>
        <v>11.3258108108108</v>
      </c>
      <c r="I165" s="117" t="n">
        <f aca="false">C167*Scoring!$B$36+TE!D167/Scoring!$C$36+TE!E167*Scoring!$D$36+TE!F167*Scoring!$E$36+H167*Scoring!$F$36</f>
        <v>18.89</v>
      </c>
      <c r="J165" s="117" t="n">
        <f aca="false">C165*Scoring!$B$36+TE!D165/Scoring!$C$36+TE!E165*Scoring!$D$36+TE!F165*Scoring!$E$36+H165*Scoring!$F$36</f>
        <v>39.14</v>
      </c>
      <c r="K165" s="117" t="n">
        <f aca="false">C166*Scoring!$B$36+TE!D166/Scoring!$C$36+TE!E166*Scoring!$D$36+TE!F166*Scoring!$E$36+H166*Scoring!$F$36</f>
        <v>59.6</v>
      </c>
    </row>
    <row r="166" customFormat="false" ht="14.25" hidden="false" customHeight="true" outlineLevel="0" collapsed="false">
      <c r="B166" s="0" t="s">
        <v>491</v>
      </c>
      <c r="C166" s="0" t="n">
        <v>31</v>
      </c>
      <c r="D166" s="0" t="n">
        <v>323</v>
      </c>
      <c r="E166" s="0" t="n">
        <v>2</v>
      </c>
      <c r="F166" s="0" t="n">
        <v>0.1</v>
      </c>
      <c r="G166" s="0" t="n">
        <v>44.4</v>
      </c>
      <c r="H166" s="115" t="n">
        <f aca="false">IFERROR(D166/C166/11.1*0.585*C166,0)</f>
        <v>17.022972972973</v>
      </c>
      <c r="I166" s="119"/>
      <c r="J166" s="119"/>
      <c r="K166" s="119"/>
    </row>
    <row r="167" customFormat="false" ht="14.25" hidden="false" customHeight="true" outlineLevel="0" collapsed="false">
      <c r="B167" s="0" t="s">
        <v>492</v>
      </c>
      <c r="C167" s="0" t="n">
        <v>10.8</v>
      </c>
      <c r="D167" s="0" t="n">
        <v>106.9</v>
      </c>
      <c r="E167" s="0" t="n">
        <v>0.8</v>
      </c>
      <c r="F167" s="0" t="n">
        <v>1</v>
      </c>
      <c r="G167" s="0" t="n">
        <v>28.7</v>
      </c>
      <c r="H167" s="115" t="n">
        <f aca="false">IFERROR(D167/C167/11.1*0.585*C167,0)</f>
        <v>5.63391891891892</v>
      </c>
      <c r="I167" s="119"/>
      <c r="J167" s="119"/>
      <c r="K167" s="119"/>
    </row>
    <row r="168" customFormat="false" ht="14.25" hidden="false" customHeight="true" outlineLevel="0" collapsed="false">
      <c r="A168" s="0" t="s">
        <v>954</v>
      </c>
      <c r="B168" s="0" t="s">
        <v>536</v>
      </c>
      <c r="C168" s="0" t="n">
        <v>19</v>
      </c>
      <c r="D168" s="0" t="n">
        <v>198.4</v>
      </c>
      <c r="E168" s="0" t="n">
        <v>1.6</v>
      </c>
      <c r="F168" s="0" t="n">
        <v>0.1</v>
      </c>
      <c r="G168" s="0" t="n">
        <v>38.6</v>
      </c>
      <c r="H168" s="115" t="n">
        <f aca="false">IFERROR(D168/C168/11.1*0.585*C168,0)</f>
        <v>10.4562162162162</v>
      </c>
      <c r="I168" s="117" t="n">
        <f aca="false">C170*Scoring!$B$36+TE!D170/Scoring!$C$36+TE!E170*Scoring!$D$36+TE!F170*Scoring!$E$36+H170*Scoring!$F$36</f>
        <v>22.1</v>
      </c>
      <c r="J168" s="117" t="n">
        <f aca="false">C168*Scoring!$B$36+TE!D168/Scoring!$C$36+TE!E168*Scoring!$D$36+TE!F168*Scoring!$E$36+H168*Scoring!$F$36</f>
        <v>38.74</v>
      </c>
      <c r="K168" s="117" t="n">
        <f aca="false">C169*Scoring!$B$36+TE!D169/Scoring!$C$36+TE!E169*Scoring!$D$36+TE!F169*Scoring!$E$36+H169*Scoring!$F$36</f>
        <v>50.47</v>
      </c>
    </row>
    <row r="169" customFormat="false" ht="14.25" hidden="false" customHeight="true" outlineLevel="0" collapsed="false">
      <c r="B169" s="0" t="s">
        <v>491</v>
      </c>
      <c r="C169" s="0" t="n">
        <v>24.1</v>
      </c>
      <c r="D169" s="0" t="n">
        <v>264.2</v>
      </c>
      <c r="E169" s="0" t="n">
        <v>2</v>
      </c>
      <c r="F169" s="0" t="n">
        <v>0</v>
      </c>
      <c r="G169" s="0" t="n">
        <v>54.6</v>
      </c>
      <c r="H169" s="115" t="n">
        <f aca="false">IFERROR(D169/C169/11.1*0.585*C169,0)</f>
        <v>13.9240540540541</v>
      </c>
      <c r="I169" s="119"/>
      <c r="J169" s="119"/>
      <c r="K169" s="119"/>
    </row>
    <row r="170" customFormat="false" ht="14.25" hidden="false" customHeight="true" outlineLevel="0" collapsed="false">
      <c r="B170" s="0" t="s">
        <v>492</v>
      </c>
      <c r="C170" s="0" t="n">
        <v>10</v>
      </c>
      <c r="D170" s="0" t="n">
        <v>115</v>
      </c>
      <c r="E170" s="0" t="n">
        <v>1</v>
      </c>
      <c r="F170" s="0" t="n">
        <v>0.2</v>
      </c>
      <c r="G170" s="0" t="n">
        <v>19.5</v>
      </c>
      <c r="H170" s="115" t="n">
        <f aca="false">IFERROR(D170/C170/11.1*0.585*C170,0)</f>
        <v>6.06081081081081</v>
      </c>
      <c r="I170" s="119"/>
      <c r="J170" s="119"/>
      <c r="K170" s="119"/>
    </row>
    <row r="171" customFormat="false" ht="14.25" hidden="false" customHeight="true" outlineLevel="0" collapsed="false">
      <c r="A171" s="0" t="s">
        <v>955</v>
      </c>
      <c r="B171" s="0" t="s">
        <v>520</v>
      </c>
      <c r="C171" s="0" t="n">
        <v>16.9</v>
      </c>
      <c r="D171" s="0" t="n">
        <v>157.2</v>
      </c>
      <c r="E171" s="0" t="n">
        <v>1.9</v>
      </c>
      <c r="F171" s="0" t="n">
        <v>0</v>
      </c>
      <c r="G171" s="0" t="n">
        <v>35.3</v>
      </c>
      <c r="H171" s="115" t="n">
        <f aca="false">IFERROR(D171/C171/11.1*0.585*C171,0)</f>
        <v>8.28486486486487</v>
      </c>
      <c r="I171" s="117" t="n">
        <f aca="false">C173*Scoring!$B$36+TE!D173/Scoring!$C$36+TE!E173*Scoring!$D$36+TE!F173*Scoring!$E$36+H173*Scoring!$F$36</f>
        <v>15.24</v>
      </c>
      <c r="J171" s="117" t="n">
        <f aca="false">C171*Scoring!$B$36+TE!D171/Scoring!$C$36+TE!E171*Scoring!$D$36+TE!F171*Scoring!$E$36+H171*Scoring!$F$36</f>
        <v>35.57</v>
      </c>
      <c r="K171" s="117" t="n">
        <f aca="false">C172*Scoring!$B$36+TE!D172/Scoring!$C$36+TE!E172*Scoring!$D$36+TE!F172*Scoring!$E$36+H172*Scoring!$F$36</f>
        <v>55.1</v>
      </c>
    </row>
    <row r="172" customFormat="false" ht="14.25" hidden="false" customHeight="true" outlineLevel="0" collapsed="false">
      <c r="B172" s="0" t="s">
        <v>491</v>
      </c>
      <c r="C172" s="0" t="n">
        <v>26</v>
      </c>
      <c r="D172" s="0" t="n">
        <v>241</v>
      </c>
      <c r="E172" s="0" t="n">
        <v>3</v>
      </c>
      <c r="F172" s="0" t="n">
        <v>0</v>
      </c>
      <c r="G172" s="0" t="n">
        <v>42.5</v>
      </c>
      <c r="H172" s="115" t="n">
        <f aca="false">IFERROR(D172/C172/11.1*0.585*C172,0)</f>
        <v>12.7013513513514</v>
      </c>
      <c r="I172" s="119"/>
      <c r="J172" s="119"/>
      <c r="K172" s="119"/>
    </row>
    <row r="173" customFormat="false" ht="14.25" hidden="false" customHeight="true" outlineLevel="0" collapsed="false">
      <c r="B173" s="0" t="s">
        <v>492</v>
      </c>
      <c r="C173" s="0" t="n">
        <v>7.8</v>
      </c>
      <c r="D173" s="0" t="n">
        <v>73.4</v>
      </c>
      <c r="E173" s="0" t="n">
        <v>0.7</v>
      </c>
      <c r="F173" s="0" t="n">
        <v>0.1</v>
      </c>
      <c r="G173" s="0" t="n">
        <v>20.1</v>
      </c>
      <c r="H173" s="115" t="n">
        <f aca="false">IFERROR(D173/C173/11.1*0.585*C173,0)</f>
        <v>3.86837837837838</v>
      </c>
      <c r="I173" s="119"/>
      <c r="J173" s="119"/>
      <c r="K173" s="119"/>
    </row>
    <row r="174" customFormat="false" ht="14.25" hidden="false" customHeight="true" outlineLevel="0" collapsed="false">
      <c r="A174" s="0" t="s">
        <v>956</v>
      </c>
      <c r="B174" s="0" t="s">
        <v>540</v>
      </c>
      <c r="C174" s="0" t="n">
        <v>22.2</v>
      </c>
      <c r="D174" s="0" t="n">
        <v>178.1</v>
      </c>
      <c r="E174" s="0" t="n">
        <v>1</v>
      </c>
      <c r="F174" s="0" t="n">
        <v>0.1</v>
      </c>
      <c r="G174" s="0" t="n">
        <v>35</v>
      </c>
      <c r="H174" s="115" t="n">
        <f aca="false">IFERROR(D174/C174/11.1*0.585*C174,0)</f>
        <v>9.38635135135135</v>
      </c>
      <c r="I174" s="117" t="n">
        <f aca="false">C176*Scoring!$B$36+TE!D176/Scoring!$C$36+TE!E176*Scoring!$D$36+TE!F176*Scoring!$E$36+H176*Scoring!$F$36</f>
        <v>31.96</v>
      </c>
      <c r="J174" s="117" t="n">
        <f aca="false">C174*Scoring!$B$36+TE!D174/Scoring!$C$36+TE!E174*Scoring!$D$36+TE!F174*Scoring!$E$36+H174*Scoring!$F$36</f>
        <v>34.71</v>
      </c>
      <c r="K174" s="117" t="n">
        <f aca="false">C175*Scoring!$B$36+TE!D175/Scoring!$C$36+TE!E175*Scoring!$D$36+TE!F175*Scoring!$E$36+H175*Scoring!$F$36</f>
        <v>38.3</v>
      </c>
    </row>
    <row r="175" customFormat="false" ht="14.25" hidden="false" customHeight="true" outlineLevel="0" collapsed="false">
      <c r="B175" s="0" t="s">
        <v>491</v>
      </c>
      <c r="C175" s="0" t="n">
        <v>25</v>
      </c>
      <c r="D175" s="0" t="n">
        <v>192</v>
      </c>
      <c r="E175" s="0" t="n">
        <v>1.1</v>
      </c>
      <c r="F175" s="0" t="n">
        <v>0</v>
      </c>
      <c r="G175" s="0" t="n">
        <v>33.9</v>
      </c>
      <c r="H175" s="115" t="n">
        <f aca="false">IFERROR(D175/C175/11.1*0.585*C175,0)</f>
        <v>10.1189189189189</v>
      </c>
      <c r="I175" s="119"/>
      <c r="J175" s="119"/>
      <c r="K175" s="119"/>
    </row>
    <row r="176" customFormat="false" ht="14.25" hidden="false" customHeight="true" outlineLevel="0" collapsed="false">
      <c r="B176" s="0" t="s">
        <v>492</v>
      </c>
      <c r="C176" s="0" t="n">
        <v>19.5</v>
      </c>
      <c r="D176" s="0" t="n">
        <v>164.1</v>
      </c>
      <c r="E176" s="0" t="n">
        <v>1</v>
      </c>
      <c r="F176" s="0" t="n">
        <v>0.1</v>
      </c>
      <c r="G176" s="0" t="n">
        <v>29.1</v>
      </c>
      <c r="H176" s="115" t="n">
        <f aca="false">IFERROR(D176/C176/11.1*0.585*C176,0)</f>
        <v>8.64851351351351</v>
      </c>
      <c r="I176" s="119"/>
      <c r="J176" s="119"/>
      <c r="K176" s="119"/>
    </row>
    <row r="177" customFormat="false" ht="14.25" hidden="false" customHeight="true" outlineLevel="0" collapsed="false">
      <c r="A177" s="0" t="s">
        <v>957</v>
      </c>
      <c r="B177" s="0" t="s">
        <v>546</v>
      </c>
      <c r="C177" s="0" t="n">
        <v>21.9</v>
      </c>
      <c r="D177" s="0" t="n">
        <v>201.5</v>
      </c>
      <c r="E177" s="0" t="n">
        <v>0.8</v>
      </c>
      <c r="F177" s="0" t="n">
        <v>0.6</v>
      </c>
      <c r="G177" s="0" t="n">
        <v>35</v>
      </c>
      <c r="H177" s="115" t="n">
        <f aca="false">IFERROR(D177/C177/11.1*0.585*C177,0)</f>
        <v>10.6195945945946</v>
      </c>
      <c r="I177" s="117" t="n">
        <f aca="false">C179*Scoring!$B$36+TE!D179/Scoring!$C$36+TE!E179*Scoring!$D$36+TE!F179*Scoring!$E$36+H179*Scoring!$F$36</f>
        <v>30.85</v>
      </c>
      <c r="J177" s="117" t="n">
        <f aca="false">C177*Scoring!$B$36+TE!D177/Scoring!$C$36+TE!E177*Scoring!$D$36+TE!F177*Scoring!$E$36+H177*Scoring!$F$36</f>
        <v>34.7</v>
      </c>
      <c r="K177" s="117" t="n">
        <f aca="false">C178*Scoring!$B$36+TE!D178/Scoring!$C$36+TE!E178*Scoring!$D$36+TE!F178*Scoring!$E$36+H178*Scoring!$F$36</f>
        <v>39.2</v>
      </c>
    </row>
    <row r="178" customFormat="false" ht="14.25" hidden="false" customHeight="true" outlineLevel="0" collapsed="false">
      <c r="B178" s="0" t="s">
        <v>491</v>
      </c>
      <c r="C178" s="0" t="n">
        <v>23</v>
      </c>
      <c r="D178" s="0" t="n">
        <v>221</v>
      </c>
      <c r="E178" s="0" t="n">
        <v>1</v>
      </c>
      <c r="F178" s="0" t="n">
        <v>0.2</v>
      </c>
      <c r="G178" s="0" t="n">
        <v>33</v>
      </c>
      <c r="H178" s="115" t="n">
        <f aca="false">IFERROR(D178/C178/11.1*0.585*C178,0)</f>
        <v>11.6472972972973</v>
      </c>
      <c r="I178" s="119"/>
      <c r="J178" s="119"/>
      <c r="K178" s="119"/>
    </row>
    <row r="179" customFormat="false" ht="14.25" hidden="false" customHeight="true" outlineLevel="0" collapsed="false">
      <c r="B179" s="0" t="s">
        <v>492</v>
      </c>
      <c r="C179" s="0" t="n">
        <v>20.9</v>
      </c>
      <c r="D179" s="0" t="n">
        <v>182</v>
      </c>
      <c r="E179" s="0" t="n">
        <v>0.7</v>
      </c>
      <c r="F179" s="0" t="n">
        <v>1</v>
      </c>
      <c r="G179" s="0" t="n">
        <v>30</v>
      </c>
      <c r="H179" s="115" t="n">
        <f aca="false">IFERROR(D179/C179/11.1*0.585*C179,0)</f>
        <v>9.59189189189189</v>
      </c>
      <c r="I179" s="119"/>
      <c r="J179" s="119"/>
      <c r="K179" s="119"/>
    </row>
    <row r="180" customFormat="false" ht="14.25" hidden="false" customHeight="true" outlineLevel="0" collapsed="false">
      <c r="A180" s="0" t="s">
        <v>958</v>
      </c>
      <c r="B180" s="0" t="s">
        <v>538</v>
      </c>
      <c r="C180" s="0" t="n">
        <v>19.5</v>
      </c>
      <c r="D180" s="0" t="n">
        <v>194.4</v>
      </c>
      <c r="E180" s="0" t="n">
        <v>1.1</v>
      </c>
      <c r="F180" s="0" t="n">
        <v>0.5</v>
      </c>
      <c r="G180" s="0" t="n">
        <v>34.8</v>
      </c>
      <c r="H180" s="115" t="n">
        <f aca="false">IFERROR(D180/C180/11.1*0.585*C180,0)</f>
        <v>10.2454054054054</v>
      </c>
      <c r="I180" s="117" t="n">
        <f aca="false">C182*Scoring!$B$36+TE!D182/Scoring!$C$36+TE!E182*Scoring!$D$36+TE!F182*Scoring!$E$36+H182*Scoring!$F$36</f>
        <v>4.78</v>
      </c>
      <c r="J180" s="117" t="n">
        <f aca="false">C180*Scoring!$B$36+TE!D180/Scoring!$C$36+TE!E180*Scoring!$D$36+TE!F180*Scoring!$E$36+H180*Scoring!$F$36</f>
        <v>34.79</v>
      </c>
      <c r="K180" s="117" t="n">
        <f aca="false">C181*Scoring!$B$36+TE!D181/Scoring!$C$36+TE!E181*Scoring!$D$36+TE!F181*Scoring!$E$36+H181*Scoring!$F$36</f>
        <v>64.8</v>
      </c>
    </row>
    <row r="181" customFormat="false" ht="14.25" hidden="false" customHeight="true" outlineLevel="0" collapsed="false">
      <c r="B181" s="0" t="s">
        <v>491</v>
      </c>
      <c r="C181" s="0" t="n">
        <v>35</v>
      </c>
      <c r="D181" s="0" t="n">
        <v>353</v>
      </c>
      <c r="E181" s="0" t="n">
        <v>2</v>
      </c>
      <c r="F181" s="0" t="n">
        <v>0</v>
      </c>
      <c r="G181" s="0" t="n">
        <v>46.7</v>
      </c>
      <c r="H181" s="115" t="n">
        <f aca="false">IFERROR(D181/C181/11.1*0.585*C181,0)</f>
        <v>18.6040540540541</v>
      </c>
      <c r="I181" s="119"/>
      <c r="J181" s="119"/>
      <c r="K181" s="119"/>
    </row>
    <row r="182" customFormat="false" ht="14.25" hidden="false" customHeight="true" outlineLevel="0" collapsed="false">
      <c r="B182" s="0" t="s">
        <v>492</v>
      </c>
      <c r="C182" s="0" t="n">
        <v>4</v>
      </c>
      <c r="D182" s="0" t="n">
        <v>35.8</v>
      </c>
      <c r="E182" s="0" t="n">
        <v>0.2</v>
      </c>
      <c r="F182" s="0" t="n">
        <v>1</v>
      </c>
      <c r="G182" s="0" t="n">
        <v>14.7</v>
      </c>
      <c r="H182" s="115" t="n">
        <f aca="false">IFERROR(D182/C182/11.1*0.585*C182,0)</f>
        <v>1.88675675675676</v>
      </c>
      <c r="I182" s="119"/>
      <c r="J182" s="119"/>
      <c r="K182" s="119"/>
    </row>
    <row r="183" customFormat="false" ht="14.25" hidden="false" customHeight="true" outlineLevel="0" collapsed="false">
      <c r="A183" s="0" t="s">
        <v>959</v>
      </c>
      <c r="B183" s="0" t="s">
        <v>496</v>
      </c>
      <c r="C183" s="0" t="n">
        <v>17</v>
      </c>
      <c r="D183" s="0" t="n">
        <v>169.2</v>
      </c>
      <c r="E183" s="0" t="n">
        <v>1.6</v>
      </c>
      <c r="F183" s="0" t="n">
        <v>0.6</v>
      </c>
      <c r="G183" s="0" t="n">
        <v>33.8</v>
      </c>
      <c r="H183" s="115" t="n">
        <f aca="false">IFERROR(D183/C183/11.1*0.585*C183,0)</f>
        <v>8.9172972972973</v>
      </c>
      <c r="I183" s="117" t="n">
        <f aca="false">C185*Scoring!$B$36+TE!D185/Scoring!$C$36+TE!E185*Scoring!$D$36+TE!F185*Scoring!$E$36+H185*Scoring!$F$36</f>
        <v>25.8</v>
      </c>
      <c r="J183" s="117" t="n">
        <f aca="false">C183*Scoring!$B$36+TE!D183/Scoring!$C$36+TE!E183*Scoring!$D$36+TE!F183*Scoring!$E$36+H183*Scoring!$F$36</f>
        <v>33.82</v>
      </c>
      <c r="K183" s="117" t="n">
        <f aca="false">C184*Scoring!$B$36+TE!D184/Scoring!$C$36+TE!E184*Scoring!$D$36+TE!F184*Scoring!$E$36+H184*Scoring!$F$36</f>
        <v>42.1</v>
      </c>
    </row>
    <row r="184" customFormat="false" ht="14.25" hidden="false" customHeight="true" outlineLevel="0" collapsed="false">
      <c r="B184" s="0" t="s">
        <v>491</v>
      </c>
      <c r="C184" s="0" t="n">
        <v>20</v>
      </c>
      <c r="D184" s="0" t="n">
        <v>203</v>
      </c>
      <c r="E184" s="0" t="n">
        <v>2</v>
      </c>
      <c r="F184" s="0" t="n">
        <v>0.1</v>
      </c>
      <c r="G184" s="0" t="n">
        <v>30.5</v>
      </c>
      <c r="H184" s="115" t="n">
        <f aca="false">IFERROR(D184/C184/11.1*0.585*C184,0)</f>
        <v>10.6986486486487</v>
      </c>
      <c r="I184" s="119"/>
      <c r="J184" s="119"/>
      <c r="K184" s="119"/>
    </row>
    <row r="185" customFormat="false" ht="14.25" hidden="false" customHeight="true" outlineLevel="0" collapsed="false">
      <c r="B185" s="0" t="s">
        <v>492</v>
      </c>
      <c r="C185" s="0" t="n">
        <v>14.1</v>
      </c>
      <c r="D185" s="0" t="n">
        <v>135.5</v>
      </c>
      <c r="E185" s="0" t="n">
        <v>1.2</v>
      </c>
      <c r="F185" s="0" t="n">
        <v>1</v>
      </c>
      <c r="G185" s="0" t="n">
        <v>29</v>
      </c>
      <c r="H185" s="115" t="n">
        <f aca="false">IFERROR(D185/C185/11.1*0.585*C185,0)</f>
        <v>7.14121621621622</v>
      </c>
      <c r="I185" s="119"/>
      <c r="J185" s="119"/>
      <c r="K185" s="119"/>
    </row>
    <row r="186" customFormat="false" ht="14.25" hidden="false" customHeight="true" outlineLevel="0" collapsed="false">
      <c r="A186" s="0" t="s">
        <v>960</v>
      </c>
      <c r="B186" s="0" t="s">
        <v>542</v>
      </c>
      <c r="C186" s="0" t="n">
        <v>19.7</v>
      </c>
      <c r="D186" s="0" t="n">
        <v>146.3</v>
      </c>
      <c r="E186" s="0" t="n">
        <v>1.3</v>
      </c>
      <c r="F186" s="0" t="n">
        <v>0</v>
      </c>
      <c r="G186" s="0" t="n">
        <v>32</v>
      </c>
      <c r="H186" s="115" t="n">
        <f aca="false">IFERROR(D186/C186/11.1*0.585*C186,0)</f>
        <v>7.71040540540541</v>
      </c>
      <c r="I186" s="117" t="n">
        <f aca="false">C188*Scoring!$B$36+TE!D188/Scoring!$C$36+TE!E188*Scoring!$D$36+TE!F188*Scoring!$E$36+H188*Scoring!$F$36</f>
        <v>18.72</v>
      </c>
      <c r="J186" s="117" t="n">
        <f aca="false">C186*Scoring!$B$36+TE!D186/Scoring!$C$36+TE!E186*Scoring!$D$36+TE!F186*Scoring!$E$36+H186*Scoring!$F$36</f>
        <v>32.28</v>
      </c>
      <c r="K186" s="117" t="n">
        <f aca="false">C187*Scoring!$B$36+TE!D187/Scoring!$C$36+TE!E187*Scoring!$D$36+TE!F187*Scoring!$E$36+H187*Scoring!$F$36</f>
        <v>45.1</v>
      </c>
    </row>
    <row r="187" customFormat="false" ht="14.25" hidden="false" customHeight="true" outlineLevel="0" collapsed="false">
      <c r="B187" s="0" t="s">
        <v>491</v>
      </c>
      <c r="C187" s="0" t="n">
        <v>27</v>
      </c>
      <c r="D187" s="0" t="n">
        <v>196</v>
      </c>
      <c r="E187" s="0" t="n">
        <v>2</v>
      </c>
      <c r="F187" s="0" t="n">
        <v>0</v>
      </c>
      <c r="G187" s="0" t="n">
        <v>33.9</v>
      </c>
      <c r="H187" s="115" t="n">
        <f aca="false">IFERROR(D187/C187/11.1*0.585*C187,0)</f>
        <v>10.3297297297297</v>
      </c>
      <c r="I187" s="119"/>
      <c r="J187" s="119"/>
      <c r="K187" s="119"/>
    </row>
    <row r="188" customFormat="false" ht="14.25" hidden="false" customHeight="true" outlineLevel="0" collapsed="false">
      <c r="B188" s="0" t="s">
        <v>492</v>
      </c>
      <c r="C188" s="0" t="n">
        <v>12.5</v>
      </c>
      <c r="D188" s="0" t="n">
        <v>96.7</v>
      </c>
      <c r="E188" s="0" t="n">
        <v>0.5</v>
      </c>
      <c r="F188" s="0" t="n">
        <v>0.1</v>
      </c>
      <c r="G188" s="0" t="n">
        <v>22.8</v>
      </c>
      <c r="H188" s="115" t="n">
        <f aca="false">IFERROR(D188/C188/11.1*0.585*C188,0)</f>
        <v>5.09635135135135</v>
      </c>
      <c r="I188" s="119"/>
      <c r="J188" s="119"/>
      <c r="K188" s="119"/>
    </row>
    <row r="189" customFormat="false" ht="14.25" hidden="false" customHeight="true" outlineLevel="0" collapsed="false">
      <c r="A189" s="0" t="s">
        <v>961</v>
      </c>
      <c r="B189" s="0" t="s">
        <v>502</v>
      </c>
      <c r="C189" s="0" t="n">
        <v>17.3</v>
      </c>
      <c r="D189" s="0" t="n">
        <v>141.7</v>
      </c>
      <c r="E189" s="0" t="n">
        <v>1.2</v>
      </c>
      <c r="F189" s="0" t="n">
        <v>0.1</v>
      </c>
      <c r="G189" s="0" t="n">
        <v>30</v>
      </c>
      <c r="H189" s="115" t="n">
        <f aca="false">IFERROR(D189/C189/11.1*0.585*C189,0)</f>
        <v>7.46797297297297</v>
      </c>
      <c r="I189" s="117" t="n">
        <f aca="false">C191*Scoring!$B$36+TE!D191/Scoring!$C$36+TE!E191*Scoring!$D$36+TE!F191*Scoring!$E$36+H191*Scoring!$F$36</f>
        <v>22.1</v>
      </c>
      <c r="J189" s="117" t="n">
        <f aca="false">C189*Scoring!$B$36+TE!D189/Scoring!$C$36+TE!E189*Scoring!$D$36+TE!F189*Scoring!$E$36+H189*Scoring!$F$36</f>
        <v>29.82</v>
      </c>
      <c r="K189" s="117" t="n">
        <f aca="false">C190*Scoring!$B$36+TE!D190/Scoring!$C$36+TE!E190*Scoring!$D$36+TE!F190*Scoring!$E$36+H190*Scoring!$F$36</f>
        <v>38.18</v>
      </c>
    </row>
    <row r="190" customFormat="false" ht="14.25" hidden="false" customHeight="true" outlineLevel="0" collapsed="false">
      <c r="B190" s="0" t="s">
        <v>491</v>
      </c>
      <c r="C190" s="0" t="n">
        <v>21.7</v>
      </c>
      <c r="D190" s="0" t="n">
        <v>183.3</v>
      </c>
      <c r="E190" s="0" t="n">
        <v>1.5</v>
      </c>
      <c r="F190" s="0" t="n">
        <v>0</v>
      </c>
      <c r="G190" s="0" t="n">
        <v>35.5</v>
      </c>
      <c r="H190" s="115" t="n">
        <f aca="false">IFERROR(D190/C190/11.1*0.585*C190,0)</f>
        <v>9.66040540540541</v>
      </c>
      <c r="I190" s="119"/>
      <c r="J190" s="119"/>
      <c r="K190" s="119"/>
    </row>
    <row r="191" customFormat="false" ht="14.25" hidden="false" customHeight="true" outlineLevel="0" collapsed="false">
      <c r="B191" s="0" t="s">
        <v>492</v>
      </c>
      <c r="C191" s="0" t="n">
        <v>13</v>
      </c>
      <c r="D191" s="0" t="n">
        <v>100</v>
      </c>
      <c r="E191" s="0" t="n">
        <v>1</v>
      </c>
      <c r="F191" s="0" t="n">
        <v>0.2</v>
      </c>
      <c r="G191" s="0" t="n">
        <v>18.7</v>
      </c>
      <c r="H191" s="115" t="n">
        <f aca="false">IFERROR(D191/C191/11.1*0.585*C191,0)</f>
        <v>5.27027027027027</v>
      </c>
      <c r="I191" s="119"/>
      <c r="J191" s="119"/>
      <c r="K191" s="119"/>
    </row>
    <row r="192" customFormat="false" ht="14.25" hidden="false" customHeight="true" outlineLevel="0" collapsed="false">
      <c r="A192" s="0" t="s">
        <v>962</v>
      </c>
      <c r="B192" s="0" t="s">
        <v>506</v>
      </c>
      <c r="C192" s="0" t="n">
        <v>14.9</v>
      </c>
      <c r="D192" s="0" t="n">
        <v>156.8</v>
      </c>
      <c r="E192" s="0" t="n">
        <v>1.3</v>
      </c>
      <c r="F192" s="0" t="n">
        <v>0.5</v>
      </c>
      <c r="G192" s="0" t="n">
        <v>29.8</v>
      </c>
      <c r="H192" s="115" t="n">
        <f aca="false">IFERROR(D192/C192/11.1*0.585*C192,0)</f>
        <v>8.26378378378379</v>
      </c>
      <c r="I192" s="117" t="n">
        <f aca="false">C194*Scoring!$B$36+TE!D194/Scoring!$C$36+TE!E194*Scoring!$D$36+TE!F194*Scoring!$E$36+H194*Scoring!$F$36</f>
        <v>12.86</v>
      </c>
      <c r="J192" s="117" t="n">
        <f aca="false">C192*Scoring!$B$36+TE!D192/Scoring!$C$36+TE!E192*Scoring!$D$36+TE!F192*Scoring!$E$36+H192*Scoring!$F$36</f>
        <v>29.93</v>
      </c>
      <c r="K192" s="117" t="n">
        <f aca="false">C193*Scoring!$B$36+TE!D193/Scoring!$C$36+TE!E193*Scoring!$D$36+TE!F193*Scoring!$E$36+H193*Scoring!$F$36</f>
        <v>46.8</v>
      </c>
    </row>
    <row r="193" customFormat="false" ht="14.25" hidden="false" customHeight="true" outlineLevel="0" collapsed="false">
      <c r="B193" s="0" t="s">
        <v>491</v>
      </c>
      <c r="C193" s="0" t="n">
        <v>22</v>
      </c>
      <c r="D193" s="0" t="n">
        <v>240</v>
      </c>
      <c r="E193" s="0" t="n">
        <v>2</v>
      </c>
      <c r="F193" s="0" t="n">
        <v>0.1</v>
      </c>
      <c r="G193" s="0" t="n">
        <v>33.5</v>
      </c>
      <c r="H193" s="115" t="n">
        <f aca="false">IFERROR(D193/C193/11.1*0.585*C193,0)</f>
        <v>12.6486486486486</v>
      </c>
      <c r="I193" s="119"/>
      <c r="J193" s="119"/>
      <c r="K193" s="119"/>
    </row>
    <row r="194" customFormat="false" ht="14.25" hidden="false" customHeight="true" outlineLevel="0" collapsed="false">
      <c r="B194" s="0" t="s">
        <v>492</v>
      </c>
      <c r="C194" s="0" t="n">
        <v>7.8</v>
      </c>
      <c r="D194" s="0" t="n">
        <v>73.6</v>
      </c>
      <c r="E194" s="0" t="n">
        <v>0.6</v>
      </c>
      <c r="F194" s="0" t="n">
        <v>1</v>
      </c>
      <c r="G194" s="0" t="n">
        <v>18.1</v>
      </c>
      <c r="H194" s="115" t="n">
        <f aca="false">IFERROR(D194/C194/11.1*0.585*C194,0)</f>
        <v>3.87891891891892</v>
      </c>
      <c r="I194" s="119"/>
      <c r="J194" s="119"/>
      <c r="K194" s="119"/>
    </row>
    <row r="195" customFormat="false" ht="14.25" hidden="false" customHeight="true" outlineLevel="0" collapsed="false">
      <c r="A195" s="0" t="s">
        <v>963</v>
      </c>
      <c r="B195" s="0" t="s">
        <v>508</v>
      </c>
      <c r="C195" s="0" t="n">
        <v>15.1</v>
      </c>
      <c r="D195" s="0" t="n">
        <v>149.9</v>
      </c>
      <c r="E195" s="0" t="n">
        <v>1.2</v>
      </c>
      <c r="F195" s="0" t="n">
        <v>0</v>
      </c>
      <c r="G195" s="0" t="n">
        <v>29.8</v>
      </c>
      <c r="H195" s="115" t="n">
        <f aca="false">IFERROR(D195/C195/11.1*0.585*C195,0)</f>
        <v>7.90013513513514</v>
      </c>
      <c r="I195" s="117" t="n">
        <f aca="false">C197*Scoring!$B$36+TE!D197/Scoring!$C$36+TE!E197*Scoring!$D$36+TE!F197*Scoring!$E$36+H197*Scoring!$F$36</f>
        <v>15.81</v>
      </c>
      <c r="J195" s="117" t="n">
        <f aca="false">C195*Scoring!$B$36+TE!D195/Scoring!$C$36+TE!E195*Scoring!$D$36+TE!F195*Scoring!$E$36+H195*Scoring!$F$36</f>
        <v>29.74</v>
      </c>
      <c r="K195" s="117" t="n">
        <f aca="false">C196*Scoring!$B$36+TE!D196/Scoring!$C$36+TE!E196*Scoring!$D$36+TE!F196*Scoring!$E$36+H196*Scoring!$F$36</f>
        <v>51</v>
      </c>
    </row>
    <row r="196" customFormat="false" ht="14.25" hidden="false" customHeight="true" outlineLevel="0" collapsed="false">
      <c r="B196" s="0" t="s">
        <v>491</v>
      </c>
      <c r="C196" s="0" t="n">
        <v>25</v>
      </c>
      <c r="D196" s="0" t="n">
        <v>265</v>
      </c>
      <c r="E196" s="0" t="n">
        <v>2</v>
      </c>
      <c r="F196" s="0" t="n">
        <v>0</v>
      </c>
      <c r="G196" s="0" t="n">
        <v>58.5</v>
      </c>
      <c r="H196" s="115" t="n">
        <f aca="false">IFERROR(D196/C196/11.1*0.585*C196,0)</f>
        <v>13.9662162162162</v>
      </c>
      <c r="I196" s="119"/>
      <c r="J196" s="119"/>
      <c r="K196" s="119"/>
    </row>
    <row r="197" customFormat="false" ht="14.25" hidden="false" customHeight="true" outlineLevel="0" collapsed="false">
      <c r="B197" s="0" t="s">
        <v>492</v>
      </c>
      <c r="C197" s="0" t="n">
        <v>8.3</v>
      </c>
      <c r="D197" s="0" t="n">
        <v>82.6</v>
      </c>
      <c r="E197" s="0" t="n">
        <v>0.6</v>
      </c>
      <c r="F197" s="0" t="n">
        <v>0.1</v>
      </c>
      <c r="G197" s="0" t="n">
        <v>17.5</v>
      </c>
      <c r="H197" s="115" t="n">
        <f aca="false">IFERROR(D197/C197/11.1*0.585*C197,0)</f>
        <v>4.35324324324324</v>
      </c>
      <c r="I197" s="119"/>
      <c r="J197" s="119"/>
      <c r="K197" s="119"/>
    </row>
    <row r="198" customFormat="false" ht="14.25" hidden="false" customHeight="true" outlineLevel="0" collapsed="false">
      <c r="A198" s="0" t="s">
        <v>707</v>
      </c>
      <c r="B198" s="0" t="s">
        <v>550</v>
      </c>
      <c r="C198" s="0" t="n">
        <v>14</v>
      </c>
      <c r="D198" s="0" t="n">
        <v>102</v>
      </c>
      <c r="E198" s="0" t="n">
        <v>2</v>
      </c>
      <c r="F198" s="0" t="n">
        <v>0</v>
      </c>
      <c r="G198" s="0" t="n">
        <v>29.2</v>
      </c>
      <c r="H198" s="115" t="n">
        <f aca="false">IFERROR(D198/C198/11.1*0.585*C198,0)</f>
        <v>5.37567567567568</v>
      </c>
      <c r="I198" s="117" t="n">
        <f aca="false">C200*Scoring!$B$36+TE!D200/Scoring!$C$36+TE!E200*Scoring!$D$36+TE!F200*Scoring!$E$36+H200*Scoring!$F$36</f>
        <v>29.2</v>
      </c>
      <c r="J198" s="117" t="n">
        <f aca="false">C198*Scoring!$B$36+TE!D198/Scoring!$C$36+TE!E198*Scoring!$D$36+TE!F198*Scoring!$E$36+H198*Scoring!$F$36</f>
        <v>29.2</v>
      </c>
      <c r="K198" s="117" t="n">
        <f aca="false">C199*Scoring!$B$36+TE!D199/Scoring!$C$36+TE!E199*Scoring!$D$36+TE!F199*Scoring!$E$36+H199*Scoring!$F$36</f>
        <v>29.2</v>
      </c>
    </row>
    <row r="199" customFormat="false" ht="14.25" hidden="false" customHeight="true" outlineLevel="0" collapsed="false">
      <c r="B199" s="0" t="s">
        <v>491</v>
      </c>
      <c r="C199" s="0" t="n">
        <v>14</v>
      </c>
      <c r="D199" s="0" t="n">
        <v>102</v>
      </c>
      <c r="E199" s="0" t="n">
        <v>2</v>
      </c>
      <c r="F199" s="0" t="n">
        <v>0</v>
      </c>
      <c r="G199" s="0" t="n">
        <v>30</v>
      </c>
      <c r="H199" s="115" t="n">
        <f aca="false">IFERROR(D199/C199/11.1*0.585*C199,0)</f>
        <v>5.37567567567568</v>
      </c>
      <c r="I199" s="119"/>
      <c r="J199" s="119"/>
      <c r="K199" s="119"/>
    </row>
    <row r="200" customFormat="false" ht="14.25" hidden="false" customHeight="true" outlineLevel="0" collapsed="false">
      <c r="B200" s="0" t="s">
        <v>492</v>
      </c>
      <c r="C200" s="0" t="n">
        <v>14</v>
      </c>
      <c r="D200" s="0" t="n">
        <v>102</v>
      </c>
      <c r="E200" s="0" t="n">
        <v>2</v>
      </c>
      <c r="F200" s="0" t="n">
        <v>0</v>
      </c>
      <c r="G200" s="0" t="n">
        <v>30</v>
      </c>
      <c r="H200" s="115" t="n">
        <f aca="false">IFERROR(D200/C200/11.1*0.585*C200,0)</f>
        <v>5.37567567567568</v>
      </c>
      <c r="I200" s="119"/>
      <c r="J200" s="119"/>
      <c r="K200" s="119"/>
    </row>
    <row r="201" customFormat="false" ht="14.25" hidden="false" customHeight="true" outlineLevel="0" collapsed="false">
      <c r="A201" s="0" t="s">
        <v>964</v>
      </c>
      <c r="B201" s="0" t="s">
        <v>518</v>
      </c>
      <c r="C201" s="0" t="n">
        <v>11.9</v>
      </c>
      <c r="D201" s="0" t="n">
        <v>88.4</v>
      </c>
      <c r="E201" s="0" t="n">
        <v>1.8</v>
      </c>
      <c r="F201" s="0" t="n">
        <v>0</v>
      </c>
      <c r="G201" s="0" t="n">
        <v>25.8</v>
      </c>
      <c r="H201" s="115" t="n">
        <f aca="false">IFERROR(D201/C201/11.1*0.585*C201,0)</f>
        <v>4.65891891891892</v>
      </c>
      <c r="I201" s="117" t="n">
        <f aca="false">C203*Scoring!$B$36+TE!D203/Scoring!$C$36+TE!E203*Scoring!$D$36+TE!F203*Scoring!$E$36+H203*Scoring!$F$36</f>
        <v>14.77</v>
      </c>
      <c r="J201" s="117" t="n">
        <f aca="false">C201*Scoring!$B$36+TE!D201/Scoring!$C$36+TE!E201*Scoring!$D$36+TE!F201*Scoring!$E$36+H201*Scoring!$F$36</f>
        <v>25.59</v>
      </c>
      <c r="K201" s="117" t="n">
        <f aca="false">C202*Scoring!$B$36+TE!D202/Scoring!$C$36+TE!E202*Scoring!$D$36+TE!F202*Scoring!$E$36+H202*Scoring!$F$36</f>
        <v>36.8</v>
      </c>
    </row>
    <row r="202" customFormat="false" ht="14.25" hidden="false" customHeight="true" outlineLevel="0" collapsed="false">
      <c r="B202" s="0" t="s">
        <v>491</v>
      </c>
      <c r="C202" s="0" t="n">
        <v>16</v>
      </c>
      <c r="D202" s="0" t="n">
        <v>108</v>
      </c>
      <c r="E202" s="0" t="n">
        <v>3</v>
      </c>
      <c r="F202" s="0" t="n">
        <v>0</v>
      </c>
      <c r="G202" s="0" t="n">
        <v>28</v>
      </c>
      <c r="H202" s="115" t="n">
        <f aca="false">IFERROR(D202/C202/11.1*0.585*C202,0)</f>
        <v>5.69189189189189</v>
      </c>
      <c r="I202" s="119"/>
      <c r="J202" s="119"/>
      <c r="K202" s="119"/>
    </row>
    <row r="203" customFormat="false" ht="14.25" hidden="false" customHeight="true" outlineLevel="0" collapsed="false">
      <c r="B203" s="0" t="s">
        <v>492</v>
      </c>
      <c r="C203" s="0" t="n">
        <v>7.8</v>
      </c>
      <c r="D203" s="0" t="n">
        <v>68.7</v>
      </c>
      <c r="E203" s="0" t="n">
        <v>0.7</v>
      </c>
      <c r="F203" s="0" t="n">
        <v>0.1</v>
      </c>
      <c r="G203" s="0" t="n">
        <v>16.8</v>
      </c>
      <c r="H203" s="115" t="n">
        <f aca="false">IFERROR(D203/C203/11.1*0.585*C203,0)</f>
        <v>3.62067567567568</v>
      </c>
      <c r="I203" s="119"/>
      <c r="J203" s="119"/>
      <c r="K203" s="119"/>
    </row>
    <row r="204" customFormat="false" ht="14.25" hidden="false" customHeight="true" outlineLevel="0" collapsed="false">
      <c r="A204" s="0" t="s">
        <v>965</v>
      </c>
      <c r="B204" s="0" t="s">
        <v>538</v>
      </c>
      <c r="C204" s="0" t="n">
        <v>15.3</v>
      </c>
      <c r="D204" s="0" t="n">
        <v>127.8</v>
      </c>
      <c r="E204" s="0" t="n">
        <v>0.9</v>
      </c>
      <c r="F204" s="0" t="n">
        <v>0.1</v>
      </c>
      <c r="G204" s="0" t="n">
        <v>25.5</v>
      </c>
      <c r="H204" s="115" t="n">
        <f aca="false">IFERROR(D204/C204/11.1*0.585*C204,0)</f>
        <v>6.7354054054054</v>
      </c>
      <c r="I204" s="117" t="n">
        <f aca="false">C206*Scoring!$B$36+TE!D206/Scoring!$C$36+TE!E206*Scoring!$D$36+TE!F206*Scoring!$E$36+H206*Scoring!$F$36</f>
        <v>24.4</v>
      </c>
      <c r="J204" s="117" t="n">
        <f aca="false">C204*Scoring!$B$36+TE!D204/Scoring!$C$36+TE!E204*Scoring!$D$36+TE!F204*Scoring!$E$36+H204*Scoring!$F$36</f>
        <v>25.63</v>
      </c>
      <c r="K204" s="117" t="n">
        <f aca="false">C205*Scoring!$B$36+TE!D205/Scoring!$C$36+TE!E205*Scoring!$D$36+TE!F205*Scoring!$E$36+H205*Scoring!$F$36</f>
        <v>27.01</v>
      </c>
    </row>
    <row r="205" customFormat="false" ht="14.25" hidden="false" customHeight="true" outlineLevel="0" collapsed="false">
      <c r="B205" s="0" t="s">
        <v>491</v>
      </c>
      <c r="C205" s="0" t="n">
        <v>15.5</v>
      </c>
      <c r="D205" s="0" t="n">
        <v>132.6</v>
      </c>
      <c r="E205" s="0" t="n">
        <v>1</v>
      </c>
      <c r="F205" s="0" t="n">
        <v>0</v>
      </c>
      <c r="G205" s="0" t="n">
        <v>26.8</v>
      </c>
      <c r="H205" s="115" t="n">
        <f aca="false">IFERROR(D205/C205/11.1*0.585*C205,0)</f>
        <v>6.98837837837838</v>
      </c>
      <c r="I205" s="119"/>
      <c r="J205" s="119"/>
      <c r="K205" s="119"/>
    </row>
    <row r="206" customFormat="false" ht="14.25" hidden="false" customHeight="true" outlineLevel="0" collapsed="false">
      <c r="B206" s="0" t="s">
        <v>492</v>
      </c>
      <c r="C206" s="0" t="n">
        <v>15</v>
      </c>
      <c r="D206" s="0" t="n">
        <v>123</v>
      </c>
      <c r="E206" s="0" t="n">
        <v>0.8</v>
      </c>
      <c r="F206" s="0" t="n">
        <v>0.1</v>
      </c>
      <c r="G206" s="0" t="n">
        <v>19.6</v>
      </c>
      <c r="H206" s="115" t="n">
        <f aca="false">IFERROR(D206/C206/11.1*0.585*C206,0)</f>
        <v>6.48243243243243</v>
      </c>
      <c r="I206" s="119"/>
      <c r="J206" s="119"/>
      <c r="K206" s="119"/>
    </row>
    <row r="207" customFormat="false" ht="14.25" hidden="false" customHeight="true" outlineLevel="0" collapsed="false">
      <c r="A207" s="0" t="s">
        <v>966</v>
      </c>
      <c r="B207" s="0" t="s">
        <v>490</v>
      </c>
      <c r="C207" s="0" t="n">
        <v>10.6</v>
      </c>
      <c r="D207" s="0" t="n">
        <v>115.1</v>
      </c>
      <c r="E207" s="0" t="n">
        <v>1.4</v>
      </c>
      <c r="F207" s="0" t="n">
        <v>0</v>
      </c>
      <c r="G207" s="0" t="n">
        <v>25.4</v>
      </c>
      <c r="H207" s="115" t="n">
        <f aca="false">IFERROR(D207/C207/11.1*0.585*C207,0)</f>
        <v>6.06608108108108</v>
      </c>
      <c r="I207" s="117" t="n">
        <f aca="false">C209*Scoring!$B$36+TE!D209/Scoring!$C$36+TE!E209*Scoring!$D$36+TE!F209*Scoring!$E$36+H209*Scoring!$F$36</f>
        <v>21.22</v>
      </c>
      <c r="J207" s="117" t="n">
        <f aca="false">C207*Scoring!$B$36+TE!D207/Scoring!$C$36+TE!E207*Scoring!$D$36+TE!F207*Scoring!$E$36+H207*Scoring!$F$36</f>
        <v>25.21</v>
      </c>
      <c r="K207" s="117" t="n">
        <f aca="false">C208*Scoring!$B$36+TE!D208/Scoring!$C$36+TE!E208*Scoring!$D$36+TE!F208*Scoring!$E$36+H208*Scoring!$F$36</f>
        <v>29.55</v>
      </c>
    </row>
    <row r="208" customFormat="false" ht="14.25" hidden="false" customHeight="true" outlineLevel="0" collapsed="false">
      <c r="B208" s="0" t="s">
        <v>491</v>
      </c>
      <c r="C208" s="0" t="n">
        <v>11.1</v>
      </c>
      <c r="D208" s="0" t="n">
        <v>120</v>
      </c>
      <c r="E208" s="0" t="n">
        <v>2</v>
      </c>
      <c r="F208" s="0" t="n">
        <v>0</v>
      </c>
      <c r="G208" s="0" t="n">
        <v>22.3</v>
      </c>
      <c r="H208" s="115" t="n">
        <f aca="false">IFERROR(D208/C208/11.1*0.585*C208,0)</f>
        <v>6.32432432432433</v>
      </c>
      <c r="I208" s="119"/>
      <c r="J208" s="119"/>
      <c r="K208" s="119"/>
    </row>
    <row r="209" customFormat="false" ht="14.25" hidden="false" customHeight="true" outlineLevel="0" collapsed="false">
      <c r="B209" s="0" t="s">
        <v>492</v>
      </c>
      <c r="C209" s="0" t="n">
        <v>10</v>
      </c>
      <c r="D209" s="0" t="n">
        <v>110.2</v>
      </c>
      <c r="E209" s="0" t="n">
        <v>0.9</v>
      </c>
      <c r="F209" s="0" t="n">
        <v>0.1</v>
      </c>
      <c r="G209" s="0" t="n">
        <v>21.6</v>
      </c>
      <c r="H209" s="115" t="n">
        <f aca="false">IFERROR(D209/C209/11.1*0.585*C209,0)</f>
        <v>5.80783783783784</v>
      </c>
      <c r="I209" s="119"/>
      <c r="J209" s="119"/>
      <c r="K209" s="119"/>
    </row>
    <row r="210" customFormat="false" ht="14.25" hidden="false" customHeight="true" outlineLevel="0" collapsed="false">
      <c r="A210" s="0" t="s">
        <v>967</v>
      </c>
      <c r="B210" s="0" t="s">
        <v>496</v>
      </c>
      <c r="C210" s="0" t="n">
        <v>11</v>
      </c>
      <c r="D210" s="0" t="n">
        <v>114.2</v>
      </c>
      <c r="E210" s="0" t="n">
        <v>1.4</v>
      </c>
      <c r="F210" s="0" t="n">
        <v>0</v>
      </c>
      <c r="G210" s="0" t="n">
        <v>25.3</v>
      </c>
      <c r="H210" s="115" t="n">
        <f aca="false">IFERROR(D210/C210/11.1*0.585*C210,0)</f>
        <v>6.01864864864865</v>
      </c>
      <c r="I210" s="117" t="n">
        <f aca="false">C212*Scoring!$B$36+TE!D212/Scoring!$C$36+TE!E212*Scoring!$D$36+TE!F212*Scoring!$E$36+H212*Scoring!$F$36</f>
        <v>20.75</v>
      </c>
      <c r="J210" s="117" t="n">
        <f aca="false">C210*Scoring!$B$36+TE!D210/Scoring!$C$36+TE!E210*Scoring!$D$36+TE!F210*Scoring!$E$36+H210*Scoring!$F$36</f>
        <v>25.32</v>
      </c>
      <c r="K210" s="117" t="n">
        <f aca="false">C211*Scoring!$B$36+TE!D211/Scoring!$C$36+TE!E211*Scoring!$D$36+TE!F211*Scoring!$E$36+H211*Scoring!$F$36</f>
        <v>29.75</v>
      </c>
    </row>
    <row r="211" customFormat="false" ht="14.25" hidden="false" customHeight="true" outlineLevel="0" collapsed="false">
      <c r="B211" s="0" t="s">
        <v>491</v>
      </c>
      <c r="C211" s="0" t="n">
        <v>11.1</v>
      </c>
      <c r="D211" s="0" t="n">
        <v>122</v>
      </c>
      <c r="E211" s="0" t="n">
        <v>2</v>
      </c>
      <c r="F211" s="0" t="n">
        <v>0</v>
      </c>
      <c r="G211" s="0" t="n">
        <v>22.5</v>
      </c>
      <c r="H211" s="115" t="n">
        <f aca="false">IFERROR(D211/C211/11.1*0.585*C211,0)</f>
        <v>6.42972972972973</v>
      </c>
      <c r="I211" s="119"/>
      <c r="J211" s="119"/>
      <c r="K211" s="119"/>
    </row>
    <row r="212" customFormat="false" ht="14.25" hidden="false" customHeight="true" outlineLevel="0" collapsed="false">
      <c r="B212" s="0" t="s">
        <v>492</v>
      </c>
      <c r="C212" s="0" t="n">
        <v>11</v>
      </c>
      <c r="D212" s="0" t="n">
        <v>106.5</v>
      </c>
      <c r="E212" s="0" t="n">
        <v>0.8</v>
      </c>
      <c r="F212" s="0" t="n">
        <v>0.1</v>
      </c>
      <c r="G212" s="0" t="n">
        <v>21</v>
      </c>
      <c r="H212" s="115" t="n">
        <f aca="false">IFERROR(D212/C212/11.1*0.585*C212,0)</f>
        <v>5.61283783783784</v>
      </c>
      <c r="I212" s="119"/>
      <c r="J212" s="119"/>
      <c r="K212" s="119"/>
    </row>
    <row r="213" customFormat="false" ht="14.25" hidden="false" customHeight="true" outlineLevel="0" collapsed="false">
      <c r="A213" s="0" t="s">
        <v>968</v>
      </c>
      <c r="B213" s="0" t="s">
        <v>502</v>
      </c>
      <c r="C213" s="0" t="n">
        <v>13</v>
      </c>
      <c r="D213" s="0" t="n">
        <v>123</v>
      </c>
      <c r="E213" s="0" t="n">
        <v>1</v>
      </c>
      <c r="F213" s="0" t="n">
        <v>0</v>
      </c>
      <c r="G213" s="0" t="n">
        <v>24.8</v>
      </c>
      <c r="H213" s="115" t="n">
        <f aca="false">IFERROR(D213/C213/11.1*0.585*C213,0)</f>
        <v>6.48243243243243</v>
      </c>
      <c r="I213" s="117" t="n">
        <f aca="false">C215*Scoring!$B$36+TE!D215/Scoring!$C$36+TE!E215*Scoring!$D$36+TE!F215*Scoring!$E$36+H215*Scoring!$F$36</f>
        <v>24.8</v>
      </c>
      <c r="J213" s="117" t="n">
        <f aca="false">C213*Scoring!$B$36+TE!D213/Scoring!$C$36+TE!E213*Scoring!$D$36+TE!F213*Scoring!$E$36+H213*Scoring!$F$36</f>
        <v>24.8</v>
      </c>
      <c r="K213" s="117" t="n">
        <f aca="false">C214*Scoring!$B$36+TE!D214/Scoring!$C$36+TE!E214*Scoring!$D$36+TE!F214*Scoring!$E$36+H214*Scoring!$F$36</f>
        <v>24.8</v>
      </c>
    </row>
    <row r="214" customFormat="false" ht="14.25" hidden="false" customHeight="true" outlineLevel="0" collapsed="false">
      <c r="B214" s="0" t="s">
        <v>491</v>
      </c>
      <c r="C214" s="0" t="n">
        <v>13</v>
      </c>
      <c r="D214" s="0" t="n">
        <v>123</v>
      </c>
      <c r="E214" s="0" t="n">
        <v>1</v>
      </c>
      <c r="F214" s="0" t="n">
        <v>0</v>
      </c>
      <c r="G214" s="0" t="n">
        <v>17.5</v>
      </c>
      <c r="H214" s="115" t="n">
        <f aca="false">IFERROR(D214/C214/11.1*0.585*C214,0)</f>
        <v>6.48243243243243</v>
      </c>
      <c r="I214" s="119"/>
      <c r="J214" s="119"/>
      <c r="K214" s="119"/>
    </row>
    <row r="215" customFormat="false" ht="14.25" hidden="false" customHeight="true" outlineLevel="0" collapsed="false">
      <c r="B215" s="0" t="s">
        <v>492</v>
      </c>
      <c r="C215" s="0" t="n">
        <v>13</v>
      </c>
      <c r="D215" s="0" t="n">
        <v>123</v>
      </c>
      <c r="E215" s="0" t="n">
        <v>1</v>
      </c>
      <c r="F215" s="0" t="n">
        <v>0</v>
      </c>
      <c r="G215" s="0" t="n">
        <v>17.5</v>
      </c>
      <c r="H215" s="115" t="n">
        <f aca="false">IFERROR(D215/C215/11.1*0.585*C215,0)</f>
        <v>6.48243243243243</v>
      </c>
      <c r="I215" s="119"/>
      <c r="J215" s="119"/>
      <c r="K215" s="119"/>
    </row>
    <row r="216" customFormat="false" ht="14.25" hidden="false" customHeight="true" outlineLevel="0" collapsed="false">
      <c r="A216" s="0" t="s">
        <v>969</v>
      </c>
      <c r="B216" s="0" t="s">
        <v>510</v>
      </c>
      <c r="C216" s="0" t="n">
        <v>13.2</v>
      </c>
      <c r="D216" s="0" t="n">
        <v>121.5</v>
      </c>
      <c r="E216" s="0" t="n">
        <v>0.9</v>
      </c>
      <c r="F216" s="0" t="n">
        <v>0</v>
      </c>
      <c r="G216" s="0" t="n">
        <v>24.4</v>
      </c>
      <c r="H216" s="115" t="n">
        <f aca="false">IFERROR(D216/C216/11.1*0.585*C216,0)</f>
        <v>6.40337837837838</v>
      </c>
      <c r="I216" s="117" t="n">
        <f aca="false">C218*Scoring!$B$36+TE!D218/Scoring!$C$36+TE!E218*Scoring!$D$36+TE!F218*Scoring!$E$36+H218*Scoring!$F$36</f>
        <v>21.9</v>
      </c>
      <c r="J216" s="117" t="n">
        <f aca="false">C216*Scoring!$B$36+TE!D216/Scoring!$C$36+TE!E216*Scoring!$D$36+TE!F216*Scoring!$E$36+H216*Scoring!$F$36</f>
        <v>24.15</v>
      </c>
      <c r="K216" s="117" t="n">
        <f aca="false">C217*Scoring!$B$36+TE!D217/Scoring!$C$36+TE!E217*Scoring!$D$36+TE!F217*Scoring!$E$36+H217*Scoring!$F$36</f>
        <v>26.8</v>
      </c>
    </row>
    <row r="217" customFormat="false" ht="14.25" hidden="false" customHeight="true" outlineLevel="0" collapsed="false">
      <c r="B217" s="0" t="s">
        <v>491</v>
      </c>
      <c r="C217" s="0" t="n">
        <v>15</v>
      </c>
      <c r="D217" s="0" t="n">
        <v>133</v>
      </c>
      <c r="E217" s="0" t="n">
        <v>1</v>
      </c>
      <c r="F217" s="0" t="n">
        <v>0</v>
      </c>
      <c r="G217" s="0" t="n">
        <v>22.9</v>
      </c>
      <c r="H217" s="115" t="n">
        <f aca="false">IFERROR(D217/C217/11.1*0.585*C217,0)</f>
        <v>7.00945945945946</v>
      </c>
      <c r="I217" s="119"/>
      <c r="J217" s="119"/>
      <c r="K217" s="119"/>
    </row>
    <row r="218" customFormat="false" ht="14.25" hidden="false" customHeight="true" outlineLevel="0" collapsed="false">
      <c r="B218" s="0" t="s">
        <v>492</v>
      </c>
      <c r="C218" s="0" t="n">
        <v>11.4</v>
      </c>
      <c r="D218" s="0" t="n">
        <v>110</v>
      </c>
      <c r="E218" s="0" t="n">
        <v>0.9</v>
      </c>
      <c r="F218" s="0" t="n">
        <v>0.1</v>
      </c>
      <c r="G218" s="0" t="n">
        <v>17.6</v>
      </c>
      <c r="H218" s="115" t="n">
        <f aca="false">IFERROR(D218/C218/11.1*0.585*C218,0)</f>
        <v>5.7972972972973</v>
      </c>
      <c r="I218" s="119"/>
      <c r="J218" s="119"/>
      <c r="K218" s="119"/>
    </row>
    <row r="219" customFormat="false" ht="14.25" hidden="false" customHeight="true" outlineLevel="0" collapsed="false">
      <c r="A219" s="0" t="s">
        <v>970</v>
      </c>
      <c r="B219" s="0" t="s">
        <v>530</v>
      </c>
      <c r="C219" s="0" t="n">
        <v>13.7</v>
      </c>
      <c r="D219" s="0" t="n">
        <v>132.3</v>
      </c>
      <c r="E219" s="0" t="n">
        <v>0.7</v>
      </c>
      <c r="F219" s="0" t="n">
        <v>0</v>
      </c>
      <c r="G219" s="0" t="n">
        <v>24.1</v>
      </c>
      <c r="H219" s="115" t="n">
        <f aca="false">IFERROR(D219/C219/11.1*0.585*C219,0)</f>
        <v>6.97256756756757</v>
      </c>
      <c r="I219" s="117" t="n">
        <f aca="false">C221*Scoring!$B$36+TE!D221/Scoring!$C$36+TE!E221*Scoring!$D$36+TE!F221*Scoring!$E$36+H221*Scoring!$F$36</f>
        <v>0</v>
      </c>
      <c r="J219" s="117" t="n">
        <f aca="false">C219*Scoring!$B$36+TE!D219/Scoring!$C$36+TE!E219*Scoring!$D$36+TE!F219*Scoring!$E$36+H219*Scoring!$F$36</f>
        <v>24.28</v>
      </c>
      <c r="K219" s="117" t="n">
        <f aca="false">C220*Scoring!$B$36+TE!D220/Scoring!$C$36+TE!E220*Scoring!$D$36+TE!F220*Scoring!$E$36+H220*Scoring!$F$36</f>
        <v>39.4</v>
      </c>
    </row>
    <row r="220" customFormat="false" ht="14.25" hidden="false" customHeight="true" outlineLevel="0" collapsed="false">
      <c r="B220" s="0" t="s">
        <v>491</v>
      </c>
      <c r="C220" s="0" t="n">
        <v>23</v>
      </c>
      <c r="D220" s="0" t="n">
        <v>219</v>
      </c>
      <c r="E220" s="0" t="n">
        <v>1</v>
      </c>
      <c r="F220" s="0" t="n">
        <v>0</v>
      </c>
      <c r="G220" s="0" t="n">
        <v>46.2</v>
      </c>
      <c r="H220" s="115" t="n">
        <f aca="false">IFERROR(D220/C220/11.1*0.585*C220,0)</f>
        <v>11.5418918918919</v>
      </c>
      <c r="I220" s="119"/>
      <c r="J220" s="119"/>
      <c r="K220" s="119"/>
    </row>
    <row r="221" customFormat="false" ht="14.25" hidden="false" customHeight="true" outlineLevel="0" collapsed="false">
      <c r="B221" s="0" t="s">
        <v>492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6.8</v>
      </c>
      <c r="H221" s="115" t="n">
        <f aca="false">IFERROR(D221/C221/11.1*0.585*C221,0)</f>
        <v>0</v>
      </c>
      <c r="I221" s="119"/>
      <c r="J221" s="119"/>
      <c r="K221" s="119"/>
    </row>
    <row r="222" customFormat="false" ht="14.25" hidden="false" customHeight="true" outlineLevel="0" collapsed="false">
      <c r="A222" s="0" t="s">
        <v>971</v>
      </c>
      <c r="B222" s="0" t="s">
        <v>538</v>
      </c>
      <c r="C222" s="0" t="n">
        <v>9.3</v>
      </c>
      <c r="D222" s="0" t="n">
        <v>105.2</v>
      </c>
      <c r="E222" s="0" t="n">
        <v>1.3</v>
      </c>
      <c r="F222" s="0" t="n">
        <v>0</v>
      </c>
      <c r="G222" s="0" t="n">
        <v>22.9</v>
      </c>
      <c r="H222" s="115" t="n">
        <f aca="false">IFERROR(D222/C222/11.1*0.585*C222,0)</f>
        <v>5.54432432432432</v>
      </c>
      <c r="I222" s="117" t="n">
        <f aca="false">C224*Scoring!$B$36+TE!D224/Scoring!$C$36+TE!E224*Scoring!$D$36+TE!F224*Scoring!$E$36+H224*Scoring!$F$36</f>
        <v>15.08</v>
      </c>
      <c r="J222" s="117" t="n">
        <f aca="false">C222*Scoring!$B$36+TE!D222/Scoring!$C$36+TE!E222*Scoring!$D$36+TE!F222*Scoring!$E$36+H222*Scoring!$F$36</f>
        <v>22.97</v>
      </c>
      <c r="K222" s="117" t="n">
        <f aca="false">C223*Scoring!$B$36+TE!D223/Scoring!$C$36+TE!E223*Scoring!$D$36+TE!F223*Scoring!$E$36+H223*Scoring!$F$36</f>
        <v>30.7</v>
      </c>
    </row>
    <row r="223" customFormat="false" ht="14.25" hidden="false" customHeight="true" outlineLevel="0" collapsed="false">
      <c r="B223" s="0" t="s">
        <v>491</v>
      </c>
      <c r="C223" s="0" t="n">
        <v>11</v>
      </c>
      <c r="D223" s="0" t="n">
        <v>132</v>
      </c>
      <c r="E223" s="0" t="n">
        <v>2</v>
      </c>
      <c r="F223" s="0" t="n">
        <v>0</v>
      </c>
      <c r="G223" s="0" t="n">
        <v>21.7</v>
      </c>
      <c r="H223" s="115" t="n">
        <f aca="false">IFERROR(D223/C223/11.1*0.585*C223,0)</f>
        <v>6.95675675675676</v>
      </c>
      <c r="I223" s="119"/>
      <c r="J223" s="119"/>
      <c r="K223" s="119"/>
    </row>
    <row r="224" customFormat="false" ht="14.25" hidden="false" customHeight="true" outlineLevel="0" collapsed="false">
      <c r="B224" s="0" t="s">
        <v>492</v>
      </c>
      <c r="C224" s="0" t="n">
        <v>7.7</v>
      </c>
      <c r="D224" s="0" t="n">
        <v>78.3</v>
      </c>
      <c r="E224" s="0" t="n">
        <v>0.6</v>
      </c>
      <c r="F224" s="0" t="n">
        <v>0.1</v>
      </c>
      <c r="G224" s="0" t="n">
        <v>16</v>
      </c>
      <c r="H224" s="115" t="n">
        <f aca="false">IFERROR(D224/C224/11.1*0.585*C224,0)</f>
        <v>4.12662162162162</v>
      </c>
      <c r="I224" s="119"/>
      <c r="J224" s="119"/>
      <c r="K224" s="119"/>
    </row>
    <row r="225" customFormat="false" ht="14.25" hidden="false" customHeight="true" outlineLevel="0" collapsed="false">
      <c r="A225" s="0" t="s">
        <v>972</v>
      </c>
      <c r="B225" s="0" t="s">
        <v>528</v>
      </c>
      <c r="C225" s="0" t="n">
        <v>11</v>
      </c>
      <c r="D225" s="0" t="n">
        <v>113</v>
      </c>
      <c r="E225" s="0" t="n">
        <v>1</v>
      </c>
      <c r="F225" s="0" t="n">
        <v>0</v>
      </c>
      <c r="G225" s="0" t="n">
        <v>22.8</v>
      </c>
      <c r="H225" s="115" t="n">
        <f aca="false">IFERROR(D225/C225/11.1*0.585*C225,0)</f>
        <v>5.95540540540541</v>
      </c>
      <c r="I225" s="117" t="n">
        <f aca="false">C227*Scoring!$B$36+TE!D227/Scoring!$C$36+TE!E227*Scoring!$D$36+TE!F227*Scoring!$E$36+H227*Scoring!$F$36</f>
        <v>22.8</v>
      </c>
      <c r="J225" s="117" t="n">
        <f aca="false">C225*Scoring!$B$36+TE!D225/Scoring!$C$36+TE!E225*Scoring!$D$36+TE!F225*Scoring!$E$36+H225*Scoring!$F$36</f>
        <v>22.8</v>
      </c>
      <c r="K225" s="117" t="n">
        <f aca="false">C226*Scoring!$B$36+TE!D226/Scoring!$C$36+TE!E226*Scoring!$D$36+TE!F226*Scoring!$E$36+H226*Scoring!$F$36</f>
        <v>22.8</v>
      </c>
    </row>
    <row r="226" customFormat="false" ht="14.25" hidden="false" customHeight="true" outlineLevel="0" collapsed="false">
      <c r="B226" s="0" t="s">
        <v>491</v>
      </c>
      <c r="C226" s="0" t="n">
        <v>11</v>
      </c>
      <c r="D226" s="0" t="n">
        <v>113</v>
      </c>
      <c r="E226" s="0" t="n">
        <v>1</v>
      </c>
      <c r="F226" s="0" t="n">
        <v>0</v>
      </c>
      <c r="G226" s="0" t="n">
        <v>15.5</v>
      </c>
      <c r="H226" s="115" t="n">
        <f aca="false">IFERROR(D226/C226/11.1*0.585*C226,0)</f>
        <v>5.95540540540541</v>
      </c>
      <c r="I226" s="119"/>
      <c r="J226" s="119"/>
      <c r="K226" s="119"/>
    </row>
    <row r="227" customFormat="false" ht="14.25" hidden="false" customHeight="true" outlineLevel="0" collapsed="false">
      <c r="B227" s="0" t="s">
        <v>492</v>
      </c>
      <c r="C227" s="0" t="n">
        <v>11</v>
      </c>
      <c r="D227" s="0" t="n">
        <v>113</v>
      </c>
      <c r="E227" s="0" t="n">
        <v>1</v>
      </c>
      <c r="F227" s="0" t="n">
        <v>0</v>
      </c>
      <c r="G227" s="0" t="n">
        <v>15.5</v>
      </c>
      <c r="H227" s="115" t="n">
        <f aca="false">IFERROR(D227/C227/11.1*0.585*C227,0)</f>
        <v>5.95540540540541</v>
      </c>
      <c r="I227" s="119"/>
      <c r="J227" s="119"/>
      <c r="K227" s="119"/>
    </row>
    <row r="228" customFormat="false" ht="14.25" hidden="false" customHeight="true" outlineLevel="0" collapsed="false">
      <c r="A228" s="0" t="s">
        <v>973</v>
      </c>
      <c r="B228" s="0" t="s">
        <v>518</v>
      </c>
      <c r="C228" s="0" t="n">
        <v>12</v>
      </c>
      <c r="D228" s="0" t="n">
        <v>104</v>
      </c>
      <c r="E228" s="0" t="n">
        <v>1</v>
      </c>
      <c r="F228" s="0" t="n">
        <v>0</v>
      </c>
      <c r="G228" s="0" t="n">
        <v>22.4</v>
      </c>
      <c r="H228" s="115" t="n">
        <f aca="false">IFERROR(D228/C228/11.1*0.585*C228,0)</f>
        <v>5.48108108108108</v>
      </c>
      <c r="I228" s="117" t="n">
        <f aca="false">C230*Scoring!$B$36+TE!D230/Scoring!$C$36+TE!E230*Scoring!$D$36+TE!F230*Scoring!$E$36+H230*Scoring!$F$36</f>
        <v>22.4</v>
      </c>
      <c r="J228" s="117" t="n">
        <f aca="false">C228*Scoring!$B$36+TE!D228/Scoring!$C$36+TE!E228*Scoring!$D$36+TE!F228*Scoring!$E$36+H228*Scoring!$F$36</f>
        <v>22.4</v>
      </c>
      <c r="K228" s="117" t="n">
        <f aca="false">C229*Scoring!$B$36+TE!D229/Scoring!$C$36+TE!E229*Scoring!$D$36+TE!F229*Scoring!$E$36+H229*Scoring!$F$36</f>
        <v>22.4</v>
      </c>
    </row>
    <row r="229" customFormat="false" ht="14.25" hidden="false" customHeight="true" outlineLevel="0" collapsed="false">
      <c r="B229" s="0" t="s">
        <v>491</v>
      </c>
      <c r="C229" s="0" t="n">
        <v>12</v>
      </c>
      <c r="D229" s="0" t="n">
        <v>104</v>
      </c>
      <c r="E229" s="0" t="n">
        <v>1</v>
      </c>
      <c r="F229" s="0" t="n">
        <v>0</v>
      </c>
      <c r="G229" s="0" t="n">
        <v>16</v>
      </c>
      <c r="H229" s="115" t="n">
        <f aca="false">IFERROR(D229/C229/11.1*0.585*C229,0)</f>
        <v>5.48108108108108</v>
      </c>
      <c r="I229" s="119"/>
      <c r="J229" s="119"/>
      <c r="K229" s="119"/>
    </row>
    <row r="230" customFormat="false" ht="14.25" hidden="false" customHeight="true" outlineLevel="0" collapsed="false">
      <c r="B230" s="0" t="s">
        <v>492</v>
      </c>
      <c r="C230" s="0" t="n">
        <v>12</v>
      </c>
      <c r="D230" s="0" t="n">
        <v>104</v>
      </c>
      <c r="E230" s="0" t="n">
        <v>1</v>
      </c>
      <c r="F230" s="0" t="n">
        <v>0</v>
      </c>
      <c r="G230" s="0" t="n">
        <v>16</v>
      </c>
      <c r="H230" s="115" t="n">
        <f aca="false">IFERROR(D230/C230/11.1*0.585*C230,0)</f>
        <v>5.48108108108108</v>
      </c>
      <c r="I230" s="119"/>
      <c r="J230" s="119"/>
      <c r="K230" s="119"/>
    </row>
    <row r="231" customFormat="false" ht="14.25" hidden="false" customHeight="true" outlineLevel="0" collapsed="false">
      <c r="A231" s="0" t="s">
        <v>974</v>
      </c>
      <c r="B231" s="0" t="s">
        <v>532</v>
      </c>
      <c r="C231" s="0" t="n">
        <v>10.6</v>
      </c>
      <c r="D231" s="0" t="n">
        <v>113.7</v>
      </c>
      <c r="E231" s="0" t="n">
        <v>0.9</v>
      </c>
      <c r="F231" s="0" t="n">
        <v>0.1</v>
      </c>
      <c r="G231" s="0" t="n">
        <v>22.1</v>
      </c>
      <c r="H231" s="115" t="n">
        <f aca="false">IFERROR(D231/C231/11.1*0.585*C231,0)</f>
        <v>5.9922972972973</v>
      </c>
      <c r="I231" s="117" t="n">
        <f aca="false">C233*Scoring!$B$36+TE!D233/Scoring!$C$36+TE!E233*Scoring!$D$36+TE!F233*Scoring!$E$36+H233*Scoring!$F$36</f>
        <v>21.87</v>
      </c>
      <c r="J231" s="117" t="n">
        <f aca="false">C231*Scoring!$B$36+TE!D231/Scoring!$C$36+TE!E231*Scoring!$D$36+TE!F231*Scoring!$E$36+H231*Scoring!$F$36</f>
        <v>21.87</v>
      </c>
      <c r="K231" s="117" t="n">
        <f aca="false">C232*Scoring!$B$36+TE!D232/Scoring!$C$36+TE!E232*Scoring!$D$36+TE!F232*Scoring!$E$36+H232*Scoring!$F$36</f>
        <v>21.87</v>
      </c>
    </row>
    <row r="232" customFormat="false" ht="14.25" hidden="false" customHeight="true" outlineLevel="0" collapsed="false">
      <c r="B232" s="0" t="s">
        <v>491</v>
      </c>
      <c r="C232" s="0" t="n">
        <v>10.6</v>
      </c>
      <c r="D232" s="0" t="n">
        <v>113.7</v>
      </c>
      <c r="E232" s="0" t="n">
        <v>0.9</v>
      </c>
      <c r="F232" s="0" t="n">
        <v>0.1</v>
      </c>
      <c r="G232" s="0" t="n">
        <v>22.2</v>
      </c>
      <c r="H232" s="115" t="n">
        <f aca="false">IFERROR(D232/C232/11.1*0.585*C232,0)</f>
        <v>5.9922972972973</v>
      </c>
      <c r="I232" s="119"/>
      <c r="J232" s="119"/>
      <c r="K232" s="119"/>
    </row>
    <row r="233" customFormat="false" ht="14.25" hidden="false" customHeight="true" outlineLevel="0" collapsed="false">
      <c r="B233" s="0" t="s">
        <v>492</v>
      </c>
      <c r="C233" s="0" t="n">
        <v>10.6</v>
      </c>
      <c r="D233" s="0" t="n">
        <v>113.7</v>
      </c>
      <c r="E233" s="0" t="n">
        <v>0.9</v>
      </c>
      <c r="F233" s="0" t="n">
        <v>0.1</v>
      </c>
      <c r="G233" s="0" t="n">
        <v>22.2</v>
      </c>
      <c r="H233" s="115" t="n">
        <f aca="false">IFERROR(D233/C233/11.1*0.585*C233,0)</f>
        <v>5.9922972972973</v>
      </c>
      <c r="I233" s="119"/>
      <c r="J233" s="119"/>
      <c r="K233" s="119"/>
    </row>
    <row r="234" customFormat="false" ht="14.25" hidden="false" customHeight="true" outlineLevel="0" collapsed="false">
      <c r="A234" s="0" t="s">
        <v>975</v>
      </c>
      <c r="B234" s="0" t="s">
        <v>552</v>
      </c>
      <c r="C234" s="0" t="n">
        <v>13.5</v>
      </c>
      <c r="D234" s="0" t="n">
        <v>114.4</v>
      </c>
      <c r="E234" s="0" t="n">
        <v>0.6</v>
      </c>
      <c r="F234" s="0" t="n">
        <v>0</v>
      </c>
      <c r="G234" s="0" t="n">
        <v>21.7</v>
      </c>
      <c r="H234" s="115" t="n">
        <f aca="false">IFERROR(D234/C234/11.1*0.585*C234,0)</f>
        <v>6.02918918918919</v>
      </c>
      <c r="I234" s="117" t="n">
        <f aca="false">C236*Scoring!$B$36+TE!D236/Scoring!$C$36+TE!E236*Scoring!$D$36+TE!F236*Scoring!$E$36+H236*Scoring!$F$36</f>
        <v>6.42</v>
      </c>
      <c r="J234" s="117" t="n">
        <f aca="false">C234*Scoring!$B$36+TE!D234/Scoring!$C$36+TE!E234*Scoring!$D$36+TE!F234*Scoring!$E$36+H234*Scoring!$F$36</f>
        <v>21.79</v>
      </c>
      <c r="K234" s="117" t="n">
        <f aca="false">C235*Scoring!$B$36+TE!D235/Scoring!$C$36+TE!E235*Scoring!$D$36+TE!F235*Scoring!$E$36+H235*Scoring!$F$36</f>
        <v>37.1</v>
      </c>
    </row>
    <row r="235" customFormat="false" ht="14.25" hidden="false" customHeight="true" outlineLevel="0" collapsed="false">
      <c r="B235" s="0" t="s">
        <v>491</v>
      </c>
      <c r="C235" s="0" t="n">
        <v>23</v>
      </c>
      <c r="D235" s="0" t="n">
        <v>196</v>
      </c>
      <c r="E235" s="0" t="n">
        <v>1</v>
      </c>
      <c r="F235" s="0" t="n">
        <v>0</v>
      </c>
      <c r="G235" s="0" t="n">
        <v>24.7</v>
      </c>
      <c r="H235" s="115" t="n">
        <f aca="false">IFERROR(D235/C235/11.1*0.585*C235,0)</f>
        <v>10.3297297297297</v>
      </c>
      <c r="I235" s="119"/>
      <c r="J235" s="119"/>
      <c r="K235" s="119"/>
    </row>
    <row r="236" customFormat="false" ht="14.25" hidden="false" customHeight="true" outlineLevel="0" collapsed="false">
      <c r="B236" s="0" t="s">
        <v>492</v>
      </c>
      <c r="C236" s="0" t="n">
        <v>3.9</v>
      </c>
      <c r="D236" s="0" t="n">
        <v>32.7</v>
      </c>
      <c r="E236" s="0" t="n">
        <v>0.2</v>
      </c>
      <c r="F236" s="0" t="n">
        <v>0</v>
      </c>
      <c r="G236" s="0" t="n">
        <v>11</v>
      </c>
      <c r="H236" s="115" t="n">
        <f aca="false">IFERROR(D236/C236/11.1*0.585*C236,0)</f>
        <v>1.72337837837838</v>
      </c>
      <c r="I236" s="119"/>
      <c r="J236" s="119"/>
      <c r="K236" s="119"/>
    </row>
    <row r="237" customFormat="false" ht="14.25" hidden="false" customHeight="true" outlineLevel="0" collapsed="false">
      <c r="A237" s="0" t="s">
        <v>976</v>
      </c>
      <c r="B237" s="0" t="s">
        <v>504</v>
      </c>
      <c r="C237" s="0" t="n">
        <v>10</v>
      </c>
      <c r="D237" s="0" t="n">
        <v>101</v>
      </c>
      <c r="E237" s="0" t="n">
        <v>1</v>
      </c>
      <c r="F237" s="0" t="n">
        <v>0</v>
      </c>
      <c r="G237" s="0" t="n">
        <v>21.1</v>
      </c>
      <c r="H237" s="115" t="n">
        <f aca="false">IFERROR(D237/C237/11.1*0.585*C237,0)</f>
        <v>5.32297297297297</v>
      </c>
      <c r="I237" s="117" t="n">
        <f aca="false">C239*Scoring!$B$36+TE!D239/Scoring!$C$36+TE!E239*Scoring!$D$36+TE!F239*Scoring!$E$36+H239*Scoring!$F$36</f>
        <v>21.1</v>
      </c>
      <c r="J237" s="117" t="n">
        <f aca="false">C237*Scoring!$B$36+TE!D237/Scoring!$C$36+TE!E237*Scoring!$D$36+TE!F237*Scoring!$E$36+H237*Scoring!$F$36</f>
        <v>21.1</v>
      </c>
      <c r="K237" s="117" t="n">
        <f aca="false">C238*Scoring!$B$36+TE!D238/Scoring!$C$36+TE!E238*Scoring!$D$36+TE!F238*Scoring!$E$36+H238*Scoring!$F$36</f>
        <v>21.1</v>
      </c>
    </row>
    <row r="238" customFormat="false" ht="14.25" hidden="false" customHeight="true" outlineLevel="0" collapsed="false">
      <c r="B238" s="0" t="s">
        <v>491</v>
      </c>
      <c r="C238" s="0" t="n">
        <v>10</v>
      </c>
      <c r="D238" s="0" t="n">
        <v>101</v>
      </c>
      <c r="E238" s="0" t="n">
        <v>1</v>
      </c>
      <c r="F238" s="0" t="n">
        <v>0</v>
      </c>
      <c r="G238" s="0" t="n">
        <v>15</v>
      </c>
      <c r="H238" s="115" t="n">
        <f aca="false">IFERROR(D238/C238/11.1*0.585*C238,0)</f>
        <v>5.32297297297297</v>
      </c>
      <c r="I238" s="119"/>
      <c r="J238" s="119"/>
      <c r="K238" s="119"/>
    </row>
    <row r="239" customFormat="false" ht="14.25" hidden="false" customHeight="true" outlineLevel="0" collapsed="false">
      <c r="B239" s="0" t="s">
        <v>492</v>
      </c>
      <c r="C239" s="0" t="n">
        <v>10</v>
      </c>
      <c r="D239" s="0" t="n">
        <v>101</v>
      </c>
      <c r="E239" s="0" t="n">
        <v>1</v>
      </c>
      <c r="F239" s="0" t="n">
        <v>0</v>
      </c>
      <c r="G239" s="0" t="n">
        <v>15</v>
      </c>
      <c r="H239" s="115" t="n">
        <f aca="false">IFERROR(D239/C239/11.1*0.585*C239,0)</f>
        <v>5.32297297297297</v>
      </c>
      <c r="I239" s="119"/>
      <c r="J239" s="119"/>
      <c r="K239" s="119"/>
    </row>
    <row r="240" customFormat="false" ht="14.25" hidden="false" customHeight="true" outlineLevel="0" collapsed="false">
      <c r="A240" s="0" t="s">
        <v>977</v>
      </c>
      <c r="B240" s="0" t="s">
        <v>512</v>
      </c>
      <c r="C240" s="0" t="n">
        <v>11</v>
      </c>
      <c r="D240" s="0" t="n">
        <v>96</v>
      </c>
      <c r="E240" s="0" t="n">
        <v>1</v>
      </c>
      <c r="F240" s="0" t="n">
        <v>0</v>
      </c>
      <c r="G240" s="0" t="n">
        <v>21.1</v>
      </c>
      <c r="H240" s="115" t="n">
        <f aca="false">IFERROR(D240/C240/11.1*0.585*C240,0)</f>
        <v>5.05945945945946</v>
      </c>
      <c r="I240" s="117" t="n">
        <f aca="false">C242*Scoring!$B$36+TE!D242/Scoring!$C$36+TE!E242*Scoring!$D$36+TE!F242*Scoring!$E$36+H242*Scoring!$F$36</f>
        <v>21.1</v>
      </c>
      <c r="J240" s="117" t="n">
        <f aca="false">C240*Scoring!$B$36+TE!D240/Scoring!$C$36+TE!E240*Scoring!$D$36+TE!F240*Scoring!$E$36+H240*Scoring!$F$36</f>
        <v>21.1</v>
      </c>
      <c r="K240" s="117" t="n">
        <f aca="false">C241*Scoring!$B$36+TE!D241/Scoring!$C$36+TE!E241*Scoring!$D$36+TE!F241*Scoring!$E$36+H241*Scoring!$F$36</f>
        <v>21.1</v>
      </c>
    </row>
    <row r="241" customFormat="false" ht="14.25" hidden="false" customHeight="true" outlineLevel="0" collapsed="false">
      <c r="B241" s="0" t="s">
        <v>491</v>
      </c>
      <c r="C241" s="0" t="n">
        <v>11</v>
      </c>
      <c r="D241" s="0" t="n">
        <v>96</v>
      </c>
      <c r="E241" s="0" t="n">
        <v>1</v>
      </c>
      <c r="F241" s="0" t="n">
        <v>0</v>
      </c>
      <c r="G241" s="0" t="n">
        <v>15.5</v>
      </c>
      <c r="H241" s="115" t="n">
        <f aca="false">IFERROR(D241/C241/11.1*0.585*C241,0)</f>
        <v>5.05945945945946</v>
      </c>
      <c r="I241" s="119"/>
      <c r="J241" s="119"/>
      <c r="K241" s="119"/>
    </row>
    <row r="242" customFormat="false" ht="14.25" hidden="false" customHeight="true" outlineLevel="0" collapsed="false">
      <c r="B242" s="0" t="s">
        <v>492</v>
      </c>
      <c r="C242" s="0" t="n">
        <v>11</v>
      </c>
      <c r="D242" s="0" t="n">
        <v>96</v>
      </c>
      <c r="E242" s="0" t="n">
        <v>1</v>
      </c>
      <c r="F242" s="0" t="n">
        <v>0</v>
      </c>
      <c r="G242" s="0" t="n">
        <v>15.5</v>
      </c>
      <c r="H242" s="115" t="n">
        <f aca="false">IFERROR(D242/C242/11.1*0.585*C242,0)</f>
        <v>5.05945945945946</v>
      </c>
      <c r="I242" s="119"/>
      <c r="J242" s="119"/>
      <c r="K242" s="119"/>
    </row>
    <row r="243" customFormat="false" ht="14.25" hidden="false" customHeight="true" outlineLevel="0" collapsed="false">
      <c r="A243" s="0" t="s">
        <v>978</v>
      </c>
      <c r="B243" s="0" t="s">
        <v>532</v>
      </c>
      <c r="C243" s="0" t="n">
        <v>8</v>
      </c>
      <c r="D243" s="0" t="n">
        <v>97</v>
      </c>
      <c r="E243" s="0" t="n">
        <v>1</v>
      </c>
      <c r="F243" s="0" t="n">
        <v>0</v>
      </c>
      <c r="G243" s="0" t="n">
        <v>19.7</v>
      </c>
      <c r="H243" s="115" t="n">
        <f aca="false">IFERROR(D243/C243/11.1*0.585*C243,0)</f>
        <v>5.11216216216216</v>
      </c>
      <c r="I243" s="117" t="n">
        <f aca="false">C245*Scoring!$B$36+TE!D245/Scoring!$C$36+TE!E245*Scoring!$D$36+TE!F245*Scoring!$E$36+H245*Scoring!$F$36</f>
        <v>19.7</v>
      </c>
      <c r="J243" s="117" t="n">
        <f aca="false">C243*Scoring!$B$36+TE!D243/Scoring!$C$36+TE!E243*Scoring!$D$36+TE!F243*Scoring!$E$36+H243*Scoring!$F$36</f>
        <v>19.7</v>
      </c>
      <c r="K243" s="117" t="n">
        <f aca="false">C244*Scoring!$B$36+TE!D244/Scoring!$C$36+TE!E244*Scoring!$D$36+TE!F244*Scoring!$E$36+H244*Scoring!$F$36</f>
        <v>19.7</v>
      </c>
    </row>
    <row r="244" customFormat="false" ht="14.25" hidden="false" customHeight="true" outlineLevel="0" collapsed="false">
      <c r="B244" s="0" t="s">
        <v>491</v>
      </c>
      <c r="C244" s="0" t="n">
        <v>8</v>
      </c>
      <c r="D244" s="0" t="n">
        <v>97</v>
      </c>
      <c r="E244" s="0" t="n">
        <v>1</v>
      </c>
      <c r="F244" s="0" t="n">
        <v>0</v>
      </c>
      <c r="G244" s="0" t="n">
        <v>12</v>
      </c>
      <c r="H244" s="115" t="n">
        <f aca="false">IFERROR(D244/C244/11.1*0.585*C244,0)</f>
        <v>5.11216216216216</v>
      </c>
      <c r="I244" s="119"/>
      <c r="J244" s="119"/>
      <c r="K244" s="119"/>
    </row>
    <row r="245" customFormat="false" ht="14.25" hidden="false" customHeight="true" outlineLevel="0" collapsed="false">
      <c r="B245" s="0" t="s">
        <v>492</v>
      </c>
      <c r="C245" s="0" t="n">
        <v>8</v>
      </c>
      <c r="D245" s="0" t="n">
        <v>97</v>
      </c>
      <c r="E245" s="0" t="n">
        <v>1</v>
      </c>
      <c r="F245" s="0" t="n">
        <v>0</v>
      </c>
      <c r="G245" s="0" t="n">
        <v>12</v>
      </c>
      <c r="H245" s="115" t="n">
        <f aca="false">IFERROR(D245/C245/11.1*0.585*C245,0)</f>
        <v>5.11216216216216</v>
      </c>
      <c r="I245" s="119"/>
      <c r="J245" s="119"/>
      <c r="K245" s="119"/>
    </row>
    <row r="246" customFormat="false" ht="14.25" hidden="false" customHeight="true" outlineLevel="0" collapsed="false">
      <c r="A246" s="0" t="s">
        <v>979</v>
      </c>
      <c r="B246" s="0" t="s">
        <v>544</v>
      </c>
      <c r="C246" s="0" t="n">
        <v>10</v>
      </c>
      <c r="D246" s="0" t="n">
        <v>83</v>
      </c>
      <c r="E246" s="0" t="n">
        <v>1</v>
      </c>
      <c r="F246" s="0" t="n">
        <v>0</v>
      </c>
      <c r="G246" s="0" t="n">
        <v>19.3</v>
      </c>
      <c r="H246" s="115" t="n">
        <f aca="false">IFERROR(D246/C246/11.1*0.585*C246,0)</f>
        <v>4.37432432432432</v>
      </c>
      <c r="I246" s="117" t="n">
        <f aca="false">C248*Scoring!$B$36+TE!D248/Scoring!$C$36+TE!E248*Scoring!$D$36+TE!F248*Scoring!$E$36+H248*Scoring!$F$36</f>
        <v>19.3</v>
      </c>
      <c r="J246" s="117" t="n">
        <f aca="false">C246*Scoring!$B$36+TE!D246/Scoring!$C$36+TE!E246*Scoring!$D$36+TE!F246*Scoring!$E$36+H246*Scoring!$F$36</f>
        <v>19.3</v>
      </c>
      <c r="K246" s="117" t="n">
        <f aca="false">C247*Scoring!$B$36+TE!D247/Scoring!$C$36+TE!E247*Scoring!$D$36+TE!F247*Scoring!$E$36+H247*Scoring!$F$36</f>
        <v>19.3</v>
      </c>
    </row>
    <row r="247" customFormat="false" ht="14.25" hidden="false" customHeight="true" outlineLevel="0" collapsed="false">
      <c r="B247" s="0" t="s">
        <v>491</v>
      </c>
      <c r="C247" s="0" t="n">
        <v>10</v>
      </c>
      <c r="D247" s="0" t="n">
        <v>83</v>
      </c>
      <c r="E247" s="0" t="n">
        <v>1</v>
      </c>
      <c r="F247" s="0" t="n">
        <v>0</v>
      </c>
      <c r="G247" s="0" t="n">
        <v>14</v>
      </c>
      <c r="H247" s="115" t="n">
        <f aca="false">IFERROR(D247/C247/11.1*0.585*C247,0)</f>
        <v>4.37432432432432</v>
      </c>
      <c r="I247" s="119"/>
      <c r="J247" s="119"/>
      <c r="K247" s="119"/>
    </row>
    <row r="248" customFormat="false" ht="14.25" hidden="false" customHeight="true" outlineLevel="0" collapsed="false">
      <c r="B248" s="0" t="s">
        <v>492</v>
      </c>
      <c r="C248" s="0" t="n">
        <v>10</v>
      </c>
      <c r="D248" s="0" t="n">
        <v>83</v>
      </c>
      <c r="E248" s="0" t="n">
        <v>1</v>
      </c>
      <c r="F248" s="0" t="n">
        <v>0</v>
      </c>
      <c r="G248" s="0" t="n">
        <v>14</v>
      </c>
      <c r="H248" s="115" t="n">
        <f aca="false">IFERROR(D248/C248/11.1*0.585*C248,0)</f>
        <v>4.37432432432432</v>
      </c>
      <c r="I248" s="119"/>
      <c r="J248" s="119"/>
      <c r="K248" s="119"/>
    </row>
    <row r="249" customFormat="false" ht="14.25" hidden="false" customHeight="true" outlineLevel="0" collapsed="false">
      <c r="A249" s="0" t="s">
        <v>980</v>
      </c>
      <c r="B249" s="0" t="s">
        <v>526</v>
      </c>
      <c r="C249" s="0" t="n">
        <v>9.4</v>
      </c>
      <c r="D249" s="0" t="n">
        <v>94.5</v>
      </c>
      <c r="E249" s="0" t="n">
        <v>0.7</v>
      </c>
      <c r="F249" s="0" t="n">
        <v>0</v>
      </c>
      <c r="G249" s="0" t="n">
        <v>18.5</v>
      </c>
      <c r="H249" s="115" t="n">
        <f aca="false">IFERROR(D249/C249/11.1*0.585*C249,0)</f>
        <v>4.98040540540541</v>
      </c>
      <c r="I249" s="117" t="n">
        <f aca="false">C251*Scoring!$B$36+TE!D251/Scoring!$C$36+TE!E251*Scoring!$D$36+TE!F251*Scoring!$E$36+H251*Scoring!$F$36</f>
        <v>14.1</v>
      </c>
      <c r="J249" s="117" t="n">
        <f aca="false">C249*Scoring!$B$36+TE!D249/Scoring!$C$36+TE!E249*Scoring!$D$36+TE!F249*Scoring!$E$36+H249*Scoring!$F$36</f>
        <v>18.35</v>
      </c>
      <c r="K249" s="117" t="n">
        <f aca="false">C250*Scoring!$B$36+TE!D250/Scoring!$C$36+TE!E250*Scoring!$D$36+TE!F250*Scoring!$E$36+H250*Scoring!$F$36</f>
        <v>23</v>
      </c>
    </row>
    <row r="250" customFormat="false" ht="14.25" hidden="false" customHeight="true" outlineLevel="0" collapsed="false">
      <c r="B250" s="0" t="s">
        <v>491</v>
      </c>
      <c r="C250" s="0" t="n">
        <v>11</v>
      </c>
      <c r="D250" s="0" t="n">
        <v>115</v>
      </c>
      <c r="E250" s="0" t="n">
        <v>1</v>
      </c>
      <c r="F250" s="0" t="n">
        <v>0</v>
      </c>
      <c r="G250" s="0" t="n">
        <v>14.9</v>
      </c>
      <c r="H250" s="115" t="n">
        <f aca="false">IFERROR(D250/C250/11.1*0.585*C250,0)</f>
        <v>6.06081081081081</v>
      </c>
      <c r="I250" s="119"/>
      <c r="J250" s="119"/>
      <c r="K250" s="119"/>
    </row>
    <row r="251" customFormat="false" ht="14.25" hidden="false" customHeight="true" outlineLevel="0" collapsed="false">
      <c r="B251" s="0" t="s">
        <v>492</v>
      </c>
      <c r="C251" s="0" t="n">
        <v>7.8</v>
      </c>
      <c r="D251" s="0" t="n">
        <v>74</v>
      </c>
      <c r="E251" s="0" t="n">
        <v>0.5</v>
      </c>
      <c r="F251" s="0" t="n">
        <v>0.1</v>
      </c>
      <c r="G251" s="0" t="n">
        <v>14.7</v>
      </c>
      <c r="H251" s="115" t="n">
        <f aca="false">IFERROR(D251/C251/11.1*0.585*C251,0)</f>
        <v>3.9</v>
      </c>
      <c r="I251" s="119"/>
      <c r="J251" s="119"/>
      <c r="K251" s="119"/>
    </row>
    <row r="252" customFormat="false" ht="14.25" hidden="false" customHeight="true" outlineLevel="0" collapsed="false">
      <c r="A252" s="0" t="s">
        <v>981</v>
      </c>
      <c r="B252" s="0" t="s">
        <v>494</v>
      </c>
      <c r="C252" s="0" t="n">
        <v>8.9</v>
      </c>
      <c r="D252" s="0" t="n">
        <v>86.4</v>
      </c>
      <c r="E252" s="0" t="n">
        <v>0.9</v>
      </c>
      <c r="F252" s="0" t="n">
        <v>0</v>
      </c>
      <c r="G252" s="0" t="n">
        <v>18.2</v>
      </c>
      <c r="H252" s="115" t="n">
        <f aca="false">IFERROR(D252/C252/11.1*0.585*C252,0)</f>
        <v>4.55351351351351</v>
      </c>
      <c r="I252" s="117" t="n">
        <f aca="false">C254*Scoring!$B$36+TE!D254/Scoring!$C$36+TE!E254*Scoring!$D$36+TE!F254*Scoring!$E$36+H254*Scoring!$F$36</f>
        <v>15.9</v>
      </c>
      <c r="J252" s="117" t="n">
        <f aca="false">C252*Scoring!$B$36+TE!D252/Scoring!$C$36+TE!E252*Scoring!$D$36+TE!F252*Scoring!$E$36+H252*Scoring!$F$36</f>
        <v>18.49</v>
      </c>
      <c r="K252" s="117" t="n">
        <f aca="false">C253*Scoring!$B$36+TE!D253/Scoring!$C$36+TE!E253*Scoring!$D$36+TE!F253*Scoring!$E$36+H253*Scoring!$F$36</f>
        <v>20.29</v>
      </c>
    </row>
    <row r="253" customFormat="false" ht="14.25" hidden="false" customHeight="true" outlineLevel="0" collapsed="false">
      <c r="B253" s="0" t="s">
        <v>491</v>
      </c>
      <c r="C253" s="0" t="n">
        <v>9.8</v>
      </c>
      <c r="D253" s="0" t="n">
        <v>93.9</v>
      </c>
      <c r="E253" s="0" t="n">
        <v>1</v>
      </c>
      <c r="F253" s="0" t="n">
        <v>0</v>
      </c>
      <c r="G253" s="0" t="n">
        <v>18.2</v>
      </c>
      <c r="H253" s="115" t="n">
        <f aca="false">IFERROR(D253/C253/11.1*0.585*C253,0)</f>
        <v>4.94878378378378</v>
      </c>
      <c r="I253" s="119"/>
      <c r="J253" s="119"/>
      <c r="K253" s="119"/>
    </row>
    <row r="254" customFormat="false" ht="14.25" hidden="false" customHeight="true" outlineLevel="0" collapsed="false">
      <c r="B254" s="0" t="s">
        <v>492</v>
      </c>
      <c r="C254" s="0" t="n">
        <v>8</v>
      </c>
      <c r="D254" s="0" t="n">
        <v>79</v>
      </c>
      <c r="E254" s="0" t="n">
        <v>0.7</v>
      </c>
      <c r="F254" s="0" t="n">
        <v>0.1</v>
      </c>
      <c r="G254" s="0" t="n">
        <v>13.5</v>
      </c>
      <c r="H254" s="115" t="n">
        <f aca="false">IFERROR(D254/C254/11.1*0.585*C254,0)</f>
        <v>4.16351351351351</v>
      </c>
      <c r="I254" s="119"/>
      <c r="J254" s="119"/>
      <c r="K254" s="119"/>
    </row>
    <row r="255" customFormat="false" ht="14.25" hidden="false" customHeight="true" outlineLevel="0" collapsed="false">
      <c r="A255" s="0" t="s">
        <v>982</v>
      </c>
      <c r="B255" s="0" t="s">
        <v>540</v>
      </c>
      <c r="C255" s="0" t="n">
        <v>8</v>
      </c>
      <c r="D255" s="0" t="n">
        <v>71.5</v>
      </c>
      <c r="E255" s="0" t="n">
        <v>1</v>
      </c>
      <c r="F255" s="0" t="n">
        <v>0</v>
      </c>
      <c r="G255" s="0" t="n">
        <v>17.2</v>
      </c>
      <c r="H255" s="115" t="n">
        <f aca="false">IFERROR(D255/C255/11.1*0.585*C255,0)</f>
        <v>3.76824324324324</v>
      </c>
      <c r="I255" s="117" t="n">
        <f aca="false">C257*Scoring!$B$36+TE!D257/Scoring!$C$36+TE!E257*Scoring!$D$36+TE!F257*Scoring!$E$36+H257*Scoring!$F$36</f>
        <v>0</v>
      </c>
      <c r="J255" s="117" t="n">
        <f aca="false">C255*Scoring!$B$36+TE!D255/Scoring!$C$36+TE!E255*Scoring!$D$36+TE!F255*Scoring!$E$36+H255*Scoring!$F$36</f>
        <v>17.15</v>
      </c>
      <c r="K255" s="117" t="n">
        <f aca="false">C256*Scoring!$B$36+TE!D256/Scoring!$C$36+TE!E256*Scoring!$D$36+TE!F256*Scoring!$E$36+H256*Scoring!$F$36</f>
        <v>34.3</v>
      </c>
    </row>
    <row r="256" customFormat="false" ht="14.25" hidden="false" customHeight="true" outlineLevel="0" collapsed="false">
      <c r="B256" s="0" t="s">
        <v>491</v>
      </c>
      <c r="C256" s="0" t="n">
        <v>16</v>
      </c>
      <c r="D256" s="0" t="n">
        <v>143</v>
      </c>
      <c r="E256" s="0" t="n">
        <v>2</v>
      </c>
      <c r="F256" s="0" t="n">
        <v>0</v>
      </c>
      <c r="G256" s="0" t="n">
        <v>22</v>
      </c>
      <c r="H256" s="115" t="n">
        <f aca="false">IFERROR(D256/C256/11.1*0.585*C256,0)</f>
        <v>7.53648648648649</v>
      </c>
      <c r="I256" s="119"/>
      <c r="J256" s="119"/>
      <c r="K256" s="119"/>
    </row>
    <row r="257" customFormat="false" ht="14.25" hidden="false" customHeight="true" outlineLevel="0" collapsed="false">
      <c r="B257" s="0" t="s">
        <v>492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4</v>
      </c>
      <c r="H257" s="115" t="n">
        <f aca="false">IFERROR(D257/C257/11.1*0.585*C257,0)</f>
        <v>0</v>
      </c>
      <c r="I257" s="119"/>
      <c r="J257" s="119"/>
      <c r="K257" s="119"/>
    </row>
    <row r="258" customFormat="false" ht="14.25" hidden="false" customHeight="true" outlineLevel="0" collapsed="false">
      <c r="A258" s="0" t="s">
        <v>983</v>
      </c>
      <c r="B258" s="0" t="s">
        <v>528</v>
      </c>
      <c r="C258" s="0" t="n">
        <v>7.6</v>
      </c>
      <c r="D258" s="0" t="n">
        <v>80.8</v>
      </c>
      <c r="E258" s="0" t="n">
        <v>0.8</v>
      </c>
      <c r="F258" s="0" t="n">
        <v>0</v>
      </c>
      <c r="G258" s="0" t="n">
        <v>16.7</v>
      </c>
      <c r="H258" s="115" t="n">
        <f aca="false">IFERROR(D258/C258/11.1*0.585*C258,0)</f>
        <v>4.25837837837838</v>
      </c>
      <c r="I258" s="117" t="n">
        <f aca="false">C260*Scoring!$B$36+TE!D260/Scoring!$C$36+TE!E260*Scoring!$D$36+TE!F260*Scoring!$E$36+H260*Scoring!$F$36</f>
        <v>14.05</v>
      </c>
      <c r="J258" s="117" t="n">
        <f aca="false">C258*Scoring!$B$36+TE!D258/Scoring!$C$36+TE!E258*Scoring!$D$36+TE!F258*Scoring!$E$36+H258*Scoring!$F$36</f>
        <v>16.68</v>
      </c>
      <c r="K258" s="117" t="n">
        <f aca="false">C259*Scoring!$B$36+TE!D259/Scoring!$C$36+TE!E259*Scoring!$D$36+TE!F259*Scoring!$E$36+H259*Scoring!$F$36</f>
        <v>19.1</v>
      </c>
    </row>
    <row r="259" customFormat="false" ht="14.25" hidden="false" customHeight="true" outlineLevel="0" collapsed="false">
      <c r="B259" s="0" t="s">
        <v>491</v>
      </c>
      <c r="C259" s="0" t="n">
        <v>8</v>
      </c>
      <c r="D259" s="0" t="n">
        <v>91</v>
      </c>
      <c r="E259" s="0" t="n">
        <v>1</v>
      </c>
      <c r="F259" s="0" t="n">
        <v>0</v>
      </c>
      <c r="G259" s="0" t="n">
        <v>14.6</v>
      </c>
      <c r="H259" s="115" t="n">
        <f aca="false">IFERROR(D259/C259/11.1*0.585*C259,0)</f>
        <v>4.79594594594595</v>
      </c>
      <c r="I259" s="119"/>
      <c r="J259" s="119"/>
      <c r="K259" s="119"/>
    </row>
    <row r="260" customFormat="false" ht="14.25" hidden="false" customHeight="true" outlineLevel="0" collapsed="false">
      <c r="B260" s="0" t="s">
        <v>492</v>
      </c>
      <c r="C260" s="0" t="n">
        <v>7.2</v>
      </c>
      <c r="D260" s="0" t="n">
        <v>70.5</v>
      </c>
      <c r="E260" s="0" t="n">
        <v>0.6</v>
      </c>
      <c r="F260" s="0" t="n">
        <v>0.1</v>
      </c>
      <c r="G260" s="0" t="n">
        <v>13.8</v>
      </c>
      <c r="H260" s="115" t="n">
        <f aca="false">IFERROR(D260/C260/11.1*0.585*C260,0)</f>
        <v>3.71554054054054</v>
      </c>
      <c r="I260" s="119"/>
      <c r="J260" s="119"/>
      <c r="K260" s="119"/>
    </row>
    <row r="261" customFormat="false" ht="14.25" hidden="false" customHeight="true" outlineLevel="0" collapsed="false">
      <c r="A261" s="0" t="s">
        <v>984</v>
      </c>
      <c r="B261" s="0" t="s">
        <v>520</v>
      </c>
      <c r="C261" s="0" t="n">
        <v>7.5</v>
      </c>
      <c r="D261" s="0" t="n">
        <v>82.5</v>
      </c>
      <c r="E261" s="0" t="n">
        <v>0.7</v>
      </c>
      <c r="F261" s="0" t="n">
        <v>0</v>
      </c>
      <c r="G261" s="0" t="n">
        <v>16.1</v>
      </c>
      <c r="H261" s="115" t="n">
        <f aca="false">IFERROR(D261/C261/11.1*0.585*C261,0)</f>
        <v>4.34797297297297</v>
      </c>
      <c r="I261" s="117" t="n">
        <f aca="false">C263*Scoring!$B$36+TE!D263/Scoring!$C$36+TE!E263*Scoring!$D$36+TE!F263*Scoring!$E$36+H263*Scoring!$F$36</f>
        <v>8.21</v>
      </c>
      <c r="J261" s="117" t="n">
        <f aca="false">C261*Scoring!$B$36+TE!D261/Scoring!$C$36+TE!E261*Scoring!$D$36+TE!F261*Scoring!$E$36+H261*Scoring!$F$36</f>
        <v>16.2</v>
      </c>
      <c r="K261" s="117" t="n">
        <f aca="false">C262*Scoring!$B$36+TE!D262/Scoring!$C$36+TE!E262*Scoring!$D$36+TE!F262*Scoring!$E$36+H262*Scoring!$F$36</f>
        <v>24.2</v>
      </c>
    </row>
    <row r="262" customFormat="false" ht="14.25" hidden="false" customHeight="true" outlineLevel="0" collapsed="false">
      <c r="B262" s="0" t="s">
        <v>491</v>
      </c>
      <c r="C262" s="0" t="n">
        <v>11</v>
      </c>
      <c r="D262" s="0" t="n">
        <v>127</v>
      </c>
      <c r="E262" s="0" t="n">
        <v>1</v>
      </c>
      <c r="F262" s="0" t="n">
        <v>0</v>
      </c>
      <c r="G262" s="0" t="n">
        <v>14.8</v>
      </c>
      <c r="H262" s="115" t="n">
        <f aca="false">IFERROR(D262/C262/11.1*0.585*C262,0)</f>
        <v>6.69324324324324</v>
      </c>
      <c r="I262" s="119"/>
      <c r="J262" s="119"/>
      <c r="K262" s="119"/>
    </row>
    <row r="263" customFormat="false" ht="14.25" hidden="false" customHeight="true" outlineLevel="0" collapsed="false">
      <c r="B263" s="0" t="s">
        <v>492</v>
      </c>
      <c r="C263" s="0" t="n">
        <v>4</v>
      </c>
      <c r="D263" s="0" t="n">
        <v>38.1</v>
      </c>
      <c r="E263" s="0" t="n">
        <v>0.4</v>
      </c>
      <c r="F263" s="0" t="n">
        <v>0</v>
      </c>
      <c r="G263" s="0" t="n">
        <v>9.7</v>
      </c>
      <c r="H263" s="115" t="n">
        <f aca="false">IFERROR(D263/C263/11.1*0.585*C263,0)</f>
        <v>2.00797297297297</v>
      </c>
      <c r="I263" s="119"/>
      <c r="J263" s="119"/>
      <c r="K263" s="119"/>
    </row>
    <row r="264" customFormat="false" ht="14.25" hidden="false" customHeight="true" outlineLevel="0" collapsed="false">
      <c r="A264" s="0" t="s">
        <v>985</v>
      </c>
      <c r="B264" s="0" t="s">
        <v>500</v>
      </c>
      <c r="C264" s="0" t="n">
        <v>8.5</v>
      </c>
      <c r="D264" s="0" t="n">
        <v>87.5</v>
      </c>
      <c r="E264" s="0" t="n">
        <v>0.5</v>
      </c>
      <c r="F264" s="0" t="n">
        <v>0</v>
      </c>
      <c r="G264" s="0" t="n">
        <v>16</v>
      </c>
      <c r="H264" s="115" t="n">
        <f aca="false">IFERROR(D264/C264/11.1*0.585*C264,0)</f>
        <v>4.61148648648649</v>
      </c>
      <c r="I264" s="117" t="n">
        <f aca="false">C266*Scoring!$B$36+TE!D266/Scoring!$C$36+TE!E266*Scoring!$D$36+TE!F266*Scoring!$E$36+H266*Scoring!$F$36</f>
        <v>0</v>
      </c>
      <c r="J264" s="117" t="n">
        <f aca="false">C264*Scoring!$B$36+TE!D264/Scoring!$C$36+TE!E264*Scoring!$D$36+TE!F264*Scoring!$E$36+H264*Scoring!$F$36</f>
        <v>16</v>
      </c>
      <c r="K264" s="117" t="n">
        <f aca="false">C265*Scoring!$B$36+TE!D265/Scoring!$C$36+TE!E265*Scoring!$D$36+TE!F265*Scoring!$E$36+H265*Scoring!$F$36</f>
        <v>32</v>
      </c>
    </row>
    <row r="265" customFormat="false" ht="14.25" hidden="false" customHeight="true" outlineLevel="0" collapsed="false">
      <c r="B265" s="0" t="s">
        <v>491</v>
      </c>
      <c r="C265" s="0" t="n">
        <v>17</v>
      </c>
      <c r="D265" s="0" t="n">
        <v>175</v>
      </c>
      <c r="E265" s="0" t="n">
        <v>1</v>
      </c>
      <c r="F265" s="0" t="n">
        <v>0</v>
      </c>
      <c r="G265" s="0" t="n">
        <v>19.3</v>
      </c>
      <c r="H265" s="115" t="n">
        <f aca="false">IFERROR(D265/C265/11.1*0.585*C265,0)</f>
        <v>9.22297297297297</v>
      </c>
      <c r="I265" s="119"/>
      <c r="J265" s="119"/>
      <c r="K265" s="119"/>
    </row>
    <row r="266" customFormat="false" ht="14.25" hidden="false" customHeight="true" outlineLevel="0" collapsed="false">
      <c r="B266" s="0" t="s">
        <v>492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4.3</v>
      </c>
      <c r="H266" s="115" t="n">
        <f aca="false">IFERROR(D266/C266/11.1*0.585*C266,0)</f>
        <v>0</v>
      </c>
      <c r="I266" s="119"/>
      <c r="J266" s="119"/>
      <c r="K266" s="119"/>
    </row>
    <row r="267" customFormat="false" ht="14.25" hidden="false" customHeight="true" outlineLevel="0" collapsed="false">
      <c r="A267" s="0" t="s">
        <v>986</v>
      </c>
      <c r="B267" s="0" t="s">
        <v>534</v>
      </c>
      <c r="C267" s="0" t="n">
        <v>8.1</v>
      </c>
      <c r="D267" s="0" t="n">
        <v>78.7</v>
      </c>
      <c r="E267" s="0" t="n">
        <v>0.7</v>
      </c>
      <c r="F267" s="0" t="n">
        <v>0</v>
      </c>
      <c r="G267" s="0" t="n">
        <v>15.8</v>
      </c>
      <c r="H267" s="115" t="n">
        <f aca="false">IFERROR(D267/C267/11.1*0.585*C267,0)</f>
        <v>4.1477027027027</v>
      </c>
      <c r="I267" s="117" t="n">
        <f aca="false">C269*Scoring!$B$36+TE!D269/Scoring!$C$36+TE!E269*Scoring!$D$36+TE!F269*Scoring!$E$36+H269*Scoring!$F$36</f>
        <v>12.13</v>
      </c>
      <c r="J267" s="117" t="n">
        <f aca="false">C267*Scoring!$B$36+TE!D267/Scoring!$C$36+TE!E267*Scoring!$D$36+TE!F267*Scoring!$E$36+H267*Scoring!$F$36</f>
        <v>16.12</v>
      </c>
      <c r="K267" s="117" t="n">
        <f aca="false">C268*Scoring!$B$36+TE!D268/Scoring!$C$36+TE!E268*Scoring!$D$36+TE!F268*Scoring!$E$36+H268*Scoring!$F$36</f>
        <v>19.3</v>
      </c>
    </row>
    <row r="268" customFormat="false" ht="14.25" hidden="false" customHeight="true" outlineLevel="0" collapsed="false">
      <c r="B268" s="0" t="s">
        <v>491</v>
      </c>
      <c r="C268" s="0" t="n">
        <v>9</v>
      </c>
      <c r="D268" s="0" t="n">
        <v>88</v>
      </c>
      <c r="E268" s="0" t="n">
        <v>1</v>
      </c>
      <c r="F268" s="0" t="n">
        <v>0</v>
      </c>
      <c r="G268" s="0" t="n">
        <v>14.1</v>
      </c>
      <c r="H268" s="115" t="n">
        <f aca="false">IFERROR(D268/C268/11.1*0.585*C268,0)</f>
        <v>4.63783783783784</v>
      </c>
      <c r="I268" s="119"/>
      <c r="J268" s="119"/>
      <c r="K268" s="119"/>
    </row>
    <row r="269" customFormat="false" ht="14.25" hidden="false" customHeight="true" outlineLevel="0" collapsed="false">
      <c r="B269" s="0" t="s">
        <v>492</v>
      </c>
      <c r="C269" s="0" t="n">
        <v>7.2</v>
      </c>
      <c r="D269" s="0" t="n">
        <v>69.3</v>
      </c>
      <c r="E269" s="0" t="n">
        <v>0.3</v>
      </c>
      <c r="F269" s="0" t="n">
        <v>0.1</v>
      </c>
      <c r="G269" s="0" t="n">
        <v>12.7</v>
      </c>
      <c r="H269" s="115" t="n">
        <f aca="false">IFERROR(D269/C269/11.1*0.585*C269,0)</f>
        <v>3.6522972972973</v>
      </c>
      <c r="I269" s="119"/>
      <c r="J269" s="119"/>
      <c r="K269" s="119"/>
    </row>
    <row r="270" customFormat="false" ht="14.25" hidden="false" customHeight="true" outlineLevel="0" collapsed="false">
      <c r="A270" s="0" t="s">
        <v>987</v>
      </c>
      <c r="B270" s="0" t="s">
        <v>510</v>
      </c>
      <c r="C270" s="0" t="n">
        <v>7.4</v>
      </c>
      <c r="D270" s="0" t="n">
        <v>71.4</v>
      </c>
      <c r="E270" s="0" t="n">
        <v>0.7</v>
      </c>
      <c r="F270" s="0" t="n">
        <v>0</v>
      </c>
      <c r="G270" s="0" t="n">
        <v>14.8</v>
      </c>
      <c r="H270" s="115" t="n">
        <f aca="false">IFERROR(D270/C270/11.1*0.585*C270,0)</f>
        <v>3.76297297297297</v>
      </c>
      <c r="I270" s="117" t="n">
        <f aca="false">C272*Scoring!$B$36+TE!D272/Scoring!$C$36+TE!E272*Scoring!$D$36+TE!F272*Scoring!$E$36+H272*Scoring!$F$36</f>
        <v>7.42</v>
      </c>
      <c r="J270" s="117" t="n">
        <f aca="false">C270*Scoring!$B$36+TE!D270/Scoring!$C$36+TE!E270*Scoring!$D$36+TE!F270*Scoring!$E$36+H270*Scoring!$F$36</f>
        <v>15.04</v>
      </c>
      <c r="K270" s="117" t="n">
        <f aca="false">C271*Scoring!$B$36+TE!D271/Scoring!$C$36+TE!E271*Scoring!$D$36+TE!F271*Scoring!$E$36+H271*Scoring!$F$36</f>
        <v>22.1</v>
      </c>
    </row>
    <row r="271" customFormat="false" ht="14.25" hidden="false" customHeight="true" outlineLevel="0" collapsed="false">
      <c r="B271" s="0" t="s">
        <v>491</v>
      </c>
      <c r="C271" s="0" t="n">
        <v>11</v>
      </c>
      <c r="D271" s="0" t="n">
        <v>106</v>
      </c>
      <c r="E271" s="0" t="n">
        <v>1</v>
      </c>
      <c r="F271" s="0" t="n">
        <v>0</v>
      </c>
      <c r="G271" s="0" t="n">
        <v>13.7</v>
      </c>
      <c r="H271" s="115" t="n">
        <f aca="false">IFERROR(D271/C271/11.1*0.585*C271,0)</f>
        <v>5.58648648648649</v>
      </c>
      <c r="I271" s="119"/>
      <c r="J271" s="119"/>
      <c r="K271" s="119"/>
    </row>
    <row r="272" customFormat="false" ht="14.25" hidden="false" customHeight="true" outlineLevel="0" collapsed="false">
      <c r="B272" s="0" t="s">
        <v>492</v>
      </c>
      <c r="C272" s="0" t="n">
        <v>3.9</v>
      </c>
      <c r="D272" s="0" t="n">
        <v>36.7</v>
      </c>
      <c r="E272" s="0" t="n">
        <v>0.3</v>
      </c>
      <c r="F272" s="0" t="n">
        <v>0</v>
      </c>
      <c r="G272" s="0" t="n">
        <v>9.3</v>
      </c>
      <c r="H272" s="115" t="n">
        <f aca="false">IFERROR(D272/C272/11.1*0.585*C272,0)</f>
        <v>1.93418918918919</v>
      </c>
      <c r="I272" s="119"/>
      <c r="J272" s="119"/>
      <c r="K272" s="119"/>
    </row>
    <row r="273" customFormat="false" ht="14.25" hidden="false" customHeight="true" outlineLevel="0" collapsed="false">
      <c r="A273" s="0" t="s">
        <v>988</v>
      </c>
      <c r="B273" s="0" t="s">
        <v>506</v>
      </c>
      <c r="C273" s="0" t="n">
        <v>7</v>
      </c>
      <c r="D273" s="0" t="n">
        <v>73.8</v>
      </c>
      <c r="E273" s="0" t="n">
        <v>0.6</v>
      </c>
      <c r="F273" s="0" t="n">
        <v>0</v>
      </c>
      <c r="G273" s="0" t="n">
        <v>14.7</v>
      </c>
      <c r="H273" s="115" t="n">
        <f aca="false">IFERROR(D273/C273/11.1*0.585*C273,0)</f>
        <v>3.88945945945946</v>
      </c>
      <c r="I273" s="117" t="n">
        <f aca="false">C275*Scoring!$B$36+TE!D275/Scoring!$C$36+TE!E275*Scoring!$D$36+TE!F275*Scoring!$E$36+H275*Scoring!$F$36</f>
        <v>7.42</v>
      </c>
      <c r="J273" s="117" t="n">
        <f aca="false">C273*Scoring!$B$36+TE!D273/Scoring!$C$36+TE!E273*Scoring!$D$36+TE!F273*Scoring!$E$36+H273*Scoring!$F$36</f>
        <v>14.48</v>
      </c>
      <c r="K273" s="117" t="n">
        <f aca="false">C274*Scoring!$B$36+TE!D274/Scoring!$C$36+TE!E274*Scoring!$D$36+TE!F274*Scoring!$E$36+H274*Scoring!$F$36</f>
        <v>22.1</v>
      </c>
    </row>
    <row r="274" customFormat="false" ht="14.25" hidden="false" customHeight="true" outlineLevel="0" collapsed="false">
      <c r="B274" s="0" t="s">
        <v>491</v>
      </c>
      <c r="C274" s="0" t="n">
        <v>10</v>
      </c>
      <c r="D274" s="0" t="n">
        <v>111</v>
      </c>
      <c r="E274" s="0" t="n">
        <v>1</v>
      </c>
      <c r="F274" s="0" t="n">
        <v>0</v>
      </c>
      <c r="G274" s="0" t="n">
        <v>13.5</v>
      </c>
      <c r="H274" s="115" t="n">
        <f aca="false">IFERROR(D274/C274/11.1*0.585*C274,0)</f>
        <v>5.85</v>
      </c>
      <c r="I274" s="119"/>
      <c r="J274" s="119"/>
      <c r="K274" s="119"/>
    </row>
    <row r="275" customFormat="false" ht="14.25" hidden="false" customHeight="true" outlineLevel="0" collapsed="false">
      <c r="B275" s="0" t="s">
        <v>492</v>
      </c>
      <c r="C275" s="0" t="n">
        <v>3.9</v>
      </c>
      <c r="D275" s="0" t="n">
        <v>36.7</v>
      </c>
      <c r="E275" s="0" t="n">
        <v>0.3</v>
      </c>
      <c r="F275" s="0" t="n">
        <v>0</v>
      </c>
      <c r="G275" s="0" t="n">
        <v>8.8</v>
      </c>
      <c r="H275" s="115" t="n">
        <f aca="false">IFERROR(D275/C275/11.1*0.585*C275,0)</f>
        <v>1.93418918918919</v>
      </c>
      <c r="I275" s="119"/>
      <c r="J275" s="119"/>
      <c r="K275" s="119"/>
    </row>
    <row r="276" customFormat="false" ht="14.25" hidden="false" customHeight="true" outlineLevel="0" collapsed="false">
      <c r="A276" s="0" t="s">
        <v>989</v>
      </c>
      <c r="B276" s="0" t="s">
        <v>514</v>
      </c>
      <c r="C276" s="0" t="n">
        <v>6.8</v>
      </c>
      <c r="D276" s="0" t="n">
        <v>72.4</v>
      </c>
      <c r="E276" s="0" t="n">
        <v>0.6</v>
      </c>
      <c r="F276" s="0" t="n">
        <v>0</v>
      </c>
      <c r="G276" s="0" t="n">
        <v>14.5</v>
      </c>
      <c r="H276" s="115" t="n">
        <f aca="false">IFERROR(D276/C276/11.1*0.585*C276,0)</f>
        <v>3.81567567567568</v>
      </c>
      <c r="I276" s="117" t="n">
        <f aca="false">C278*Scoring!$B$36+TE!D278/Scoring!$C$36+TE!E278*Scoring!$D$36+TE!F278*Scoring!$E$36+H278*Scoring!$F$36</f>
        <v>7.04</v>
      </c>
      <c r="J276" s="117" t="n">
        <f aca="false">C276*Scoring!$B$36+TE!D276/Scoring!$C$36+TE!E276*Scoring!$D$36+TE!F276*Scoring!$E$36+H276*Scoring!$F$36</f>
        <v>14.24</v>
      </c>
      <c r="K276" s="117" t="n">
        <f aca="false">C277*Scoring!$B$36+TE!D277/Scoring!$C$36+TE!E277*Scoring!$D$36+TE!F277*Scoring!$E$36+H277*Scoring!$F$36</f>
        <v>22.1</v>
      </c>
    </row>
    <row r="277" customFormat="false" ht="14.25" hidden="false" customHeight="true" outlineLevel="0" collapsed="false">
      <c r="B277" s="0" t="s">
        <v>491</v>
      </c>
      <c r="C277" s="0" t="n">
        <v>10</v>
      </c>
      <c r="D277" s="0" t="n">
        <v>111</v>
      </c>
      <c r="E277" s="0" t="n">
        <v>1</v>
      </c>
      <c r="F277" s="0" t="n">
        <v>0</v>
      </c>
      <c r="G277" s="0" t="n">
        <v>13.4</v>
      </c>
      <c r="H277" s="115" t="n">
        <f aca="false">IFERROR(D277/C277/11.1*0.585*C277,0)</f>
        <v>5.85</v>
      </c>
      <c r="I277" s="119"/>
      <c r="J277" s="119"/>
      <c r="K277" s="119"/>
    </row>
    <row r="278" customFormat="false" ht="14.25" hidden="false" customHeight="true" outlineLevel="0" collapsed="false">
      <c r="B278" s="0" t="s">
        <v>492</v>
      </c>
      <c r="C278" s="0" t="n">
        <v>3.7</v>
      </c>
      <c r="D278" s="0" t="n">
        <v>33.9</v>
      </c>
      <c r="E278" s="0" t="n">
        <v>0.3</v>
      </c>
      <c r="F278" s="0" t="n">
        <v>0</v>
      </c>
      <c r="G278" s="0" t="n">
        <v>8.5</v>
      </c>
      <c r="H278" s="115" t="n">
        <f aca="false">IFERROR(D278/C278/11.1*0.585*C278,0)</f>
        <v>1.78662162162162</v>
      </c>
      <c r="I278" s="119"/>
      <c r="J278" s="119"/>
      <c r="K278" s="119"/>
    </row>
    <row r="279" customFormat="false" ht="14.25" hidden="false" customHeight="true" outlineLevel="0" collapsed="false">
      <c r="A279" s="0" t="s">
        <v>990</v>
      </c>
      <c r="B279" s="0" t="s">
        <v>530</v>
      </c>
      <c r="C279" s="0" t="n">
        <v>7.1</v>
      </c>
      <c r="D279" s="0" t="n">
        <v>61.8</v>
      </c>
      <c r="E279" s="0" t="n">
        <v>0.7</v>
      </c>
      <c r="F279" s="0" t="n">
        <v>0</v>
      </c>
      <c r="G279" s="0" t="n">
        <v>13.8</v>
      </c>
      <c r="H279" s="115" t="n">
        <f aca="false">IFERROR(D279/C279/11.1*0.585*C279,0)</f>
        <v>3.25702702702703</v>
      </c>
      <c r="I279" s="117" t="n">
        <f aca="false">C281*Scoring!$B$36+TE!D281/Scoring!$C$36+TE!E281*Scoring!$D$36+TE!F281*Scoring!$E$36+H281*Scoring!$F$36</f>
        <v>8.21</v>
      </c>
      <c r="J279" s="117" t="n">
        <f aca="false">C279*Scoring!$B$36+TE!D279/Scoring!$C$36+TE!E279*Scoring!$D$36+TE!F279*Scoring!$E$36+H279*Scoring!$F$36</f>
        <v>13.93</v>
      </c>
      <c r="K279" s="117" t="n">
        <f aca="false">C280*Scoring!$B$36+TE!D280/Scoring!$C$36+TE!E280*Scoring!$D$36+TE!F280*Scoring!$E$36+H280*Scoring!$F$36</f>
        <v>19.6</v>
      </c>
    </row>
    <row r="280" customFormat="false" ht="14.25" hidden="false" customHeight="true" outlineLevel="0" collapsed="false">
      <c r="B280" s="0" t="s">
        <v>491</v>
      </c>
      <c r="C280" s="0" t="n">
        <v>10</v>
      </c>
      <c r="D280" s="0" t="n">
        <v>86</v>
      </c>
      <c r="E280" s="0" t="n">
        <v>1</v>
      </c>
      <c r="F280" s="0" t="n">
        <v>0</v>
      </c>
      <c r="G280" s="0" t="n">
        <v>13.5</v>
      </c>
      <c r="H280" s="115" t="n">
        <f aca="false">IFERROR(D280/C280/11.1*0.585*C280,0)</f>
        <v>4.53243243243243</v>
      </c>
      <c r="I280" s="119"/>
      <c r="J280" s="119"/>
      <c r="K280" s="119"/>
    </row>
    <row r="281" customFormat="false" ht="14.25" hidden="false" customHeight="true" outlineLevel="0" collapsed="false">
      <c r="B281" s="0" t="s">
        <v>492</v>
      </c>
      <c r="C281" s="0" t="n">
        <v>4.1</v>
      </c>
      <c r="D281" s="0" t="n">
        <v>37.6</v>
      </c>
      <c r="E281" s="0" t="n">
        <v>0.4</v>
      </c>
      <c r="F281" s="0" t="n">
        <v>0</v>
      </c>
      <c r="G281" s="0" t="n">
        <v>9.4</v>
      </c>
      <c r="H281" s="115" t="n">
        <f aca="false">IFERROR(D281/C281/11.1*0.585*C281,0)</f>
        <v>1.98162162162162</v>
      </c>
      <c r="I281" s="119"/>
      <c r="J281" s="119"/>
      <c r="K281" s="119"/>
    </row>
    <row r="282" customFormat="false" ht="14.25" hidden="false" customHeight="true" outlineLevel="0" collapsed="false">
      <c r="A282" s="0" t="s">
        <v>991</v>
      </c>
      <c r="B282" s="0" t="s">
        <v>546</v>
      </c>
      <c r="C282" s="0" t="n">
        <v>7.9</v>
      </c>
      <c r="D282" s="0" t="n">
        <v>60.6</v>
      </c>
      <c r="E282" s="0" t="n">
        <v>0.6</v>
      </c>
      <c r="F282" s="0" t="n">
        <v>0</v>
      </c>
      <c r="G282" s="0" t="n">
        <v>13.6</v>
      </c>
      <c r="H282" s="115" t="n">
        <f aca="false">IFERROR(D282/C282/11.1*0.585*C282,0)</f>
        <v>3.19378378378378</v>
      </c>
      <c r="I282" s="117" t="n">
        <f aca="false">C284*Scoring!$B$36+TE!D284/Scoring!$C$36+TE!E284*Scoring!$D$36+TE!F284*Scoring!$E$36+H284*Scoring!$F$36</f>
        <v>6.48</v>
      </c>
      <c r="J282" s="117" t="n">
        <f aca="false">C282*Scoring!$B$36+TE!D282/Scoring!$C$36+TE!E282*Scoring!$D$36+TE!F282*Scoring!$E$36+H282*Scoring!$F$36</f>
        <v>13.61</v>
      </c>
      <c r="K282" s="117" t="n">
        <f aca="false">C283*Scoring!$B$36+TE!D283/Scoring!$C$36+TE!E283*Scoring!$D$36+TE!F283*Scoring!$E$36+H283*Scoring!$F$36</f>
        <v>20.8</v>
      </c>
    </row>
    <row r="283" customFormat="false" ht="14.25" hidden="false" customHeight="true" outlineLevel="0" collapsed="false">
      <c r="B283" s="0" t="s">
        <v>491</v>
      </c>
      <c r="C283" s="0" t="n">
        <v>12</v>
      </c>
      <c r="D283" s="0" t="n">
        <v>88</v>
      </c>
      <c r="E283" s="0" t="n">
        <v>1</v>
      </c>
      <c r="F283" s="0" t="n">
        <v>0</v>
      </c>
      <c r="G283" s="0" t="n">
        <v>14</v>
      </c>
      <c r="H283" s="115" t="n">
        <f aca="false">IFERROR(D283/C283/11.1*0.585*C283,0)</f>
        <v>4.63783783783784</v>
      </c>
      <c r="I283" s="119"/>
      <c r="J283" s="119"/>
      <c r="K283" s="119"/>
    </row>
    <row r="284" customFormat="false" ht="14.25" hidden="false" customHeight="true" outlineLevel="0" collapsed="false">
      <c r="B284" s="0" t="s">
        <v>492</v>
      </c>
      <c r="C284" s="0" t="n">
        <v>3.9</v>
      </c>
      <c r="D284" s="0" t="n">
        <v>33.3</v>
      </c>
      <c r="E284" s="0" t="n">
        <v>0.2</v>
      </c>
      <c r="F284" s="0" t="n">
        <v>0</v>
      </c>
      <c r="G284" s="0" t="n">
        <v>8.5</v>
      </c>
      <c r="H284" s="115" t="n">
        <f aca="false">IFERROR(D284/C284/11.1*0.585*C284,0)</f>
        <v>1.755</v>
      </c>
      <c r="I284" s="119"/>
      <c r="J284" s="119"/>
      <c r="K284" s="119"/>
    </row>
    <row r="285" customFormat="false" ht="14.25" hidden="false" customHeight="true" outlineLevel="0" collapsed="false">
      <c r="A285" s="0" t="s">
        <v>992</v>
      </c>
      <c r="B285" s="0" t="s">
        <v>494</v>
      </c>
      <c r="C285" s="0" t="n">
        <v>5.7</v>
      </c>
      <c r="D285" s="0" t="n">
        <v>66.4</v>
      </c>
      <c r="E285" s="0" t="n">
        <v>0.6</v>
      </c>
      <c r="F285" s="0" t="n">
        <v>0</v>
      </c>
      <c r="G285" s="0" t="n">
        <v>13.3</v>
      </c>
      <c r="H285" s="115" t="n">
        <f aca="false">IFERROR(D285/C285/11.1*0.585*C285,0)</f>
        <v>3.49945945945946</v>
      </c>
      <c r="I285" s="117" t="n">
        <f aca="false">C287*Scoring!$B$36+TE!D287/Scoring!$C$36+TE!E287*Scoring!$D$36+TE!F287*Scoring!$E$36+H287*Scoring!$F$36</f>
        <v>7.03</v>
      </c>
      <c r="J285" s="117" t="n">
        <f aca="false">C285*Scoring!$B$36+TE!D285/Scoring!$C$36+TE!E285*Scoring!$D$36+TE!F285*Scoring!$E$36+H285*Scoring!$F$36</f>
        <v>13.09</v>
      </c>
      <c r="K285" s="117" t="n">
        <f aca="false">C286*Scoring!$B$36+TE!D286/Scoring!$C$36+TE!E286*Scoring!$D$36+TE!F286*Scoring!$E$36+H286*Scoring!$F$36</f>
        <v>19.7</v>
      </c>
    </row>
    <row r="286" customFormat="false" ht="14.25" hidden="false" customHeight="true" outlineLevel="0" collapsed="false">
      <c r="B286" s="0" t="s">
        <v>491</v>
      </c>
      <c r="C286" s="0" t="n">
        <v>8</v>
      </c>
      <c r="D286" s="0" t="n">
        <v>97</v>
      </c>
      <c r="E286" s="0" t="n">
        <v>1</v>
      </c>
      <c r="F286" s="0" t="n">
        <v>0</v>
      </c>
      <c r="G286" s="0" t="n">
        <v>12.8</v>
      </c>
      <c r="H286" s="115" t="n">
        <f aca="false">IFERROR(D286/C286/11.1*0.585*C286,0)</f>
        <v>5.11216216216216</v>
      </c>
      <c r="I286" s="119"/>
      <c r="J286" s="119"/>
      <c r="K286" s="119"/>
    </row>
    <row r="287" customFormat="false" ht="14.25" hidden="false" customHeight="true" outlineLevel="0" collapsed="false">
      <c r="B287" s="0" t="s">
        <v>492</v>
      </c>
      <c r="C287" s="0" t="n">
        <v>3.3</v>
      </c>
      <c r="D287" s="0" t="n">
        <v>35.8</v>
      </c>
      <c r="E287" s="0" t="n">
        <v>0.3</v>
      </c>
      <c r="F287" s="0" t="n">
        <v>0</v>
      </c>
      <c r="G287" s="0" t="n">
        <v>8.1</v>
      </c>
      <c r="H287" s="115" t="n">
        <f aca="false">IFERROR(D287/C287/11.1*0.585*C287,0)</f>
        <v>1.88675675675676</v>
      </c>
      <c r="I287" s="119"/>
      <c r="J287" s="119"/>
      <c r="K287" s="119"/>
    </row>
    <row r="288" customFormat="false" ht="14.25" hidden="false" customHeight="true" outlineLevel="0" collapsed="false">
      <c r="A288" s="0" t="s">
        <v>993</v>
      </c>
      <c r="B288" s="0" t="s">
        <v>550</v>
      </c>
      <c r="C288" s="0" t="n">
        <v>6.9</v>
      </c>
      <c r="D288" s="0" t="n">
        <v>61.5</v>
      </c>
      <c r="E288" s="0" t="n">
        <v>0.6</v>
      </c>
      <c r="F288" s="0" t="n">
        <v>0</v>
      </c>
      <c r="G288" s="0" t="n">
        <v>13</v>
      </c>
      <c r="H288" s="115" t="n">
        <f aca="false">IFERROR(D288/C288/11.1*0.585*C288,0)</f>
        <v>3.24121621621622</v>
      </c>
      <c r="I288" s="117" t="n">
        <f aca="false">C290*Scoring!$B$36+TE!D290/Scoring!$C$36+TE!E290*Scoring!$D$36+TE!F290*Scoring!$E$36+H290*Scoring!$F$36</f>
        <v>6.7</v>
      </c>
      <c r="J288" s="117" t="n">
        <f aca="false">C288*Scoring!$B$36+TE!D288/Scoring!$C$36+TE!E288*Scoring!$D$36+TE!F288*Scoring!$E$36+H288*Scoring!$F$36</f>
        <v>13.2</v>
      </c>
      <c r="K288" s="117" t="n">
        <f aca="false">C289*Scoring!$B$36+TE!D289/Scoring!$C$36+TE!E289*Scoring!$D$36+TE!F289*Scoring!$E$36+H289*Scoring!$F$36</f>
        <v>19.7</v>
      </c>
    </row>
    <row r="289" customFormat="false" ht="14.25" hidden="false" customHeight="true" outlineLevel="0" collapsed="false">
      <c r="B289" s="0" t="s">
        <v>491</v>
      </c>
      <c r="C289" s="0" t="n">
        <v>10</v>
      </c>
      <c r="D289" s="0" t="n">
        <v>87</v>
      </c>
      <c r="E289" s="0" t="n">
        <v>1</v>
      </c>
      <c r="F289" s="0" t="n">
        <v>0</v>
      </c>
      <c r="G289" s="0" t="n">
        <v>13.5</v>
      </c>
      <c r="H289" s="115" t="n">
        <f aca="false">IFERROR(D289/C289/11.1*0.585*C289,0)</f>
        <v>4.58513513513514</v>
      </c>
      <c r="I289" s="119"/>
      <c r="J289" s="119"/>
      <c r="K289" s="119"/>
    </row>
    <row r="290" customFormat="false" ht="14.25" hidden="false" customHeight="true" outlineLevel="0" collapsed="false">
      <c r="B290" s="0" t="s">
        <v>492</v>
      </c>
      <c r="C290" s="0" t="n">
        <v>3.8</v>
      </c>
      <c r="D290" s="0" t="n">
        <v>36</v>
      </c>
      <c r="E290" s="0" t="n">
        <v>0.2</v>
      </c>
      <c r="F290" s="0" t="n">
        <v>0</v>
      </c>
      <c r="G290" s="0" t="n">
        <v>7.9</v>
      </c>
      <c r="H290" s="115" t="n">
        <f aca="false">IFERROR(D290/C290/11.1*0.585*C290,0)</f>
        <v>1.8972972972973</v>
      </c>
      <c r="I290" s="119"/>
      <c r="J290" s="119"/>
      <c r="K290" s="119"/>
    </row>
    <row r="291" customFormat="false" ht="14.25" hidden="false" customHeight="true" outlineLevel="0" collapsed="false">
      <c r="A291" s="0" t="s">
        <v>994</v>
      </c>
      <c r="B291" s="0" t="s">
        <v>528</v>
      </c>
      <c r="C291" s="0" t="n">
        <v>5.8</v>
      </c>
      <c r="D291" s="0" t="n">
        <v>58.5</v>
      </c>
      <c r="E291" s="0" t="n">
        <v>0.7</v>
      </c>
      <c r="F291" s="0" t="n">
        <v>0</v>
      </c>
      <c r="G291" s="0" t="n">
        <v>12.6</v>
      </c>
      <c r="H291" s="115" t="n">
        <f aca="false">IFERROR(D291/C291/11.1*0.585*C291,0)</f>
        <v>3.08310810810811</v>
      </c>
      <c r="I291" s="117" t="n">
        <f aca="false">C293*Scoring!$B$36+TE!D293/Scoring!$C$36+TE!E293*Scoring!$D$36+TE!F293*Scoring!$E$36+H293*Scoring!$F$36</f>
        <v>7.26</v>
      </c>
      <c r="J291" s="117" t="n">
        <f aca="false">C291*Scoring!$B$36+TE!D291/Scoring!$C$36+TE!E291*Scoring!$D$36+TE!F291*Scoring!$E$36+H291*Scoring!$F$36</f>
        <v>12.95</v>
      </c>
      <c r="K291" s="117" t="n">
        <f aca="false">C292*Scoring!$B$36+TE!D292/Scoring!$C$36+TE!E292*Scoring!$D$36+TE!F292*Scoring!$E$36+H292*Scoring!$F$36</f>
        <v>18.1</v>
      </c>
    </row>
    <row r="292" customFormat="false" ht="14.25" hidden="false" customHeight="true" outlineLevel="0" collapsed="false">
      <c r="B292" s="0" t="s">
        <v>491</v>
      </c>
      <c r="C292" s="0" t="n">
        <v>8</v>
      </c>
      <c r="D292" s="0" t="n">
        <v>81</v>
      </c>
      <c r="E292" s="0" t="n">
        <v>1</v>
      </c>
      <c r="F292" s="0" t="n">
        <v>0</v>
      </c>
      <c r="G292" s="0" t="n">
        <v>11.9</v>
      </c>
      <c r="H292" s="115" t="n">
        <f aca="false">IFERROR(D292/C292/11.1*0.585*C292,0)</f>
        <v>4.26891891891892</v>
      </c>
      <c r="I292" s="119"/>
      <c r="J292" s="119"/>
      <c r="K292" s="119"/>
    </row>
    <row r="293" customFormat="false" ht="14.25" hidden="false" customHeight="true" outlineLevel="0" collapsed="false">
      <c r="B293" s="0" t="s">
        <v>492</v>
      </c>
      <c r="C293" s="0" t="n">
        <v>3.7</v>
      </c>
      <c r="D293" s="0" t="n">
        <v>36.1</v>
      </c>
      <c r="E293" s="0" t="n">
        <v>0.3</v>
      </c>
      <c r="F293" s="0" t="n">
        <v>0</v>
      </c>
      <c r="G293" s="0" t="n">
        <v>8.3</v>
      </c>
      <c r="H293" s="115" t="n">
        <f aca="false">IFERROR(D293/C293/11.1*0.585*C293,0)</f>
        <v>1.90256756756757</v>
      </c>
      <c r="I293" s="119"/>
      <c r="J293" s="119"/>
      <c r="K293" s="119"/>
    </row>
    <row r="294" customFormat="false" ht="14.25" hidden="false" customHeight="true" outlineLevel="0" collapsed="false">
      <c r="A294" s="0" t="s">
        <v>995</v>
      </c>
      <c r="B294" s="0" t="s">
        <v>532</v>
      </c>
      <c r="C294" s="0" t="n">
        <v>5.8</v>
      </c>
      <c r="D294" s="0" t="n">
        <v>55.6</v>
      </c>
      <c r="E294" s="0" t="n">
        <v>0.6</v>
      </c>
      <c r="F294" s="0" t="n">
        <v>0</v>
      </c>
      <c r="G294" s="0" t="n">
        <v>12.2</v>
      </c>
      <c r="H294" s="115" t="n">
        <f aca="false">IFERROR(D294/C294/11.1*0.585*C294,0)</f>
        <v>2.93027027027027</v>
      </c>
      <c r="I294" s="117" t="n">
        <f aca="false">C296*Scoring!$B$36+TE!D296/Scoring!$C$36+TE!E296*Scoring!$D$36+TE!F296*Scoring!$E$36+H296*Scoring!$F$36</f>
        <v>7.22</v>
      </c>
      <c r="J294" s="117" t="n">
        <f aca="false">C294*Scoring!$B$36+TE!D294/Scoring!$C$36+TE!E294*Scoring!$D$36+TE!F294*Scoring!$E$36+H294*Scoring!$F$36</f>
        <v>12.06</v>
      </c>
      <c r="K294" s="117" t="n">
        <f aca="false">C295*Scoring!$B$36+TE!D295/Scoring!$C$36+TE!E295*Scoring!$D$36+TE!F295*Scoring!$E$36+H295*Scoring!$F$36</f>
        <v>17.5</v>
      </c>
    </row>
    <row r="295" customFormat="false" ht="14.25" hidden="false" customHeight="true" outlineLevel="0" collapsed="false">
      <c r="B295" s="0" t="s">
        <v>491</v>
      </c>
      <c r="C295" s="0" t="n">
        <v>8</v>
      </c>
      <c r="D295" s="0" t="n">
        <v>75</v>
      </c>
      <c r="E295" s="0" t="n">
        <v>1</v>
      </c>
      <c r="F295" s="0" t="n">
        <v>0</v>
      </c>
      <c r="G295" s="0" t="n">
        <v>11.9</v>
      </c>
      <c r="H295" s="115" t="n">
        <f aca="false">IFERROR(D295/C295/11.1*0.585*C295,0)</f>
        <v>3.9527027027027</v>
      </c>
      <c r="I295" s="119"/>
      <c r="J295" s="119"/>
      <c r="K295" s="119"/>
    </row>
    <row r="296" customFormat="false" ht="14.25" hidden="false" customHeight="true" outlineLevel="0" collapsed="false">
      <c r="B296" s="0" t="s">
        <v>492</v>
      </c>
      <c r="C296" s="0" t="n">
        <v>3.6</v>
      </c>
      <c r="D296" s="0" t="n">
        <v>36.2</v>
      </c>
      <c r="E296" s="0" t="n">
        <v>0.3</v>
      </c>
      <c r="F296" s="0" t="n">
        <v>0</v>
      </c>
      <c r="G296" s="0" t="n">
        <v>8.1</v>
      </c>
      <c r="H296" s="115" t="n">
        <f aca="false">IFERROR(D296/C296/11.1*0.585*C296,0)</f>
        <v>1.90783783783784</v>
      </c>
      <c r="I296" s="119"/>
      <c r="J296" s="119"/>
      <c r="K296" s="119"/>
    </row>
    <row r="297" customFormat="false" ht="14.25" hidden="false" customHeight="true" outlineLevel="0" collapsed="false">
      <c r="A297" s="0" t="s">
        <v>996</v>
      </c>
      <c r="B297" s="0" t="s">
        <v>554</v>
      </c>
      <c r="C297" s="0" t="n">
        <v>7.1</v>
      </c>
      <c r="D297" s="0" t="n">
        <v>63.4</v>
      </c>
      <c r="E297" s="0" t="n">
        <v>0.3</v>
      </c>
      <c r="F297" s="0" t="n">
        <v>0.1</v>
      </c>
      <c r="G297" s="0" t="n">
        <v>11.9</v>
      </c>
      <c r="H297" s="115" t="n">
        <f aca="false">IFERROR(D297/C297/11.1*0.585*C297,0)</f>
        <v>3.34135135135135</v>
      </c>
      <c r="I297" s="117" t="n">
        <f aca="false">C299*Scoring!$B$36+TE!D299/Scoring!$C$36+TE!E299*Scoring!$D$36+TE!F299*Scoring!$E$36+H299*Scoring!$F$36</f>
        <v>11.49</v>
      </c>
      <c r="J297" s="117" t="n">
        <f aca="false">C297*Scoring!$B$36+TE!D297/Scoring!$C$36+TE!E297*Scoring!$D$36+TE!F297*Scoring!$E$36+H297*Scoring!$F$36</f>
        <v>11.49</v>
      </c>
      <c r="K297" s="117" t="n">
        <f aca="false">C298*Scoring!$B$36+TE!D298/Scoring!$C$36+TE!E298*Scoring!$D$36+TE!F298*Scoring!$E$36+H298*Scoring!$F$36</f>
        <v>11.49</v>
      </c>
    </row>
    <row r="298" customFormat="false" ht="14.25" hidden="false" customHeight="true" outlineLevel="0" collapsed="false">
      <c r="B298" s="0" t="s">
        <v>491</v>
      </c>
      <c r="C298" s="0" t="n">
        <v>7.1</v>
      </c>
      <c r="D298" s="0" t="n">
        <v>63.4</v>
      </c>
      <c r="E298" s="0" t="n">
        <v>0.3</v>
      </c>
      <c r="F298" s="0" t="n">
        <v>0.1</v>
      </c>
      <c r="G298" s="0" t="n">
        <v>11.9</v>
      </c>
      <c r="H298" s="115" t="n">
        <f aca="false">IFERROR(D298/C298/11.1*0.585*C298,0)</f>
        <v>3.34135135135135</v>
      </c>
      <c r="I298" s="119"/>
      <c r="J298" s="119"/>
      <c r="K298" s="119"/>
    </row>
    <row r="299" customFormat="false" ht="14.25" hidden="false" customHeight="true" outlineLevel="0" collapsed="false">
      <c r="B299" s="0" t="s">
        <v>492</v>
      </c>
      <c r="C299" s="0" t="n">
        <v>7.1</v>
      </c>
      <c r="D299" s="0" t="n">
        <v>63.4</v>
      </c>
      <c r="E299" s="0" t="n">
        <v>0.3</v>
      </c>
      <c r="F299" s="0" t="n">
        <v>0.1</v>
      </c>
      <c r="G299" s="0" t="n">
        <v>11.9</v>
      </c>
      <c r="H299" s="115" t="n">
        <f aca="false">IFERROR(D299/C299/11.1*0.585*C299,0)</f>
        <v>3.34135135135135</v>
      </c>
      <c r="I299" s="119"/>
      <c r="J299" s="119"/>
      <c r="K299" s="119"/>
    </row>
    <row r="300" customFormat="false" ht="14.25" hidden="false" customHeight="true" outlineLevel="0" collapsed="false">
      <c r="A300" s="0" t="s">
        <v>997</v>
      </c>
      <c r="B300" s="0" t="s">
        <v>504</v>
      </c>
      <c r="C300" s="0" t="n">
        <v>5.4</v>
      </c>
      <c r="D300" s="0" t="n">
        <v>50.6</v>
      </c>
      <c r="E300" s="0" t="n">
        <v>0.6</v>
      </c>
      <c r="F300" s="0" t="n">
        <v>0</v>
      </c>
      <c r="G300" s="0" t="n">
        <v>11.1</v>
      </c>
      <c r="H300" s="115" t="n">
        <f aca="false">IFERROR(D300/C300/11.1*0.585*C300,0)</f>
        <v>2.66675675675676</v>
      </c>
      <c r="I300" s="117" t="n">
        <f aca="false">C302*Scoring!$B$36+TE!D302/Scoring!$C$36+TE!E302*Scoring!$D$36+TE!F302*Scoring!$E$36+H302*Scoring!$F$36</f>
        <v>3.13</v>
      </c>
      <c r="J300" s="117" t="n">
        <f aca="false">C300*Scoring!$B$36+TE!D300/Scoring!$C$36+TE!E300*Scoring!$D$36+TE!F300*Scoring!$E$36+H300*Scoring!$F$36</f>
        <v>11.36</v>
      </c>
      <c r="K300" s="117" t="n">
        <f aca="false">C301*Scoring!$B$36+TE!D301/Scoring!$C$36+TE!E301*Scoring!$D$36+TE!F301*Scoring!$E$36+H301*Scoring!$F$36</f>
        <v>19</v>
      </c>
    </row>
    <row r="301" customFormat="false" ht="14.25" hidden="false" customHeight="true" outlineLevel="0" collapsed="false">
      <c r="B301" s="0" t="s">
        <v>491</v>
      </c>
      <c r="C301" s="0" t="n">
        <v>9</v>
      </c>
      <c r="D301" s="0" t="n">
        <v>85</v>
      </c>
      <c r="E301" s="0" t="n">
        <v>1</v>
      </c>
      <c r="F301" s="0" t="n">
        <v>0</v>
      </c>
      <c r="G301" s="0" t="n">
        <v>12.7</v>
      </c>
      <c r="H301" s="115" t="n">
        <f aca="false">IFERROR(D301/C301/11.1*0.585*C301,0)</f>
        <v>4.47972972972973</v>
      </c>
      <c r="I301" s="119"/>
      <c r="J301" s="119"/>
      <c r="K301" s="119"/>
    </row>
    <row r="302" customFormat="false" ht="14.25" hidden="false" customHeight="true" outlineLevel="0" collapsed="false">
      <c r="B302" s="0" t="s">
        <v>492</v>
      </c>
      <c r="C302" s="0" t="n">
        <v>1.8</v>
      </c>
      <c r="D302" s="0" t="n">
        <v>16.3</v>
      </c>
      <c r="E302" s="0" t="n">
        <v>0.1</v>
      </c>
      <c r="F302" s="0" t="n">
        <v>0</v>
      </c>
      <c r="G302" s="0" t="n">
        <v>5</v>
      </c>
      <c r="H302" s="115" t="n">
        <f aca="false">IFERROR(D302/C302/11.1*0.585*C302,0)</f>
        <v>0.859054054054054</v>
      </c>
      <c r="I302" s="119"/>
      <c r="J302" s="119"/>
      <c r="K302" s="119"/>
    </row>
    <row r="303" customFormat="false" ht="14.25" hidden="false" customHeight="true" outlineLevel="0" collapsed="false">
      <c r="A303" s="0" t="s">
        <v>998</v>
      </c>
      <c r="B303" s="0" t="s">
        <v>534</v>
      </c>
      <c r="C303" s="0" t="n">
        <v>4.5</v>
      </c>
      <c r="D303" s="0" t="n">
        <v>44</v>
      </c>
      <c r="E303" s="0" t="n">
        <v>0.5</v>
      </c>
      <c r="F303" s="0" t="n">
        <v>0</v>
      </c>
      <c r="G303" s="0" t="n">
        <v>9.7</v>
      </c>
      <c r="H303" s="115" t="n">
        <f aca="false">IFERROR(D303/C303/11.1*0.585*C303,0)</f>
        <v>2.31891891891892</v>
      </c>
      <c r="I303" s="117" t="n">
        <f aca="false">C305*Scoring!$B$36+TE!D305/Scoring!$C$36+TE!E305*Scoring!$D$36+TE!F305*Scoring!$E$36+H305*Scoring!$F$36</f>
        <v>0</v>
      </c>
      <c r="J303" s="117" t="n">
        <f aca="false">C303*Scoring!$B$36+TE!D303/Scoring!$C$36+TE!E303*Scoring!$D$36+TE!F303*Scoring!$E$36+H303*Scoring!$F$36</f>
        <v>9.65</v>
      </c>
      <c r="K303" s="117" t="n">
        <f aca="false">C304*Scoring!$B$36+TE!D304/Scoring!$C$36+TE!E304*Scoring!$D$36+TE!F304*Scoring!$E$36+H304*Scoring!$F$36</f>
        <v>19.3</v>
      </c>
    </row>
    <row r="304" customFormat="false" ht="14.25" hidden="false" customHeight="true" outlineLevel="0" collapsed="false">
      <c r="B304" s="0" t="s">
        <v>491</v>
      </c>
      <c r="C304" s="0" t="n">
        <v>9</v>
      </c>
      <c r="D304" s="0" t="n">
        <v>88</v>
      </c>
      <c r="E304" s="0" t="n">
        <v>1</v>
      </c>
      <c r="F304" s="0" t="n">
        <v>0</v>
      </c>
      <c r="G304" s="0" t="n">
        <v>12.3</v>
      </c>
      <c r="H304" s="115" t="n">
        <f aca="false">IFERROR(D304/C304/11.1*0.585*C304,0)</f>
        <v>4.63783783783784</v>
      </c>
      <c r="I304" s="119"/>
      <c r="J304" s="119"/>
      <c r="K304" s="119"/>
    </row>
    <row r="305" customFormat="false" ht="14.25" hidden="false" customHeight="true" outlineLevel="0" collapsed="false">
      <c r="B305" s="0" t="s">
        <v>492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2.3</v>
      </c>
      <c r="H305" s="115" t="n">
        <f aca="false">IFERROR(D305/C305/11.1*0.585*C305,0)</f>
        <v>0</v>
      </c>
      <c r="I305" s="119"/>
      <c r="J305" s="119"/>
      <c r="K305" s="119"/>
    </row>
    <row r="306" customFormat="false" ht="14.25" hidden="false" customHeight="true" outlineLevel="0" collapsed="false">
      <c r="A306" s="0" t="s">
        <v>999</v>
      </c>
      <c r="B306" s="0" t="s">
        <v>524</v>
      </c>
      <c r="C306" s="0" t="n">
        <v>3.8</v>
      </c>
      <c r="D306" s="0" t="n">
        <v>35.5</v>
      </c>
      <c r="E306" s="0" t="n">
        <v>0.3</v>
      </c>
      <c r="F306" s="0" t="n">
        <v>0</v>
      </c>
      <c r="G306" s="0" t="n">
        <v>7.3</v>
      </c>
      <c r="H306" s="115" t="n">
        <f aca="false">IFERROR(D306/C306/11.1*0.585*C306,0)</f>
        <v>1.87094594594595</v>
      </c>
      <c r="I306" s="117" t="n">
        <f aca="false">C308*Scoring!$B$36+TE!D308/Scoring!$C$36+TE!E308*Scoring!$D$36+TE!F308*Scoring!$E$36+H308*Scoring!$F$36</f>
        <v>7.25</v>
      </c>
      <c r="J306" s="117" t="n">
        <f aca="false">C306*Scoring!$B$36+TE!D306/Scoring!$C$36+TE!E306*Scoring!$D$36+TE!F306*Scoring!$E$36+H306*Scoring!$F$36</f>
        <v>7.25</v>
      </c>
      <c r="K306" s="117" t="n">
        <f aca="false">C307*Scoring!$B$36+TE!D307/Scoring!$C$36+TE!E307*Scoring!$D$36+TE!F307*Scoring!$E$36+H307*Scoring!$F$36</f>
        <v>7.25</v>
      </c>
    </row>
    <row r="307" customFormat="false" ht="14.25" hidden="false" customHeight="true" outlineLevel="0" collapsed="false">
      <c r="B307" s="0" t="s">
        <v>491</v>
      </c>
      <c r="C307" s="0" t="n">
        <v>3.8</v>
      </c>
      <c r="D307" s="0" t="n">
        <v>35.5</v>
      </c>
      <c r="E307" s="0" t="n">
        <v>0.3</v>
      </c>
      <c r="F307" s="0" t="n">
        <v>0</v>
      </c>
      <c r="G307" s="0" t="n">
        <v>7.3</v>
      </c>
      <c r="H307" s="115" t="n">
        <f aca="false">IFERROR(D307/C307/11.1*0.585*C307,0)</f>
        <v>1.87094594594595</v>
      </c>
      <c r="I307" s="119"/>
      <c r="J307" s="119"/>
      <c r="K307" s="119"/>
    </row>
    <row r="308" customFormat="false" ht="14.25" hidden="false" customHeight="true" outlineLevel="0" collapsed="false">
      <c r="B308" s="0" t="s">
        <v>492</v>
      </c>
      <c r="C308" s="0" t="n">
        <v>3.8</v>
      </c>
      <c r="D308" s="0" t="n">
        <v>35.5</v>
      </c>
      <c r="E308" s="0" t="n">
        <v>0.3</v>
      </c>
      <c r="F308" s="0" t="n">
        <v>0</v>
      </c>
      <c r="G308" s="0" t="n">
        <v>7.3</v>
      </c>
      <c r="H308" s="115" t="n">
        <f aca="false">IFERROR(D308/C308/11.1*0.585*C308,0)</f>
        <v>1.87094594594595</v>
      </c>
      <c r="I308" s="119"/>
      <c r="J308" s="119"/>
      <c r="K308" s="119"/>
    </row>
    <row r="309" customFormat="false" ht="14.25" hidden="false" customHeight="true" outlineLevel="0" collapsed="false">
      <c r="A309" s="0" t="s">
        <v>1000</v>
      </c>
      <c r="B309" s="0" t="s">
        <v>508</v>
      </c>
      <c r="C309" s="0" t="n">
        <v>3.8</v>
      </c>
      <c r="D309" s="0" t="n">
        <v>36</v>
      </c>
      <c r="E309" s="0" t="n">
        <v>0.3</v>
      </c>
      <c r="F309" s="0" t="n">
        <v>0</v>
      </c>
      <c r="G309" s="0" t="n">
        <v>6.9</v>
      </c>
      <c r="H309" s="115" t="n">
        <f aca="false">IFERROR(D309/C309/11.1*0.585*C309,0)</f>
        <v>1.8972972972973</v>
      </c>
      <c r="I309" s="117" t="n">
        <f aca="false">C311*Scoring!$B$36+TE!D311/Scoring!$C$36+TE!E311*Scoring!$D$36+TE!F311*Scoring!$E$36+H311*Scoring!$F$36</f>
        <v>7.3</v>
      </c>
      <c r="J309" s="117" t="n">
        <f aca="false">C309*Scoring!$B$36+TE!D309/Scoring!$C$36+TE!E309*Scoring!$D$36+TE!F309*Scoring!$E$36+H309*Scoring!$F$36</f>
        <v>7.3</v>
      </c>
      <c r="K309" s="117" t="n">
        <f aca="false">C310*Scoring!$B$36+TE!D310/Scoring!$C$36+TE!E310*Scoring!$D$36+TE!F310*Scoring!$E$36+H310*Scoring!$F$36</f>
        <v>7.3</v>
      </c>
    </row>
    <row r="310" customFormat="false" ht="14.25" hidden="false" customHeight="true" outlineLevel="0" collapsed="false">
      <c r="B310" s="0" t="s">
        <v>491</v>
      </c>
      <c r="C310" s="0" t="n">
        <v>3.8</v>
      </c>
      <c r="D310" s="0" t="n">
        <v>36</v>
      </c>
      <c r="E310" s="0" t="n">
        <v>0.3</v>
      </c>
      <c r="F310" s="0" t="n">
        <v>0</v>
      </c>
      <c r="G310" s="0" t="n">
        <v>7</v>
      </c>
      <c r="H310" s="115" t="n">
        <f aca="false">IFERROR(D310/C310/11.1*0.585*C310,0)</f>
        <v>1.8972972972973</v>
      </c>
      <c r="I310" s="119"/>
      <c r="J310" s="119"/>
      <c r="K310" s="119"/>
    </row>
    <row r="311" customFormat="false" ht="14.25" hidden="false" customHeight="true" outlineLevel="0" collapsed="false">
      <c r="B311" s="0" t="s">
        <v>492</v>
      </c>
      <c r="C311" s="0" t="n">
        <v>3.8</v>
      </c>
      <c r="D311" s="0" t="n">
        <v>36</v>
      </c>
      <c r="E311" s="0" t="n">
        <v>0.3</v>
      </c>
      <c r="F311" s="0" t="n">
        <v>0</v>
      </c>
      <c r="G311" s="0" t="n">
        <v>7</v>
      </c>
      <c r="H311" s="115" t="n">
        <f aca="false">IFERROR(D311/C311/11.1*0.585*C311,0)</f>
        <v>1.8972972972973</v>
      </c>
      <c r="I311" s="119"/>
      <c r="J311" s="119"/>
      <c r="K311" s="119"/>
    </row>
    <row r="312" customFormat="false" ht="14.25" hidden="false" customHeight="true" outlineLevel="0" collapsed="false">
      <c r="A312" s="0" t="s">
        <v>1001</v>
      </c>
      <c r="B312" s="0" t="s">
        <v>536</v>
      </c>
      <c r="C312" s="0" t="n">
        <v>3.4</v>
      </c>
      <c r="D312" s="0" t="n">
        <v>34.4</v>
      </c>
      <c r="E312" s="0" t="n">
        <v>0.3</v>
      </c>
      <c r="F312" s="0" t="n">
        <v>0</v>
      </c>
      <c r="G312" s="0" t="n">
        <v>6.9</v>
      </c>
      <c r="H312" s="115" t="n">
        <f aca="false">IFERROR(D312/C312/11.1*0.585*C312,0)</f>
        <v>1.81297297297297</v>
      </c>
      <c r="I312" s="117" t="n">
        <f aca="false">C314*Scoring!$B$36+TE!D314/Scoring!$C$36+TE!E314*Scoring!$D$36+TE!F314*Scoring!$E$36+H314*Scoring!$F$36</f>
        <v>6.94</v>
      </c>
      <c r="J312" s="117" t="n">
        <f aca="false">C312*Scoring!$B$36+TE!D312/Scoring!$C$36+TE!E312*Scoring!$D$36+TE!F312*Scoring!$E$36+H312*Scoring!$F$36</f>
        <v>6.94</v>
      </c>
      <c r="K312" s="117" t="n">
        <f aca="false">C313*Scoring!$B$36+TE!D313/Scoring!$C$36+TE!E313*Scoring!$D$36+TE!F313*Scoring!$E$36+H313*Scoring!$F$36</f>
        <v>6.94</v>
      </c>
    </row>
    <row r="313" customFormat="false" ht="14.25" hidden="false" customHeight="true" outlineLevel="0" collapsed="false">
      <c r="B313" s="0" t="s">
        <v>491</v>
      </c>
      <c r="C313" s="0" t="n">
        <v>3.4</v>
      </c>
      <c r="D313" s="0" t="n">
        <v>34.4</v>
      </c>
      <c r="E313" s="0" t="n">
        <v>0.3</v>
      </c>
      <c r="F313" s="0" t="n">
        <v>0</v>
      </c>
      <c r="G313" s="0" t="n">
        <v>6.9</v>
      </c>
      <c r="H313" s="115" t="n">
        <f aca="false">IFERROR(D313/C313/11.1*0.585*C313,0)</f>
        <v>1.81297297297297</v>
      </c>
      <c r="I313" s="119"/>
      <c r="J313" s="119"/>
      <c r="K313" s="119"/>
    </row>
    <row r="314" customFormat="false" ht="14.25" hidden="false" customHeight="true" outlineLevel="0" collapsed="false">
      <c r="B314" s="0" t="s">
        <v>492</v>
      </c>
      <c r="C314" s="0" t="n">
        <v>3.4</v>
      </c>
      <c r="D314" s="0" t="n">
        <v>34.4</v>
      </c>
      <c r="E314" s="0" t="n">
        <v>0.3</v>
      </c>
      <c r="F314" s="0" t="n">
        <v>0</v>
      </c>
      <c r="G314" s="0" t="n">
        <v>6.9</v>
      </c>
      <c r="H314" s="115" t="n">
        <f aca="false">IFERROR(D314/C314/11.1*0.585*C314,0)</f>
        <v>1.81297297297297</v>
      </c>
      <c r="I314" s="119"/>
      <c r="J314" s="119"/>
      <c r="K314" s="119"/>
    </row>
    <row r="315" customFormat="false" ht="14.25" hidden="false" customHeight="true" outlineLevel="0" collapsed="false">
      <c r="A315" s="0" t="s">
        <v>1002</v>
      </c>
      <c r="B315" s="0" t="s">
        <v>500</v>
      </c>
      <c r="C315" s="0" t="n">
        <v>3.5</v>
      </c>
      <c r="D315" s="0" t="n">
        <v>35.4</v>
      </c>
      <c r="E315" s="0" t="n">
        <v>0.2</v>
      </c>
      <c r="F315" s="0" t="n">
        <v>0</v>
      </c>
      <c r="G315" s="0" t="n">
        <v>6.5</v>
      </c>
      <c r="H315" s="115" t="n">
        <f aca="false">IFERROR(D315/C315/11.1*0.585*C315,0)</f>
        <v>1.86567567567568</v>
      </c>
      <c r="I315" s="117" t="n">
        <f aca="false">C317*Scoring!$B$36+TE!D317/Scoring!$C$36+TE!E317*Scoring!$D$36+TE!F317*Scoring!$E$36+H317*Scoring!$F$36</f>
        <v>6.49</v>
      </c>
      <c r="J315" s="117" t="n">
        <f aca="false">C315*Scoring!$B$36+TE!D315/Scoring!$C$36+TE!E315*Scoring!$D$36+TE!F315*Scoring!$E$36+H315*Scoring!$F$36</f>
        <v>6.49</v>
      </c>
      <c r="K315" s="117" t="n">
        <f aca="false">C316*Scoring!$B$36+TE!D316/Scoring!$C$36+TE!E316*Scoring!$D$36+TE!F316*Scoring!$E$36+H316*Scoring!$F$36</f>
        <v>6.49</v>
      </c>
    </row>
    <row r="316" customFormat="false" ht="14.25" hidden="false" customHeight="true" outlineLevel="0" collapsed="false">
      <c r="B316" s="0" t="s">
        <v>491</v>
      </c>
      <c r="C316" s="0" t="n">
        <v>3.5</v>
      </c>
      <c r="D316" s="0" t="n">
        <v>35.4</v>
      </c>
      <c r="E316" s="0" t="n">
        <v>0.2</v>
      </c>
      <c r="F316" s="0" t="n">
        <v>0</v>
      </c>
      <c r="G316" s="0" t="n">
        <v>6.5</v>
      </c>
      <c r="H316" s="115" t="n">
        <f aca="false">IFERROR(D316/C316/11.1*0.585*C316,0)</f>
        <v>1.86567567567568</v>
      </c>
      <c r="I316" s="119"/>
      <c r="J316" s="119"/>
      <c r="K316" s="119"/>
    </row>
    <row r="317" customFormat="false" ht="14.25" hidden="false" customHeight="true" outlineLevel="0" collapsed="false">
      <c r="B317" s="0" t="s">
        <v>492</v>
      </c>
      <c r="C317" s="0" t="n">
        <v>3.5</v>
      </c>
      <c r="D317" s="0" t="n">
        <v>35.4</v>
      </c>
      <c r="E317" s="0" t="n">
        <v>0.2</v>
      </c>
      <c r="F317" s="0" t="n">
        <v>0</v>
      </c>
      <c r="G317" s="0" t="n">
        <v>6.5</v>
      </c>
      <c r="H317" s="115" t="n">
        <f aca="false">IFERROR(D317/C317/11.1*0.585*C317,0)</f>
        <v>1.86567567567568</v>
      </c>
      <c r="I317" s="119"/>
      <c r="J317" s="119"/>
      <c r="K317" s="119"/>
    </row>
    <row r="318" customFormat="false" ht="14.25" hidden="false" customHeight="true" outlineLevel="0" collapsed="false">
      <c r="A318" s="0" t="s">
        <v>1003</v>
      </c>
      <c r="B318" s="0" t="s">
        <v>554</v>
      </c>
      <c r="C318" s="0" t="n">
        <v>3.8</v>
      </c>
      <c r="D318" s="0" t="n">
        <v>33.8</v>
      </c>
      <c r="E318" s="0" t="n">
        <v>0.2</v>
      </c>
      <c r="F318" s="0" t="n">
        <v>0</v>
      </c>
      <c r="G318" s="0" t="n">
        <v>6.2</v>
      </c>
      <c r="H318" s="115" t="n">
        <f aca="false">IFERROR(D318/C318/11.1*0.585*C318,0)</f>
        <v>1.78135135135135</v>
      </c>
      <c r="I318" s="117" t="n">
        <f aca="false">C320*Scoring!$B$36+TE!D320/Scoring!$C$36+TE!E320*Scoring!$D$36+TE!F320*Scoring!$E$36+H320*Scoring!$F$36</f>
        <v>6.48</v>
      </c>
      <c r="J318" s="117" t="n">
        <f aca="false">C318*Scoring!$B$36+TE!D318/Scoring!$C$36+TE!E318*Scoring!$D$36+TE!F318*Scoring!$E$36+H318*Scoring!$F$36</f>
        <v>6.48</v>
      </c>
      <c r="K318" s="117" t="n">
        <f aca="false">C319*Scoring!$B$36+TE!D319/Scoring!$C$36+TE!E319*Scoring!$D$36+TE!F319*Scoring!$E$36+H319*Scoring!$F$36</f>
        <v>6.48</v>
      </c>
    </row>
    <row r="319" customFormat="false" ht="14.25" hidden="false" customHeight="true" outlineLevel="0" collapsed="false">
      <c r="B319" s="0" t="s">
        <v>491</v>
      </c>
      <c r="C319" s="0" t="n">
        <v>3.8</v>
      </c>
      <c r="D319" s="0" t="n">
        <v>33.8</v>
      </c>
      <c r="E319" s="0" t="n">
        <v>0.2</v>
      </c>
      <c r="F319" s="0" t="n">
        <v>0</v>
      </c>
      <c r="G319" s="0" t="n">
        <v>6.3</v>
      </c>
      <c r="H319" s="115" t="n">
        <f aca="false">IFERROR(D319/C319/11.1*0.585*C319,0)</f>
        <v>1.78135135135135</v>
      </c>
      <c r="I319" s="119"/>
      <c r="J319" s="119"/>
      <c r="K319" s="119"/>
    </row>
    <row r="320" customFormat="false" ht="14.25" hidden="false" customHeight="true" outlineLevel="0" collapsed="false">
      <c r="B320" s="0" t="s">
        <v>492</v>
      </c>
      <c r="C320" s="0" t="n">
        <v>3.8</v>
      </c>
      <c r="D320" s="0" t="n">
        <v>33.8</v>
      </c>
      <c r="E320" s="0" t="n">
        <v>0.2</v>
      </c>
      <c r="F320" s="0" t="n">
        <v>0</v>
      </c>
      <c r="G320" s="0" t="n">
        <v>6.3</v>
      </c>
      <c r="H320" s="115" t="n">
        <f aca="false">IFERROR(D320/C320/11.1*0.585*C320,0)</f>
        <v>1.78135135135135</v>
      </c>
      <c r="I320" s="119"/>
      <c r="J320" s="119"/>
      <c r="K320" s="119"/>
    </row>
    <row r="321" customFormat="false" ht="14.25" hidden="false" customHeight="true" outlineLevel="0" collapsed="false">
      <c r="A321" s="0" t="s">
        <v>1004</v>
      </c>
      <c r="B321" s="0" t="s">
        <v>502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  <c r="H321" s="115" t="n">
        <f aca="false">IFERROR(D321/C321/11.1*0.585*C321,0)</f>
        <v>0</v>
      </c>
      <c r="I321" s="117" t="n">
        <f aca="false">C323*Scoring!$B$36+TE!D323/Scoring!$C$36+TE!E323*Scoring!$D$36+TE!F323*Scoring!$E$36+H323*Scoring!$F$36</f>
        <v>0</v>
      </c>
      <c r="J321" s="117" t="n">
        <f aca="false">C321*Scoring!$B$36+TE!D321/Scoring!$C$36+TE!E321*Scoring!$D$36+TE!F321*Scoring!$E$36+H321*Scoring!$F$36</f>
        <v>0</v>
      </c>
      <c r="K321" s="117" t="n">
        <f aca="false">C322*Scoring!$B$36+TE!D322/Scoring!$C$36+TE!E322*Scoring!$D$36+TE!F322*Scoring!$E$36+H322*Scoring!$F$36</f>
        <v>0</v>
      </c>
    </row>
    <row r="322" customFormat="false" ht="14.25" hidden="false" customHeight="true" outlineLevel="0" collapsed="false">
      <c r="B322" s="0" t="s">
        <v>491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  <c r="H322" s="115" t="n">
        <f aca="false">IFERROR(D322/C322/11.1*0.585*C322,0)</f>
        <v>0</v>
      </c>
      <c r="I322" s="119"/>
      <c r="J322" s="119"/>
      <c r="K322" s="119"/>
    </row>
    <row r="323" customFormat="false" ht="14.25" hidden="false" customHeight="true" outlineLevel="0" collapsed="false">
      <c r="B323" s="0" t="s">
        <v>492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115" t="n">
        <f aca="false">IFERROR(D323/C323/11.1*0.585*C323,0)</f>
        <v>0</v>
      </c>
      <c r="I323" s="119"/>
      <c r="J323" s="119"/>
      <c r="K323" s="119"/>
    </row>
    <row r="324" customFormat="false" ht="14.25" hidden="false" customHeight="true" outlineLevel="0" collapsed="false">
      <c r="A324" s="0" t="s">
        <v>1005</v>
      </c>
      <c r="B324" s="0" t="s">
        <v>506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  <c r="H324" s="115" t="n">
        <f aca="false">IFERROR(D324/C324/11.1*0.585*C324,0)</f>
        <v>0</v>
      </c>
      <c r="I324" s="117" t="n">
        <f aca="false">C326*Scoring!$B$36+TE!D326/Scoring!$C$36+TE!E326*Scoring!$D$36+TE!F326*Scoring!$E$36+H326*Scoring!$F$36</f>
        <v>0</v>
      </c>
      <c r="J324" s="117" t="n">
        <f aca="false">C324*Scoring!$B$36+TE!D324/Scoring!$C$36+TE!E324*Scoring!$D$36+TE!F324*Scoring!$E$36+H324*Scoring!$F$36</f>
        <v>0</v>
      </c>
      <c r="K324" s="117" t="n">
        <f aca="false">C325*Scoring!$B$36+TE!D325/Scoring!$C$36+TE!E325*Scoring!$D$36+TE!F325*Scoring!$E$36+H325*Scoring!$F$36</f>
        <v>0</v>
      </c>
    </row>
    <row r="325" customFormat="false" ht="14.25" hidden="false" customHeight="true" outlineLevel="0" collapsed="false">
      <c r="B325" s="0" t="s">
        <v>491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  <c r="H325" s="115" t="n">
        <f aca="false">IFERROR(D325/C325/11.1*0.585*C325,0)</f>
        <v>0</v>
      </c>
      <c r="I325" s="119"/>
      <c r="J325" s="119"/>
      <c r="K325" s="119"/>
    </row>
    <row r="326" customFormat="false" ht="14.25" hidden="false" customHeight="true" outlineLevel="0" collapsed="false">
      <c r="B326" s="0" t="s">
        <v>492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  <c r="H326" s="115" t="n">
        <f aca="false">IFERROR(D326/C326/11.1*0.585*C326,0)</f>
        <v>0</v>
      </c>
      <c r="I326" s="119"/>
      <c r="J326" s="119"/>
      <c r="K326" s="119"/>
    </row>
    <row r="327" customFormat="false" ht="14.25" hidden="false" customHeight="true" outlineLevel="0" collapsed="false">
      <c r="A327" s="0" t="s">
        <v>1006</v>
      </c>
      <c r="B327" s="0" t="s">
        <v>534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  <c r="H327" s="115" t="n">
        <f aca="false">IFERROR(D327/C327/11.1*0.585*C327,0)</f>
        <v>0</v>
      </c>
      <c r="I327" s="117" t="n">
        <f aca="false">C329*Scoring!$B$36+TE!D329/Scoring!$C$36+TE!E329*Scoring!$D$36+TE!F329*Scoring!$E$36+H329*Scoring!$F$36</f>
        <v>0</v>
      </c>
      <c r="J327" s="117" t="n">
        <f aca="false">C327*Scoring!$B$36+TE!D327/Scoring!$C$36+TE!E327*Scoring!$D$36+TE!F327*Scoring!$E$36+H327*Scoring!$F$36</f>
        <v>0</v>
      </c>
      <c r="K327" s="117" t="n">
        <f aca="false">C328*Scoring!$B$36+TE!D328/Scoring!$C$36+TE!E328*Scoring!$D$36+TE!F328*Scoring!$E$36+H328*Scoring!$F$36</f>
        <v>0</v>
      </c>
    </row>
    <row r="328" customFormat="false" ht="14.25" hidden="false" customHeight="true" outlineLevel="0" collapsed="false">
      <c r="B328" s="0" t="s">
        <v>491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115" t="n">
        <f aca="false">IFERROR(D328/C328/11.1*0.585*C328,0)</f>
        <v>0</v>
      </c>
      <c r="I328" s="119"/>
      <c r="J328" s="119"/>
      <c r="K328" s="119"/>
    </row>
    <row r="329" customFormat="false" ht="14.25" hidden="false" customHeight="true" outlineLevel="0" collapsed="false">
      <c r="B329" s="0" t="s">
        <v>492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115" t="n">
        <f aca="false">IFERROR(D329/C329/11.1*0.585*C329,0)</f>
        <v>0</v>
      </c>
      <c r="I329" s="119"/>
      <c r="J329" s="119"/>
      <c r="K329" s="119"/>
    </row>
    <row r="330" customFormat="false" ht="14.25" hidden="false" customHeight="true" outlineLevel="0" collapsed="false">
      <c r="A330" s="0" t="s">
        <v>1007</v>
      </c>
      <c r="B330" s="0" t="s">
        <v>542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115" t="n">
        <f aca="false">IFERROR(D330/C330/11.1*0.585*C330,0)</f>
        <v>0</v>
      </c>
      <c r="I330" s="117" t="n">
        <f aca="false">C332*Scoring!$B$36+TE!D332/Scoring!$C$36+TE!E332*Scoring!$D$36+TE!F332*Scoring!$E$36+H332*Scoring!$F$36</f>
        <v>0</v>
      </c>
      <c r="J330" s="117" t="n">
        <f aca="false">C330*Scoring!$B$36+TE!D330/Scoring!$C$36+TE!E330*Scoring!$D$36+TE!F330*Scoring!$E$36+H330*Scoring!$F$36</f>
        <v>0</v>
      </c>
      <c r="K330" s="117" t="n">
        <f aca="false">C331*Scoring!$B$36+TE!D331/Scoring!$C$36+TE!E331*Scoring!$D$36+TE!F331*Scoring!$E$36+H331*Scoring!$F$36</f>
        <v>0</v>
      </c>
    </row>
    <row r="331" customFormat="false" ht="14.25" hidden="false" customHeight="true" outlineLevel="0" collapsed="false">
      <c r="B331" s="0" t="s">
        <v>491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115" t="n">
        <f aca="false">IFERROR(D331/C331/11.1*0.585*C331,0)</f>
        <v>0</v>
      </c>
      <c r="I331" s="119"/>
      <c r="J331" s="119"/>
      <c r="K331" s="119"/>
    </row>
    <row r="332" customFormat="false" ht="14.25" hidden="false" customHeight="true" outlineLevel="0" collapsed="false">
      <c r="B332" s="0" t="s">
        <v>492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  <c r="H332" s="115" t="n">
        <f aca="false">IFERROR(D332/C332/11.1*0.585*C332,0)</f>
        <v>0</v>
      </c>
      <c r="I332" s="119"/>
      <c r="J332" s="119"/>
      <c r="K332" s="119"/>
    </row>
    <row r="333" customFormat="false" ht="14.25" hidden="false" customHeight="true" outlineLevel="0" collapsed="false">
      <c r="A333" s="0" t="s">
        <v>1008</v>
      </c>
      <c r="B333" s="0" t="s">
        <v>518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  <c r="H333" s="115" t="n">
        <f aca="false">IFERROR(D333/C333/11.1*0.585*C333,0)</f>
        <v>0</v>
      </c>
      <c r="I333" s="117" t="n">
        <f aca="false">C335*Scoring!$B$36+TE!D335/Scoring!$C$36+TE!E335*Scoring!$D$36+TE!F335*Scoring!$E$36+H335*Scoring!$F$36</f>
        <v>0</v>
      </c>
      <c r="J333" s="117" t="n">
        <f aca="false">C333*Scoring!$B$36+TE!D333/Scoring!$C$36+TE!E333*Scoring!$D$36+TE!F333*Scoring!$E$36+H333*Scoring!$F$36</f>
        <v>0</v>
      </c>
      <c r="K333" s="117" t="n">
        <f aca="false">C334*Scoring!$B$36+TE!D334/Scoring!$C$36+TE!E334*Scoring!$D$36+TE!F334*Scoring!$E$36+H334*Scoring!$F$36</f>
        <v>0</v>
      </c>
    </row>
    <row r="334" customFormat="false" ht="14.25" hidden="false" customHeight="true" outlineLevel="0" collapsed="false">
      <c r="B334" s="0" t="s">
        <v>491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  <c r="H334" s="115" t="n">
        <f aca="false">IFERROR(D334/C334/11.1*0.585*C334,0)</f>
        <v>0</v>
      </c>
      <c r="I334" s="119"/>
      <c r="J334" s="119"/>
      <c r="K334" s="119"/>
    </row>
    <row r="335" customFormat="false" ht="14.25" hidden="false" customHeight="true" outlineLevel="0" collapsed="false">
      <c r="B335" s="0" t="s">
        <v>492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115" t="n">
        <f aca="false">IFERROR(D335/C335/11.1*0.585*C335,0)</f>
        <v>0</v>
      </c>
      <c r="I335" s="119"/>
      <c r="J335" s="119"/>
      <c r="K335" s="119"/>
    </row>
    <row r="336" customFormat="false" ht="14.25" hidden="false" customHeight="true" outlineLevel="0" collapsed="false">
      <c r="A336" s="0" t="s">
        <v>1009</v>
      </c>
      <c r="B336" s="0" t="s">
        <v>534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>
        <v>0</v>
      </c>
      <c r="H336" s="115" t="n">
        <f aca="false">IFERROR(D336/C336/11.1*0.585*C336,0)</f>
        <v>0</v>
      </c>
      <c r="I336" s="117" t="n">
        <f aca="false">C338*Scoring!$B$36+TE!D338/Scoring!$C$36+TE!E338*Scoring!$D$36+TE!F338*Scoring!$E$36+H338*Scoring!$F$36</f>
        <v>0</v>
      </c>
      <c r="J336" s="117" t="n">
        <f aca="false">C336*Scoring!$B$36+TE!D336/Scoring!$C$36+TE!E336*Scoring!$D$36+TE!F336*Scoring!$E$36+H336*Scoring!$F$36</f>
        <v>0</v>
      </c>
      <c r="K336" s="117" t="n">
        <f aca="false">C337*Scoring!$B$36+TE!D337/Scoring!$C$36+TE!E337*Scoring!$D$36+TE!F337*Scoring!$E$36+H337*Scoring!$F$36</f>
        <v>0</v>
      </c>
    </row>
    <row r="337" customFormat="false" ht="14.25" hidden="false" customHeight="true" outlineLevel="0" collapsed="false">
      <c r="B337" s="0" t="s">
        <v>491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115" t="n">
        <f aca="false">IFERROR(D337/C337/11.1*0.585*C337,0)</f>
        <v>0</v>
      </c>
      <c r="I337" s="119"/>
      <c r="J337" s="119"/>
      <c r="K337" s="119"/>
    </row>
    <row r="338" customFormat="false" ht="14.25" hidden="false" customHeight="true" outlineLevel="0" collapsed="false">
      <c r="B338" s="0" t="s">
        <v>492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0</v>
      </c>
      <c r="H338" s="115" t="n">
        <f aca="false">IFERROR(D338/C338/11.1*0.585*C338,0)</f>
        <v>0</v>
      </c>
      <c r="I338" s="119"/>
      <c r="J338" s="119"/>
      <c r="K338" s="119"/>
    </row>
    <row r="339" customFormat="false" ht="14.25" hidden="false" customHeight="true" outlineLevel="0" collapsed="false">
      <c r="A339" s="0" t="s">
        <v>1010</v>
      </c>
      <c r="B339" s="0" t="s">
        <v>498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  <c r="H339" s="115" t="n">
        <f aca="false">IFERROR(D339/C339/11.1*0.585*C339,0)</f>
        <v>0</v>
      </c>
      <c r="I339" s="117" t="n">
        <f aca="false">C341*Scoring!$B$36+TE!D341/Scoring!$C$36+TE!E341*Scoring!$D$36+TE!F341*Scoring!$E$36+H341*Scoring!$F$36</f>
        <v>0</v>
      </c>
      <c r="J339" s="117" t="n">
        <f aca="false">C339*Scoring!$B$36+TE!D339/Scoring!$C$36+TE!E339*Scoring!$D$36+TE!F339*Scoring!$E$36+H339*Scoring!$F$36</f>
        <v>0</v>
      </c>
      <c r="K339" s="117" t="n">
        <f aca="false">C340*Scoring!$B$36+TE!D340/Scoring!$C$36+TE!E340*Scoring!$D$36+TE!F340*Scoring!$E$36+H340*Scoring!$F$36</f>
        <v>0</v>
      </c>
    </row>
    <row r="340" customFormat="false" ht="14.25" hidden="false" customHeight="true" outlineLevel="0" collapsed="false">
      <c r="B340" s="0" t="s">
        <v>491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  <c r="H340" s="115" t="n">
        <f aca="false">IFERROR(D340/C340/11.1*0.585*C340,0)</f>
        <v>0</v>
      </c>
      <c r="I340" s="119"/>
      <c r="J340" s="119"/>
      <c r="K340" s="119"/>
    </row>
    <row r="341" customFormat="false" ht="14.25" hidden="false" customHeight="true" outlineLevel="0" collapsed="false">
      <c r="B341" s="0" t="s">
        <v>492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115" t="n">
        <f aca="false">IFERROR(D341/C341/11.1*0.585*C341,0)</f>
        <v>0</v>
      </c>
      <c r="I341" s="119"/>
      <c r="J341" s="119"/>
      <c r="K341" s="119"/>
    </row>
    <row r="342" customFormat="false" ht="14.25" hidden="false" customHeight="true" outlineLevel="0" collapsed="false">
      <c r="A342" s="0" t="s">
        <v>1011</v>
      </c>
      <c r="B342" s="0" t="s">
        <v>546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  <c r="H342" s="115" t="n">
        <f aca="false">IFERROR(D342/C342/11.1*0.585*C342,0)</f>
        <v>0</v>
      </c>
      <c r="I342" s="117" t="n">
        <f aca="false">C344*Scoring!$B$36+TE!D344/Scoring!$C$36+TE!E344*Scoring!$D$36+TE!F344*Scoring!$E$36+H344*Scoring!$F$36</f>
        <v>0</v>
      </c>
      <c r="J342" s="117" t="n">
        <f aca="false">C342*Scoring!$B$36+TE!D342/Scoring!$C$36+TE!E342*Scoring!$D$36+TE!F342*Scoring!$E$36+H342*Scoring!$F$36</f>
        <v>0</v>
      </c>
      <c r="K342" s="117" t="n">
        <f aca="false">C343*Scoring!$B$36+TE!D343/Scoring!$C$36+TE!E343*Scoring!$D$36+TE!F343*Scoring!$E$36+H343*Scoring!$F$36</f>
        <v>0</v>
      </c>
    </row>
    <row r="343" customFormat="false" ht="14.25" hidden="false" customHeight="true" outlineLevel="0" collapsed="false">
      <c r="B343" s="0" t="s">
        <v>491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115" t="n">
        <f aca="false">IFERROR(D343/C343/11.1*0.585*C343,0)</f>
        <v>0</v>
      </c>
      <c r="I343" s="119"/>
      <c r="J343" s="119"/>
      <c r="K343" s="119"/>
    </row>
    <row r="344" customFormat="false" ht="14.25" hidden="false" customHeight="true" outlineLevel="0" collapsed="false">
      <c r="B344" s="0" t="s">
        <v>492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115" t="n">
        <f aca="false">IFERROR(D344/C344/11.1*0.585*C344,0)</f>
        <v>0</v>
      </c>
      <c r="I344" s="119"/>
      <c r="J344" s="119"/>
      <c r="K344" s="119"/>
    </row>
    <row r="345" customFormat="false" ht="14.25" hidden="false" customHeight="true" outlineLevel="0" collapsed="false">
      <c r="A345" s="0" t="s">
        <v>1012</v>
      </c>
      <c r="B345" s="0" t="s">
        <v>528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115" t="n">
        <f aca="false">IFERROR(D345/C345/11.1*0.585*C345,0)</f>
        <v>0</v>
      </c>
      <c r="I345" s="117" t="n">
        <f aca="false">C347*Scoring!$B$36+TE!D347/Scoring!$C$36+TE!E347*Scoring!$D$36+TE!F347*Scoring!$E$36+H347*Scoring!$F$36</f>
        <v>0</v>
      </c>
      <c r="J345" s="117" t="n">
        <f aca="false">C345*Scoring!$B$36+TE!D345/Scoring!$C$36+TE!E345*Scoring!$D$36+TE!F345*Scoring!$E$36+H345*Scoring!$F$36</f>
        <v>0</v>
      </c>
      <c r="K345" s="117" t="n">
        <f aca="false">C346*Scoring!$B$36+TE!D346/Scoring!$C$36+TE!E346*Scoring!$D$36+TE!F346*Scoring!$E$36+H346*Scoring!$F$36</f>
        <v>0</v>
      </c>
    </row>
    <row r="346" customFormat="false" ht="14.25" hidden="false" customHeight="true" outlineLevel="0" collapsed="false">
      <c r="B346" s="0" t="s">
        <v>491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115" t="n">
        <f aca="false">IFERROR(D346/C346/11.1*0.585*C346,0)</f>
        <v>0</v>
      </c>
      <c r="I346" s="119"/>
      <c r="J346" s="119"/>
      <c r="K346" s="119"/>
    </row>
    <row r="347" customFormat="false" ht="14.25" hidden="false" customHeight="true" outlineLevel="0" collapsed="false">
      <c r="B347" s="0" t="s">
        <v>492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115" t="n">
        <f aca="false">IFERROR(D347/C347/11.1*0.585*C347,0)</f>
        <v>0</v>
      </c>
      <c r="I347" s="119"/>
      <c r="J347" s="119"/>
      <c r="K347" s="119"/>
    </row>
    <row r="348" customFormat="false" ht="14.25" hidden="false" customHeight="true" outlineLevel="0" collapsed="false">
      <c r="A348" s="0" t="s">
        <v>1013</v>
      </c>
      <c r="B348" s="0" t="s">
        <v>554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115" t="n">
        <f aca="false">IFERROR(D348/C348/11.1*0.585*C348,0)</f>
        <v>0</v>
      </c>
      <c r="I348" s="117" t="n">
        <f aca="false">C350*Scoring!$B$36+TE!D350/Scoring!$C$36+TE!E350*Scoring!$D$36+TE!F350*Scoring!$E$36+H350*Scoring!$F$36</f>
        <v>0</v>
      </c>
      <c r="J348" s="117" t="n">
        <f aca="false">C348*Scoring!$B$36+TE!D348/Scoring!$C$36+TE!E348*Scoring!$D$36+TE!F348*Scoring!$E$36+H348*Scoring!$F$36</f>
        <v>0</v>
      </c>
      <c r="K348" s="117" t="n">
        <f aca="false">C349*Scoring!$B$36+TE!D349/Scoring!$C$36+TE!E349*Scoring!$D$36+TE!F349*Scoring!$E$36+H349*Scoring!$F$36</f>
        <v>0</v>
      </c>
    </row>
    <row r="349" customFormat="false" ht="14.25" hidden="false" customHeight="true" outlineLevel="0" collapsed="false">
      <c r="B349" s="0" t="s">
        <v>491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115" t="n">
        <f aca="false">IFERROR(D349/C349/11.1*0.585*C349,0)</f>
        <v>0</v>
      </c>
      <c r="I349" s="119"/>
      <c r="J349" s="119"/>
      <c r="K349" s="119"/>
    </row>
    <row r="350" customFormat="false" ht="14.25" hidden="false" customHeight="true" outlineLevel="0" collapsed="false">
      <c r="B350" s="0" t="s">
        <v>492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115" t="n">
        <f aca="false">IFERROR(D350/C350/11.1*0.585*C350,0)</f>
        <v>0</v>
      </c>
      <c r="I350" s="119"/>
      <c r="J350" s="119"/>
      <c r="K350" s="119"/>
    </row>
    <row r="351" customFormat="false" ht="14.25" hidden="false" customHeight="true" outlineLevel="0" collapsed="false">
      <c r="A351" s="0" t="s">
        <v>1014</v>
      </c>
      <c r="B351" s="0" t="s">
        <v>524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115" t="n">
        <f aca="false">IFERROR(D351/C351/11.1*0.585*C351,0)</f>
        <v>0</v>
      </c>
      <c r="I351" s="117" t="n">
        <f aca="false">C353*Scoring!$B$36+TE!D353/Scoring!$C$36+TE!E353*Scoring!$D$36+TE!F353*Scoring!$E$36+H353*Scoring!$F$36</f>
        <v>0</v>
      </c>
      <c r="J351" s="117" t="n">
        <f aca="false">C351*Scoring!$B$36+TE!D351/Scoring!$C$36+TE!E351*Scoring!$D$36+TE!F351*Scoring!$E$36+H351*Scoring!$F$36</f>
        <v>0</v>
      </c>
      <c r="K351" s="117" t="n">
        <f aca="false">C352*Scoring!$B$36+TE!D352/Scoring!$C$36+TE!E352*Scoring!$D$36+TE!F352*Scoring!$E$36+H352*Scoring!$F$36</f>
        <v>0</v>
      </c>
    </row>
    <row r="352" customFormat="false" ht="14.25" hidden="false" customHeight="true" outlineLevel="0" collapsed="false">
      <c r="B352" s="0" t="s">
        <v>491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0</v>
      </c>
      <c r="H352" s="115" t="n">
        <f aca="false">IFERROR(D352/C352/11.1*0.585*C352,0)</f>
        <v>0</v>
      </c>
      <c r="I352" s="119"/>
      <c r="J352" s="119"/>
      <c r="K352" s="119"/>
    </row>
    <row r="353" customFormat="false" ht="14.25" hidden="false" customHeight="true" outlineLevel="0" collapsed="false">
      <c r="B353" s="0" t="s">
        <v>492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>
        <v>0</v>
      </c>
      <c r="H353" s="115" t="n">
        <f aca="false">IFERROR(D353/C353/11.1*0.585*C353,0)</f>
        <v>0</v>
      </c>
      <c r="I353" s="119"/>
      <c r="J353" s="119"/>
      <c r="K353" s="119"/>
    </row>
    <row r="354" customFormat="false" ht="14.25" hidden="false" customHeight="true" outlineLevel="0" collapsed="false">
      <c r="H354" s="115" t="n">
        <f aca="false">IFERROR(D354/C354/11.1*0.585*C354,0)</f>
        <v>0</v>
      </c>
      <c r="I354" s="117" t="n">
        <f aca="false">C356*Scoring!$B$36+TE!D356/Scoring!$C$36+TE!E356*Scoring!$D$36+TE!F356*Scoring!$E$36+H356*Scoring!$F$36</f>
        <v>0</v>
      </c>
      <c r="J354" s="117" t="n">
        <f aca="false">C354*Scoring!$B$36+TE!D354/Scoring!$C$36+TE!E354*Scoring!$D$36+TE!F354*Scoring!$E$36+H354*Scoring!$F$36</f>
        <v>0</v>
      </c>
      <c r="K354" s="117" t="n">
        <f aca="false">C355*Scoring!$B$36+TE!D355/Scoring!$C$36+TE!E355*Scoring!$D$36+TE!F355*Scoring!$E$36+H355*Scoring!$F$36</f>
        <v>0</v>
      </c>
    </row>
    <row r="355" customFormat="false" ht="14.25" hidden="false" customHeight="true" outlineLevel="0" collapsed="false">
      <c r="H355" s="115" t="n">
        <f aca="false">IFERROR(D355/C355/11.1*0.585*C355,0)</f>
        <v>0</v>
      </c>
      <c r="I355" s="119"/>
      <c r="J355" s="119"/>
      <c r="K355" s="119"/>
    </row>
    <row r="356" customFormat="false" ht="14.25" hidden="false" customHeight="true" outlineLevel="0" collapsed="false">
      <c r="H356" s="115" t="n">
        <f aca="false">IFERROR(D356/C356/11.1*0.585*C356,0)</f>
        <v>0</v>
      </c>
      <c r="I356" s="119"/>
      <c r="J356" s="119"/>
      <c r="K356" s="119"/>
    </row>
    <row r="357" customFormat="false" ht="14.25" hidden="false" customHeight="true" outlineLevel="0" collapsed="false">
      <c r="H357" s="115" t="n">
        <f aca="false">IFERROR(D357/C357/11.1*0.585*C357,0)</f>
        <v>0</v>
      </c>
      <c r="I357" s="117" t="n">
        <f aca="false">C359*Scoring!$B$36+TE!D359/Scoring!$C$36+TE!E359*Scoring!$D$36+TE!F359*Scoring!$E$36+H359*Scoring!$F$36</f>
        <v>0</v>
      </c>
      <c r="J357" s="117" t="n">
        <f aca="false">C357*Scoring!$B$36+TE!D357/Scoring!$C$36+TE!E357*Scoring!$D$36+TE!F357*Scoring!$E$36+H357*Scoring!$F$36</f>
        <v>0</v>
      </c>
      <c r="K357" s="117" t="n">
        <f aca="false">C358*Scoring!$B$36+TE!D358/Scoring!$C$36+TE!E358*Scoring!$D$36+TE!F358*Scoring!$E$36+H358*Scoring!$F$36</f>
        <v>0</v>
      </c>
    </row>
    <row r="358" customFormat="false" ht="14.25" hidden="false" customHeight="true" outlineLevel="0" collapsed="false">
      <c r="H358" s="115" t="n">
        <f aca="false">IFERROR(D358/C358/11.1*0.585*C358,0)</f>
        <v>0</v>
      </c>
      <c r="I358" s="119"/>
      <c r="J358" s="119"/>
      <c r="K358" s="119"/>
    </row>
    <row r="359" customFormat="false" ht="14.25" hidden="false" customHeight="true" outlineLevel="0" collapsed="false">
      <c r="H359" s="115" t="n">
        <f aca="false">IFERROR(D359/C359/11.1*0.585*C359,0)</f>
        <v>0</v>
      </c>
      <c r="I359" s="119"/>
      <c r="J359" s="119"/>
      <c r="K359" s="119"/>
    </row>
    <row r="360" customFormat="false" ht="14.25" hidden="false" customHeight="true" outlineLevel="0" collapsed="false">
      <c r="H360" s="115" t="n">
        <f aca="false">IFERROR(D360/C360/11.1*0.585*C360,0)</f>
        <v>0</v>
      </c>
      <c r="I360" s="117" t="n">
        <f aca="false">C362*Scoring!$B$36+TE!D362/Scoring!$C$36+TE!E362*Scoring!$D$36+TE!F362*Scoring!$E$36+H362*Scoring!$F$36</f>
        <v>0</v>
      </c>
      <c r="J360" s="117" t="n">
        <f aca="false">C360*Scoring!$B$36+TE!D360/Scoring!$C$36+TE!E360*Scoring!$D$36+TE!F360*Scoring!$E$36+H360*Scoring!$F$36</f>
        <v>0</v>
      </c>
      <c r="K360" s="117" t="n">
        <f aca="false">C361*Scoring!$B$36+TE!D361/Scoring!$C$36+TE!E361*Scoring!$D$36+TE!F361*Scoring!$E$36+H361*Scoring!$F$36</f>
        <v>0</v>
      </c>
    </row>
    <row r="361" customFormat="false" ht="14.25" hidden="false" customHeight="true" outlineLevel="0" collapsed="false">
      <c r="H361" s="115" t="n">
        <f aca="false">IFERROR(D361/C361/11.1*0.585*C361,0)</f>
        <v>0</v>
      </c>
      <c r="I361" s="119"/>
      <c r="J361" s="119"/>
      <c r="K361" s="119"/>
    </row>
    <row r="362" customFormat="false" ht="14.25" hidden="false" customHeight="true" outlineLevel="0" collapsed="false">
      <c r="H362" s="115" t="n">
        <f aca="false">IFERROR(D362/C362/11.1*0.585*C362,0)</f>
        <v>0</v>
      </c>
      <c r="I362" s="119"/>
      <c r="J362" s="119"/>
      <c r="K362" s="119"/>
    </row>
    <row r="363" customFormat="false" ht="14.25" hidden="false" customHeight="true" outlineLevel="0" collapsed="false">
      <c r="H363" s="115" t="n">
        <f aca="false">IFERROR(D363/C363/11.1*0.585*C363,0)</f>
        <v>0</v>
      </c>
      <c r="I363" s="117" t="n">
        <f aca="false">C365*Scoring!$B$36+TE!D365/Scoring!$C$36+TE!E365*Scoring!$D$36+TE!F365*Scoring!$E$36+H365*Scoring!$F$36</f>
        <v>0</v>
      </c>
      <c r="J363" s="117" t="n">
        <f aca="false">C363*Scoring!$B$36+TE!D363/Scoring!$C$36+TE!E363*Scoring!$D$36+TE!F363*Scoring!$E$36+H363*Scoring!$F$36</f>
        <v>0</v>
      </c>
      <c r="K363" s="117" t="n">
        <f aca="false">C364*Scoring!$B$36+TE!D364/Scoring!$C$36+TE!E364*Scoring!$D$36+TE!F364*Scoring!$E$36+H364*Scoring!$F$36</f>
        <v>0</v>
      </c>
    </row>
    <row r="364" customFormat="false" ht="14.25" hidden="false" customHeight="true" outlineLevel="0" collapsed="false">
      <c r="H364" s="115" t="n">
        <f aca="false">IFERROR(D364/C364/11.1*0.585*C364,0)</f>
        <v>0</v>
      </c>
      <c r="I364" s="119"/>
      <c r="J364" s="119"/>
      <c r="K364" s="119"/>
    </row>
    <row r="365" customFormat="false" ht="14.25" hidden="false" customHeight="true" outlineLevel="0" collapsed="false">
      <c r="H365" s="115" t="n">
        <f aca="false">IFERROR(D365/C365/11.1*0.585*C365,0)</f>
        <v>0</v>
      </c>
      <c r="I365" s="119"/>
      <c r="J365" s="119"/>
      <c r="K365" s="119"/>
    </row>
    <row r="366" customFormat="false" ht="14.25" hidden="false" customHeight="true" outlineLevel="0" collapsed="false">
      <c r="H366" s="115" t="n">
        <f aca="false">IFERROR(D366/C366/11.1*0.585*C366,0)</f>
        <v>0</v>
      </c>
      <c r="I366" s="117" t="n">
        <f aca="false">C368*Scoring!$B$36+TE!D368/Scoring!$C$36+TE!E368*Scoring!$D$36+TE!F368*Scoring!$E$36+H368*Scoring!$F$36</f>
        <v>0</v>
      </c>
      <c r="J366" s="117" t="n">
        <f aca="false">C366*Scoring!$B$36+TE!D366/Scoring!$C$36+TE!E366*Scoring!$D$36+TE!F366*Scoring!$E$36+H366*Scoring!$F$36</f>
        <v>0</v>
      </c>
      <c r="K366" s="117" t="n">
        <f aca="false">C367*Scoring!$B$36+TE!D367/Scoring!$C$36+TE!E367*Scoring!$D$36+TE!F367*Scoring!$E$36+H367*Scoring!$F$36</f>
        <v>0</v>
      </c>
    </row>
    <row r="367" customFormat="false" ht="14.25" hidden="false" customHeight="true" outlineLevel="0" collapsed="false">
      <c r="H367" s="115" t="n">
        <f aca="false">IFERROR(D367/C367/11.1*0.585*C367,0)</f>
        <v>0</v>
      </c>
      <c r="I367" s="119"/>
      <c r="J367" s="119"/>
      <c r="K367" s="119"/>
    </row>
    <row r="368" customFormat="false" ht="14.25" hidden="false" customHeight="true" outlineLevel="0" collapsed="false">
      <c r="H368" s="115" t="n">
        <f aca="false">IFERROR(D368/C368/11.1*0.585*C368,0)</f>
        <v>0</v>
      </c>
      <c r="I368" s="119"/>
      <c r="J368" s="119"/>
      <c r="K368" s="119"/>
    </row>
    <row r="369" customFormat="false" ht="14.25" hidden="false" customHeight="true" outlineLevel="0" collapsed="false">
      <c r="H369" s="115" t="n">
        <f aca="false">IFERROR(D369/C369/11.1*0.585*C369,0)</f>
        <v>0</v>
      </c>
      <c r="I369" s="117" t="n">
        <f aca="false">C371*Scoring!$B$36+TE!D371/Scoring!$C$36+TE!E371*Scoring!$D$36+TE!F371*Scoring!$E$36+H371*Scoring!$F$36</f>
        <v>0</v>
      </c>
      <c r="J369" s="117" t="n">
        <f aca="false">C369*Scoring!$B$36+TE!D369/Scoring!$C$36+TE!E369*Scoring!$D$36+TE!F369*Scoring!$E$36+H369*Scoring!$F$36</f>
        <v>0</v>
      </c>
      <c r="K369" s="117" t="n">
        <f aca="false">C370*Scoring!$B$36+TE!D370/Scoring!$C$36+TE!E370*Scoring!$D$36+TE!F370*Scoring!$E$36+H370*Scoring!$F$36</f>
        <v>0</v>
      </c>
    </row>
    <row r="370" customFormat="false" ht="14.25" hidden="false" customHeight="true" outlineLevel="0" collapsed="false">
      <c r="H370" s="115" t="n">
        <f aca="false">IFERROR(D370/C370/11.1*0.585*C370,0)</f>
        <v>0</v>
      </c>
      <c r="I370" s="119"/>
      <c r="J370" s="119"/>
      <c r="K370" s="119"/>
    </row>
    <row r="371" customFormat="false" ht="14.25" hidden="false" customHeight="true" outlineLevel="0" collapsed="false">
      <c r="H371" s="115" t="n">
        <f aca="false">IFERROR(D371/C371/11.1*0.585*C371,0)</f>
        <v>0</v>
      </c>
      <c r="I371" s="119"/>
      <c r="J371" s="119"/>
      <c r="K371" s="119"/>
    </row>
    <row r="372" customFormat="false" ht="14.25" hidden="false" customHeight="true" outlineLevel="0" collapsed="false">
      <c r="H372" s="115" t="n">
        <f aca="false">IFERROR(D372/C372/11.1*0.585*C372,0)</f>
        <v>0</v>
      </c>
      <c r="I372" s="117" t="n">
        <f aca="false">C374*Scoring!$B$36+TE!D374/Scoring!$C$36+TE!E374*Scoring!$D$36+TE!F374*Scoring!$E$36+H374*Scoring!$F$36</f>
        <v>0</v>
      </c>
      <c r="J372" s="117" t="n">
        <f aca="false">C372*Scoring!$B$36+TE!D372/Scoring!$C$36+TE!E372*Scoring!$D$36+TE!F372*Scoring!$E$36+H372*Scoring!$F$36</f>
        <v>0</v>
      </c>
      <c r="K372" s="117" t="n">
        <f aca="false">C373*Scoring!$B$36+TE!D373/Scoring!$C$36+TE!E373*Scoring!$D$36+TE!F373*Scoring!$E$36+H373*Scoring!$F$36</f>
        <v>0</v>
      </c>
    </row>
    <row r="373" customFormat="false" ht="14.25" hidden="false" customHeight="true" outlineLevel="0" collapsed="false">
      <c r="H373" s="115" t="n">
        <f aca="false">IFERROR(D373/C373/11.1*0.585*C373,0)</f>
        <v>0</v>
      </c>
      <c r="I373" s="119"/>
      <c r="J373" s="119"/>
      <c r="K373" s="119"/>
    </row>
    <row r="374" customFormat="false" ht="14.25" hidden="false" customHeight="true" outlineLevel="0" collapsed="false">
      <c r="H374" s="115" t="n">
        <f aca="false">IFERROR(D374/C374/11.1*0.585*C374,0)</f>
        <v>0</v>
      </c>
      <c r="I374" s="119"/>
      <c r="J374" s="119"/>
      <c r="K374" s="119"/>
    </row>
    <row r="375" customFormat="false" ht="14.25" hidden="false" customHeight="true" outlineLevel="0" collapsed="false">
      <c r="H375" s="115" t="n">
        <f aca="false">IFERROR(D375/C375/11.1*0.585*C375,0)</f>
        <v>0</v>
      </c>
      <c r="I375" s="117" t="n">
        <f aca="false">C377*Scoring!$B$36+TE!D377/Scoring!$C$36+TE!E377*Scoring!$D$36+TE!F377*Scoring!$E$36+H377*Scoring!$F$36</f>
        <v>0</v>
      </c>
      <c r="J375" s="117" t="n">
        <f aca="false">C375*Scoring!$B$36+TE!D375/Scoring!$C$36+TE!E375*Scoring!$D$36+TE!F375*Scoring!$E$36+H375*Scoring!$F$36</f>
        <v>0</v>
      </c>
      <c r="K375" s="117" t="n">
        <f aca="false">C376*Scoring!$B$36+TE!D376/Scoring!$C$36+TE!E376*Scoring!$D$36+TE!F376*Scoring!$E$36+H376*Scoring!$F$36</f>
        <v>0</v>
      </c>
    </row>
    <row r="376" customFormat="false" ht="14.25" hidden="false" customHeight="true" outlineLevel="0" collapsed="false">
      <c r="H376" s="115" t="n">
        <f aca="false">IFERROR(D376/C376/11.1*0.585*C376,0)</f>
        <v>0</v>
      </c>
      <c r="I376" s="119"/>
      <c r="J376" s="119"/>
      <c r="K376" s="119"/>
    </row>
    <row r="377" customFormat="false" ht="14.25" hidden="false" customHeight="true" outlineLevel="0" collapsed="false">
      <c r="H377" s="115" t="n">
        <f aca="false">IFERROR(D377/C377/11.1*0.585*C377,0)</f>
        <v>0</v>
      </c>
      <c r="I377" s="119"/>
      <c r="J377" s="119"/>
      <c r="K377" s="119"/>
    </row>
    <row r="378" customFormat="false" ht="14.25" hidden="false" customHeight="true" outlineLevel="0" collapsed="false">
      <c r="H378" s="115" t="n">
        <f aca="false">IFERROR(D378/C378/11.1*0.585*C378,0)</f>
        <v>0</v>
      </c>
      <c r="I378" s="117" t="n">
        <f aca="false">C380*Scoring!$B$36+TE!D380/Scoring!$C$36+TE!E380*Scoring!$D$36+TE!F380*Scoring!$E$36+H380*Scoring!$F$36</f>
        <v>0</v>
      </c>
      <c r="J378" s="117" t="n">
        <f aca="false">C378*Scoring!$B$36+TE!D378/Scoring!$C$36+TE!E378*Scoring!$D$36+TE!F378*Scoring!$E$36+H378*Scoring!$F$36</f>
        <v>0</v>
      </c>
      <c r="K378" s="117" t="n">
        <f aca="false">C379*Scoring!$B$36+TE!D379/Scoring!$C$36+TE!E379*Scoring!$D$36+TE!F379*Scoring!$E$36+H379*Scoring!$F$36</f>
        <v>0</v>
      </c>
    </row>
    <row r="379" customFormat="false" ht="14.25" hidden="false" customHeight="true" outlineLevel="0" collapsed="false">
      <c r="H379" s="115" t="n">
        <f aca="false">IFERROR(D379/C379/11.1*0.585*C379,0)</f>
        <v>0</v>
      </c>
      <c r="I379" s="119"/>
      <c r="J379" s="119"/>
      <c r="K379" s="119"/>
    </row>
    <row r="380" customFormat="false" ht="14.25" hidden="false" customHeight="true" outlineLevel="0" collapsed="false">
      <c r="H380" s="115" t="n">
        <f aca="false">IFERROR(D380/C380/11.1*0.585*C380,0)</f>
        <v>0</v>
      </c>
      <c r="I380" s="119"/>
      <c r="J380" s="119"/>
      <c r="K380" s="119"/>
    </row>
    <row r="381" customFormat="false" ht="14.25" hidden="false" customHeight="true" outlineLevel="0" collapsed="false">
      <c r="H381" s="115" t="n">
        <f aca="false">IFERROR(D381/C381/11.1*0.585*C381,0)</f>
        <v>0</v>
      </c>
      <c r="I381" s="117" t="n">
        <f aca="false">C383*Scoring!$B$36+TE!D383/Scoring!$C$36+TE!E383*Scoring!$D$36+TE!F383*Scoring!$E$36+H383*Scoring!$F$36</f>
        <v>0</v>
      </c>
      <c r="J381" s="117" t="n">
        <f aca="false">C381*Scoring!$B$36+TE!D381/Scoring!$C$36+TE!E381*Scoring!$D$36+TE!F381*Scoring!$E$36+H381*Scoring!$F$36</f>
        <v>0</v>
      </c>
      <c r="K381" s="117" t="n">
        <f aca="false">C382*Scoring!$B$36+TE!D382/Scoring!$C$36+TE!E382*Scoring!$D$36+TE!F382*Scoring!$E$36+H382*Scoring!$F$36</f>
        <v>0</v>
      </c>
    </row>
    <row r="382" customFormat="false" ht="14.25" hidden="false" customHeight="true" outlineLevel="0" collapsed="false">
      <c r="H382" s="115" t="n">
        <f aca="false">IFERROR(D382/C382/11.1*0.585*C382,0)</f>
        <v>0</v>
      </c>
      <c r="I382" s="119"/>
      <c r="J382" s="119"/>
      <c r="K382" s="119"/>
    </row>
    <row r="383" customFormat="false" ht="14.25" hidden="false" customHeight="true" outlineLevel="0" collapsed="false">
      <c r="H383" s="115" t="n">
        <f aca="false">IFERROR(D383/C383/11.1*0.585*C383,0)</f>
        <v>0</v>
      </c>
      <c r="I383" s="119"/>
      <c r="J383" s="119"/>
      <c r="K383" s="119"/>
    </row>
    <row r="384" customFormat="false" ht="14.25" hidden="false" customHeight="true" outlineLevel="0" collapsed="false">
      <c r="H384" s="115" t="n">
        <f aca="false">IFERROR(D384/C384/11.1*0.585*C384,0)</f>
        <v>0</v>
      </c>
      <c r="I384" s="117" t="n">
        <f aca="false">C386*Scoring!$B$36+TE!D386/Scoring!$C$36+TE!E386*Scoring!$D$36+TE!F386*Scoring!$E$36+H386*Scoring!$F$36</f>
        <v>0</v>
      </c>
      <c r="J384" s="117" t="n">
        <f aca="false">C384*Scoring!$B$36+TE!D384/Scoring!$C$36+TE!E384*Scoring!$D$36+TE!F384*Scoring!$E$36+H384*Scoring!$F$36</f>
        <v>0</v>
      </c>
      <c r="K384" s="117" t="n">
        <f aca="false">C385*Scoring!$B$36+TE!D385/Scoring!$C$36+TE!E385*Scoring!$D$36+TE!F385*Scoring!$E$36+H385*Scoring!$F$36</f>
        <v>0</v>
      </c>
    </row>
    <row r="385" customFormat="false" ht="14.25" hidden="false" customHeight="true" outlineLevel="0" collapsed="false">
      <c r="H385" s="115" t="n">
        <f aca="false">IFERROR(D385/C385/11.1*0.585*C385,0)</f>
        <v>0</v>
      </c>
      <c r="I385" s="119"/>
      <c r="J385" s="119"/>
      <c r="K385" s="119"/>
    </row>
    <row r="386" customFormat="false" ht="14.25" hidden="false" customHeight="true" outlineLevel="0" collapsed="false">
      <c r="H386" s="115" t="n">
        <f aca="false">IFERROR(D386/C386/11.1*0.585*C386,0)</f>
        <v>0</v>
      </c>
      <c r="I386" s="119"/>
      <c r="J386" s="119"/>
      <c r="K386" s="119"/>
    </row>
    <row r="387" customFormat="false" ht="14.25" hidden="false" customHeight="true" outlineLevel="0" collapsed="false">
      <c r="H387" s="115" t="n">
        <f aca="false">IFERROR(D387/C387/11.1*0.585*C387,0)</f>
        <v>0</v>
      </c>
      <c r="I387" s="117" t="n">
        <f aca="false">C389*Scoring!$B$36+TE!D389/Scoring!$C$36+TE!E389*Scoring!$D$36+TE!F389*Scoring!$E$36+H389*Scoring!$F$36</f>
        <v>0</v>
      </c>
      <c r="J387" s="117" t="n">
        <f aca="false">C387*Scoring!$B$36+TE!D387/Scoring!$C$36+TE!E387*Scoring!$D$36+TE!F387*Scoring!$E$36+H387*Scoring!$F$36</f>
        <v>0</v>
      </c>
      <c r="K387" s="117" t="n">
        <f aca="false">C388*Scoring!$B$36+TE!D388/Scoring!$C$36+TE!E388*Scoring!$D$36+TE!F388*Scoring!$E$36+H388*Scoring!$F$36</f>
        <v>0</v>
      </c>
    </row>
    <row r="388" customFormat="false" ht="14.25" hidden="false" customHeight="true" outlineLevel="0" collapsed="false">
      <c r="H388" s="115" t="n">
        <f aca="false">IFERROR(D388/C388/11.1*0.585*C388,0)</f>
        <v>0</v>
      </c>
      <c r="I388" s="119"/>
      <c r="J388" s="119"/>
      <c r="K388" s="119"/>
    </row>
    <row r="389" customFormat="false" ht="14.25" hidden="false" customHeight="true" outlineLevel="0" collapsed="false">
      <c r="H389" s="115" t="n">
        <f aca="false">IFERROR(D389/C389/11.1*0.585*C389,0)</f>
        <v>0</v>
      </c>
      <c r="I389" s="119"/>
      <c r="J389" s="119"/>
      <c r="K389" s="119"/>
    </row>
    <row r="390" customFormat="false" ht="14.25" hidden="false" customHeight="true" outlineLevel="0" collapsed="false">
      <c r="H390" s="115" t="n">
        <f aca="false">IFERROR(D390/C390/11.1*0.585*C390,0)</f>
        <v>0</v>
      </c>
      <c r="I390" s="117" t="n">
        <f aca="false">C392*Scoring!$B$36+TE!D392/Scoring!$C$36+TE!E392*Scoring!$D$36+TE!F392*Scoring!$E$36+H392*Scoring!$F$36</f>
        <v>0</v>
      </c>
      <c r="J390" s="117" t="n">
        <f aca="false">C390*Scoring!$B$36+TE!D390/Scoring!$C$36+TE!E390*Scoring!$D$36+TE!F390*Scoring!$E$36+H390*Scoring!$F$36</f>
        <v>0</v>
      </c>
      <c r="K390" s="117" t="n">
        <f aca="false">C391*Scoring!$B$36+TE!D391/Scoring!$C$36+TE!E391*Scoring!$D$36+TE!F391*Scoring!$E$36+H391*Scoring!$F$36</f>
        <v>0</v>
      </c>
    </row>
    <row r="391" customFormat="false" ht="14.25" hidden="false" customHeight="true" outlineLevel="0" collapsed="false">
      <c r="H391" s="115" t="n">
        <f aca="false">IFERROR(D391/C391/11.1*0.585*C391,0)</f>
        <v>0</v>
      </c>
      <c r="I391" s="119"/>
      <c r="J391" s="119"/>
      <c r="K391" s="119"/>
    </row>
    <row r="392" customFormat="false" ht="14.25" hidden="false" customHeight="true" outlineLevel="0" collapsed="false">
      <c r="H392" s="115" t="n">
        <f aca="false">IFERROR(D392/C392/11.1*0.585*C392,0)</f>
        <v>0</v>
      </c>
      <c r="I392" s="119"/>
      <c r="J392" s="119"/>
      <c r="K392" s="119"/>
    </row>
    <row r="393" customFormat="false" ht="14.25" hidden="false" customHeight="true" outlineLevel="0" collapsed="false">
      <c r="H393" s="115" t="n">
        <f aca="false">IFERROR(D393/C393/11.1*0.585*C393,0)</f>
        <v>0</v>
      </c>
      <c r="I393" s="117" t="n">
        <f aca="false">C395*Scoring!$B$36+TE!D395/Scoring!$C$36+TE!E395*Scoring!$D$36+TE!F395*Scoring!$E$36+H395*Scoring!$F$36</f>
        <v>0</v>
      </c>
      <c r="J393" s="117" t="n">
        <f aca="false">C393*Scoring!$B$36+TE!D393/Scoring!$C$36+TE!E393*Scoring!$D$36+TE!F393*Scoring!$E$36+H393*Scoring!$F$36</f>
        <v>0</v>
      </c>
      <c r="K393" s="117" t="n">
        <f aca="false">C394*Scoring!$B$36+TE!D394/Scoring!$C$36+TE!E394*Scoring!$D$36+TE!F394*Scoring!$E$36+H394*Scoring!$F$36</f>
        <v>0</v>
      </c>
    </row>
    <row r="394" customFormat="false" ht="14.25" hidden="false" customHeight="true" outlineLevel="0" collapsed="false">
      <c r="H394" s="115" t="n">
        <f aca="false">IFERROR(D394/C394/11.1*0.585*C394,0)</f>
        <v>0</v>
      </c>
      <c r="I394" s="119"/>
      <c r="J394" s="119"/>
      <c r="K394" s="119"/>
    </row>
    <row r="395" customFormat="false" ht="14.25" hidden="false" customHeight="true" outlineLevel="0" collapsed="false">
      <c r="H395" s="115" t="n">
        <f aca="false">IFERROR(D395/C395/11.1*0.585*C395,0)</f>
        <v>0</v>
      </c>
      <c r="I395" s="119"/>
      <c r="J395" s="119"/>
      <c r="K395" s="119"/>
    </row>
    <row r="396" customFormat="false" ht="14.25" hidden="false" customHeight="true" outlineLevel="0" collapsed="false">
      <c r="H396" s="115" t="n">
        <f aca="false">IFERROR(D396/C396/11.1*0.585*C396,0)</f>
        <v>0</v>
      </c>
      <c r="I396" s="117" t="n">
        <f aca="false">C398*Scoring!$B$36+TE!D398/Scoring!$C$36+TE!E398*Scoring!$D$36+TE!F398*Scoring!$E$36+H398*Scoring!$F$36</f>
        <v>0</v>
      </c>
      <c r="J396" s="117" t="n">
        <f aca="false">C396*Scoring!$B$36+TE!D396/Scoring!$C$36+TE!E396*Scoring!$D$36+TE!F396*Scoring!$E$36+H396*Scoring!$F$36</f>
        <v>0</v>
      </c>
      <c r="K396" s="117" t="n">
        <f aca="false">C397*Scoring!$B$36+TE!D397/Scoring!$C$36+TE!E397*Scoring!$D$36+TE!F397*Scoring!$E$36+H397*Scoring!$F$36</f>
        <v>0</v>
      </c>
    </row>
    <row r="397" customFormat="false" ht="14.25" hidden="false" customHeight="true" outlineLevel="0" collapsed="false">
      <c r="H397" s="115" t="n">
        <f aca="false">IFERROR(D397/C397/11.1*0.585*C397,0)</f>
        <v>0</v>
      </c>
      <c r="I397" s="119"/>
      <c r="J397" s="119"/>
      <c r="K397" s="119"/>
    </row>
    <row r="398" customFormat="false" ht="14.25" hidden="false" customHeight="true" outlineLevel="0" collapsed="false">
      <c r="H398" s="115" t="n">
        <f aca="false">IFERROR(D398/C398/11.1*0.585*C398,0)</f>
        <v>0</v>
      </c>
      <c r="I398" s="119"/>
      <c r="J398" s="119"/>
      <c r="K398" s="119"/>
    </row>
    <row r="399" customFormat="false" ht="14.25" hidden="false" customHeight="true" outlineLevel="0" collapsed="false">
      <c r="H399" s="115" t="n">
        <f aca="false">IFERROR(D399/C399/11.1*0.585*C399,0)</f>
        <v>0</v>
      </c>
      <c r="I399" s="117" t="n">
        <f aca="false">C401*Scoring!$B$36+TE!D401/Scoring!$C$36+TE!E401*Scoring!$D$36+TE!F401*Scoring!$E$36+H401*Scoring!$F$36</f>
        <v>0</v>
      </c>
      <c r="J399" s="117" t="n">
        <f aca="false">C399*Scoring!$B$36+TE!D399/Scoring!$C$36+TE!E399*Scoring!$D$36+TE!F399*Scoring!$E$36+H399*Scoring!$F$36</f>
        <v>0</v>
      </c>
      <c r="K399" s="117" t="n">
        <f aca="false">C400*Scoring!$B$36+TE!D400/Scoring!$C$36+TE!E400*Scoring!$D$36+TE!F400*Scoring!$E$36+H400*Scoring!$F$36</f>
        <v>0</v>
      </c>
    </row>
    <row r="400" customFormat="false" ht="14.25" hidden="false" customHeight="true" outlineLevel="0" collapsed="false">
      <c r="H400" s="115" t="n">
        <f aca="false">IFERROR(D400/C400/11.1*0.585*C400,0)</f>
        <v>0</v>
      </c>
      <c r="I400" s="119"/>
      <c r="J400" s="119"/>
      <c r="K400" s="119"/>
    </row>
    <row r="401" customFormat="false" ht="14.25" hidden="false" customHeight="true" outlineLevel="0" collapsed="false">
      <c r="H401" s="115" t="n">
        <f aca="false">IFERROR(D401/C401/11.1*0.585*C401,0)</f>
        <v>0</v>
      </c>
      <c r="I401" s="119"/>
      <c r="J401" s="119"/>
      <c r="K401" s="119"/>
    </row>
    <row r="402" customFormat="false" ht="14.25" hidden="false" customHeight="true" outlineLevel="0" collapsed="false">
      <c r="H402" s="115" t="n">
        <f aca="false">IFERROR(D402/C402/11.1*0.585*C402,0)</f>
        <v>0</v>
      </c>
      <c r="I402" s="117" t="n">
        <f aca="false">C404*Scoring!$B$36+TE!D404/Scoring!$C$36+TE!E404*Scoring!$D$36+TE!F404*Scoring!$E$36+H404*Scoring!$F$36</f>
        <v>0</v>
      </c>
      <c r="J402" s="117" t="n">
        <f aca="false">C402*Scoring!$B$36+TE!D402/Scoring!$C$36+TE!E402*Scoring!$D$36+TE!F402*Scoring!$E$36+H402*Scoring!$F$36</f>
        <v>0</v>
      </c>
      <c r="K402" s="117" t="n">
        <f aca="false">C403*Scoring!$B$36+TE!D403/Scoring!$C$36+TE!E403*Scoring!$D$36+TE!F403*Scoring!$E$36+H403*Scoring!$F$36</f>
        <v>0</v>
      </c>
    </row>
    <row r="403" customFormat="false" ht="14.25" hidden="false" customHeight="true" outlineLevel="0" collapsed="false">
      <c r="H403" s="115" t="n">
        <f aca="false">IFERROR(D403/C403/11.1*0.585*C403,0)</f>
        <v>0</v>
      </c>
      <c r="I403" s="119"/>
      <c r="J403" s="119"/>
      <c r="K403" s="119"/>
    </row>
    <row r="404" customFormat="false" ht="14.25" hidden="false" customHeight="true" outlineLevel="0" collapsed="false">
      <c r="H404" s="115" t="n">
        <f aca="false">IFERROR(D404/C404/11.1*0.585*C404,0)</f>
        <v>0</v>
      </c>
      <c r="I404" s="119"/>
      <c r="J404" s="119"/>
      <c r="K404" s="119"/>
    </row>
    <row r="405" customFormat="false" ht="14.25" hidden="false" customHeight="true" outlineLevel="0" collapsed="false">
      <c r="H405" s="115" t="n">
        <f aca="false">IFERROR(D405/C405/11.1*0.585*C405,0)</f>
        <v>0</v>
      </c>
      <c r="I405" s="117" t="n">
        <f aca="false">C407*Scoring!$B$36+TE!D407/Scoring!$C$36+TE!E407*Scoring!$D$36+TE!F407*Scoring!$E$36+H407*Scoring!$F$36</f>
        <v>0</v>
      </c>
      <c r="J405" s="117" t="n">
        <f aca="false">C405*Scoring!$B$36+TE!D405/Scoring!$C$36+TE!E405*Scoring!$D$36+TE!F405*Scoring!$E$36+H405*Scoring!$F$36</f>
        <v>0</v>
      </c>
      <c r="K405" s="117" t="n">
        <f aca="false">C406*Scoring!$B$36+TE!D406/Scoring!$C$36+TE!E406*Scoring!$D$36+TE!F406*Scoring!$E$36+H406*Scoring!$F$36</f>
        <v>0</v>
      </c>
    </row>
    <row r="406" customFormat="false" ht="14.25" hidden="false" customHeight="true" outlineLevel="0" collapsed="false">
      <c r="H406" s="115" t="n">
        <f aca="false">IFERROR(D406/C406/11.1*0.585*C406,0)</f>
        <v>0</v>
      </c>
      <c r="I406" s="119"/>
      <c r="J406" s="119"/>
      <c r="K406" s="119"/>
    </row>
    <row r="407" customFormat="false" ht="14.25" hidden="false" customHeight="true" outlineLevel="0" collapsed="false">
      <c r="H407" s="115" t="n">
        <f aca="false">IFERROR(D407/C407/11.1*0.585*C407,0)</f>
        <v>0</v>
      </c>
      <c r="I407" s="119"/>
      <c r="J407" s="119"/>
      <c r="K407" s="119"/>
    </row>
    <row r="408" customFormat="false" ht="14.25" hidden="false" customHeight="true" outlineLevel="0" collapsed="false">
      <c r="H408" s="115" t="n">
        <f aca="false">IFERROR(D408/C408/11.1*0.585*C408,0)</f>
        <v>0</v>
      </c>
      <c r="I408" s="117" t="n">
        <f aca="false">C410*Scoring!$B$36+TE!D410/Scoring!$C$36+TE!E410*Scoring!$D$36+TE!F410*Scoring!$E$36+H410*Scoring!$F$36</f>
        <v>0</v>
      </c>
      <c r="J408" s="117" t="n">
        <f aca="false">C408*Scoring!$B$36+TE!D408/Scoring!$C$36+TE!E408*Scoring!$D$36+TE!F408*Scoring!$E$36+H408*Scoring!$F$36</f>
        <v>0</v>
      </c>
      <c r="K408" s="117" t="n">
        <f aca="false">C409*Scoring!$B$36+TE!D409/Scoring!$C$36+TE!E409*Scoring!$D$36+TE!F409*Scoring!$E$36+H409*Scoring!$F$36</f>
        <v>0</v>
      </c>
    </row>
    <row r="409" customFormat="false" ht="14.25" hidden="false" customHeight="true" outlineLevel="0" collapsed="false">
      <c r="H409" s="115" t="n">
        <f aca="false">IFERROR(D409/C409/11.1*0.585*C409,0)</f>
        <v>0</v>
      </c>
      <c r="I409" s="119"/>
      <c r="J409" s="119"/>
      <c r="K409" s="119"/>
    </row>
    <row r="410" customFormat="false" ht="14.25" hidden="false" customHeight="true" outlineLevel="0" collapsed="false">
      <c r="H410" s="115" t="n">
        <f aca="false">IFERROR(D410/C410/11.1*0.585*C410,0)</f>
        <v>0</v>
      </c>
      <c r="I410" s="119"/>
      <c r="J410" s="119"/>
      <c r="K410" s="119"/>
    </row>
    <row r="411" customFormat="false" ht="14.25" hidden="false" customHeight="true" outlineLevel="0" collapsed="false">
      <c r="H411" s="115" t="n">
        <f aca="false">IFERROR(D411/C411/11.1*0.585*C411,0)</f>
        <v>0</v>
      </c>
      <c r="I411" s="117" t="n">
        <f aca="false">C413*Scoring!$B$36+TE!D413/Scoring!$C$36+TE!E413*Scoring!$D$36+TE!F413*Scoring!$E$36+H413*Scoring!$F$36</f>
        <v>0</v>
      </c>
      <c r="J411" s="117" t="n">
        <f aca="false">C411*Scoring!$B$36+TE!D411/Scoring!$C$36+TE!E411*Scoring!$D$36+TE!F411*Scoring!$E$36+H411*Scoring!$F$36</f>
        <v>0</v>
      </c>
      <c r="K411" s="117" t="n">
        <f aca="false">C412*Scoring!$B$36+TE!D412/Scoring!$C$36+TE!E412*Scoring!$D$36+TE!F412*Scoring!$E$36+H412*Scoring!$F$36</f>
        <v>0</v>
      </c>
    </row>
    <row r="412" customFormat="false" ht="14.25" hidden="false" customHeight="true" outlineLevel="0" collapsed="false">
      <c r="H412" s="115" t="n">
        <f aca="false">IFERROR(D412/C412/11.1*0.585*C412,0)</f>
        <v>0</v>
      </c>
      <c r="I412" s="119"/>
      <c r="J412" s="119"/>
      <c r="K412" s="119"/>
    </row>
    <row r="413" customFormat="false" ht="14.25" hidden="false" customHeight="true" outlineLevel="0" collapsed="false">
      <c r="H413" s="115" t="n">
        <f aca="false">IFERROR(D413/C413/11.1*0.585*C413,0)</f>
        <v>0</v>
      </c>
      <c r="I413" s="119"/>
      <c r="J413" s="119"/>
      <c r="K413" s="119"/>
    </row>
    <row r="414" customFormat="false" ht="14.25" hidden="false" customHeight="true" outlineLevel="0" collapsed="false">
      <c r="H414" s="115" t="n">
        <f aca="false">IFERROR(D414/C414/11.1*0.585*C414,0)</f>
        <v>0</v>
      </c>
      <c r="I414" s="117" t="n">
        <f aca="false">C416*Scoring!$B$36+TE!D416/Scoring!$C$36+TE!E416*Scoring!$D$36+TE!F416*Scoring!$E$36+H416*Scoring!$F$36</f>
        <v>0</v>
      </c>
      <c r="J414" s="117" t="n">
        <f aca="false">C414*Scoring!$B$36+TE!D414/Scoring!$C$36+TE!E414*Scoring!$D$36+TE!F414*Scoring!$E$36+H414*Scoring!$F$36</f>
        <v>0</v>
      </c>
      <c r="K414" s="117" t="n">
        <f aca="false">C415*Scoring!$B$36+TE!D415/Scoring!$C$36+TE!E415*Scoring!$D$36+TE!F415*Scoring!$E$36+H415*Scoring!$F$36</f>
        <v>0</v>
      </c>
    </row>
    <row r="415" customFormat="false" ht="14.25" hidden="false" customHeight="true" outlineLevel="0" collapsed="false">
      <c r="H415" s="115" t="n">
        <f aca="false">IFERROR(D415/C415/11.1*0.585*C415,0)</f>
        <v>0</v>
      </c>
      <c r="I415" s="119"/>
      <c r="J415" s="119"/>
      <c r="K415" s="119"/>
    </row>
    <row r="416" customFormat="false" ht="14.25" hidden="false" customHeight="true" outlineLevel="0" collapsed="false">
      <c r="H416" s="115" t="n">
        <f aca="false">IFERROR(D416/C416/11.1*0.585*C416,0)</f>
        <v>0</v>
      </c>
      <c r="I416" s="119"/>
      <c r="J416" s="119"/>
      <c r="K416" s="119"/>
    </row>
    <row r="417" customFormat="false" ht="14.25" hidden="false" customHeight="true" outlineLevel="0" collapsed="false">
      <c r="H417" s="115" t="n">
        <f aca="false">IFERROR(D417/C417/11.1*0.585*C417,0)</f>
        <v>0</v>
      </c>
      <c r="I417" s="117" t="n">
        <f aca="false">C419*Scoring!$B$36+TE!D419/Scoring!$C$36+TE!E419*Scoring!$D$36+TE!F419*Scoring!$E$36+H419*Scoring!$F$36</f>
        <v>0</v>
      </c>
      <c r="J417" s="117" t="n">
        <f aca="false">C417*Scoring!$B$36+TE!D417/Scoring!$C$36+TE!E417*Scoring!$D$36+TE!F417*Scoring!$E$36+H417*Scoring!$F$36</f>
        <v>0</v>
      </c>
      <c r="K417" s="117" t="n">
        <f aca="false">C418*Scoring!$B$36+TE!D418/Scoring!$C$36+TE!E418*Scoring!$D$36+TE!F418*Scoring!$E$36+H418*Scoring!$F$36</f>
        <v>0</v>
      </c>
    </row>
    <row r="418" customFormat="false" ht="14.25" hidden="false" customHeight="true" outlineLevel="0" collapsed="false">
      <c r="H418" s="115" t="n">
        <f aca="false">IFERROR(D418/C418/11.1*0.585*C418,0)</f>
        <v>0</v>
      </c>
      <c r="I418" s="119"/>
      <c r="J418" s="119"/>
      <c r="K418" s="119"/>
    </row>
    <row r="419" customFormat="false" ht="14.25" hidden="false" customHeight="true" outlineLevel="0" collapsed="false">
      <c r="H419" s="115" t="n">
        <f aca="false">IFERROR(D419/C419/11.1*0.585*C419,0)</f>
        <v>0</v>
      </c>
      <c r="I419" s="119"/>
      <c r="J419" s="119"/>
      <c r="K419" s="119"/>
    </row>
    <row r="420" customFormat="false" ht="14.25" hidden="false" customHeight="true" outlineLevel="0" collapsed="false">
      <c r="H420" s="115" t="n">
        <f aca="false">IFERROR(D420/C420/11.1*0.585*C420,0)</f>
        <v>0</v>
      </c>
      <c r="I420" s="117" t="n">
        <f aca="false">C422*Scoring!$B$36+TE!D422/Scoring!$C$36+TE!E422*Scoring!$D$36+TE!F422*Scoring!$E$36+H422*Scoring!$F$36</f>
        <v>0</v>
      </c>
      <c r="J420" s="117" t="n">
        <f aca="false">C420*Scoring!$B$36+TE!D420/Scoring!$C$36+TE!E420*Scoring!$D$36+TE!F420*Scoring!$E$36+H420*Scoring!$F$36</f>
        <v>0</v>
      </c>
      <c r="K420" s="117" t="n">
        <f aca="false">C421*Scoring!$B$36+TE!D421/Scoring!$C$36+TE!E421*Scoring!$D$36+TE!F421*Scoring!$E$36+H421*Scoring!$F$36</f>
        <v>0</v>
      </c>
    </row>
    <row r="421" customFormat="false" ht="14.25" hidden="false" customHeight="true" outlineLevel="0" collapsed="false">
      <c r="H421" s="115" t="n">
        <f aca="false">IFERROR(D421/C421/11.1*0.585*C421,0)</f>
        <v>0</v>
      </c>
      <c r="I421" s="119"/>
      <c r="J421" s="119"/>
      <c r="K421" s="119"/>
    </row>
    <row r="422" customFormat="false" ht="14.25" hidden="false" customHeight="true" outlineLevel="0" collapsed="false">
      <c r="H422" s="115" t="n">
        <f aca="false">IFERROR(D422/C422/11.1*0.585*C422,0)</f>
        <v>0</v>
      </c>
      <c r="I422" s="119"/>
      <c r="J422" s="119"/>
      <c r="K422" s="119"/>
    </row>
    <row r="423" customFormat="false" ht="14.25" hidden="false" customHeight="true" outlineLevel="0" collapsed="false">
      <c r="H423" s="115" t="n">
        <f aca="false">IFERROR(D423/C423/11.1*0.585*C423,0)</f>
        <v>0</v>
      </c>
      <c r="I423" s="117" t="n">
        <f aca="false">C425*Scoring!$B$36+TE!D425/Scoring!$C$36+TE!E425*Scoring!$D$36+TE!F425*Scoring!$E$36+H425*Scoring!$F$36</f>
        <v>0</v>
      </c>
      <c r="J423" s="117" t="n">
        <f aca="false">C423*Scoring!$B$36+TE!D423/Scoring!$C$36+TE!E423*Scoring!$D$36+TE!F423*Scoring!$E$36+H423*Scoring!$F$36</f>
        <v>0</v>
      </c>
      <c r="K423" s="117" t="n">
        <f aca="false">C424*Scoring!$B$36+TE!D424/Scoring!$C$36+TE!E424*Scoring!$D$36+TE!F424*Scoring!$E$36+H424*Scoring!$F$36</f>
        <v>0</v>
      </c>
    </row>
    <row r="424" customFormat="false" ht="14.25" hidden="false" customHeight="true" outlineLevel="0" collapsed="false">
      <c r="H424" s="115" t="n">
        <f aca="false">IFERROR(D424/C424/11.1*0.585*C424,0)</f>
        <v>0</v>
      </c>
      <c r="I424" s="119"/>
      <c r="J424" s="119"/>
      <c r="K424" s="119"/>
    </row>
    <row r="425" customFormat="false" ht="14.25" hidden="false" customHeight="true" outlineLevel="0" collapsed="false">
      <c r="H425" s="115" t="n">
        <f aca="false">IFERROR(D425/C425/11.1*0.585*C425,0)</f>
        <v>0</v>
      </c>
      <c r="I425" s="119"/>
      <c r="J425" s="119"/>
      <c r="K425" s="119"/>
    </row>
    <row r="426" customFormat="false" ht="14.25" hidden="false" customHeight="true" outlineLevel="0" collapsed="false">
      <c r="H426" s="115" t="n">
        <f aca="false">IFERROR(D426/C426/11.1*0.585*C426,0)</f>
        <v>0</v>
      </c>
      <c r="I426" s="117" t="n">
        <f aca="false">C428*Scoring!$B$36+TE!D428/Scoring!$C$36+TE!E428*Scoring!$D$36+TE!F428*Scoring!$E$36+H428*Scoring!$F$36</f>
        <v>0</v>
      </c>
      <c r="J426" s="117" t="n">
        <f aca="false">C426*Scoring!$B$36+TE!D426/Scoring!$C$36+TE!E426*Scoring!$D$36+TE!F426*Scoring!$E$36+H426*Scoring!$F$36</f>
        <v>0</v>
      </c>
      <c r="K426" s="117" t="n">
        <f aca="false">C427*Scoring!$B$36+TE!D427/Scoring!$C$36+TE!E427*Scoring!$D$36+TE!F427*Scoring!$E$36+H427*Scoring!$F$36</f>
        <v>0</v>
      </c>
    </row>
    <row r="427" customFormat="false" ht="14.25" hidden="false" customHeight="true" outlineLevel="0" collapsed="false">
      <c r="H427" s="115" t="n">
        <f aca="false">IFERROR(D427/C427/11.1*0.585*C427,0)</f>
        <v>0</v>
      </c>
      <c r="I427" s="119"/>
      <c r="J427" s="119"/>
      <c r="K427" s="119"/>
    </row>
    <row r="428" customFormat="false" ht="14.25" hidden="false" customHeight="true" outlineLevel="0" collapsed="false">
      <c r="H428" s="115" t="n">
        <f aca="false">IFERROR(D428/C428/11.1*0.585*C428,0)</f>
        <v>0</v>
      </c>
      <c r="I428" s="119"/>
      <c r="J428" s="119"/>
      <c r="K428" s="119"/>
    </row>
    <row r="429" customFormat="false" ht="14.25" hidden="false" customHeight="true" outlineLevel="0" collapsed="false">
      <c r="H429" s="115" t="n">
        <f aca="false">IFERROR(D429/C429/11.1*0.585*C429,0)</f>
        <v>0</v>
      </c>
      <c r="I429" s="117" t="n">
        <f aca="false">C431*Scoring!$B$36+TE!D431/Scoring!$C$36+TE!E431*Scoring!$D$36+TE!F431*Scoring!$E$36+H431*Scoring!$F$36</f>
        <v>0</v>
      </c>
      <c r="J429" s="117" t="n">
        <f aca="false">C429*Scoring!$B$36+TE!D429/Scoring!$C$36+TE!E429*Scoring!$D$36+TE!F429*Scoring!$E$36+H429*Scoring!$F$36</f>
        <v>0</v>
      </c>
      <c r="K429" s="117" t="n">
        <f aca="false">C430*Scoring!$B$36+TE!D430/Scoring!$C$36+TE!E430*Scoring!$D$36+TE!F430*Scoring!$E$36+H430*Scoring!$F$36</f>
        <v>0</v>
      </c>
    </row>
    <row r="430" customFormat="false" ht="14.25" hidden="false" customHeight="true" outlineLevel="0" collapsed="false">
      <c r="H430" s="115" t="n">
        <f aca="false">IFERROR(D430/C430/11.1*0.585*C430,0)</f>
        <v>0</v>
      </c>
      <c r="I430" s="119"/>
      <c r="J430" s="119"/>
      <c r="K430" s="119"/>
    </row>
    <row r="431" customFormat="false" ht="14.25" hidden="false" customHeight="true" outlineLevel="0" collapsed="false">
      <c r="H431" s="115" t="n">
        <f aca="false">IFERROR(D431/C431/11.1*0.585*C431,0)</f>
        <v>0</v>
      </c>
      <c r="I431" s="119"/>
      <c r="J431" s="119"/>
      <c r="K431" s="119"/>
    </row>
    <row r="432" customFormat="false" ht="14.25" hidden="false" customHeight="true" outlineLevel="0" collapsed="false">
      <c r="H432" s="115" t="n">
        <f aca="false">IFERROR(D432/C432/11.1*0.585*C432,0)</f>
        <v>0</v>
      </c>
      <c r="I432" s="117" t="n">
        <f aca="false">C434*Scoring!$B$36+TE!D434/Scoring!$C$36+TE!E434*Scoring!$D$36+TE!F434*Scoring!$E$36+H434*Scoring!$F$36</f>
        <v>0</v>
      </c>
      <c r="J432" s="117" t="n">
        <f aca="false">C432*Scoring!$B$36+TE!D432/Scoring!$C$36+TE!E432*Scoring!$D$36+TE!F432*Scoring!$E$36+H432*Scoring!$F$36</f>
        <v>0</v>
      </c>
      <c r="K432" s="117" t="n">
        <f aca="false">C433*Scoring!$B$36+TE!D433/Scoring!$C$36+TE!E433*Scoring!$D$36+TE!F433*Scoring!$E$36+H433*Scoring!$F$36</f>
        <v>0</v>
      </c>
    </row>
    <row r="433" customFormat="false" ht="14.25" hidden="false" customHeight="true" outlineLevel="0" collapsed="false">
      <c r="H433" s="115" t="n">
        <f aca="false">IFERROR(D433/C433/11.1*0.585*C433,0)</f>
        <v>0</v>
      </c>
      <c r="I433" s="119"/>
      <c r="J433" s="119"/>
      <c r="K433" s="119"/>
    </row>
    <row r="434" customFormat="false" ht="14.25" hidden="false" customHeight="true" outlineLevel="0" collapsed="false">
      <c r="H434" s="115" t="n">
        <f aca="false">IFERROR(D434/C434/11.1*0.585*C434,0)</f>
        <v>0</v>
      </c>
      <c r="I434" s="119"/>
      <c r="J434" s="119"/>
      <c r="K434" s="119"/>
    </row>
    <row r="435" customFormat="false" ht="14.25" hidden="false" customHeight="true" outlineLevel="0" collapsed="false">
      <c r="H435" s="115" t="n">
        <f aca="false">IFERROR(D435/C435/11.1*0.585*C435,0)</f>
        <v>0</v>
      </c>
      <c r="I435" s="117" t="n">
        <f aca="false">C437*Scoring!$B$36+TE!D437/Scoring!$C$36+TE!E437*Scoring!$D$36+TE!F437*Scoring!$E$36+H437*Scoring!$F$36</f>
        <v>0</v>
      </c>
      <c r="J435" s="117" t="n">
        <f aca="false">C435*Scoring!$B$36+TE!D435/Scoring!$C$36+TE!E435*Scoring!$D$36+TE!F435*Scoring!$E$36+H435*Scoring!$F$36</f>
        <v>0</v>
      </c>
      <c r="K435" s="117" t="n">
        <f aca="false">C436*Scoring!$B$36+TE!D436/Scoring!$C$36+TE!E436*Scoring!$D$36+TE!F436*Scoring!$E$36+H436*Scoring!$F$36</f>
        <v>0</v>
      </c>
    </row>
    <row r="436" customFormat="false" ht="14.25" hidden="false" customHeight="true" outlineLevel="0" collapsed="false">
      <c r="H436" s="115" t="n">
        <f aca="false">IFERROR(D436/C436/11.1*0.585*C436,0)</f>
        <v>0</v>
      </c>
      <c r="I436" s="119"/>
      <c r="J436" s="119"/>
      <c r="K436" s="119"/>
    </row>
    <row r="437" customFormat="false" ht="14.25" hidden="false" customHeight="true" outlineLevel="0" collapsed="false">
      <c r="H437" s="115" t="n">
        <f aca="false">IFERROR(D437/C437/11.1*0.585*C437,0)</f>
        <v>0</v>
      </c>
      <c r="I437" s="119"/>
      <c r="J437" s="119"/>
      <c r="K437" s="119"/>
    </row>
    <row r="438" customFormat="false" ht="14.25" hidden="false" customHeight="true" outlineLevel="0" collapsed="false">
      <c r="H438" s="115" t="n">
        <f aca="false">IFERROR(D438/C438/11.1*0.585*C438,0)</f>
        <v>0</v>
      </c>
      <c r="I438" s="117" t="n">
        <f aca="false">C440*Scoring!$B$36+TE!D440/Scoring!$C$36+TE!E440*Scoring!$D$36+TE!F440*Scoring!$E$36+H440*Scoring!$F$36</f>
        <v>0</v>
      </c>
      <c r="J438" s="117" t="n">
        <f aca="false">C438*Scoring!$B$36+TE!D438/Scoring!$C$36+TE!E438*Scoring!$D$36+TE!F438*Scoring!$E$36+H438*Scoring!$F$36</f>
        <v>0</v>
      </c>
      <c r="K438" s="117" t="n">
        <f aca="false">C439*Scoring!$B$36+TE!D439/Scoring!$C$36+TE!E439*Scoring!$D$36+TE!F439*Scoring!$E$36+H439*Scoring!$F$36</f>
        <v>0</v>
      </c>
    </row>
    <row r="439" customFormat="false" ht="14.25" hidden="false" customHeight="true" outlineLevel="0" collapsed="false">
      <c r="H439" s="115" t="n">
        <f aca="false">IFERROR(D439/C439/11.1*0.585*C439,0)</f>
        <v>0</v>
      </c>
      <c r="I439" s="119"/>
      <c r="J439" s="119"/>
      <c r="K439" s="119"/>
    </row>
    <row r="440" customFormat="false" ht="14.25" hidden="false" customHeight="true" outlineLevel="0" collapsed="false">
      <c r="H440" s="115" t="n">
        <f aca="false">IFERROR(D440/C440/11.1*0.585*C440,0)</f>
        <v>0</v>
      </c>
      <c r="I440" s="119"/>
      <c r="J440" s="119"/>
      <c r="K440" s="119"/>
    </row>
    <row r="441" customFormat="false" ht="14.25" hidden="false" customHeight="true" outlineLevel="0" collapsed="false">
      <c r="H441" s="115" t="n">
        <f aca="false">IFERROR(D441/C441/11.1*0.585*C441,0)</f>
        <v>0</v>
      </c>
      <c r="I441" s="117" t="n">
        <f aca="false">C443*Scoring!$B$36+TE!D443/Scoring!$C$36+TE!E443*Scoring!$D$36+TE!F443*Scoring!$E$36+H443*Scoring!$F$36</f>
        <v>0</v>
      </c>
      <c r="J441" s="117" t="n">
        <f aca="false">C441*Scoring!$B$36+TE!D441/Scoring!$C$36+TE!E441*Scoring!$D$36+TE!F441*Scoring!$E$36+H441*Scoring!$F$36</f>
        <v>0</v>
      </c>
      <c r="K441" s="117" t="n">
        <f aca="false">C442*Scoring!$B$36+TE!D442/Scoring!$C$36+TE!E442*Scoring!$D$36+TE!F442*Scoring!$E$36+H442*Scoring!$F$36</f>
        <v>0</v>
      </c>
    </row>
    <row r="442" customFormat="false" ht="14.25" hidden="false" customHeight="true" outlineLevel="0" collapsed="false">
      <c r="H442" s="115" t="n">
        <f aca="false">IFERROR(D442/C442/11.1*0.585*C442,0)</f>
        <v>0</v>
      </c>
      <c r="I442" s="119"/>
      <c r="J442" s="119"/>
      <c r="K442" s="119"/>
    </row>
    <row r="443" customFormat="false" ht="14.25" hidden="false" customHeight="true" outlineLevel="0" collapsed="false">
      <c r="H443" s="115" t="n">
        <f aca="false">IFERROR(D443/C443/11.1*0.585*C443,0)</f>
        <v>0</v>
      </c>
      <c r="I443" s="119"/>
      <c r="J443" s="119"/>
      <c r="K443" s="119"/>
    </row>
    <row r="444" customFormat="false" ht="14.25" hidden="false" customHeight="true" outlineLevel="0" collapsed="false">
      <c r="H444" s="115" t="n">
        <f aca="false">IFERROR(D444/C444/11.1*0.585*C444,0)</f>
        <v>0</v>
      </c>
      <c r="I444" s="117" t="n">
        <f aca="false">C446*Scoring!$B$36+TE!D446/Scoring!$C$36+TE!E446*Scoring!$D$36+TE!F446*Scoring!$E$36+H446*Scoring!$F$36</f>
        <v>0</v>
      </c>
      <c r="J444" s="117" t="n">
        <f aca="false">C444*Scoring!$B$36+TE!D444/Scoring!$C$36+TE!E444*Scoring!$D$36+TE!F444*Scoring!$E$36+H444*Scoring!$F$36</f>
        <v>0</v>
      </c>
      <c r="K444" s="117" t="n">
        <f aca="false">C445*Scoring!$B$36+TE!D445/Scoring!$C$36+TE!E445*Scoring!$D$36+TE!F445*Scoring!$E$36+H445*Scoring!$F$36</f>
        <v>0</v>
      </c>
    </row>
    <row r="445" customFormat="false" ht="14.25" hidden="false" customHeight="true" outlineLevel="0" collapsed="false">
      <c r="H445" s="115" t="n">
        <f aca="false">IFERROR(D445/C445/11.1*0.585*C445,0)</f>
        <v>0</v>
      </c>
      <c r="I445" s="119"/>
      <c r="J445" s="119"/>
      <c r="K445" s="119"/>
    </row>
    <row r="446" customFormat="false" ht="14.25" hidden="false" customHeight="true" outlineLevel="0" collapsed="false">
      <c r="H446" s="115" t="n">
        <f aca="false">IFERROR(D446/C446/11.1*0.585*C446,0)</f>
        <v>0</v>
      </c>
      <c r="I446" s="119"/>
      <c r="J446" s="119"/>
      <c r="K446" s="119"/>
    </row>
    <row r="447" customFormat="false" ht="14.25" hidden="false" customHeight="true" outlineLevel="0" collapsed="false">
      <c r="H447" s="115" t="n">
        <f aca="false">IFERROR(D447/C447/11.1*0.585*C447,0)</f>
        <v>0</v>
      </c>
      <c r="I447" s="117" t="n">
        <f aca="false">C449*Scoring!$B$36+TE!D449/Scoring!$C$36+TE!E449*Scoring!$D$36+TE!F449*Scoring!$E$36+H449*Scoring!$F$36</f>
        <v>0</v>
      </c>
      <c r="J447" s="117" t="n">
        <f aca="false">C447*Scoring!$B$36+TE!D447/Scoring!$C$36+TE!E447*Scoring!$D$36+TE!F447*Scoring!$E$36+H447*Scoring!$F$36</f>
        <v>0</v>
      </c>
      <c r="K447" s="117" t="n">
        <f aca="false">C448*Scoring!$B$36+TE!D448/Scoring!$C$36+TE!E448*Scoring!$D$36+TE!F448*Scoring!$E$36+H448*Scoring!$F$36</f>
        <v>0</v>
      </c>
    </row>
    <row r="448" customFormat="false" ht="14.25" hidden="false" customHeight="true" outlineLevel="0" collapsed="false">
      <c r="H448" s="115" t="n">
        <f aca="false">IFERROR(D448/C448/11.1*0.585*C448,0)</f>
        <v>0</v>
      </c>
      <c r="I448" s="119"/>
      <c r="J448" s="119"/>
      <c r="K448" s="119"/>
    </row>
    <row r="449" customFormat="false" ht="14.25" hidden="false" customHeight="true" outlineLevel="0" collapsed="false">
      <c r="H449" s="115" t="n">
        <f aca="false">IFERROR(D449/C449/11.1*0.585*C449,0)</f>
        <v>0</v>
      </c>
      <c r="I449" s="119"/>
      <c r="J449" s="119"/>
      <c r="K449" s="119"/>
    </row>
    <row r="450" customFormat="false" ht="14.25" hidden="false" customHeight="true" outlineLevel="0" collapsed="false">
      <c r="H450" s="115" t="n">
        <f aca="false">IFERROR(D450/C450/11.1*0.585*C450,0)</f>
        <v>0</v>
      </c>
      <c r="I450" s="117" t="n">
        <f aca="false">C452*Scoring!$B$36+TE!D452/Scoring!$C$36+TE!E452*Scoring!$D$36+TE!F452*Scoring!$E$36+H452*Scoring!$F$36</f>
        <v>0</v>
      </c>
      <c r="J450" s="117" t="n">
        <f aca="false">C450*Scoring!$B$36+TE!D450/Scoring!$C$36+TE!E450*Scoring!$D$36+TE!F450*Scoring!$E$36+H450*Scoring!$F$36</f>
        <v>0</v>
      </c>
      <c r="K450" s="117" t="n">
        <f aca="false">C451*Scoring!$B$36+TE!D451/Scoring!$C$36+TE!E451*Scoring!$D$36+TE!F451*Scoring!$E$36+H451*Scoring!$F$36</f>
        <v>0</v>
      </c>
    </row>
    <row r="451" customFormat="false" ht="14.25" hidden="false" customHeight="true" outlineLevel="0" collapsed="false">
      <c r="H451" s="115" t="n">
        <f aca="false">IFERROR(D451/C451/11.1*0.585*C451,0)</f>
        <v>0</v>
      </c>
      <c r="I451" s="119"/>
      <c r="J451" s="119"/>
      <c r="K451" s="119"/>
    </row>
    <row r="452" customFormat="false" ht="14.25" hidden="false" customHeight="true" outlineLevel="0" collapsed="false">
      <c r="H452" s="115" t="n">
        <f aca="false">IFERROR(D452/C452/11.1*0.585*C452,0)</f>
        <v>0</v>
      </c>
      <c r="I452" s="119"/>
      <c r="J452" s="119"/>
      <c r="K452" s="119"/>
    </row>
    <row r="453" customFormat="false" ht="14.25" hidden="false" customHeight="true" outlineLevel="0" collapsed="false">
      <c r="H453" s="115" t="n">
        <f aca="false">IFERROR(D453/C453/11.1*0.585*C453,0)</f>
        <v>0</v>
      </c>
      <c r="I453" s="117" t="n">
        <f aca="false">C455*Scoring!$B$36+TE!D455/Scoring!$C$36+TE!E455*Scoring!$D$36+TE!F455*Scoring!$E$36+H455*Scoring!$F$36</f>
        <v>0</v>
      </c>
      <c r="J453" s="117" t="n">
        <f aca="false">C453*Scoring!$B$36+TE!D453/Scoring!$C$36+TE!E453*Scoring!$D$36+TE!F453*Scoring!$E$36+H453*Scoring!$F$36</f>
        <v>0</v>
      </c>
      <c r="K453" s="117" t="n">
        <f aca="false">C454*Scoring!$B$36+TE!D454/Scoring!$C$36+TE!E454*Scoring!$D$36+TE!F454*Scoring!$E$36+H454*Scoring!$F$36</f>
        <v>0</v>
      </c>
    </row>
    <row r="454" customFormat="false" ht="14.25" hidden="false" customHeight="true" outlineLevel="0" collapsed="false">
      <c r="H454" s="115" t="n">
        <f aca="false">IFERROR(D454/C454/11.1*0.585*C454,0)</f>
        <v>0</v>
      </c>
      <c r="I454" s="119"/>
      <c r="J454" s="119"/>
      <c r="K454" s="119"/>
    </row>
    <row r="455" customFormat="false" ht="14.25" hidden="false" customHeight="true" outlineLevel="0" collapsed="false">
      <c r="H455" s="115" t="n">
        <f aca="false">IFERROR(D455/C455/11.1*0.585*C455,0)</f>
        <v>0</v>
      </c>
      <c r="I455" s="119"/>
      <c r="J455" s="119"/>
      <c r="K455" s="119"/>
    </row>
    <row r="456" customFormat="false" ht="14.25" hidden="false" customHeight="true" outlineLevel="0" collapsed="false">
      <c r="H456" s="115" t="n">
        <f aca="false">IFERROR(D456/C456/11.1*0.585*C456,0)</f>
        <v>0</v>
      </c>
      <c r="I456" s="117" t="n">
        <f aca="false">C458*Scoring!$B$36+TE!D458/Scoring!$C$36+TE!E458*Scoring!$D$36+TE!F458*Scoring!$E$36+H458*Scoring!$F$36</f>
        <v>0</v>
      </c>
      <c r="J456" s="117" t="n">
        <f aca="false">C456*Scoring!$B$36+TE!D456/Scoring!$C$36+TE!E456*Scoring!$D$36+TE!F456*Scoring!$E$36+H456*Scoring!$F$36</f>
        <v>0</v>
      </c>
      <c r="K456" s="117" t="n">
        <f aca="false">C457*Scoring!$B$36+TE!D457/Scoring!$C$36+TE!E457*Scoring!$D$36+TE!F457*Scoring!$E$36+H457*Scoring!$F$36</f>
        <v>0</v>
      </c>
    </row>
    <row r="457" customFormat="false" ht="14.25" hidden="false" customHeight="true" outlineLevel="0" collapsed="false">
      <c r="H457" s="115" t="n">
        <f aca="false">IFERROR(D457/C457/11.1*0.585*C457,0)</f>
        <v>0</v>
      </c>
      <c r="I457" s="119"/>
      <c r="J457" s="119"/>
      <c r="K457" s="119"/>
    </row>
    <row r="458" customFormat="false" ht="14.25" hidden="false" customHeight="true" outlineLevel="0" collapsed="false">
      <c r="H458" s="115" t="n">
        <f aca="false">IFERROR(D458/C458/11.1*0.585*C458,0)</f>
        <v>0</v>
      </c>
      <c r="I458" s="119"/>
      <c r="J458" s="119"/>
      <c r="K458" s="119"/>
    </row>
    <row r="459" customFormat="false" ht="14.25" hidden="false" customHeight="true" outlineLevel="0" collapsed="false">
      <c r="H459" s="115" t="n">
        <f aca="false">IFERROR(D459/C459/11.1*0.585*C459,0)</f>
        <v>0</v>
      </c>
      <c r="I459" s="117" t="n">
        <f aca="false">C461*Scoring!$B$36+TE!D461/Scoring!$C$36+TE!E461*Scoring!$D$36+TE!F461*Scoring!$E$36+H461*Scoring!$F$36</f>
        <v>0</v>
      </c>
      <c r="J459" s="117" t="n">
        <f aca="false">C459*Scoring!$B$36+TE!D459/Scoring!$C$36+TE!E459*Scoring!$D$36+TE!F459*Scoring!$E$36+H459*Scoring!$F$36</f>
        <v>0</v>
      </c>
      <c r="K459" s="117" t="n">
        <f aca="false">C460*Scoring!$B$36+TE!D460/Scoring!$C$36+TE!E460*Scoring!$D$36+TE!F460*Scoring!$E$36+H460*Scoring!$F$36</f>
        <v>0</v>
      </c>
    </row>
    <row r="460" customFormat="false" ht="14.25" hidden="false" customHeight="true" outlineLevel="0" collapsed="false">
      <c r="H460" s="115" t="n">
        <f aca="false">IFERROR(D460/C460/11.1*0.585*C460,0)</f>
        <v>0</v>
      </c>
      <c r="I460" s="119"/>
      <c r="J460" s="119"/>
      <c r="K460" s="119"/>
    </row>
    <row r="461" customFormat="false" ht="14.25" hidden="false" customHeight="true" outlineLevel="0" collapsed="false">
      <c r="H461" s="115" t="n">
        <f aca="false">IFERROR(D461/C461/11.1*0.585*C461,0)</f>
        <v>0</v>
      </c>
      <c r="I461" s="119"/>
      <c r="J461" s="119"/>
      <c r="K461" s="119"/>
    </row>
    <row r="462" customFormat="false" ht="14.25" hidden="false" customHeight="true" outlineLevel="0" collapsed="false">
      <c r="H462" s="115" t="n">
        <f aca="false">IFERROR(D462/C462/11.1*0.585*C462,0)</f>
        <v>0</v>
      </c>
      <c r="I462" s="117" t="n">
        <f aca="false">C464*Scoring!$B$36+TE!D464/Scoring!$C$36+TE!E464*Scoring!$D$36+TE!F464*Scoring!$E$36+H464*Scoring!$F$36</f>
        <v>0</v>
      </c>
      <c r="J462" s="117" t="n">
        <f aca="false">C462*Scoring!$B$36+TE!D462/Scoring!$C$36+TE!E462*Scoring!$D$36+TE!F462*Scoring!$E$36+H462*Scoring!$F$36</f>
        <v>0</v>
      </c>
      <c r="K462" s="117" t="n">
        <f aca="false">C463*Scoring!$B$36+TE!D463/Scoring!$C$36+TE!E463*Scoring!$D$36+TE!F463*Scoring!$E$36+H463*Scoring!$F$36</f>
        <v>0</v>
      </c>
    </row>
    <row r="463" customFormat="false" ht="14.25" hidden="false" customHeight="true" outlineLevel="0" collapsed="false">
      <c r="H463" s="115" t="n">
        <f aca="false">IFERROR(D463/C463/11.1*0.585*C463,0)</f>
        <v>0</v>
      </c>
      <c r="I463" s="119"/>
      <c r="J463" s="119"/>
      <c r="K463" s="119"/>
    </row>
    <row r="464" customFormat="false" ht="14.25" hidden="false" customHeight="true" outlineLevel="0" collapsed="false">
      <c r="H464" s="115" t="n">
        <f aca="false">IFERROR(D464/C464/11.1*0.585*C464,0)</f>
        <v>0</v>
      </c>
      <c r="I464" s="119"/>
      <c r="J464" s="119"/>
      <c r="K464" s="119"/>
    </row>
    <row r="465" customFormat="false" ht="14.25" hidden="false" customHeight="true" outlineLevel="0" collapsed="false">
      <c r="H465" s="115" t="n">
        <f aca="false">IFERROR(D465/C465/11.1*0.585*C465,0)</f>
        <v>0</v>
      </c>
      <c r="I465" s="117" t="n">
        <f aca="false">C467*Scoring!$B$36+TE!D467/Scoring!$C$36+TE!E467*Scoring!$D$36+TE!F467*Scoring!$E$36+H467*Scoring!$F$36</f>
        <v>0</v>
      </c>
      <c r="J465" s="117" t="n">
        <f aca="false">C465*Scoring!$B$36+TE!D465/Scoring!$C$36+TE!E465*Scoring!$D$36+TE!F465*Scoring!$E$36+H465*Scoring!$F$36</f>
        <v>0</v>
      </c>
      <c r="K465" s="117" t="n">
        <f aca="false">C466*Scoring!$B$36+TE!D466/Scoring!$C$36+TE!E466*Scoring!$D$36+TE!F466*Scoring!$E$36+H466*Scoring!$F$36</f>
        <v>0</v>
      </c>
    </row>
    <row r="466" customFormat="false" ht="14.25" hidden="false" customHeight="true" outlineLevel="0" collapsed="false">
      <c r="H466" s="115" t="n">
        <f aca="false">IFERROR(D466/C466/11.1*0.585*C466,0)</f>
        <v>0</v>
      </c>
      <c r="I466" s="119"/>
      <c r="J466" s="119"/>
      <c r="K466" s="119"/>
    </row>
    <row r="467" customFormat="false" ht="14.25" hidden="false" customHeight="true" outlineLevel="0" collapsed="false">
      <c r="H467" s="115" t="n">
        <f aca="false">IFERROR(D467/C467/11.1*0.585*C467,0)</f>
        <v>0</v>
      </c>
      <c r="I467" s="119"/>
      <c r="J467" s="119"/>
      <c r="K467" s="119"/>
    </row>
    <row r="468" customFormat="false" ht="14.25" hidden="false" customHeight="true" outlineLevel="0" collapsed="false">
      <c r="H468" s="115" t="n">
        <f aca="false">IFERROR(D468/C468/11.1*0.585*C468,0)</f>
        <v>0</v>
      </c>
      <c r="I468" s="117" t="n">
        <f aca="false">C470*Scoring!$B$36+TE!D470/Scoring!$C$36+TE!E470*Scoring!$D$36+TE!F470*Scoring!$E$36+H470*Scoring!$F$36</f>
        <v>0</v>
      </c>
      <c r="J468" s="117" t="n">
        <f aca="false">C468*Scoring!$B$36+TE!D468/Scoring!$C$36+TE!E468*Scoring!$D$36+TE!F468*Scoring!$E$36+H468*Scoring!$F$36</f>
        <v>0</v>
      </c>
      <c r="K468" s="117" t="n">
        <f aca="false">C469*Scoring!$B$36+TE!D469/Scoring!$C$36+TE!E469*Scoring!$D$36+TE!F469*Scoring!$E$36+H469*Scoring!$F$36</f>
        <v>0</v>
      </c>
    </row>
    <row r="469" customFormat="false" ht="14.25" hidden="false" customHeight="true" outlineLevel="0" collapsed="false">
      <c r="H469" s="115" t="n">
        <f aca="false">IFERROR(D469/C469/11.1*0.585*C469,0)</f>
        <v>0</v>
      </c>
      <c r="I469" s="119"/>
      <c r="J469" s="119"/>
      <c r="K469" s="119"/>
    </row>
    <row r="470" customFormat="false" ht="14.25" hidden="false" customHeight="true" outlineLevel="0" collapsed="false">
      <c r="H470" s="115" t="n">
        <f aca="false">IFERROR(D470/C470/11.1*0.585*C470,0)</f>
        <v>0</v>
      </c>
      <c r="I470" s="119"/>
      <c r="J470" s="119"/>
      <c r="K470" s="1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8.55859375" defaultRowHeight="14.25" zeroHeight="false" outlineLevelRow="0" outlineLevelCol="0"/>
  <cols>
    <col collapsed="false" customWidth="true" hidden="false" outlineLevel="0" max="10" min="1" style="0" width="8.88"/>
    <col collapsed="false" customWidth="true" hidden="false" outlineLevel="0" max="11" min="11" style="0" width="4"/>
    <col collapsed="false" customWidth="true" hidden="false" outlineLevel="0" max="12" min="12" style="0" width="22"/>
    <col collapsed="false" customWidth="true" hidden="false" outlineLevel="0" max="13" min="13" style="53" width="10.22"/>
    <col collapsed="false" customWidth="true" hidden="false" outlineLevel="0" max="14" min="14" style="53" width="5.11"/>
    <col collapsed="false" customWidth="true" hidden="false" outlineLevel="0" max="17" min="17" style="53" width="6.78"/>
    <col collapsed="false" customWidth="true" hidden="false" outlineLevel="0" max="18" min="18" style="53" width="4"/>
    <col collapsed="false" customWidth="false" hidden="false" outlineLevel="0" max="20" min="19" style="53" width="8.56"/>
  </cols>
  <sheetData>
    <row r="1" customFormat="false" ht="14.25" hidden="false" customHeight="true" outlineLevel="0" collapsed="false">
      <c r="A1" s="0" t="s">
        <v>1015</v>
      </c>
      <c r="B1" s="0" t="s">
        <v>1016</v>
      </c>
      <c r="C1" s="0" t="s">
        <v>1017</v>
      </c>
      <c r="D1" s="0" t="s">
        <v>1018</v>
      </c>
      <c r="E1" s="0" t="s">
        <v>1019</v>
      </c>
      <c r="F1" s="0" t="s">
        <v>1020</v>
      </c>
      <c r="G1" s="0" t="s">
        <v>1021</v>
      </c>
      <c r="H1" s="0" t="s">
        <v>1022</v>
      </c>
      <c r="I1" s="0" t="s">
        <v>1023</v>
      </c>
      <c r="J1" s="0" t="s">
        <v>1024</v>
      </c>
      <c r="K1" s="0" t="s">
        <v>1015</v>
      </c>
      <c r="L1" s="0" t="s">
        <v>1025</v>
      </c>
      <c r="M1" s="53" t="s">
        <v>1026</v>
      </c>
      <c r="N1" s="53" t="s">
        <v>1027</v>
      </c>
      <c r="Q1" s="53" t="s">
        <v>132</v>
      </c>
      <c r="R1" s="120" t="n">
        <f aca="false">Aggregate!BG3</f>
        <v>324.546656</v>
      </c>
    </row>
    <row r="2" customFormat="false" ht="14.25" hidden="false" customHeight="true" outlineLevel="0" collapsed="false">
      <c r="A2" s="0" t="n">
        <v>1</v>
      </c>
      <c r="B2" s="0" t="n">
        <v>1</v>
      </c>
      <c r="C2" s="0" t="s">
        <v>601</v>
      </c>
      <c r="D2" s="0" t="s">
        <v>524</v>
      </c>
      <c r="E2" s="0" t="s">
        <v>133</v>
      </c>
      <c r="F2" s="0" t="n">
        <v>6</v>
      </c>
      <c r="G2" s="0" t="s">
        <v>1028</v>
      </c>
      <c r="H2" s="0" t="s">
        <v>1029</v>
      </c>
      <c r="I2" s="0" t="s">
        <v>1030</v>
      </c>
      <c r="J2" s="0" t="n">
        <v>0</v>
      </c>
      <c r="K2" s="0" t="n">
        <v>1</v>
      </c>
      <c r="L2" s="0" t="str">
        <f aca="false">C2</f>
        <v>Jahmyr Gibbs</v>
      </c>
      <c r="M2" s="121" t="n">
        <f aca="false">IFERROR(VLOOKUP(E2,RISK!A:B,2,FALSE()),"")</f>
        <v>2.5514</v>
      </c>
      <c r="N2" s="120" t="n">
        <f aca="false">VLOOKUP(E2,Q:R,2,FALSE())</f>
        <v>291.334771058824</v>
      </c>
      <c r="Q2" s="53" t="s">
        <v>136</v>
      </c>
      <c r="R2" s="120" t="n">
        <f aca="false">Aggregate!BG4</f>
        <v>285.970436235294</v>
      </c>
    </row>
    <row r="3" customFormat="false" ht="14.25" hidden="false" customHeight="true" outlineLevel="0" collapsed="false">
      <c r="A3" s="0" t="n">
        <v>2</v>
      </c>
      <c r="B3" s="0" t="n">
        <v>1</v>
      </c>
      <c r="C3" s="0" t="s">
        <v>602</v>
      </c>
      <c r="D3" s="0" t="s">
        <v>552</v>
      </c>
      <c r="E3" s="0" t="s">
        <v>137</v>
      </c>
      <c r="F3" s="0" t="n">
        <v>11</v>
      </c>
      <c r="G3" s="0" t="s">
        <v>1028</v>
      </c>
      <c r="H3" s="0" t="s">
        <v>1029</v>
      </c>
      <c r="I3" s="0" t="s">
        <v>1031</v>
      </c>
      <c r="J3" s="0" t="n">
        <v>0</v>
      </c>
      <c r="K3" s="0" t="n">
        <v>2</v>
      </c>
      <c r="L3" s="0" t="str">
        <f aca="false">C3</f>
        <v>Bijan Robinson</v>
      </c>
      <c r="M3" s="121" t="n">
        <f aca="false">IFERROR(VLOOKUP(E3,RISK!A:B,2,FALSE()),"")</f>
        <v>2.55</v>
      </c>
      <c r="N3" s="120" t="n">
        <f aca="false">VLOOKUP(E3,Q:R,2,FALSE())</f>
        <v>270.572</v>
      </c>
      <c r="Q3" s="53" t="s">
        <v>140</v>
      </c>
      <c r="R3" s="120" t="n">
        <f aca="false">Aggregate!BG5</f>
        <v>285.192955952941</v>
      </c>
    </row>
    <row r="4" customFormat="false" ht="14.25" hidden="false" customHeight="true" outlineLevel="0" collapsed="false">
      <c r="A4" s="0" t="n">
        <v>3</v>
      </c>
      <c r="B4" s="0" t="n">
        <v>1</v>
      </c>
      <c r="C4" s="0" t="s">
        <v>723</v>
      </c>
      <c r="D4" s="0" t="s">
        <v>502</v>
      </c>
      <c r="E4" s="0" t="s">
        <v>134</v>
      </c>
      <c r="F4" s="0" t="n">
        <v>6</v>
      </c>
      <c r="G4" s="0" t="s">
        <v>1028</v>
      </c>
      <c r="H4" s="0" t="s">
        <v>1029</v>
      </c>
      <c r="I4" s="0" t="s">
        <v>1032</v>
      </c>
      <c r="J4" s="0" t="n">
        <v>0</v>
      </c>
      <c r="K4" s="0" t="n">
        <v>3</v>
      </c>
      <c r="L4" s="0" t="str">
        <f aca="false">C4</f>
        <v>Ja'Marr Chase</v>
      </c>
      <c r="M4" s="121" t="n">
        <f aca="false">IFERROR(VLOOKUP(E4,RISK!A:B,2,FALSE()),"")</f>
        <v>1.8321</v>
      </c>
      <c r="N4" s="120" t="n">
        <f aca="false">VLOOKUP(E4,Q:R,2,FALSE())</f>
        <v>249.350763529412</v>
      </c>
      <c r="Q4" s="53" t="s">
        <v>144</v>
      </c>
      <c r="R4" s="120" t="n">
        <f aca="false">Aggregate!BG6</f>
        <v>283.949591764706</v>
      </c>
    </row>
    <row r="5" customFormat="false" ht="14.25" hidden="false" customHeight="true" outlineLevel="0" collapsed="false">
      <c r="A5" s="0" t="n">
        <v>4</v>
      </c>
      <c r="B5" s="0" t="n">
        <v>1</v>
      </c>
      <c r="C5" s="0" t="s">
        <v>722</v>
      </c>
      <c r="D5" s="0" t="s">
        <v>520</v>
      </c>
      <c r="E5" s="0" t="s">
        <v>138</v>
      </c>
      <c r="F5" s="0" t="n">
        <v>11</v>
      </c>
      <c r="G5" s="0" t="s">
        <v>1028</v>
      </c>
      <c r="H5" s="0" t="s">
        <v>1033</v>
      </c>
      <c r="I5" s="0" t="s">
        <v>1034</v>
      </c>
      <c r="J5" s="0" t="n">
        <v>0</v>
      </c>
      <c r="K5" s="0" t="n">
        <v>4</v>
      </c>
      <c r="L5" s="0" t="str">
        <f aca="false">C5</f>
        <v>Puka Nacua</v>
      </c>
      <c r="M5" s="121" t="n">
        <f aca="false">IFERROR(VLOOKUP(E5,RISK!A:B,2,FALSE()),"")</f>
        <v>1.8986</v>
      </c>
      <c r="N5" s="120" t="n">
        <f aca="false">VLOOKUP(E5,Q:R,2,FALSE())</f>
        <v>245.443388882353</v>
      </c>
      <c r="Q5" s="53" t="s">
        <v>148</v>
      </c>
      <c r="R5" s="120" t="n">
        <f aca="false">Aggregate!BG7</f>
        <v>283.026304</v>
      </c>
    </row>
    <row r="6" customFormat="false" ht="14.25" hidden="false" customHeight="true" outlineLevel="0" collapsed="false">
      <c r="A6" s="0" t="n">
        <v>5</v>
      </c>
      <c r="B6" s="0" t="n">
        <v>1</v>
      </c>
      <c r="C6" s="0" t="s">
        <v>724</v>
      </c>
      <c r="D6" s="0" t="s">
        <v>536</v>
      </c>
      <c r="E6" s="0" t="s">
        <v>142</v>
      </c>
      <c r="F6" s="0" t="n">
        <v>11</v>
      </c>
      <c r="G6" s="0" t="s">
        <v>1028</v>
      </c>
      <c r="H6" s="0" t="s">
        <v>1033</v>
      </c>
      <c r="I6" s="0" t="s">
        <v>1035</v>
      </c>
      <c r="J6" s="0" t="n">
        <v>2</v>
      </c>
      <c r="K6" s="0" t="n">
        <v>5</v>
      </c>
      <c r="L6" s="0" t="str">
        <f aca="false">C6</f>
        <v>Jaxon Smith-Njigba</v>
      </c>
      <c r="M6" s="121" t="n">
        <f aca="false">IFERROR(VLOOKUP(E6,RISK!A:B,2,FALSE()),"")</f>
        <v>1.9645</v>
      </c>
      <c r="N6" s="120" t="n">
        <f aca="false">VLOOKUP(E6,Q:R,2,FALSE())</f>
        <v>239.223649411765</v>
      </c>
      <c r="Q6" s="53" t="s">
        <v>152</v>
      </c>
      <c r="R6" s="120" t="n">
        <f aca="false">Aggregate!BG8</f>
        <v>275.046984564706</v>
      </c>
    </row>
    <row r="7" customFormat="false" ht="14.25" hidden="false" customHeight="true" outlineLevel="0" collapsed="false">
      <c r="A7" s="0" t="n">
        <v>6</v>
      </c>
      <c r="B7" s="0" t="n">
        <v>1</v>
      </c>
      <c r="C7" s="0" t="s">
        <v>725</v>
      </c>
      <c r="D7" s="0" t="s">
        <v>524</v>
      </c>
      <c r="E7" s="0" t="s">
        <v>146</v>
      </c>
      <c r="F7" s="0" t="n">
        <v>6</v>
      </c>
      <c r="G7" s="0" t="s">
        <v>1028</v>
      </c>
      <c r="H7" s="0" t="s">
        <v>1029</v>
      </c>
      <c r="I7" s="0" t="s">
        <v>1032</v>
      </c>
      <c r="J7" s="0" t="n">
        <v>2</v>
      </c>
      <c r="K7" s="0" t="n">
        <v>6</v>
      </c>
      <c r="L7" s="0" t="str">
        <f aca="false">C7</f>
        <v>Amon-Ra St. Brown</v>
      </c>
      <c r="M7" s="121" t="n">
        <f aca="false">IFERROR(VLOOKUP(E7,RISK!A:B,2,FALSE()),"")</f>
        <v>2.0298</v>
      </c>
      <c r="N7" s="120" t="n">
        <f aca="false">VLOOKUP(E7,Q:R,2,FALSE())</f>
        <v>230.047944</v>
      </c>
      <c r="Q7" s="53" t="s">
        <v>156</v>
      </c>
      <c r="R7" s="120" t="n">
        <f aca="false">Aggregate!BG9</f>
        <v>271.697580752941</v>
      </c>
    </row>
    <row r="8" customFormat="false" ht="14.25" hidden="false" customHeight="true" outlineLevel="0" collapsed="false">
      <c r="A8" s="0" t="n">
        <v>7</v>
      </c>
      <c r="B8" s="0" t="n">
        <v>1</v>
      </c>
      <c r="C8" s="0" t="s">
        <v>604</v>
      </c>
      <c r="D8" s="0" t="s">
        <v>532</v>
      </c>
      <c r="E8" s="0" t="s">
        <v>141</v>
      </c>
      <c r="F8" s="0" t="n">
        <v>13</v>
      </c>
      <c r="G8" s="0" t="s">
        <v>1036</v>
      </c>
      <c r="H8" s="0" t="s">
        <v>1037</v>
      </c>
      <c r="I8" s="0" t="s">
        <v>1032</v>
      </c>
      <c r="J8" s="0" t="n">
        <v>-1</v>
      </c>
      <c r="K8" s="0" t="n">
        <v>7</v>
      </c>
      <c r="L8" s="0" t="str">
        <f aca="false">C8</f>
        <v>Jonathan Taylor</v>
      </c>
      <c r="M8" s="121" t="n">
        <f aca="false">IFERROR(VLOOKUP(E8,RISK!A:B,2,FALSE()),"")</f>
        <v>2.5498</v>
      </c>
      <c r="N8" s="120" t="n">
        <f aca="false">VLOOKUP(E8,Q:R,2,FALSE())</f>
        <v>251.212091294118</v>
      </c>
      <c r="Q8" s="53" t="s">
        <v>160</v>
      </c>
      <c r="R8" s="120" t="n">
        <f aca="false">Aggregate!BG10</f>
        <v>271.482698823529</v>
      </c>
    </row>
    <row r="9" customFormat="false" ht="14.25" hidden="false" customHeight="true" outlineLevel="0" collapsed="false">
      <c r="A9" s="0" t="n">
        <v>8</v>
      </c>
      <c r="B9" s="0" t="n">
        <v>1</v>
      </c>
      <c r="C9" s="0" t="s">
        <v>603</v>
      </c>
      <c r="D9" s="0" t="s">
        <v>508</v>
      </c>
      <c r="E9" s="0" t="s">
        <v>145</v>
      </c>
      <c r="F9" s="0" t="n">
        <v>8</v>
      </c>
      <c r="G9" s="0" t="s">
        <v>1036</v>
      </c>
      <c r="H9" s="0" t="s">
        <v>1036</v>
      </c>
      <c r="I9" s="0" t="s">
        <v>1031</v>
      </c>
      <c r="J9" s="0" t="n">
        <v>-3</v>
      </c>
      <c r="K9" s="0" t="n">
        <v>8</v>
      </c>
      <c r="L9" s="0" t="str">
        <f aca="false">C9</f>
        <v>Christian McCaffrey</v>
      </c>
      <c r="M9" s="121" t="n">
        <f aca="false">IFERROR(VLOOKUP(E9,RISK!A:B,2,FALSE()),"")</f>
        <v>2.5508</v>
      </c>
      <c r="N9" s="120" t="n">
        <f aca="false">VLOOKUP(E9,Q:R,2,FALSE())</f>
        <v>246.826416235294</v>
      </c>
      <c r="Q9" s="53" t="s">
        <v>164</v>
      </c>
      <c r="R9" s="120" t="n">
        <f aca="false">Aggregate!BG11</f>
        <v>270.110595294118</v>
      </c>
    </row>
    <row r="10" customFormat="false" ht="14.25" hidden="false" customHeight="true" outlineLevel="0" collapsed="false">
      <c r="A10" s="0" t="n">
        <v>9</v>
      </c>
      <c r="B10" s="0" t="n">
        <v>1</v>
      </c>
      <c r="C10" s="0" t="s">
        <v>607</v>
      </c>
      <c r="D10" s="0" t="s">
        <v>490</v>
      </c>
      <c r="E10" s="0" t="s">
        <v>149</v>
      </c>
      <c r="F10" s="0" t="n">
        <v>7</v>
      </c>
      <c r="G10" s="0" t="s">
        <v>1028</v>
      </c>
      <c r="H10" s="0" t="s">
        <v>1029</v>
      </c>
      <c r="I10" s="0" t="s">
        <v>1031</v>
      </c>
      <c r="J10" s="0" t="n">
        <v>0</v>
      </c>
      <c r="K10" s="0" t="n">
        <v>9</v>
      </c>
      <c r="L10" s="0" t="str">
        <f aca="false">C10</f>
        <v>James Cook III</v>
      </c>
      <c r="M10" s="122" t="n">
        <f aca="false">IFERROR(VLOOKUP(E10,RISK!A:B,2,FALSE()),"")</f>
        <v>2.553</v>
      </c>
      <c r="N10" s="120" t="n">
        <f aca="false">VLOOKUP(E10,Q:R,2,FALSE())</f>
        <v>225.036905058824</v>
      </c>
      <c r="Q10" s="53" t="s">
        <v>168</v>
      </c>
      <c r="R10" s="120" t="n">
        <f aca="false">Aggregate!BG12</f>
        <v>269.8798</v>
      </c>
    </row>
    <row r="11" customFormat="false" ht="14.25" hidden="false" customHeight="true" outlineLevel="0" collapsed="false">
      <c r="A11" s="0" t="n">
        <v>10</v>
      </c>
      <c r="B11" s="0" t="n">
        <v>1</v>
      </c>
      <c r="C11" s="0" t="s">
        <v>727</v>
      </c>
      <c r="D11" s="0" t="s">
        <v>510</v>
      </c>
      <c r="E11" s="0" t="s">
        <v>150</v>
      </c>
      <c r="F11" s="0" t="n">
        <v>14</v>
      </c>
      <c r="G11" s="0" t="s">
        <v>1036</v>
      </c>
      <c r="H11" s="0" t="s">
        <v>1033</v>
      </c>
      <c r="I11" s="0" t="s">
        <v>1031</v>
      </c>
      <c r="J11" s="0" t="n">
        <v>0</v>
      </c>
      <c r="K11" s="0" t="n">
        <v>10</v>
      </c>
      <c r="L11" s="0" t="str">
        <f aca="false">C11</f>
        <v>CeeDee Lamb</v>
      </c>
      <c r="M11" s="122" t="n">
        <f aca="false">IFERROR(VLOOKUP(E11,RISK!A:B,2,FALSE()),"")</f>
        <v>2.0945</v>
      </c>
      <c r="N11" s="120" t="n">
        <f aca="false">VLOOKUP(E11,Q:R,2,FALSE())</f>
        <v>196.15638</v>
      </c>
      <c r="Q11" s="53" t="s">
        <v>172</v>
      </c>
      <c r="R11" s="120" t="n">
        <f aca="false">Aggregate!BG13</f>
        <v>267.650496564706</v>
      </c>
    </row>
    <row r="12" customFormat="false" ht="14.25" hidden="false" customHeight="true" outlineLevel="0" collapsed="false">
      <c r="A12" s="0" t="n">
        <v>11</v>
      </c>
      <c r="B12" s="0" t="n">
        <v>2</v>
      </c>
      <c r="C12" s="0" t="s">
        <v>728</v>
      </c>
      <c r="D12" s="0" t="s">
        <v>522</v>
      </c>
      <c r="E12" s="0" t="s">
        <v>154</v>
      </c>
      <c r="F12" s="0" t="n">
        <v>6</v>
      </c>
      <c r="G12" s="0" t="s">
        <v>1028</v>
      </c>
      <c r="H12" s="0" t="s">
        <v>1033</v>
      </c>
      <c r="I12" s="0" t="s">
        <v>1030</v>
      </c>
      <c r="J12" s="0" t="n">
        <v>2</v>
      </c>
      <c r="K12" s="0" t="n">
        <v>11</v>
      </c>
      <c r="L12" s="0" t="str">
        <f aca="false">C12</f>
        <v>Justin Jefferson</v>
      </c>
      <c r="M12" s="121" t="n">
        <f aca="false">IFERROR(VLOOKUP(E12,RISK!A:B,2,FALSE()),"")</f>
        <v>2.1586</v>
      </c>
      <c r="N12" s="120" t="n">
        <f aca="false">VLOOKUP(E12,Q:R,2,FALSE())</f>
        <v>194.981075058824</v>
      </c>
      <c r="Q12" s="53" t="s">
        <v>176</v>
      </c>
      <c r="R12" s="120" t="n">
        <f aca="false">Aggregate!BG14</f>
        <v>265.585307482353</v>
      </c>
    </row>
    <row r="13" customFormat="false" ht="14.25" hidden="false" customHeight="true" outlineLevel="0" collapsed="false">
      <c r="A13" s="0" t="n">
        <v>12</v>
      </c>
      <c r="B13" s="0" t="n">
        <v>2</v>
      </c>
      <c r="C13" s="0" t="s">
        <v>608</v>
      </c>
      <c r="D13" s="0" t="s">
        <v>502</v>
      </c>
      <c r="E13" s="0" t="s">
        <v>153</v>
      </c>
      <c r="F13" s="0" t="n">
        <v>6</v>
      </c>
      <c r="G13" s="0" t="s">
        <v>1028</v>
      </c>
      <c r="H13" s="0" t="s">
        <v>1033</v>
      </c>
      <c r="I13" s="0" t="s">
        <v>1031</v>
      </c>
      <c r="J13" s="0" t="n">
        <v>2</v>
      </c>
      <c r="K13" s="0" t="n">
        <v>12</v>
      </c>
      <c r="L13" s="0" t="str">
        <f aca="false">C13</f>
        <v>Chase Brown</v>
      </c>
      <c r="M13" s="121" t="n">
        <f aca="false">IFERROR(VLOOKUP(E13,RISK!A:B,2,FALSE()),"")</f>
        <v>2.5564</v>
      </c>
      <c r="N13" s="120" t="n">
        <f aca="false">VLOOKUP(E13,Q:R,2,FALSE())</f>
        <v>220.726078588235</v>
      </c>
      <c r="Q13" s="53" t="s">
        <v>180</v>
      </c>
      <c r="R13" s="120" t="n">
        <f aca="false">Aggregate!BG15</f>
        <v>264.005417694118</v>
      </c>
    </row>
    <row r="14" customFormat="false" ht="14.25" hidden="false" customHeight="true" outlineLevel="0" collapsed="false">
      <c r="A14" s="0" t="n">
        <v>13</v>
      </c>
      <c r="B14" s="0" t="n">
        <v>2</v>
      </c>
      <c r="C14" s="0" t="s">
        <v>609</v>
      </c>
      <c r="D14" s="0" t="s">
        <v>500</v>
      </c>
      <c r="E14" s="0" t="s">
        <v>157</v>
      </c>
      <c r="F14" s="0" t="n">
        <v>10</v>
      </c>
      <c r="G14" s="0" t="s">
        <v>1036</v>
      </c>
      <c r="H14" s="0" t="s">
        <v>1036</v>
      </c>
      <c r="I14" s="0" t="s">
        <v>1032</v>
      </c>
      <c r="J14" s="0" t="n">
        <v>-2</v>
      </c>
      <c r="K14" s="0" t="n">
        <v>13</v>
      </c>
      <c r="L14" s="0" t="str">
        <f aca="false">C14</f>
        <v>Saquon Barkley</v>
      </c>
      <c r="M14" s="122" t="n">
        <f aca="false">IFERROR(VLOOKUP(E14,RISK!A:B,2,FALSE()),"")</f>
        <v>2.561</v>
      </c>
      <c r="N14" s="120" t="n">
        <f aca="false">VLOOKUP(E14,Q:R,2,FALSE())</f>
        <v>215.821183529412</v>
      </c>
      <c r="Q14" s="53" t="s">
        <v>184</v>
      </c>
      <c r="R14" s="120" t="n">
        <f aca="false">Aggregate!BG16</f>
        <v>262.614588141176</v>
      </c>
    </row>
    <row r="15" customFormat="false" ht="14.25" hidden="false" customHeight="true" outlineLevel="0" collapsed="false">
      <c r="A15" s="0" t="n">
        <v>14</v>
      </c>
      <c r="B15" s="0" t="n">
        <v>2</v>
      </c>
      <c r="C15" s="0" t="s">
        <v>731</v>
      </c>
      <c r="D15" s="0" t="s">
        <v>498</v>
      </c>
      <c r="E15" s="0" t="s">
        <v>158</v>
      </c>
      <c r="F15" s="0" t="n">
        <v>11</v>
      </c>
      <c r="G15" s="0" t="s">
        <v>1028</v>
      </c>
      <c r="H15" s="0" t="s">
        <v>1033</v>
      </c>
      <c r="I15" s="0" t="s">
        <v>1031</v>
      </c>
      <c r="J15" s="0" t="n">
        <v>5</v>
      </c>
      <c r="K15" s="0" t="n">
        <v>14</v>
      </c>
      <c r="L15" s="0" t="str">
        <f aca="false">C15</f>
        <v>A.J. Brown</v>
      </c>
      <c r="M15" s="121" t="n">
        <f aca="false">IFERROR(VLOOKUP(E15,RISK!A:B,2,FALSE()),"")</f>
        <v>2.2221</v>
      </c>
      <c r="N15" s="120" t="n">
        <f aca="false">VLOOKUP(E15,Q:R,2,FALSE())</f>
        <v>192.584726470588</v>
      </c>
      <c r="Q15" s="53" t="s">
        <v>188</v>
      </c>
      <c r="R15" s="120" t="n">
        <f aca="false">Aggregate!BG17</f>
        <v>253.88636</v>
      </c>
    </row>
    <row r="16" customFormat="false" ht="14.25" hidden="false" customHeight="true" outlineLevel="0" collapsed="false">
      <c r="A16" s="0" t="n">
        <v>15</v>
      </c>
      <c r="B16" s="0" t="n">
        <v>2</v>
      </c>
      <c r="C16" s="0" t="s">
        <v>726</v>
      </c>
      <c r="D16" s="0" t="s">
        <v>552</v>
      </c>
      <c r="E16" s="0" t="s">
        <v>162</v>
      </c>
      <c r="F16" s="0" t="n">
        <v>11</v>
      </c>
      <c r="G16" s="0" t="s">
        <v>1036</v>
      </c>
      <c r="H16" s="0" t="s">
        <v>1037</v>
      </c>
      <c r="I16" s="0" t="s">
        <v>1035</v>
      </c>
      <c r="J16" s="0" t="n">
        <v>6</v>
      </c>
      <c r="K16" s="0" t="n">
        <v>15</v>
      </c>
      <c r="L16" s="0" t="str">
        <f aca="false">C16</f>
        <v>Drake London</v>
      </c>
      <c r="M16" s="121" t="n">
        <f aca="false">IFERROR(VLOOKUP(E16,RISK!A:B,2,FALSE()),"")</f>
        <v>2.285</v>
      </c>
      <c r="N16" s="120" t="n">
        <f aca="false">VLOOKUP(E16,Q:R,2,FALSE())</f>
        <v>185.337053647059</v>
      </c>
      <c r="Q16" s="53" t="s">
        <v>192</v>
      </c>
      <c r="R16" s="120" t="n">
        <f aca="false">Aggregate!BG18</f>
        <v>250.366120705882</v>
      </c>
    </row>
    <row r="17" customFormat="false" ht="14.25" hidden="false" customHeight="true" outlineLevel="0" collapsed="false">
      <c r="A17" s="0" t="n">
        <v>16</v>
      </c>
      <c r="B17" s="0" t="n">
        <v>2</v>
      </c>
      <c r="C17" s="0" t="s">
        <v>606</v>
      </c>
      <c r="D17" s="0" t="s">
        <v>534</v>
      </c>
      <c r="E17" s="0" t="s">
        <v>161</v>
      </c>
      <c r="F17" s="0" t="n">
        <v>6</v>
      </c>
      <c r="G17" s="0" t="s">
        <v>1036</v>
      </c>
      <c r="H17" s="0" t="s">
        <v>1036</v>
      </c>
      <c r="I17" s="0" t="s">
        <v>1035</v>
      </c>
      <c r="J17" s="0" t="n">
        <v>-4</v>
      </c>
      <c r="K17" s="0" t="n">
        <v>16</v>
      </c>
      <c r="L17" s="0" t="str">
        <f aca="false">C17</f>
        <v>De'Von Achane</v>
      </c>
      <c r="M17" s="121" t="n">
        <f aca="false">IFERROR(VLOOKUP(E17,RISK!A:B,2,FALSE()),"")</f>
        <v>2.5668</v>
      </c>
      <c r="N17" s="120" t="n">
        <f aca="false">VLOOKUP(E17,Q:R,2,FALSE())</f>
        <v>209.415207529412</v>
      </c>
      <c r="Q17" s="53" t="s">
        <v>196</v>
      </c>
      <c r="R17" s="120" t="n">
        <f aca="false">Aggregate!BG19</f>
        <v>250.078689411765</v>
      </c>
    </row>
    <row r="18" customFormat="false" ht="14.25" hidden="false" customHeight="true" outlineLevel="0" collapsed="false">
      <c r="A18" s="0" t="n">
        <v>17</v>
      </c>
      <c r="B18" s="0" t="n">
        <v>2</v>
      </c>
      <c r="C18" s="0" t="s">
        <v>733</v>
      </c>
      <c r="D18" s="0" t="s">
        <v>538</v>
      </c>
      <c r="E18" s="0" t="s">
        <v>166</v>
      </c>
      <c r="F18" s="0" t="n">
        <v>8</v>
      </c>
      <c r="G18" s="0" t="s">
        <v>1036</v>
      </c>
      <c r="H18" s="0" t="s">
        <v>1033</v>
      </c>
      <c r="I18" s="0" t="s">
        <v>1035</v>
      </c>
      <c r="J18" s="0" t="n">
        <v>6</v>
      </c>
      <c r="K18" s="0" t="n">
        <v>17</v>
      </c>
      <c r="L18" s="0" t="str">
        <f aca="false">C18</f>
        <v>Nico Collins</v>
      </c>
      <c r="M18" s="121" t="n">
        <f aca="false">IFERROR(VLOOKUP(E18,RISK!A:B,2,FALSE()),"")</f>
        <v>2.3473</v>
      </c>
      <c r="N18" s="120" t="n">
        <f aca="false">VLOOKUP(E18,Q:R,2,FALSE())</f>
        <v>185.097543941176</v>
      </c>
      <c r="Q18" s="53" t="s">
        <v>200</v>
      </c>
      <c r="R18" s="120" t="n">
        <f aca="false">Aggregate!BG20</f>
        <v>238.935349176471</v>
      </c>
    </row>
    <row r="19" customFormat="false" ht="14.25" hidden="false" customHeight="true" outlineLevel="0" collapsed="false">
      <c r="A19" s="0" t="n">
        <v>18</v>
      </c>
      <c r="B19" s="0" t="n">
        <v>2</v>
      </c>
      <c r="C19" s="0" t="s">
        <v>900</v>
      </c>
      <c r="D19" s="0" t="s">
        <v>550</v>
      </c>
      <c r="E19" s="0" t="s">
        <v>135</v>
      </c>
      <c r="F19" s="0" t="n">
        <v>13</v>
      </c>
      <c r="G19" s="0" t="s">
        <v>1028</v>
      </c>
      <c r="H19" s="0" t="s">
        <v>1029</v>
      </c>
      <c r="I19" s="0" t="s">
        <v>1035</v>
      </c>
      <c r="J19" s="0" t="n">
        <v>4</v>
      </c>
      <c r="K19" s="0" t="n">
        <v>18</v>
      </c>
      <c r="L19" s="0" t="str">
        <f aca="false">C19</f>
        <v>Brock Bowers</v>
      </c>
      <c r="M19" s="121" t="n">
        <f aca="false">IFERROR(VLOOKUP(E19,RISK!A:B,2,FALSE()),"")</f>
        <v>2.2011</v>
      </c>
      <c r="N19" s="120" t="n">
        <f aca="false">VLOOKUP(E19,Q:R,2,FALSE())</f>
        <v>173.582391764706</v>
      </c>
      <c r="Q19" s="53" t="s">
        <v>204</v>
      </c>
      <c r="R19" s="120" t="n">
        <f aca="false">Aggregate!BG21</f>
        <v>238.400273458824</v>
      </c>
    </row>
    <row r="20" customFormat="false" ht="14.25" hidden="false" customHeight="true" outlineLevel="0" collapsed="false">
      <c r="A20" s="0" t="n">
        <v>19</v>
      </c>
      <c r="B20" s="0" t="n">
        <v>2</v>
      </c>
      <c r="C20" s="0" t="s">
        <v>610</v>
      </c>
      <c r="D20" s="0" t="s">
        <v>512</v>
      </c>
      <c r="E20" s="0" t="s">
        <v>165</v>
      </c>
      <c r="F20" s="0" t="n">
        <v>5</v>
      </c>
      <c r="G20" s="0" t="s">
        <v>1028</v>
      </c>
      <c r="H20" s="0" t="s">
        <v>1036</v>
      </c>
      <c r="I20" s="0" t="s">
        <v>1035</v>
      </c>
      <c r="J20" s="0" t="n">
        <v>-4</v>
      </c>
      <c r="K20" s="0" t="n">
        <v>19</v>
      </c>
      <c r="L20" s="0" t="str">
        <f aca="false">C20</f>
        <v>Kenneth Walker III</v>
      </c>
      <c r="M20" s="121" t="n">
        <f aca="false">IFERROR(VLOOKUP(E20,RISK!A:B,2,FALSE()),"")</f>
        <v>2.5738</v>
      </c>
      <c r="N20" s="120" t="n">
        <f aca="false">VLOOKUP(E20,Q:R,2,FALSE())</f>
        <v>206.995805294118</v>
      </c>
      <c r="Q20" s="53" t="s">
        <v>208</v>
      </c>
      <c r="R20" s="120" t="n">
        <f aca="false">Aggregate!BG22</f>
        <v>234.680955670588</v>
      </c>
    </row>
    <row r="21" customFormat="false" ht="14.25" hidden="false" customHeight="true" outlineLevel="0" collapsed="false">
      <c r="A21" s="0" t="n">
        <v>20</v>
      </c>
      <c r="B21" s="0" t="n">
        <v>2</v>
      </c>
      <c r="C21" s="0" t="s">
        <v>612</v>
      </c>
      <c r="D21" s="0" t="s">
        <v>516</v>
      </c>
      <c r="E21" s="0" t="s">
        <v>169</v>
      </c>
      <c r="F21" s="0" t="n">
        <v>7</v>
      </c>
      <c r="G21" s="0" t="s">
        <v>1028</v>
      </c>
      <c r="H21" s="0" t="s">
        <v>1033</v>
      </c>
      <c r="I21" s="0" t="s">
        <v>1035</v>
      </c>
      <c r="J21" s="0" t="n">
        <v>-4</v>
      </c>
      <c r="K21" s="0" t="n">
        <v>20</v>
      </c>
      <c r="L21" s="0" t="str">
        <f aca="false">C21</f>
        <v>Omarion Hampton</v>
      </c>
      <c r="M21" s="121" t="n">
        <f aca="false">IFERROR(VLOOKUP(E21,RISK!A:B,2,FALSE()),"")</f>
        <v>2.582</v>
      </c>
      <c r="N21" s="120" t="n">
        <f aca="false">VLOOKUP(E21,Q:R,2,FALSE())</f>
        <v>200.642984</v>
      </c>
      <c r="Q21" s="53" t="s">
        <v>212</v>
      </c>
      <c r="R21" s="120" t="n">
        <f aca="false">Aggregate!BG23</f>
        <v>225.174914588235</v>
      </c>
    </row>
    <row r="22" customFormat="false" ht="14.25" hidden="false" customHeight="true" outlineLevel="0" collapsed="false">
      <c r="A22" s="0" t="n">
        <v>21</v>
      </c>
      <c r="B22" s="0" t="n">
        <v>2</v>
      </c>
      <c r="C22" s="0" t="s">
        <v>605</v>
      </c>
      <c r="D22" s="0" t="s">
        <v>494</v>
      </c>
      <c r="E22" s="0" t="s">
        <v>173</v>
      </c>
      <c r="F22" s="0" t="n">
        <v>13</v>
      </c>
      <c r="G22" s="0" t="s">
        <v>1036</v>
      </c>
      <c r="H22" s="0" t="s">
        <v>1033</v>
      </c>
      <c r="I22" s="0" t="s">
        <v>1035</v>
      </c>
      <c r="J22" s="0" t="n">
        <v>-3</v>
      </c>
      <c r="K22" s="0" t="n">
        <v>21</v>
      </c>
      <c r="L22" s="0" t="str">
        <f aca="false">C22</f>
        <v>Derrick Henry</v>
      </c>
      <c r="M22" s="121" t="n">
        <f aca="false">IFERROR(VLOOKUP(E22,RISK!A:B,2,FALSE()),"")</f>
        <v>2.5914</v>
      </c>
      <c r="N22" s="120" t="n">
        <f aca="false">VLOOKUP(E22,Q:R,2,FALSE())</f>
        <v>196.134637647059</v>
      </c>
      <c r="Q22" s="53" t="s">
        <v>216</v>
      </c>
      <c r="R22" s="120" t="n">
        <f aca="false">Aggregate!BG24</f>
        <v>221.554941176471</v>
      </c>
    </row>
    <row r="23" customFormat="false" ht="14.25" hidden="false" customHeight="true" outlineLevel="0" collapsed="false">
      <c r="A23" s="0" t="n">
        <v>22</v>
      </c>
      <c r="B23" s="0" t="n">
        <v>2</v>
      </c>
      <c r="C23" s="0" t="s">
        <v>732</v>
      </c>
      <c r="D23" s="0" t="s">
        <v>510</v>
      </c>
      <c r="E23" s="0" t="s">
        <v>170</v>
      </c>
      <c r="F23" s="0" t="n">
        <v>14</v>
      </c>
      <c r="G23" s="0" t="s">
        <v>1036</v>
      </c>
      <c r="H23" s="0" t="s">
        <v>1036</v>
      </c>
      <c r="I23" s="0" t="s">
        <v>1031</v>
      </c>
      <c r="J23" s="0" t="n">
        <v>2</v>
      </c>
      <c r="K23" s="0" t="n">
        <v>22</v>
      </c>
      <c r="L23" s="0" t="str">
        <f aca="false">C23</f>
        <v>George Pickens</v>
      </c>
      <c r="M23" s="121" t="n">
        <f aca="false">IFERROR(VLOOKUP(E23,RISK!A:B,2,FALSE()),"")</f>
        <v>2.409</v>
      </c>
      <c r="N23" s="120" t="n">
        <f aca="false">VLOOKUP(E23,Q:R,2,FALSE())</f>
        <v>184.632294</v>
      </c>
      <c r="Q23" s="53" t="s">
        <v>220</v>
      </c>
      <c r="R23" s="120" t="n">
        <f aca="false">Aggregate!BG25</f>
        <v>218.147127058824</v>
      </c>
    </row>
    <row r="24" customFormat="false" ht="14.25" hidden="false" customHeight="true" outlineLevel="0" collapsed="false">
      <c r="A24" s="0" t="n">
        <v>23</v>
      </c>
      <c r="B24" s="0" t="n">
        <v>2</v>
      </c>
      <c r="C24" s="0" t="s">
        <v>730</v>
      </c>
      <c r="D24" s="0" t="s">
        <v>526</v>
      </c>
      <c r="E24" s="0" t="s">
        <v>174</v>
      </c>
      <c r="F24" s="0" t="n">
        <v>8</v>
      </c>
      <c r="G24" s="0" t="s">
        <v>1036</v>
      </c>
      <c r="H24" s="0" t="s">
        <v>1036</v>
      </c>
      <c r="I24" s="0" t="s">
        <v>1035</v>
      </c>
      <c r="J24" s="0" t="n">
        <v>3</v>
      </c>
      <c r="K24" s="0" t="n">
        <v>23</v>
      </c>
      <c r="L24" s="0" t="str">
        <f aca="false">C24</f>
        <v>Chris Olave</v>
      </c>
      <c r="M24" s="121" t="n">
        <f aca="false">IFERROR(VLOOKUP(E24,RISK!A:B,2,FALSE()),"")</f>
        <v>2.4701</v>
      </c>
      <c r="N24" s="120" t="n">
        <f aca="false">VLOOKUP(E24,Q:R,2,FALSE())</f>
        <v>180.894068235294</v>
      </c>
      <c r="Q24" s="53" t="s">
        <v>224</v>
      </c>
      <c r="R24" s="120" t="n">
        <f aca="false">Aggregate!BG26</f>
        <v>211.453341176471</v>
      </c>
    </row>
    <row r="25" customFormat="false" ht="14.25" hidden="false" customHeight="true" outlineLevel="0" collapsed="false">
      <c r="A25" s="0" t="n">
        <v>24</v>
      </c>
      <c r="B25" s="0" t="n">
        <v>2</v>
      </c>
      <c r="C25" s="0" t="s">
        <v>611</v>
      </c>
      <c r="D25" s="0" t="s">
        <v>550</v>
      </c>
      <c r="E25" s="0" t="s">
        <v>177</v>
      </c>
      <c r="F25" s="0" t="n">
        <v>13</v>
      </c>
      <c r="G25" s="0" t="s">
        <v>1036</v>
      </c>
      <c r="H25" s="0" t="s">
        <v>1036</v>
      </c>
      <c r="I25" s="0" t="s">
        <v>1031</v>
      </c>
      <c r="J25" s="0" t="n">
        <v>-7</v>
      </c>
      <c r="K25" s="0" t="n">
        <v>24</v>
      </c>
      <c r="L25" s="0" t="str">
        <f aca="false">C25</f>
        <v>Ashton Jeanty</v>
      </c>
      <c r="M25" s="121" t="n">
        <f aca="false">IFERROR(VLOOKUP(E25,RISK!A:B,2,FALSE()),"")</f>
        <v>2.602</v>
      </c>
      <c r="N25" s="120" t="n">
        <f aca="false">VLOOKUP(E25,Q:R,2,FALSE())</f>
        <v>195.770615829176</v>
      </c>
      <c r="Q25" s="53" t="s">
        <v>228</v>
      </c>
      <c r="R25" s="120" t="n">
        <f aca="false">Aggregate!BG27</f>
        <v>207.508164705882</v>
      </c>
    </row>
    <row r="26" customFormat="false" ht="14.25" hidden="false" customHeight="true" outlineLevel="0" collapsed="false">
      <c r="A26" s="0" t="n">
        <v>25</v>
      </c>
      <c r="B26" s="0" t="n">
        <v>2</v>
      </c>
      <c r="C26" s="0" t="s">
        <v>899</v>
      </c>
      <c r="D26" s="0" t="s">
        <v>546</v>
      </c>
      <c r="E26" s="0" t="s">
        <v>139</v>
      </c>
      <c r="F26" s="0" t="n">
        <v>14</v>
      </c>
      <c r="G26" s="0" t="s">
        <v>1036</v>
      </c>
      <c r="H26" s="0" t="s">
        <v>1033</v>
      </c>
      <c r="I26" s="0" t="s">
        <v>1031</v>
      </c>
      <c r="J26" s="0" t="n">
        <v>0</v>
      </c>
      <c r="K26" s="0" t="n">
        <v>25</v>
      </c>
      <c r="L26" s="0" t="str">
        <f aca="false">C26</f>
        <v>Trey McBride</v>
      </c>
      <c r="M26" s="121" t="n">
        <f aca="false">IFERROR(VLOOKUP(E26,RISK!A:B,2,FALSE()),"")</f>
        <v>2.1186</v>
      </c>
      <c r="N26" s="120" t="n">
        <f aca="false">VLOOKUP(E26,Q:R,2,FALSE())</f>
        <v>164.731390352941</v>
      </c>
      <c r="Q26" s="53" t="s">
        <v>232</v>
      </c>
      <c r="R26" s="120" t="n">
        <f aca="false">Aggregate!BG28</f>
        <v>189.582776470588</v>
      </c>
    </row>
    <row r="27" customFormat="false" ht="14.25" hidden="false" customHeight="true" outlineLevel="0" collapsed="false">
      <c r="A27" s="0" t="n">
        <v>26</v>
      </c>
      <c r="B27" s="0" t="n">
        <v>3</v>
      </c>
      <c r="C27" s="0" t="s">
        <v>735</v>
      </c>
      <c r="D27" s="0" t="s">
        <v>504</v>
      </c>
      <c r="E27" s="0" t="s">
        <v>178</v>
      </c>
      <c r="F27" s="0" t="n">
        <v>8</v>
      </c>
      <c r="G27" s="0" t="s">
        <v>1036</v>
      </c>
      <c r="H27" s="0" t="s">
        <v>1036</v>
      </c>
      <c r="I27" s="0" t="s">
        <v>1032</v>
      </c>
      <c r="J27" s="0" t="n">
        <v>3</v>
      </c>
      <c r="K27" s="0" t="n">
        <v>26</v>
      </c>
      <c r="L27" s="0" t="str">
        <f aca="false">C27</f>
        <v>Malik Nabers</v>
      </c>
      <c r="M27" s="121" t="n">
        <f aca="false">IFERROR(VLOOKUP(E27,RISK!A:B,2,FALSE()),"")</f>
        <v>2.5306</v>
      </c>
      <c r="N27" s="120" t="n">
        <f aca="false">VLOOKUP(E27,Q:R,2,FALSE())</f>
        <v>180.572979411765</v>
      </c>
      <c r="Q27" s="53" t="s">
        <v>236</v>
      </c>
      <c r="R27" s="120" t="n">
        <f aca="false">Aggregate!BG29</f>
        <v>188.280705882353</v>
      </c>
    </row>
    <row r="28" customFormat="false" ht="14.25" hidden="false" customHeight="true" outlineLevel="0" collapsed="false">
      <c r="A28" s="0" t="n">
        <v>27</v>
      </c>
      <c r="B28" s="0" t="n">
        <v>3</v>
      </c>
      <c r="C28" s="0" t="s">
        <v>738</v>
      </c>
      <c r="D28" s="0" t="s">
        <v>500</v>
      </c>
      <c r="E28" s="0" t="s">
        <v>182</v>
      </c>
      <c r="F28" s="0" t="n">
        <v>10</v>
      </c>
      <c r="G28" s="0" t="s">
        <v>1036</v>
      </c>
      <c r="H28" s="0" t="s">
        <v>1033</v>
      </c>
      <c r="I28" s="0" t="s">
        <v>1032</v>
      </c>
      <c r="J28" s="0" t="n">
        <v>4</v>
      </c>
      <c r="K28" s="0" t="n">
        <v>27</v>
      </c>
      <c r="L28" s="0" t="str">
        <f aca="false">C28</f>
        <v>DeVonta Smith</v>
      </c>
      <c r="M28" s="121" t="n">
        <f aca="false">IFERROR(VLOOKUP(E28,RISK!A:B,2,FALSE()),"")</f>
        <v>2.5905</v>
      </c>
      <c r="N28" s="120" t="n">
        <f aca="false">VLOOKUP(E28,Q:R,2,FALSE())</f>
        <v>170.262280941176</v>
      </c>
      <c r="Q28" s="53" t="s">
        <v>240</v>
      </c>
      <c r="R28" s="120" t="n">
        <f aca="false">Aggregate!BG30</f>
        <v>186.801670588235</v>
      </c>
    </row>
    <row r="29" customFormat="false" ht="14.25" hidden="false" customHeight="true" outlineLevel="0" collapsed="false">
      <c r="A29" s="0" t="n">
        <v>28</v>
      </c>
      <c r="B29" s="0" t="n">
        <v>3</v>
      </c>
      <c r="C29" s="0" t="s">
        <v>489</v>
      </c>
      <c r="D29" s="0" t="s">
        <v>490</v>
      </c>
      <c r="E29" s="0" t="s">
        <v>132</v>
      </c>
      <c r="F29" s="0" t="n">
        <v>7</v>
      </c>
      <c r="G29" s="0" t="s">
        <v>1028</v>
      </c>
      <c r="H29" s="0" t="s">
        <v>1033</v>
      </c>
      <c r="I29" s="0" t="s">
        <v>1035</v>
      </c>
      <c r="J29" s="0" t="n">
        <v>-8</v>
      </c>
      <c r="K29" s="0" t="n">
        <v>28</v>
      </c>
      <c r="L29" s="0" t="str">
        <f aca="false">C29</f>
        <v>Josh Allen</v>
      </c>
      <c r="M29" s="121" t="n">
        <f aca="false">IFERROR(VLOOKUP(E29,RISK!A:B,2,FALSE()),"")</f>
        <v>2.118</v>
      </c>
      <c r="N29" s="120" t="n">
        <f aca="false">VLOOKUP(E29,Q:R,2,FALSE())</f>
        <v>324.546656</v>
      </c>
      <c r="Q29" s="53" t="s">
        <v>244</v>
      </c>
      <c r="R29" s="120" t="n">
        <f aca="false">Aggregate!BG31</f>
        <v>182.148635294118</v>
      </c>
    </row>
    <row r="30" customFormat="false" ht="14.25" hidden="false" customHeight="true" outlineLevel="0" collapsed="false">
      <c r="A30" s="0" t="n">
        <v>29</v>
      </c>
      <c r="B30" s="0" t="n">
        <v>3</v>
      </c>
      <c r="C30" s="0" t="s">
        <v>729</v>
      </c>
      <c r="D30" s="0" t="s">
        <v>512</v>
      </c>
      <c r="E30" s="0" t="s">
        <v>186</v>
      </c>
      <c r="F30" s="0" t="n">
        <v>5</v>
      </c>
      <c r="G30" s="0" t="s">
        <v>1036</v>
      </c>
      <c r="H30" s="0" t="s">
        <v>1036</v>
      </c>
      <c r="I30" s="0" t="s">
        <v>1031</v>
      </c>
      <c r="J30" s="0" t="n">
        <v>4</v>
      </c>
      <c r="K30" s="0" t="n">
        <v>29</v>
      </c>
      <c r="L30" s="0" t="str">
        <f aca="false">C30</f>
        <v>Rashee Rice</v>
      </c>
      <c r="M30" s="121" t="n">
        <f aca="false">IFERROR(VLOOKUP(E30,RISK!A:B,2,FALSE()),"")</f>
        <v>2.6498</v>
      </c>
      <c r="N30" s="120" t="n">
        <f aca="false">VLOOKUP(E30,Q:R,2,FALSE())</f>
        <v>169.093665294118</v>
      </c>
      <c r="Q30" s="53" t="s">
        <v>248</v>
      </c>
      <c r="R30" s="120" t="n">
        <f aca="false">Aggregate!BG32</f>
        <v>155.521129411765</v>
      </c>
    </row>
    <row r="31" customFormat="false" ht="14.25" hidden="false" customHeight="true" outlineLevel="0" collapsed="false">
      <c r="A31" s="0" t="n">
        <v>30</v>
      </c>
      <c r="B31" s="0" t="n">
        <v>3</v>
      </c>
      <c r="C31" s="0" t="s">
        <v>734</v>
      </c>
      <c r="D31" s="0" t="s">
        <v>494</v>
      </c>
      <c r="E31" s="0" t="s">
        <v>190</v>
      </c>
      <c r="F31" s="0" t="n">
        <v>13</v>
      </c>
      <c r="G31" s="0" t="s">
        <v>1036</v>
      </c>
      <c r="H31" s="0" t="s">
        <v>1033</v>
      </c>
      <c r="I31" s="0" t="s">
        <v>1032</v>
      </c>
      <c r="J31" s="0" t="n">
        <v>4</v>
      </c>
      <c r="K31" s="0" t="n">
        <v>30</v>
      </c>
      <c r="L31" s="0" t="str">
        <f aca="false">C31</f>
        <v>Zay Flowers</v>
      </c>
      <c r="M31" s="121" t="n">
        <f aca="false">IFERROR(VLOOKUP(E31,RISK!A:B,2,FALSE()),"")</f>
        <v>2.7085</v>
      </c>
      <c r="N31" s="120" t="n">
        <f aca="false">VLOOKUP(E31,Q:R,2,FALSE())</f>
        <v>163.547825</v>
      </c>
      <c r="Q31" s="53" t="s">
        <v>252</v>
      </c>
      <c r="R31" s="120" t="n">
        <f aca="false">Aggregate!BG33</f>
        <v>114.200682352941</v>
      </c>
    </row>
    <row r="32" customFormat="false" ht="14.25" hidden="false" customHeight="true" outlineLevel="0" collapsed="false">
      <c r="A32" s="0" t="n">
        <v>31</v>
      </c>
      <c r="B32" s="0" t="n">
        <v>3</v>
      </c>
      <c r="C32" s="0" t="s">
        <v>616</v>
      </c>
      <c r="D32" s="0" t="s">
        <v>520</v>
      </c>
      <c r="E32" s="0" t="s">
        <v>181</v>
      </c>
      <c r="F32" s="0" t="n">
        <v>11</v>
      </c>
      <c r="G32" s="0" t="s">
        <v>1036</v>
      </c>
      <c r="H32" s="0" t="s">
        <v>1033</v>
      </c>
      <c r="I32" s="0" t="s">
        <v>1030</v>
      </c>
      <c r="J32" s="0" t="n">
        <v>-4</v>
      </c>
      <c r="K32" s="0" t="n">
        <v>31</v>
      </c>
      <c r="L32" s="0" t="str">
        <f aca="false">C32</f>
        <v>Kyren Williams</v>
      </c>
      <c r="M32" s="121" t="n">
        <f aca="false">IFERROR(VLOOKUP(E32,RISK!A:B,2,FALSE()),"")</f>
        <v>2.6138</v>
      </c>
      <c r="N32" s="120" t="n">
        <f aca="false">VLOOKUP(E32,Q:R,2,FALSE())</f>
        <v>194.430970588235</v>
      </c>
      <c r="Q32" s="53" t="s">
        <v>256</v>
      </c>
      <c r="R32" s="120" t="n">
        <f aca="false">Aggregate!BG34</f>
        <v>109.784682352941</v>
      </c>
    </row>
    <row r="33" customFormat="false" ht="14.25" hidden="false" customHeight="true" outlineLevel="0" collapsed="false">
      <c r="A33" s="0" t="n">
        <v>32</v>
      </c>
      <c r="B33" s="0" t="n">
        <v>3</v>
      </c>
      <c r="C33" s="0" t="s">
        <v>614</v>
      </c>
      <c r="D33" s="0" t="s">
        <v>510</v>
      </c>
      <c r="E33" s="0" t="s">
        <v>185</v>
      </c>
      <c r="F33" s="0" t="n">
        <v>14</v>
      </c>
      <c r="G33" s="0" t="s">
        <v>1036</v>
      </c>
      <c r="H33" s="0" t="s">
        <v>1036</v>
      </c>
      <c r="I33" s="0" t="s">
        <v>1032</v>
      </c>
      <c r="J33" s="0" t="n">
        <v>-2</v>
      </c>
      <c r="K33" s="0" t="n">
        <v>32</v>
      </c>
      <c r="L33" s="0" t="str">
        <f aca="false">C33</f>
        <v>Javonte Williams</v>
      </c>
      <c r="M33" s="121" t="n">
        <f aca="false">IFERROR(VLOOKUP(E33,RISK!A:B,2,FALSE()),"")</f>
        <v>2.6268</v>
      </c>
      <c r="N33" s="120" t="n">
        <f aca="false">VLOOKUP(E33,Q:R,2,FALSE())</f>
        <v>189.354227764706</v>
      </c>
      <c r="Q33" s="53" t="s">
        <v>260</v>
      </c>
      <c r="R33" s="120" t="n">
        <f aca="false">Aggregate!BG35</f>
        <v>86.1217411764706</v>
      </c>
    </row>
    <row r="34" customFormat="false" ht="14.25" hidden="false" customHeight="true" outlineLevel="0" collapsed="false">
      <c r="A34" s="0" t="n">
        <v>33</v>
      </c>
      <c r="B34" s="0" t="n">
        <v>3</v>
      </c>
      <c r="C34" s="0" t="s">
        <v>741</v>
      </c>
      <c r="D34" s="0" t="s">
        <v>502</v>
      </c>
      <c r="E34" s="0" t="s">
        <v>194</v>
      </c>
      <c r="F34" s="0" t="n">
        <v>6</v>
      </c>
      <c r="G34" s="0" t="s">
        <v>1028</v>
      </c>
      <c r="H34" s="0" t="s">
        <v>1033</v>
      </c>
      <c r="I34" s="0" t="s">
        <v>1032</v>
      </c>
      <c r="J34" s="0" t="n">
        <v>7</v>
      </c>
      <c r="K34" s="0" t="n">
        <v>33</v>
      </c>
      <c r="L34" s="0" t="str">
        <f aca="false">C34</f>
        <v>Tee Higgins</v>
      </c>
      <c r="M34" s="121" t="n">
        <f aca="false">IFERROR(VLOOKUP(E34,RISK!A:B,2,FALSE()),"")</f>
        <v>2.7666</v>
      </c>
      <c r="N34" s="120" t="n">
        <f aca="false">VLOOKUP(E34,Q:R,2,FALSE())</f>
        <v>160.794566235294</v>
      </c>
      <c r="Q34" s="53" t="s">
        <v>264</v>
      </c>
      <c r="R34" s="120" t="n">
        <f aca="false">Aggregate!BG36</f>
        <v>79.9929176470588</v>
      </c>
    </row>
    <row r="35" customFormat="false" ht="14.25" hidden="false" customHeight="true" outlineLevel="0" collapsed="false">
      <c r="A35" s="0" t="n">
        <v>34</v>
      </c>
      <c r="B35" s="0" t="n">
        <v>3</v>
      </c>
      <c r="C35" s="0" t="s">
        <v>615</v>
      </c>
      <c r="D35" s="0" t="s">
        <v>542</v>
      </c>
      <c r="E35" s="0" t="s">
        <v>189</v>
      </c>
      <c r="F35" s="0" t="n">
        <v>13</v>
      </c>
      <c r="G35" s="0" t="s">
        <v>1036</v>
      </c>
      <c r="H35" s="0" t="s">
        <v>1036</v>
      </c>
      <c r="I35" s="0" t="s">
        <v>1035</v>
      </c>
      <c r="J35" s="0" t="n">
        <v>-2</v>
      </c>
      <c r="K35" s="0" t="n">
        <v>34</v>
      </c>
      <c r="L35" s="0" t="str">
        <f aca="false">C35</f>
        <v>Breece Hall</v>
      </c>
      <c r="M35" s="121" t="n">
        <f aca="false">IFERROR(VLOOKUP(E35,RISK!A:B,2,FALSE()),"")</f>
        <v>2.641</v>
      </c>
      <c r="N35" s="120" t="n">
        <f aca="false">VLOOKUP(E35,Q:R,2,FALSE())</f>
        <v>187.477861176471</v>
      </c>
      <c r="Q35" s="53" t="s">
        <v>268</v>
      </c>
      <c r="R35" s="120" t="n">
        <f aca="false">Aggregate!BG37</f>
        <v>38.2113882352941</v>
      </c>
    </row>
    <row r="36" customFormat="false" ht="14.25" hidden="false" customHeight="true" outlineLevel="0" collapsed="false">
      <c r="A36" s="0" t="n">
        <v>35</v>
      </c>
      <c r="B36" s="0" t="n">
        <v>3</v>
      </c>
      <c r="C36" s="0" t="s">
        <v>493</v>
      </c>
      <c r="D36" s="0" t="s">
        <v>494</v>
      </c>
      <c r="E36" s="0" t="s">
        <v>136</v>
      </c>
      <c r="F36" s="0" t="n">
        <v>13</v>
      </c>
      <c r="G36" s="0" t="s">
        <v>1036</v>
      </c>
      <c r="H36" s="0" t="s">
        <v>1036</v>
      </c>
      <c r="I36" s="0" t="s">
        <v>1035</v>
      </c>
      <c r="J36" s="0" t="n">
        <v>2</v>
      </c>
      <c r="K36" s="0" t="n">
        <v>35</v>
      </c>
      <c r="L36" s="0" t="str">
        <f aca="false">C36</f>
        <v>Lamar Jackson</v>
      </c>
      <c r="M36" s="121" t="n">
        <f aca="false">IFERROR(VLOOKUP(E36,RISK!A:B,2,FALSE()),"")</f>
        <v>2.0584</v>
      </c>
      <c r="N36" s="120" t="n">
        <f aca="false">VLOOKUP(E36,Q:R,2,FALSE())</f>
        <v>285.970436235294</v>
      </c>
      <c r="Q36" s="53" t="s">
        <v>272</v>
      </c>
      <c r="R36" s="120" t="n">
        <f aca="false">Aggregate!BG38</f>
        <v>24.0785647058824</v>
      </c>
    </row>
    <row r="37" customFormat="false" ht="14.25" hidden="false" customHeight="true" outlineLevel="0" collapsed="false">
      <c r="A37" s="0" t="n">
        <v>36</v>
      </c>
      <c r="B37" s="0" t="n">
        <v>3</v>
      </c>
      <c r="C37" s="0" t="s">
        <v>747</v>
      </c>
      <c r="D37" s="0" t="s">
        <v>518</v>
      </c>
      <c r="E37" s="0" t="s">
        <v>198</v>
      </c>
      <c r="F37" s="0" t="n">
        <v>10</v>
      </c>
      <c r="G37" s="0" t="s">
        <v>1036</v>
      </c>
      <c r="H37" s="0" t="s">
        <v>1037</v>
      </c>
      <c r="I37" s="0" t="s">
        <v>1031</v>
      </c>
      <c r="J37" s="0" t="n">
        <v>9</v>
      </c>
      <c r="K37" s="0" t="n">
        <v>36</v>
      </c>
      <c r="L37" s="0" t="str">
        <f aca="false">C37</f>
        <v>Jaylen Waddle</v>
      </c>
      <c r="M37" s="121" t="n">
        <f aca="false">IFERROR(VLOOKUP(E37,RISK!A:B,2,FALSE()),"")</f>
        <v>2.8241</v>
      </c>
      <c r="N37" s="120" t="n">
        <f aca="false">VLOOKUP(E37,Q:R,2,FALSE())</f>
        <v>158.905295294118</v>
      </c>
      <c r="Q37" s="53" t="s">
        <v>276</v>
      </c>
      <c r="R37" s="120" t="n">
        <f aca="false">Aggregate!BG39</f>
        <v>15.2628</v>
      </c>
    </row>
    <row r="38" customFormat="false" ht="14.25" hidden="false" customHeight="true" outlineLevel="0" collapsed="false">
      <c r="A38" s="0" t="n">
        <v>37</v>
      </c>
      <c r="B38" s="0" t="n">
        <v>3</v>
      </c>
      <c r="C38" s="0" t="s">
        <v>743</v>
      </c>
      <c r="D38" s="0" t="s">
        <v>516</v>
      </c>
      <c r="E38" s="0" t="s">
        <v>202</v>
      </c>
      <c r="F38" s="0" t="n">
        <v>7</v>
      </c>
      <c r="G38" s="0" t="s">
        <v>1036</v>
      </c>
      <c r="H38" s="0" t="s">
        <v>1037</v>
      </c>
      <c r="I38" s="0" t="s">
        <v>1031</v>
      </c>
      <c r="J38" s="0" t="n">
        <v>1</v>
      </c>
      <c r="K38" s="0" t="n">
        <v>37</v>
      </c>
      <c r="L38" s="0" t="str">
        <f aca="false">C38</f>
        <v>Ladd McConkey</v>
      </c>
      <c r="M38" s="121" t="n">
        <f aca="false">IFERROR(VLOOKUP(E38,RISK!A:B,2,FALSE()),"")</f>
        <v>2.881</v>
      </c>
      <c r="N38" s="120" t="n">
        <f aca="false">VLOOKUP(E38,Q:R,2,FALSE())</f>
        <v>157.098394</v>
      </c>
      <c r="Q38" s="53" t="s">
        <v>280</v>
      </c>
      <c r="R38" s="120" t="n">
        <f aca="false">Aggregate!BG40</f>
        <v>14.5679294117647</v>
      </c>
    </row>
    <row r="39" customFormat="false" ht="14.25" hidden="false" customHeight="true" outlineLevel="0" collapsed="false">
      <c r="A39" s="0" t="n">
        <v>38</v>
      </c>
      <c r="B39" s="0" t="n">
        <v>3</v>
      </c>
      <c r="C39" s="0" t="s">
        <v>736</v>
      </c>
      <c r="D39" s="0" t="s">
        <v>542</v>
      </c>
      <c r="E39" s="0" t="s">
        <v>206</v>
      </c>
      <c r="F39" s="0" t="n">
        <v>13</v>
      </c>
      <c r="G39" s="0" t="s">
        <v>1036</v>
      </c>
      <c r="H39" s="0" t="s">
        <v>1036</v>
      </c>
      <c r="I39" s="0" t="s">
        <v>1032</v>
      </c>
      <c r="J39" s="0" t="n">
        <v>6</v>
      </c>
      <c r="K39" s="0" t="n">
        <v>38</v>
      </c>
      <c r="L39" s="0" t="str">
        <f aca="false">C39</f>
        <v>Garrett Wilson</v>
      </c>
      <c r="M39" s="121" t="n">
        <f aca="false">IFERROR(VLOOKUP(E39,RISK!A:B,2,FALSE()),"")</f>
        <v>2.9373</v>
      </c>
      <c r="N39" s="120" t="n">
        <f aca="false">VLOOKUP(E39,Q:R,2,FALSE())</f>
        <v>155.838984823529</v>
      </c>
      <c r="Q39" s="53" t="s">
        <v>284</v>
      </c>
      <c r="R39" s="120" t="n">
        <f aca="false">Aggregate!BG41</f>
        <v>10.1048470588235</v>
      </c>
    </row>
    <row r="40" customFormat="false" ht="14.25" hidden="false" customHeight="true" outlineLevel="0" collapsed="false">
      <c r="A40" s="0" t="n">
        <v>39</v>
      </c>
      <c r="B40" s="0" t="n">
        <v>3</v>
      </c>
      <c r="C40" s="0" t="s">
        <v>901</v>
      </c>
      <c r="D40" s="0" t="s">
        <v>514</v>
      </c>
      <c r="E40" s="0" t="s">
        <v>143</v>
      </c>
      <c r="F40" s="0" t="n">
        <v>10</v>
      </c>
      <c r="G40" s="0" t="s">
        <v>1028</v>
      </c>
      <c r="H40" s="0" t="s">
        <v>1033</v>
      </c>
      <c r="I40" s="0" t="s">
        <v>1031</v>
      </c>
      <c r="J40" s="0" t="n">
        <v>2</v>
      </c>
      <c r="K40" s="0" t="n">
        <v>39</v>
      </c>
      <c r="L40" s="0" t="str">
        <f aca="false">C40</f>
        <v>Colston Loveland</v>
      </c>
      <c r="M40" s="121" t="n">
        <f aca="false">IFERROR(VLOOKUP(E40,RISK!A:B,2,FALSE()),"")</f>
        <v>2.0485</v>
      </c>
      <c r="N40" s="120" t="n">
        <f aca="false">VLOOKUP(E40,Q:R,2,FALSE())</f>
        <v>141.386142352941</v>
      </c>
      <c r="Q40" s="53" t="s">
        <v>288</v>
      </c>
      <c r="R40" s="120" t="n">
        <f aca="false">Aggregate!BG42</f>
        <v>10.0983529411765</v>
      </c>
    </row>
    <row r="41" customFormat="false" ht="14.25" hidden="false" customHeight="true" outlineLevel="0" collapsed="false">
      <c r="A41" s="0" t="n">
        <v>40</v>
      </c>
      <c r="B41" s="0" t="n">
        <v>3</v>
      </c>
      <c r="C41" s="0" t="s">
        <v>613</v>
      </c>
      <c r="D41" s="0" t="s">
        <v>546</v>
      </c>
      <c r="E41" s="0" t="s">
        <v>193</v>
      </c>
      <c r="F41" s="0" t="n">
        <v>14</v>
      </c>
      <c r="G41" s="0" t="s">
        <v>1028</v>
      </c>
      <c r="H41" s="0" t="s">
        <v>1036</v>
      </c>
      <c r="I41" s="0" t="s">
        <v>1031</v>
      </c>
      <c r="J41" s="0" t="n">
        <v>-12</v>
      </c>
      <c r="K41" s="0" t="n">
        <v>40</v>
      </c>
      <c r="L41" s="0" t="str">
        <f aca="false">C41</f>
        <v>Jeremiyah Love</v>
      </c>
      <c r="M41" s="121" t="n">
        <f aca="false">IFERROR(VLOOKUP(E41,RISK!A:B,2,FALSE()),"")</f>
        <v>2.6564</v>
      </c>
      <c r="N41" s="120" t="n">
        <f aca="false">VLOOKUP(E41,Q:R,2,FALSE())</f>
        <v>184.837282588235</v>
      </c>
      <c r="Q41" s="53" t="s">
        <v>292</v>
      </c>
      <c r="R41" s="120" t="n">
        <f aca="false">Aggregate!BG43</f>
        <v>9.88729411764706</v>
      </c>
    </row>
    <row r="42" customFormat="false" ht="14.25" hidden="false" customHeight="true" outlineLevel="0" collapsed="false">
      <c r="A42" s="0" t="n">
        <v>41</v>
      </c>
      <c r="B42" s="0" t="n">
        <v>3</v>
      </c>
      <c r="C42" s="0" t="s">
        <v>737</v>
      </c>
      <c r="D42" s="0" t="s">
        <v>540</v>
      </c>
      <c r="E42" s="0" t="s">
        <v>210</v>
      </c>
      <c r="F42" s="0" t="n">
        <v>5</v>
      </c>
      <c r="G42" s="0" t="s">
        <v>1036</v>
      </c>
      <c r="H42" s="0" t="s">
        <v>1037</v>
      </c>
      <c r="I42" s="0" t="s">
        <v>1031</v>
      </c>
      <c r="J42" s="0" t="n">
        <v>-2</v>
      </c>
      <c r="K42" s="0" t="n">
        <v>41</v>
      </c>
      <c r="L42" s="0" t="str">
        <f aca="false">C42</f>
        <v>Tetairoa McMillan</v>
      </c>
      <c r="M42" s="121" t="n">
        <f aca="false">IFERROR(VLOOKUP(E42,RISK!A:B,2,FALSE()),"")</f>
        <v>2.993</v>
      </c>
      <c r="N42" s="120" t="n">
        <f aca="false">VLOOKUP(E42,Q:R,2,FALSE())</f>
        <v>152.905529117647</v>
      </c>
      <c r="Q42" s="53" t="s">
        <v>296</v>
      </c>
      <c r="R42" s="120" t="n">
        <f aca="false">Aggregate!BG44</f>
        <v>9.38562352941177</v>
      </c>
    </row>
    <row r="43" customFormat="false" ht="14.25" hidden="false" customHeight="true" outlineLevel="0" collapsed="false">
      <c r="A43" s="0" t="n">
        <v>42</v>
      </c>
      <c r="B43" s="0" t="n">
        <v>3</v>
      </c>
      <c r="C43" s="0" t="s">
        <v>739</v>
      </c>
      <c r="D43" s="0" t="s">
        <v>528</v>
      </c>
      <c r="E43" s="0" t="s">
        <v>214</v>
      </c>
      <c r="F43" s="0" t="n">
        <v>10</v>
      </c>
      <c r="G43" s="0" t="s">
        <v>1036</v>
      </c>
      <c r="H43" s="0" t="s">
        <v>1037</v>
      </c>
      <c r="I43" s="0" t="s">
        <v>1032</v>
      </c>
      <c r="J43" s="0" t="n">
        <v>1</v>
      </c>
      <c r="K43" s="0" t="n">
        <v>42</v>
      </c>
      <c r="L43" s="0" t="str">
        <f aca="false">C43</f>
        <v>Emeka Egbuka</v>
      </c>
      <c r="M43" s="121" t="n">
        <f aca="false">IFERROR(VLOOKUP(E43,RISK!A:B,2,FALSE()),"")</f>
        <v>3.0481</v>
      </c>
      <c r="N43" s="120" t="n">
        <f aca="false">VLOOKUP(E43,Q:R,2,FALSE())</f>
        <v>149.714507352941</v>
      </c>
      <c r="Q43" s="53" t="s">
        <v>300</v>
      </c>
      <c r="R43" s="120" t="n">
        <f aca="false">Aggregate!BG45</f>
        <v>8.56249411764706</v>
      </c>
    </row>
    <row r="44" customFormat="false" ht="14.25" hidden="false" customHeight="true" outlineLevel="0" collapsed="false">
      <c r="A44" s="0" t="n">
        <v>43</v>
      </c>
      <c r="B44" s="0" t="n">
        <v>4</v>
      </c>
      <c r="C44" s="0" t="s">
        <v>617</v>
      </c>
      <c r="D44" s="0" t="s">
        <v>526</v>
      </c>
      <c r="E44" s="0" t="s">
        <v>197</v>
      </c>
      <c r="F44" s="0" t="n">
        <v>8</v>
      </c>
      <c r="G44" s="0" t="s">
        <v>1036</v>
      </c>
      <c r="H44" s="0" t="s">
        <v>1036</v>
      </c>
      <c r="I44" s="0" t="s">
        <v>1035</v>
      </c>
      <c r="J44" s="0" t="n">
        <v>-8</v>
      </c>
      <c r="K44" s="0" t="n">
        <v>43</v>
      </c>
      <c r="L44" s="0" t="str">
        <f aca="false">C44</f>
        <v>Travis Etienne Jr.</v>
      </c>
      <c r="M44" s="121" t="n">
        <f aca="false">IFERROR(VLOOKUP(E44,RISK!A:B,2,FALSE()),"")</f>
        <v>2.673</v>
      </c>
      <c r="N44" s="120" t="n">
        <f aca="false">VLOOKUP(E44,Q:R,2,FALSE())</f>
        <v>180.284225882353</v>
      </c>
      <c r="Q44" s="53" t="s">
        <v>304</v>
      </c>
      <c r="R44" s="120" t="n">
        <f aca="false">Aggregate!BG46</f>
        <v>8.54950588235294</v>
      </c>
    </row>
    <row r="45" customFormat="false" ht="14.25" hidden="false" customHeight="true" outlineLevel="0" collapsed="false">
      <c r="A45" s="0" t="n">
        <v>44</v>
      </c>
      <c r="B45" s="0" t="n">
        <v>4</v>
      </c>
      <c r="C45" s="0" t="s">
        <v>497</v>
      </c>
      <c r="D45" s="0" t="s">
        <v>498</v>
      </c>
      <c r="E45" s="0" t="s">
        <v>140</v>
      </c>
      <c r="F45" s="0" t="n">
        <v>11</v>
      </c>
      <c r="G45" s="0" t="s">
        <v>1028</v>
      </c>
      <c r="H45" s="0" t="s">
        <v>1029</v>
      </c>
      <c r="I45" s="0" t="s">
        <v>1031</v>
      </c>
      <c r="J45" s="0" t="n">
        <v>7</v>
      </c>
      <c r="K45" s="0" t="n">
        <v>44</v>
      </c>
      <c r="L45" s="0" t="str">
        <f aca="false">C45</f>
        <v>Drake Maye</v>
      </c>
      <c r="M45" s="121" t="n">
        <f aca="false">IFERROR(VLOOKUP(E45,RISK!A:B,2,FALSE()),"")</f>
        <v>2.0092</v>
      </c>
      <c r="N45" s="120" t="n">
        <f aca="false">VLOOKUP(E45,Q:R,2,FALSE())</f>
        <v>285.192955952941</v>
      </c>
      <c r="Q45" s="53" t="s">
        <v>308</v>
      </c>
      <c r="R45" s="120" t="n">
        <f aca="false">Aggregate!BG47</f>
        <v>8.47157647058824</v>
      </c>
    </row>
    <row r="46" customFormat="false" ht="14.25" hidden="false" customHeight="true" outlineLevel="0" collapsed="false">
      <c r="A46" s="0" t="n">
        <v>45</v>
      </c>
      <c r="B46" s="0" t="n">
        <v>4</v>
      </c>
      <c r="C46" s="0" t="s">
        <v>619</v>
      </c>
      <c r="D46" s="0" t="s">
        <v>514</v>
      </c>
      <c r="E46" s="0" t="s">
        <v>201</v>
      </c>
      <c r="F46" s="0" t="n">
        <v>10</v>
      </c>
      <c r="G46" s="0" t="s">
        <v>1037</v>
      </c>
      <c r="H46" s="0" t="s">
        <v>1033</v>
      </c>
      <c r="I46" s="0" t="s">
        <v>1031</v>
      </c>
      <c r="J46" s="0" t="n">
        <v>-3</v>
      </c>
      <c r="K46" s="0" t="n">
        <v>45</v>
      </c>
      <c r="L46" s="0" t="str">
        <f aca="false">C46</f>
        <v>D'Andre Swift</v>
      </c>
      <c r="M46" s="121" t="n">
        <f aca="false">IFERROR(VLOOKUP(E46,RISK!A:B,2,FALSE()),"")</f>
        <v>2.6908</v>
      </c>
      <c r="N46" s="120" t="n">
        <f aca="false">VLOOKUP(E46,Q:R,2,FALSE())</f>
        <v>178.408576470588</v>
      </c>
      <c r="Q46" s="53" t="s">
        <v>312</v>
      </c>
      <c r="R46" s="120" t="n">
        <f aca="false">Aggregate!BG48</f>
        <v>7.38381176470589</v>
      </c>
    </row>
    <row r="47" customFormat="false" ht="14.25" hidden="false" customHeight="true" outlineLevel="0" collapsed="false">
      <c r="A47" s="0" t="n">
        <v>46</v>
      </c>
      <c r="B47" s="0" t="n">
        <v>4</v>
      </c>
      <c r="C47" s="0" t="s">
        <v>748</v>
      </c>
      <c r="D47" s="0" t="s">
        <v>514</v>
      </c>
      <c r="E47" s="0" t="s">
        <v>218</v>
      </c>
      <c r="F47" s="0" t="n">
        <v>10</v>
      </c>
      <c r="G47" s="0" t="s">
        <v>1036</v>
      </c>
      <c r="H47" s="0" t="s">
        <v>1036</v>
      </c>
      <c r="I47" s="0" t="s">
        <v>1035</v>
      </c>
      <c r="J47" s="0" t="n">
        <v>6</v>
      </c>
      <c r="K47" s="0" t="n">
        <v>46</v>
      </c>
      <c r="L47" s="0" t="str">
        <f aca="false">C47</f>
        <v>Luther Burden III</v>
      </c>
      <c r="M47" s="121" t="n">
        <f aca="false">IFERROR(VLOOKUP(E47,RISK!A:B,2,FALSE()),"")</f>
        <v>3.1026</v>
      </c>
      <c r="N47" s="120" t="n">
        <f aca="false">VLOOKUP(E47,Q:R,2,FALSE())</f>
        <v>148.091699411765</v>
      </c>
      <c r="Q47" s="53" t="s">
        <v>316</v>
      </c>
      <c r="R47" s="120" t="n">
        <f aca="false">Aggregate!BG49</f>
        <v>4.98423529411765</v>
      </c>
    </row>
    <row r="48" customFormat="false" ht="14.25" hidden="false" customHeight="true" outlineLevel="0" collapsed="false">
      <c r="A48" s="0" t="n">
        <v>47</v>
      </c>
      <c r="B48" s="0" t="n">
        <v>4</v>
      </c>
      <c r="C48" s="0" t="s">
        <v>501</v>
      </c>
      <c r="D48" s="0" t="s">
        <v>502</v>
      </c>
      <c r="E48" s="0" t="s">
        <v>144</v>
      </c>
      <c r="F48" s="0" t="n">
        <v>6</v>
      </c>
      <c r="G48" s="0" t="s">
        <v>1036</v>
      </c>
      <c r="H48" s="0" t="s">
        <v>1036</v>
      </c>
      <c r="I48" s="0" t="s">
        <v>1035</v>
      </c>
      <c r="J48" s="0" t="n">
        <v>6</v>
      </c>
      <c r="K48" s="0" t="n">
        <v>47</v>
      </c>
      <c r="L48" s="0" t="str">
        <f aca="false">C48</f>
        <v>Joe Burrow</v>
      </c>
      <c r="M48" s="121" t="n">
        <f aca="false">IFERROR(VLOOKUP(E48,RISK!A:B,2,FALSE()),"")</f>
        <v>1.9704</v>
      </c>
      <c r="N48" s="120" t="n">
        <f aca="false">VLOOKUP(E48,Q:R,2,FALSE())</f>
        <v>283.949591764706</v>
      </c>
      <c r="Q48" s="53" t="s">
        <v>320</v>
      </c>
      <c r="R48" s="120" t="n">
        <f aca="false">Aggregate!BG50</f>
        <v>0</v>
      </c>
    </row>
    <row r="49" customFormat="false" ht="14.25" hidden="false" customHeight="true" outlineLevel="0" collapsed="false">
      <c r="A49" s="0" t="n">
        <v>48</v>
      </c>
      <c r="B49" s="0" t="n">
        <v>4</v>
      </c>
      <c r="C49" s="0" t="s">
        <v>740</v>
      </c>
      <c r="D49" s="0" t="s">
        <v>520</v>
      </c>
      <c r="E49" s="0" t="s">
        <v>222</v>
      </c>
      <c r="F49" s="0" t="n">
        <v>11</v>
      </c>
      <c r="G49" s="0" t="s">
        <v>1036</v>
      </c>
      <c r="H49" s="0" t="s">
        <v>1036</v>
      </c>
      <c r="I49" s="0" t="s">
        <v>1034</v>
      </c>
      <c r="J49" s="0" t="n">
        <v>8</v>
      </c>
      <c r="K49" s="0" t="n">
        <v>48</v>
      </c>
      <c r="L49" s="0" t="str">
        <f aca="false">C49</f>
        <v>Davante Adams</v>
      </c>
      <c r="M49" s="121" t="n">
        <f aca="false">IFERROR(VLOOKUP(E49,RISK!A:B,2,FALSE()),"")</f>
        <v>3.1565</v>
      </c>
      <c r="N49" s="120" t="n">
        <f aca="false">VLOOKUP(E49,Q:R,2,FALSE())</f>
        <v>144.335678294118</v>
      </c>
      <c r="Q49" s="53" t="s">
        <v>133</v>
      </c>
      <c r="R49" s="120" t="n">
        <f aca="false">Aggregate!BL3</f>
        <v>291.334771058824</v>
      </c>
    </row>
    <row r="50" customFormat="false" ht="14.25" hidden="false" customHeight="true" outlineLevel="0" collapsed="false">
      <c r="A50" s="0" t="n">
        <v>49</v>
      </c>
      <c r="B50" s="0" t="n">
        <v>4</v>
      </c>
      <c r="C50" s="0" t="s">
        <v>744</v>
      </c>
      <c r="D50" s="0" t="s">
        <v>496</v>
      </c>
      <c r="E50" s="0" t="s">
        <v>226</v>
      </c>
      <c r="F50" s="0" t="n">
        <v>7</v>
      </c>
      <c r="G50" s="0" t="s">
        <v>1036</v>
      </c>
      <c r="H50" s="0" t="s">
        <v>1033</v>
      </c>
      <c r="I50" s="0" t="s">
        <v>1031</v>
      </c>
      <c r="J50" s="0" t="n">
        <v>5</v>
      </c>
      <c r="K50" s="0" t="n">
        <v>49</v>
      </c>
      <c r="L50" s="0" t="str">
        <f aca="false">C50</f>
        <v>Terry McLaurin</v>
      </c>
      <c r="M50" s="121" t="n">
        <f aca="false">IFERROR(VLOOKUP(E50,RISK!A:B,2,FALSE()),"")</f>
        <v>3.2098</v>
      </c>
      <c r="N50" s="120" t="n">
        <f aca="false">VLOOKUP(E50,Q:R,2,FALSE())</f>
        <v>142.152626352941</v>
      </c>
      <c r="Q50" s="53" t="s">
        <v>137</v>
      </c>
      <c r="R50" s="120" t="n">
        <f aca="false">Aggregate!BL4</f>
        <v>270.572</v>
      </c>
    </row>
    <row r="51" customFormat="false" ht="14.25" hidden="false" customHeight="true" outlineLevel="0" collapsed="false">
      <c r="A51" s="0" t="n">
        <v>50</v>
      </c>
      <c r="B51" s="0" t="n">
        <v>4</v>
      </c>
      <c r="C51" s="0" t="s">
        <v>742</v>
      </c>
      <c r="D51" s="0" t="s">
        <v>524</v>
      </c>
      <c r="E51" s="0" t="s">
        <v>230</v>
      </c>
      <c r="F51" s="0" t="n">
        <v>6</v>
      </c>
      <c r="G51" s="0" t="s">
        <v>1036</v>
      </c>
      <c r="H51" s="0" t="s">
        <v>1037</v>
      </c>
      <c r="I51" s="0" t="s">
        <v>1032</v>
      </c>
      <c r="J51" s="0" t="n">
        <v>9</v>
      </c>
      <c r="K51" s="0" t="n">
        <v>50</v>
      </c>
      <c r="L51" s="0" t="str">
        <f aca="false">C51</f>
        <v>Jameson Williams</v>
      </c>
      <c r="M51" s="121" t="n">
        <f aca="false">IFERROR(VLOOKUP(E51,RISK!A:B,2,FALSE()),"")</f>
        <v>3.2625</v>
      </c>
      <c r="N51" s="120" t="n">
        <f aca="false">VLOOKUP(E51,Q:R,2,FALSE())</f>
        <v>140.396439764706</v>
      </c>
      <c r="Q51" s="53" t="s">
        <v>141</v>
      </c>
      <c r="R51" s="120" t="n">
        <f aca="false">Aggregate!BL5</f>
        <v>251.212091294118</v>
      </c>
    </row>
    <row r="52" customFormat="false" ht="14.25" hidden="false" customHeight="true" outlineLevel="0" collapsed="false">
      <c r="A52" s="0" t="n">
        <v>51</v>
      </c>
      <c r="B52" s="0" t="n">
        <v>4</v>
      </c>
      <c r="C52" s="0" t="s">
        <v>621</v>
      </c>
      <c r="D52" s="0" t="s">
        <v>528</v>
      </c>
      <c r="E52" s="0" t="s">
        <v>205</v>
      </c>
      <c r="F52" s="0" t="n">
        <v>10</v>
      </c>
      <c r="G52" s="0" t="s">
        <v>1037</v>
      </c>
      <c r="H52" s="0" t="s">
        <v>1036</v>
      </c>
      <c r="I52" s="0" t="s">
        <v>1031</v>
      </c>
      <c r="J52" s="0" t="n">
        <v>-4</v>
      </c>
      <c r="K52" s="0" t="n">
        <v>51</v>
      </c>
      <c r="L52" s="0" t="str">
        <f aca="false">C52</f>
        <v>Bucky Irving</v>
      </c>
      <c r="M52" s="121" t="n">
        <f aca="false">IFERROR(VLOOKUP(E52,RISK!A:B,2,FALSE()),"")</f>
        <v>2.7098</v>
      </c>
      <c r="N52" s="120" t="n">
        <f aca="false">VLOOKUP(E52,Q:R,2,FALSE())</f>
        <v>172.543700470588</v>
      </c>
      <c r="Q52" s="53" t="s">
        <v>145</v>
      </c>
      <c r="R52" s="120" t="n">
        <f aca="false">Aggregate!BL6</f>
        <v>246.826416235294</v>
      </c>
    </row>
    <row r="53" customFormat="false" ht="14.25" hidden="false" customHeight="true" outlineLevel="0" collapsed="false">
      <c r="A53" s="0" t="n">
        <v>52</v>
      </c>
      <c r="B53" s="0" t="n">
        <v>4</v>
      </c>
      <c r="C53" s="0" t="s">
        <v>618</v>
      </c>
      <c r="D53" s="0" t="s">
        <v>504</v>
      </c>
      <c r="E53" s="0" t="s">
        <v>209</v>
      </c>
      <c r="F53" s="0" t="n">
        <v>8</v>
      </c>
      <c r="G53" s="0" t="s">
        <v>1036</v>
      </c>
      <c r="H53" s="0" t="s">
        <v>1036</v>
      </c>
      <c r="I53" s="0" t="s">
        <v>1032</v>
      </c>
      <c r="J53" s="0" t="n">
        <v>-16</v>
      </c>
      <c r="K53" s="0" t="n">
        <v>52</v>
      </c>
      <c r="L53" s="0" t="str">
        <f aca="false">C53</f>
        <v>Cam Skattebo</v>
      </c>
      <c r="M53" s="121" t="n">
        <f aca="false">IFERROR(VLOOKUP(E53,RISK!A:B,2,FALSE()),"")</f>
        <v>2.73</v>
      </c>
      <c r="N53" s="120" t="n">
        <f aca="false">VLOOKUP(E53,Q:R,2,FALSE())</f>
        <v>167.758542</v>
      </c>
      <c r="Q53" s="53" t="s">
        <v>149</v>
      </c>
      <c r="R53" s="120" t="n">
        <f aca="false">Aggregate!BL7</f>
        <v>225.036905058824</v>
      </c>
    </row>
    <row r="54" customFormat="false" ht="14.25" hidden="false" customHeight="true" outlineLevel="0" collapsed="false">
      <c r="A54" s="0" t="n">
        <v>53</v>
      </c>
      <c r="B54" s="0" t="n">
        <v>4</v>
      </c>
      <c r="C54" s="0" t="s">
        <v>902</v>
      </c>
      <c r="D54" s="0" t="s">
        <v>532</v>
      </c>
      <c r="E54" s="0" t="s">
        <v>147</v>
      </c>
      <c r="F54" s="0" t="n">
        <v>13</v>
      </c>
      <c r="G54" s="0" t="s">
        <v>1028</v>
      </c>
      <c r="H54" s="0" t="s">
        <v>1033</v>
      </c>
      <c r="I54" s="0" t="s">
        <v>1035</v>
      </c>
      <c r="J54" s="0" t="n">
        <v>-3</v>
      </c>
      <c r="K54" s="0" t="n">
        <v>53</v>
      </c>
      <c r="L54" s="0" t="str">
        <f aca="false">C54</f>
        <v>Tyler Warren</v>
      </c>
      <c r="M54" s="121" t="n">
        <f aca="false">IFERROR(VLOOKUP(E54,RISK!A:B,2,FALSE()),"")</f>
        <v>1.9908</v>
      </c>
      <c r="N54" s="120" t="n">
        <f aca="false">VLOOKUP(E54,Q:R,2,FALSE())</f>
        <v>131.546388</v>
      </c>
      <c r="Q54" s="53" t="s">
        <v>153</v>
      </c>
      <c r="R54" s="120" t="n">
        <f aca="false">Aggregate!BL8</f>
        <v>220.726078588235</v>
      </c>
    </row>
    <row r="55" customFormat="false" ht="14.25" hidden="false" customHeight="true" outlineLevel="0" collapsed="false">
      <c r="A55" s="0" t="n">
        <v>54</v>
      </c>
      <c r="B55" s="0" t="n">
        <v>4</v>
      </c>
      <c r="C55" s="0" t="s">
        <v>746</v>
      </c>
      <c r="D55" s="0" t="s">
        <v>490</v>
      </c>
      <c r="E55" s="0" t="s">
        <v>234</v>
      </c>
      <c r="F55" s="0" t="n">
        <v>7</v>
      </c>
      <c r="G55" s="0" t="s">
        <v>1036</v>
      </c>
      <c r="H55" s="0" t="s">
        <v>1033</v>
      </c>
      <c r="I55" s="0" t="s">
        <v>1032</v>
      </c>
      <c r="J55" s="0" t="n">
        <v>-5</v>
      </c>
      <c r="K55" s="0" t="n">
        <v>54</v>
      </c>
      <c r="L55" s="0" t="str">
        <f aca="false">C55</f>
        <v>DJ Moore</v>
      </c>
      <c r="M55" s="121" t="n">
        <f aca="false">IFERROR(VLOOKUP(E55,RISK!A:B,2,FALSE()),"")</f>
        <v>3.3146</v>
      </c>
      <c r="N55" s="120" t="n">
        <f aca="false">VLOOKUP(E55,Q:R,2,FALSE())</f>
        <v>139.921139647059</v>
      </c>
      <c r="Q55" s="53" t="s">
        <v>157</v>
      </c>
      <c r="R55" s="120" t="n">
        <f aca="false">Aggregate!BL9</f>
        <v>215.821183529412</v>
      </c>
    </row>
    <row r="56" customFormat="false" ht="14.25" hidden="false" customHeight="true" outlineLevel="0" collapsed="false">
      <c r="A56" s="0" t="n">
        <v>55</v>
      </c>
      <c r="B56" s="0" t="n">
        <v>4</v>
      </c>
      <c r="C56" s="0" t="s">
        <v>623</v>
      </c>
      <c r="D56" s="0" t="s">
        <v>538</v>
      </c>
      <c r="E56" s="0" t="s">
        <v>213</v>
      </c>
      <c r="F56" s="0" t="n">
        <v>8</v>
      </c>
      <c r="G56" s="0" t="s">
        <v>1036</v>
      </c>
      <c r="H56" s="0" t="s">
        <v>1033</v>
      </c>
      <c r="I56" s="0" t="s">
        <v>1032</v>
      </c>
      <c r="J56" s="0" t="n">
        <v>-7</v>
      </c>
      <c r="K56" s="0" t="n">
        <v>55</v>
      </c>
      <c r="L56" s="0" t="str">
        <f aca="false">C56</f>
        <v>David Montgomery</v>
      </c>
      <c r="M56" s="121" t="n">
        <f aca="false">IFERROR(VLOOKUP(E56,RISK!A:B,2,FALSE()),"")</f>
        <v>2.7514</v>
      </c>
      <c r="N56" s="120" t="n">
        <f aca="false">VLOOKUP(E56,Q:R,2,FALSE())</f>
        <v>167.214077647059</v>
      </c>
      <c r="Q56" s="53" t="s">
        <v>161</v>
      </c>
      <c r="R56" s="120" t="n">
        <f aca="false">Aggregate!BL10</f>
        <v>209.415207529412</v>
      </c>
    </row>
    <row r="57" customFormat="false" ht="14.25" hidden="false" customHeight="true" outlineLevel="0" collapsed="false">
      <c r="A57" s="0" t="n">
        <v>56</v>
      </c>
      <c r="B57" s="0" t="n">
        <v>4</v>
      </c>
      <c r="C57" s="0" t="s">
        <v>620</v>
      </c>
      <c r="D57" s="0" t="s">
        <v>554</v>
      </c>
      <c r="E57" s="0" t="s">
        <v>217</v>
      </c>
      <c r="F57" s="0" t="n">
        <v>11</v>
      </c>
      <c r="G57" s="0" t="s">
        <v>1036</v>
      </c>
      <c r="H57" s="0" t="s">
        <v>1036</v>
      </c>
      <c r="I57" s="0" t="s">
        <v>1035</v>
      </c>
      <c r="J57" s="0" t="n">
        <v>-10</v>
      </c>
      <c r="K57" s="0" t="n">
        <v>56</v>
      </c>
      <c r="L57" s="0" t="str">
        <f aca="false">C57</f>
        <v>Quinshon Judkins</v>
      </c>
      <c r="M57" s="121" t="n">
        <f aca="false">IFERROR(VLOOKUP(E57,RISK!A:B,2,FALSE()),"")</f>
        <v>2.774</v>
      </c>
      <c r="N57" s="120" t="n">
        <f aca="false">VLOOKUP(E57,Q:R,2,FALSE())</f>
        <v>162.698732352941</v>
      </c>
      <c r="Q57" s="53" t="s">
        <v>165</v>
      </c>
      <c r="R57" s="120" t="n">
        <f aca="false">Aggregate!BL11</f>
        <v>206.995805294118</v>
      </c>
    </row>
    <row r="58" customFormat="false" ht="14.25" hidden="false" customHeight="true" outlineLevel="0" collapsed="false">
      <c r="A58" s="0" t="n">
        <v>57</v>
      </c>
      <c r="B58" s="0" t="n">
        <v>4</v>
      </c>
      <c r="C58" s="0" t="s">
        <v>749</v>
      </c>
      <c r="D58" s="0" t="s">
        <v>530</v>
      </c>
      <c r="E58" s="0" t="s">
        <v>238</v>
      </c>
      <c r="F58" s="0" t="n">
        <v>11</v>
      </c>
      <c r="G58" s="0" t="s">
        <v>1036</v>
      </c>
      <c r="H58" s="0" t="s">
        <v>1036</v>
      </c>
      <c r="I58" s="0" t="s">
        <v>1030</v>
      </c>
      <c r="J58" s="0" t="n">
        <v>7</v>
      </c>
      <c r="K58" s="0" t="n">
        <v>57</v>
      </c>
      <c r="L58" s="0" t="str">
        <f aca="false">C58</f>
        <v>Christian Watson</v>
      </c>
      <c r="M58" s="121" t="n">
        <f aca="false">IFERROR(VLOOKUP(E58,RISK!A:B,2,FALSE()),"")</f>
        <v>3.3661</v>
      </c>
      <c r="N58" s="120" t="n">
        <f aca="false">VLOOKUP(E58,Q:R,2,FALSE())</f>
        <v>139.00203</v>
      </c>
      <c r="Q58" s="53" t="s">
        <v>169</v>
      </c>
      <c r="R58" s="120" t="n">
        <f aca="false">Aggregate!BL12</f>
        <v>200.642984</v>
      </c>
    </row>
    <row r="59" customFormat="false" ht="14.25" hidden="false" customHeight="true" outlineLevel="0" collapsed="false">
      <c r="A59" s="0" t="n">
        <v>58</v>
      </c>
      <c r="B59" s="0" t="n">
        <v>4</v>
      </c>
      <c r="C59" s="0" t="s">
        <v>745</v>
      </c>
      <c r="D59" s="0" t="s">
        <v>514</v>
      </c>
      <c r="E59" s="0" t="s">
        <v>242</v>
      </c>
      <c r="F59" s="0" t="n">
        <v>10</v>
      </c>
      <c r="G59" s="0" t="s">
        <v>1036</v>
      </c>
      <c r="H59" s="0" t="s">
        <v>1037</v>
      </c>
      <c r="I59" s="0" t="s">
        <v>1035</v>
      </c>
      <c r="J59" s="0" t="n">
        <v>3</v>
      </c>
      <c r="K59" s="0" t="n">
        <v>58</v>
      </c>
      <c r="L59" s="0" t="str">
        <f aca="false">C59</f>
        <v>Rome Odunze</v>
      </c>
      <c r="M59" s="121" t="n">
        <f aca="false">IFERROR(VLOOKUP(E59,RISK!A:B,2,FALSE()),"")</f>
        <v>3.417</v>
      </c>
      <c r="N59" s="120" t="n">
        <f aca="false">VLOOKUP(E59,Q:R,2,FALSE())</f>
        <v>134.534513235294</v>
      </c>
      <c r="Q59" s="53" t="s">
        <v>173</v>
      </c>
      <c r="R59" s="120" t="n">
        <f aca="false">Aggregate!BL13</f>
        <v>196.134637647059</v>
      </c>
    </row>
    <row r="60" customFormat="false" ht="14.25" hidden="false" customHeight="true" outlineLevel="0" collapsed="false">
      <c r="A60" s="0" t="n">
        <v>59</v>
      </c>
      <c r="B60" s="0" t="n">
        <v>4</v>
      </c>
      <c r="C60" s="0" t="s">
        <v>622</v>
      </c>
      <c r="D60" s="0" t="s">
        <v>506</v>
      </c>
      <c r="E60" s="0" t="s">
        <v>221</v>
      </c>
      <c r="F60" s="0" t="n">
        <v>7</v>
      </c>
      <c r="G60" s="0" t="s">
        <v>1036</v>
      </c>
      <c r="H60" s="0" t="s">
        <v>1037</v>
      </c>
      <c r="I60" s="0" t="s">
        <v>1032</v>
      </c>
      <c r="J60" s="0" t="n">
        <v>-2</v>
      </c>
      <c r="K60" s="0" t="n">
        <v>59</v>
      </c>
      <c r="L60" s="0" t="str">
        <f aca="false">C60</f>
        <v>Bhayshul Tuten</v>
      </c>
      <c r="M60" s="121" t="n">
        <f aca="false">IFERROR(VLOOKUP(E60,RISK!A:B,2,FALSE()),"")</f>
        <v>2.7978</v>
      </c>
      <c r="N60" s="120" t="n">
        <f aca="false">VLOOKUP(E60,Q:R,2,FALSE())</f>
        <v>162.355626494118</v>
      </c>
      <c r="Q60" s="53" t="s">
        <v>177</v>
      </c>
      <c r="R60" s="120" t="n">
        <f aca="false">Aggregate!BL14</f>
        <v>195.770615829176</v>
      </c>
    </row>
    <row r="61" customFormat="false" ht="14.25" hidden="false" customHeight="true" outlineLevel="0" collapsed="false">
      <c r="A61" s="0" t="n">
        <v>60</v>
      </c>
      <c r="B61" s="0" t="n">
        <v>4</v>
      </c>
      <c r="C61" s="0" t="s">
        <v>499</v>
      </c>
      <c r="D61" s="0" t="s">
        <v>500</v>
      </c>
      <c r="E61" s="0" t="s">
        <v>148</v>
      </c>
      <c r="F61" s="0" t="n">
        <v>10</v>
      </c>
      <c r="G61" s="0" t="s">
        <v>1036</v>
      </c>
      <c r="H61" s="0" t="s">
        <v>1037</v>
      </c>
      <c r="I61" s="0" t="s">
        <v>1030</v>
      </c>
      <c r="J61" s="0" t="n">
        <v>2</v>
      </c>
      <c r="K61" s="0" t="n">
        <v>60</v>
      </c>
      <c r="L61" s="0" t="str">
        <f aca="false">C61</f>
        <v>Jalen Hurts</v>
      </c>
      <c r="M61" s="121" t="n">
        <f aca="false">IFERROR(VLOOKUP(E61,RISK!A:B,2,FALSE()),"")</f>
        <v>1.942</v>
      </c>
      <c r="N61" s="120" t="n">
        <f aca="false">VLOOKUP(E61,Q:R,2,FALSE())</f>
        <v>283.026304</v>
      </c>
      <c r="Q61" s="53" t="s">
        <v>181</v>
      </c>
      <c r="R61" s="120" t="n">
        <f aca="false">Aggregate!BL15</f>
        <v>194.430970588235</v>
      </c>
    </row>
    <row r="62" customFormat="false" ht="14.25" hidden="false" customHeight="true" outlineLevel="0" collapsed="false">
      <c r="A62" s="0" t="n">
        <v>61</v>
      </c>
      <c r="B62" s="0" t="n">
        <v>4</v>
      </c>
      <c r="C62" s="0" t="s">
        <v>625</v>
      </c>
      <c r="D62" s="0" t="s">
        <v>536</v>
      </c>
      <c r="E62" s="0" t="s">
        <v>225</v>
      </c>
      <c r="F62" s="0" t="n">
        <v>11</v>
      </c>
      <c r="G62" s="0" t="s">
        <v>1036</v>
      </c>
      <c r="H62" s="0" t="s">
        <v>1036</v>
      </c>
      <c r="I62" s="0" t="s">
        <v>1032</v>
      </c>
      <c r="J62" s="0" t="n">
        <v>-6</v>
      </c>
      <c r="K62" s="0" t="n">
        <v>61</v>
      </c>
      <c r="L62" s="0" t="str">
        <f aca="false">C62</f>
        <v>Jadarian Price</v>
      </c>
      <c r="M62" s="121" t="n">
        <f aca="false">IFERROR(VLOOKUP(E62,RISK!A:B,2,FALSE()),"")</f>
        <v>2.8228</v>
      </c>
      <c r="N62" s="120" t="n">
        <f aca="false">VLOOKUP(E62,Q:R,2,FALSE())</f>
        <v>153.331699058824</v>
      </c>
      <c r="Q62" s="53" t="s">
        <v>185</v>
      </c>
      <c r="R62" s="120" t="n">
        <f aca="false">Aggregate!BL16</f>
        <v>189.354227764706</v>
      </c>
    </row>
    <row r="63" customFormat="false" ht="14.25" hidden="false" customHeight="true" outlineLevel="0" collapsed="false">
      <c r="A63" s="0" t="n">
        <v>62</v>
      </c>
      <c r="B63" s="0" t="n">
        <v>4</v>
      </c>
      <c r="C63" s="0" t="s">
        <v>753</v>
      </c>
      <c r="D63" s="0" t="s">
        <v>508</v>
      </c>
      <c r="E63" s="0" t="s">
        <v>246</v>
      </c>
      <c r="F63" s="0" t="n">
        <v>8</v>
      </c>
      <c r="G63" s="0" t="s">
        <v>1036</v>
      </c>
      <c r="H63" s="0" t="s">
        <v>1036</v>
      </c>
      <c r="I63" s="0" t="s">
        <v>1031</v>
      </c>
      <c r="J63" s="0" t="n">
        <v>4</v>
      </c>
      <c r="K63" s="0" t="n">
        <v>62</v>
      </c>
      <c r="L63" s="0" t="str">
        <f aca="false">C63</f>
        <v>Mike Evans</v>
      </c>
      <c r="M63" s="121" t="n">
        <f aca="false">IFERROR(VLOOKUP(E63,RISK!A:B,2,FALSE()),"")</f>
        <v>3.4673</v>
      </c>
      <c r="N63" s="120" t="n">
        <f aca="false">VLOOKUP(E63,Q:R,2,FALSE())</f>
        <v>129.834315882353</v>
      </c>
      <c r="Q63" s="53" t="s">
        <v>189</v>
      </c>
      <c r="R63" s="120" t="n">
        <f aca="false">Aggregate!BL17</f>
        <v>187.477861176471</v>
      </c>
    </row>
    <row r="64" customFormat="false" ht="14.25" hidden="false" customHeight="true" outlineLevel="0" collapsed="false">
      <c r="A64" s="0" t="n">
        <v>63</v>
      </c>
      <c r="B64" s="0" t="n">
        <v>4</v>
      </c>
      <c r="C64" s="0" t="s">
        <v>495</v>
      </c>
      <c r="D64" s="0" t="s">
        <v>496</v>
      </c>
      <c r="E64" s="0" t="s">
        <v>152</v>
      </c>
      <c r="F64" s="0" t="n">
        <v>7</v>
      </c>
      <c r="G64" s="0" t="s">
        <v>1036</v>
      </c>
      <c r="H64" s="0" t="s">
        <v>1036</v>
      </c>
      <c r="I64" s="0" t="s">
        <v>1031</v>
      </c>
      <c r="J64" s="0" t="n">
        <v>0</v>
      </c>
      <c r="K64" s="0" t="n">
        <v>63</v>
      </c>
      <c r="L64" s="0" t="str">
        <f aca="false">C64</f>
        <v>Jayden Daniels</v>
      </c>
      <c r="M64" s="121" t="n">
        <f aca="false">IFERROR(VLOOKUP(E64,RISK!A:B,2,FALSE()),"")</f>
        <v>1.924</v>
      </c>
      <c r="N64" s="120" t="n">
        <f aca="false">VLOOKUP(E64,Q:R,2,FALSE())</f>
        <v>275.046984564706</v>
      </c>
      <c r="Q64" s="53" t="s">
        <v>193</v>
      </c>
      <c r="R64" s="120" t="n">
        <f aca="false">Aggregate!BL18</f>
        <v>184.837282588235</v>
      </c>
    </row>
    <row r="65" customFormat="false" ht="14.25" hidden="false" customHeight="true" outlineLevel="0" collapsed="false">
      <c r="A65" s="0" t="n">
        <v>64</v>
      </c>
      <c r="B65" s="0" t="n">
        <v>4</v>
      </c>
      <c r="C65" s="0" t="s">
        <v>755</v>
      </c>
      <c r="D65" s="0" t="s">
        <v>506</v>
      </c>
      <c r="E65" s="0" t="s">
        <v>250</v>
      </c>
      <c r="F65" s="0" t="n">
        <v>7</v>
      </c>
      <c r="G65" s="0" t="s">
        <v>1036</v>
      </c>
      <c r="H65" s="0" t="s">
        <v>1033</v>
      </c>
      <c r="I65" s="0" t="s">
        <v>1032</v>
      </c>
      <c r="J65" s="0" t="n">
        <v>3</v>
      </c>
      <c r="K65" s="0" t="n">
        <v>64</v>
      </c>
      <c r="L65" s="0" t="str">
        <f aca="false">C65</f>
        <v>Parker Washington</v>
      </c>
      <c r="M65" s="121" t="n">
        <f aca="false">IFERROR(VLOOKUP(E65,RISK!A:B,2,FALSE()),"")</f>
        <v>3.517</v>
      </c>
      <c r="N65" s="120" t="n">
        <f aca="false">VLOOKUP(E65,Q:R,2,FALSE())</f>
        <v>128.902221647059</v>
      </c>
      <c r="Q65" s="53" t="s">
        <v>197</v>
      </c>
      <c r="R65" s="120" t="n">
        <f aca="false">Aggregate!BL19</f>
        <v>180.284225882353</v>
      </c>
    </row>
    <row r="66" customFormat="false" ht="14.25" hidden="false" customHeight="true" outlineLevel="0" collapsed="false">
      <c r="A66" s="0" t="n">
        <v>65</v>
      </c>
      <c r="B66" s="0" t="n">
        <v>4</v>
      </c>
      <c r="C66" s="0" t="s">
        <v>626</v>
      </c>
      <c r="D66" s="0" t="s">
        <v>498</v>
      </c>
      <c r="E66" s="0" t="s">
        <v>229</v>
      </c>
      <c r="F66" s="0" t="n">
        <v>11</v>
      </c>
      <c r="G66" s="0" t="s">
        <v>1036</v>
      </c>
      <c r="H66" s="0" t="s">
        <v>1036</v>
      </c>
      <c r="I66" s="0" t="s">
        <v>1031</v>
      </c>
      <c r="J66" s="0" t="n">
        <v>-7</v>
      </c>
      <c r="K66" s="0" t="n">
        <v>65</v>
      </c>
      <c r="L66" s="0" t="str">
        <f aca="false">C66</f>
        <v>TreVeyon Henderson</v>
      </c>
      <c r="M66" s="121" t="n">
        <f aca="false">IFERROR(VLOOKUP(E66,RISK!A:B,2,FALSE()),"")</f>
        <v>2.849</v>
      </c>
      <c r="N66" s="120" t="n">
        <f aca="false">VLOOKUP(E66,Q:R,2,FALSE())</f>
        <v>145.305797647059</v>
      </c>
      <c r="Q66" s="53" t="s">
        <v>201</v>
      </c>
      <c r="R66" s="120" t="n">
        <f aca="false">Aggregate!BL20</f>
        <v>178.408576470588</v>
      </c>
    </row>
    <row r="67" customFormat="false" ht="14.25" hidden="false" customHeight="true" outlineLevel="0" collapsed="false">
      <c r="A67" s="0" t="n">
        <v>66</v>
      </c>
      <c r="B67" s="0" t="n">
        <v>5</v>
      </c>
      <c r="C67" s="0" t="s">
        <v>513</v>
      </c>
      <c r="D67" s="0" t="s">
        <v>514</v>
      </c>
      <c r="E67" s="0" t="s">
        <v>156</v>
      </c>
      <c r="F67" s="0" t="n">
        <v>10</v>
      </c>
      <c r="G67" s="0" t="s">
        <v>1028</v>
      </c>
      <c r="H67" s="0" t="s">
        <v>1033</v>
      </c>
      <c r="I67" s="0" t="s">
        <v>1035</v>
      </c>
      <c r="J67" s="0" t="n">
        <v>6</v>
      </c>
      <c r="K67" s="0" t="n">
        <v>66</v>
      </c>
      <c r="L67" s="0" t="str">
        <f aca="false">C67</f>
        <v>Caleb Williams</v>
      </c>
      <c r="M67" s="121" t="n">
        <f aca="false">IFERROR(VLOOKUP(E67,RISK!A:B,2,FALSE()),"")</f>
        <v>1.9164</v>
      </c>
      <c r="N67" s="120" t="n">
        <f aca="false">VLOOKUP(E67,Q:R,2,FALSE())</f>
        <v>271.697580752941</v>
      </c>
      <c r="Q67" s="53" t="s">
        <v>205</v>
      </c>
      <c r="R67" s="120" t="n">
        <f aca="false">Aggregate!BL21</f>
        <v>172.543700470588</v>
      </c>
    </row>
    <row r="68" customFormat="false" ht="14.25" hidden="false" customHeight="true" outlineLevel="0" collapsed="false">
      <c r="A68" s="0" t="n">
        <v>67</v>
      </c>
      <c r="B68" s="0" t="n">
        <v>5</v>
      </c>
      <c r="C68" s="0" t="s">
        <v>628</v>
      </c>
      <c r="D68" s="0" t="s">
        <v>498</v>
      </c>
      <c r="E68" s="0" t="s">
        <v>233</v>
      </c>
      <c r="F68" s="0" t="n">
        <v>11</v>
      </c>
      <c r="G68" s="0" t="s">
        <v>1036</v>
      </c>
      <c r="H68" s="0" t="s">
        <v>1037</v>
      </c>
      <c r="I68" s="0" t="s">
        <v>1031</v>
      </c>
      <c r="J68" s="0" t="n">
        <v>2</v>
      </c>
      <c r="K68" s="0" t="n">
        <v>67</v>
      </c>
      <c r="L68" s="0" t="str">
        <f aca="false">C68</f>
        <v>Rhamondre Stevenson</v>
      </c>
      <c r="M68" s="121" t="n">
        <f aca="false">IFERROR(VLOOKUP(E68,RISK!A:B,2,FALSE()),"")</f>
        <v>2.8764</v>
      </c>
      <c r="N68" s="120" t="n">
        <f aca="false">VLOOKUP(E68,Q:R,2,FALSE())</f>
        <v>144.996094117647</v>
      </c>
      <c r="Q68" s="53" t="s">
        <v>209</v>
      </c>
      <c r="R68" s="120" t="n">
        <f aca="false">Aggregate!BL22</f>
        <v>167.758542</v>
      </c>
    </row>
    <row r="69" customFormat="false" ht="14.25" hidden="false" customHeight="true" outlineLevel="0" collapsed="false">
      <c r="A69" s="0" t="n">
        <v>68</v>
      </c>
      <c r="B69" s="0" t="n">
        <v>5</v>
      </c>
      <c r="C69" s="0" t="s">
        <v>909</v>
      </c>
      <c r="D69" s="0" t="s">
        <v>530</v>
      </c>
      <c r="E69" s="0" t="s">
        <v>151</v>
      </c>
      <c r="F69" s="0" t="n">
        <v>11</v>
      </c>
      <c r="G69" s="0" t="s">
        <v>1028</v>
      </c>
      <c r="H69" s="0" t="s">
        <v>1037</v>
      </c>
      <c r="I69" s="0" t="s">
        <v>1031</v>
      </c>
      <c r="J69" s="0" t="n">
        <v>-3</v>
      </c>
      <c r="K69" s="0" t="n">
        <v>68</v>
      </c>
      <c r="L69" s="0" t="str">
        <f aca="false">C69</f>
        <v>Tucker Kraft</v>
      </c>
      <c r="M69" s="121" t="n">
        <f aca="false">IFERROR(VLOOKUP(E69,RISK!A:B,2,FALSE()),"")</f>
        <v>1.9455</v>
      </c>
      <c r="N69" s="120" t="n">
        <f aca="false">VLOOKUP(E69,Q:R,2,FALSE())</f>
        <v>130.374743647059</v>
      </c>
      <c r="Q69" s="53" t="s">
        <v>213</v>
      </c>
      <c r="R69" s="120" t="n">
        <f aca="false">Aggregate!BL23</f>
        <v>167.214077647059</v>
      </c>
    </row>
    <row r="70" customFormat="false" ht="14.25" hidden="false" customHeight="true" outlineLevel="0" collapsed="false">
      <c r="A70" s="0" t="n">
        <v>69</v>
      </c>
      <c r="B70" s="0" t="n">
        <v>5</v>
      </c>
      <c r="C70" s="0" t="s">
        <v>624</v>
      </c>
      <c r="D70" s="0" t="s">
        <v>548</v>
      </c>
      <c r="E70" s="0" t="s">
        <v>237</v>
      </c>
      <c r="F70" s="0" t="n">
        <v>9</v>
      </c>
      <c r="G70" s="0" t="s">
        <v>1036</v>
      </c>
      <c r="H70" s="0" t="s">
        <v>1036</v>
      </c>
      <c r="I70" s="0" t="s">
        <v>1031</v>
      </c>
      <c r="J70" s="0" t="n">
        <v>-1</v>
      </c>
      <c r="K70" s="0" t="n">
        <v>69</v>
      </c>
      <c r="L70" s="0" t="str">
        <f aca="false">C70</f>
        <v>Jaylen Warren</v>
      </c>
      <c r="M70" s="121" t="n">
        <f aca="false">IFERROR(VLOOKUP(E70,RISK!A:B,2,FALSE()),"")</f>
        <v>2.905</v>
      </c>
      <c r="N70" s="120" t="n">
        <f aca="false">VLOOKUP(E70,Q:R,2,FALSE())</f>
        <v>142.374196</v>
      </c>
      <c r="Q70" s="53" t="s">
        <v>217</v>
      </c>
      <c r="R70" s="120" t="n">
        <f aca="false">Aggregate!BL24</f>
        <v>162.698732352941</v>
      </c>
    </row>
    <row r="71" customFormat="false" ht="14.25" hidden="false" customHeight="true" outlineLevel="0" collapsed="false">
      <c r="A71" s="0" t="n">
        <v>70</v>
      </c>
      <c r="B71" s="0" t="n">
        <v>5</v>
      </c>
      <c r="C71" s="0" t="s">
        <v>752</v>
      </c>
      <c r="D71" s="0" t="s">
        <v>546</v>
      </c>
      <c r="E71" s="0" t="s">
        <v>254</v>
      </c>
      <c r="F71" s="0" t="n">
        <v>14</v>
      </c>
      <c r="G71" s="0" t="s">
        <v>1037</v>
      </c>
      <c r="H71" s="0" t="s">
        <v>1036</v>
      </c>
      <c r="I71" s="0" t="s">
        <v>1031</v>
      </c>
      <c r="J71" s="0" t="n">
        <v>5</v>
      </c>
      <c r="K71" s="0" t="n">
        <v>70</v>
      </c>
      <c r="L71" s="0" t="str">
        <f aca="false">C71</f>
        <v>Marvin Harrison Jr.</v>
      </c>
      <c r="M71" s="121" t="n">
        <f aca="false">IFERROR(VLOOKUP(E71,RISK!A:B,2,FALSE()),"")</f>
        <v>3.5661</v>
      </c>
      <c r="N71" s="120" t="n">
        <f aca="false">VLOOKUP(E71,Q:R,2,FALSE())</f>
        <v>128.045832705882</v>
      </c>
      <c r="Q71" s="53" t="s">
        <v>221</v>
      </c>
      <c r="R71" s="120" t="n">
        <f aca="false">Aggregate!BL25</f>
        <v>162.355626494118</v>
      </c>
    </row>
    <row r="72" customFormat="false" ht="14.25" hidden="false" customHeight="true" outlineLevel="0" collapsed="false">
      <c r="A72" s="0" t="n">
        <v>71</v>
      </c>
      <c r="B72" s="0" t="n">
        <v>5</v>
      </c>
      <c r="C72" s="0" t="s">
        <v>515</v>
      </c>
      <c r="D72" s="0" t="s">
        <v>516</v>
      </c>
      <c r="E72" s="0" t="s">
        <v>160</v>
      </c>
      <c r="F72" s="0" t="n">
        <v>7</v>
      </c>
      <c r="G72" s="0" t="s">
        <v>1028</v>
      </c>
      <c r="H72" s="0" t="s">
        <v>1033</v>
      </c>
      <c r="I72" s="0" t="s">
        <v>1031</v>
      </c>
      <c r="J72" s="0" t="n">
        <v>7</v>
      </c>
      <c r="K72" s="0" t="n">
        <v>71</v>
      </c>
      <c r="L72" s="0" t="str">
        <f aca="false">C72</f>
        <v>Justin Herbert</v>
      </c>
      <c r="M72" s="121" t="n">
        <f aca="false">IFERROR(VLOOKUP(E72,RISK!A:B,2,FALSE()),"")</f>
        <v>1.9192</v>
      </c>
      <c r="N72" s="120" t="n">
        <f aca="false">VLOOKUP(E72,Q:R,2,FALSE())</f>
        <v>271.482698823529</v>
      </c>
      <c r="Q72" s="53" t="s">
        <v>225</v>
      </c>
      <c r="R72" s="120" t="n">
        <f aca="false">Aggregate!BL26</f>
        <v>153.331699058824</v>
      </c>
    </row>
    <row r="73" customFormat="false" ht="14.25" hidden="false" customHeight="true" outlineLevel="0" collapsed="false">
      <c r="A73" s="0" t="n">
        <v>72</v>
      </c>
      <c r="B73" s="0" t="n">
        <v>5</v>
      </c>
      <c r="C73" s="0" t="s">
        <v>758</v>
      </c>
      <c r="D73" s="0" t="s">
        <v>544</v>
      </c>
      <c r="E73" s="0" t="s">
        <v>258</v>
      </c>
      <c r="F73" s="0" t="n">
        <v>9</v>
      </c>
      <c r="G73" s="0" t="s">
        <v>1036</v>
      </c>
      <c r="H73" s="0" t="s">
        <v>1033</v>
      </c>
      <c r="I73" s="0" t="s">
        <v>1035</v>
      </c>
      <c r="J73" s="0" t="n">
        <v>2</v>
      </c>
      <c r="K73" s="0" t="n">
        <v>72</v>
      </c>
      <c r="L73" s="0" t="str">
        <f aca="false">C73</f>
        <v>Carnell Tate</v>
      </c>
      <c r="M73" s="121" t="n">
        <f aca="false">IFERROR(VLOOKUP(E73,RISK!A:B,2,FALSE()),"")</f>
        <v>3.6146</v>
      </c>
      <c r="N73" s="120" t="n">
        <f aca="false">VLOOKUP(E73,Q:R,2,FALSE())</f>
        <v>127.945852941176</v>
      </c>
      <c r="Q73" s="53" t="s">
        <v>229</v>
      </c>
      <c r="R73" s="120" t="n">
        <f aca="false">Aggregate!BL27</f>
        <v>145.305797647059</v>
      </c>
    </row>
    <row r="74" customFormat="false" ht="14.25" hidden="false" customHeight="true" outlineLevel="0" collapsed="false">
      <c r="A74" s="0" t="n">
        <v>73</v>
      </c>
      <c r="B74" s="0" t="n">
        <v>5</v>
      </c>
      <c r="C74" s="0" t="s">
        <v>505</v>
      </c>
      <c r="D74" s="0" t="s">
        <v>506</v>
      </c>
      <c r="E74" s="0" t="s">
        <v>164</v>
      </c>
      <c r="F74" s="0" t="n">
        <v>7</v>
      </c>
      <c r="G74" s="0" t="s">
        <v>1028</v>
      </c>
      <c r="H74" s="0" t="s">
        <v>1033</v>
      </c>
      <c r="I74" s="0" t="s">
        <v>1032</v>
      </c>
      <c r="J74" s="0" t="n">
        <v>14</v>
      </c>
      <c r="K74" s="0" t="n">
        <v>73</v>
      </c>
      <c r="L74" s="0" t="str">
        <f aca="false">C74</f>
        <v>Trevor Lawrence</v>
      </c>
      <c r="M74" s="121" t="n">
        <f aca="false">IFERROR(VLOOKUP(E74,RISK!A:B,2,FALSE()),"")</f>
        <v>1.9324</v>
      </c>
      <c r="N74" s="120" t="n">
        <f aca="false">VLOOKUP(E74,Q:R,2,FALSE())</f>
        <v>270.110595294118</v>
      </c>
      <c r="Q74" s="53" t="s">
        <v>233</v>
      </c>
      <c r="R74" s="120" t="n">
        <f aca="false">Aggregate!BL28</f>
        <v>144.996094117647</v>
      </c>
    </row>
    <row r="75" customFormat="false" ht="14.25" hidden="false" customHeight="true" outlineLevel="0" collapsed="false">
      <c r="A75" s="0" t="n">
        <v>74</v>
      </c>
      <c r="B75" s="0" t="n">
        <v>5</v>
      </c>
      <c r="C75" s="0" t="s">
        <v>627</v>
      </c>
      <c r="D75" s="0" t="s">
        <v>544</v>
      </c>
      <c r="E75" s="0" t="s">
        <v>241</v>
      </c>
      <c r="F75" s="0" t="n">
        <v>9</v>
      </c>
      <c r="G75" s="0" t="s">
        <v>1036</v>
      </c>
      <c r="H75" s="0" t="s">
        <v>1037</v>
      </c>
      <c r="I75" s="0" t="s">
        <v>1035</v>
      </c>
      <c r="J75" s="0" t="n">
        <v>3</v>
      </c>
      <c r="K75" s="0" t="n">
        <v>74</v>
      </c>
      <c r="L75" s="0" t="str">
        <f aca="false">C75</f>
        <v>Tony Pollard</v>
      </c>
      <c r="M75" s="121" t="n">
        <f aca="false">IFERROR(VLOOKUP(E75,RISK!A:B,2,FALSE()),"")</f>
        <v>2.9348</v>
      </c>
      <c r="N75" s="120" t="n">
        <f aca="false">VLOOKUP(E75,Q:R,2,FALSE())</f>
        <v>142.141256470588</v>
      </c>
      <c r="Q75" s="53" t="s">
        <v>237</v>
      </c>
      <c r="R75" s="120" t="n">
        <f aca="false">Aggregate!BL29</f>
        <v>142.374196</v>
      </c>
    </row>
    <row r="76" customFormat="false" ht="14.25" hidden="false" customHeight="true" outlineLevel="0" collapsed="false">
      <c r="A76" s="0" t="n">
        <v>75</v>
      </c>
      <c r="B76" s="0" t="n">
        <v>5</v>
      </c>
      <c r="C76" s="0" t="s">
        <v>509</v>
      </c>
      <c r="D76" s="0" t="s">
        <v>510</v>
      </c>
      <c r="E76" s="0" t="s">
        <v>168</v>
      </c>
      <c r="F76" s="0" t="n">
        <v>14</v>
      </c>
      <c r="G76" s="0" t="s">
        <v>1036</v>
      </c>
      <c r="H76" s="0" t="s">
        <v>1033</v>
      </c>
      <c r="I76" s="0" t="s">
        <v>1031</v>
      </c>
      <c r="J76" s="0" t="n">
        <v>4</v>
      </c>
      <c r="K76" s="0" t="n">
        <v>75</v>
      </c>
      <c r="L76" s="0" t="str">
        <f aca="false">C76</f>
        <v>Dak Prescott</v>
      </c>
      <c r="M76" s="121" t="n">
        <f aca="false">IFERROR(VLOOKUP(E76,RISK!A:B,2,FALSE()),"")</f>
        <v>1.956</v>
      </c>
      <c r="N76" s="120" t="n">
        <f aca="false">VLOOKUP(E76,Q:R,2,FALSE())</f>
        <v>269.8798</v>
      </c>
      <c r="Q76" s="53" t="s">
        <v>241</v>
      </c>
      <c r="R76" s="120" t="n">
        <f aca="false">Aggregate!BL30</f>
        <v>142.141256470588</v>
      </c>
    </row>
    <row r="77" customFormat="false" ht="14.25" hidden="false" customHeight="true" outlineLevel="0" collapsed="false">
      <c r="A77" s="0" t="n">
        <v>76</v>
      </c>
      <c r="B77" s="0" t="n">
        <v>5</v>
      </c>
      <c r="C77" s="0" t="s">
        <v>754</v>
      </c>
      <c r="D77" s="0" t="s">
        <v>548</v>
      </c>
      <c r="E77" s="0" t="s">
        <v>262</v>
      </c>
      <c r="F77" s="0" t="n">
        <v>9</v>
      </c>
      <c r="G77" s="0" t="s">
        <v>1037</v>
      </c>
      <c r="H77" s="0" t="s">
        <v>1037</v>
      </c>
      <c r="I77" s="0" t="s">
        <v>1035</v>
      </c>
      <c r="J77" s="0" t="n">
        <v>6</v>
      </c>
      <c r="K77" s="0" t="n">
        <v>76</v>
      </c>
      <c r="L77" s="0" t="str">
        <f aca="false">C77</f>
        <v>DK Metcalf</v>
      </c>
      <c r="M77" s="121" t="n">
        <f aca="false">IFERROR(VLOOKUP(E77,RISK!A:B,2,FALSE()),"")</f>
        <v>3.6625</v>
      </c>
      <c r="N77" s="120" t="n">
        <f aca="false">VLOOKUP(E77,Q:R,2,FALSE())</f>
        <v>127.613569044706</v>
      </c>
      <c r="Q77" s="53" t="s">
        <v>245</v>
      </c>
      <c r="R77" s="120" t="n">
        <f aca="false">Aggregate!BL31</f>
        <v>136.842979058824</v>
      </c>
    </row>
    <row r="78" customFormat="false" ht="14.25" hidden="false" customHeight="true" outlineLevel="0" collapsed="false">
      <c r="A78" s="0" t="n">
        <v>77</v>
      </c>
      <c r="B78" s="0" t="n">
        <v>5</v>
      </c>
      <c r="C78" s="0" t="s">
        <v>630</v>
      </c>
      <c r="D78" s="0" t="s">
        <v>548</v>
      </c>
      <c r="E78" s="0" t="s">
        <v>245</v>
      </c>
      <c r="F78" s="0" t="n">
        <v>9</v>
      </c>
      <c r="G78" s="0" t="s">
        <v>1036</v>
      </c>
      <c r="H78" s="0" t="s">
        <v>1036</v>
      </c>
      <c r="I78" s="0" t="s">
        <v>1031</v>
      </c>
      <c r="J78" s="0" t="n">
        <v>-1</v>
      </c>
      <c r="K78" s="0" t="n">
        <v>77</v>
      </c>
      <c r="L78" s="0" t="str">
        <f aca="false">C78</f>
        <v>Rico Dowdle</v>
      </c>
      <c r="M78" s="121" t="n">
        <f aca="false">IFERROR(VLOOKUP(E78,RISK!A:B,2,FALSE()),"")</f>
        <v>2.9658</v>
      </c>
      <c r="N78" s="120" t="n">
        <f aca="false">VLOOKUP(E78,Q:R,2,FALSE())</f>
        <v>136.842979058824</v>
      </c>
      <c r="Q78" s="53" t="s">
        <v>249</v>
      </c>
      <c r="R78" s="120" t="n">
        <f aca="false">Aggregate!BL32</f>
        <v>136.247315764706</v>
      </c>
    </row>
    <row r="79" customFormat="false" ht="14.25" hidden="false" customHeight="true" outlineLevel="0" collapsed="false">
      <c r="A79" s="0" t="n">
        <v>78</v>
      </c>
      <c r="B79" s="0" t="n">
        <v>5</v>
      </c>
      <c r="C79" s="0" t="s">
        <v>756</v>
      </c>
      <c r="D79" s="0" t="s">
        <v>506</v>
      </c>
      <c r="E79" s="0" t="s">
        <v>266</v>
      </c>
      <c r="F79" s="0" t="n">
        <v>7</v>
      </c>
      <c r="G79" s="0" t="s">
        <v>1033</v>
      </c>
      <c r="H79" s="0" t="s">
        <v>1036</v>
      </c>
      <c r="I79" s="0" t="s">
        <v>1032</v>
      </c>
      <c r="J79" s="0" t="n">
        <v>2</v>
      </c>
      <c r="K79" s="0" t="n">
        <v>78</v>
      </c>
      <c r="L79" s="0" t="str">
        <f aca="false">C79</f>
        <v>Brian Thomas Jr.</v>
      </c>
      <c r="M79" s="121" t="n">
        <f aca="false">IFERROR(VLOOKUP(E79,RISK!A:B,2,FALSE()),"")</f>
        <v>3.7098</v>
      </c>
      <c r="N79" s="120" t="n">
        <f aca="false">VLOOKUP(E79,Q:R,2,FALSE())</f>
        <v>126.598629932986</v>
      </c>
      <c r="Q79" s="53" t="s">
        <v>253</v>
      </c>
      <c r="R79" s="120" t="n">
        <f aca="false">Aggregate!BL33</f>
        <v>128.819469882353</v>
      </c>
    </row>
    <row r="80" customFormat="false" ht="14.25" hidden="false" customHeight="true" outlineLevel="0" collapsed="false">
      <c r="A80" s="0" t="n">
        <v>79</v>
      </c>
      <c r="B80" s="0" t="n">
        <v>5</v>
      </c>
      <c r="C80" s="0" t="s">
        <v>903</v>
      </c>
      <c r="D80" s="0" t="s">
        <v>554</v>
      </c>
      <c r="E80" s="0" t="s">
        <v>155</v>
      </c>
      <c r="F80" s="0" t="n">
        <v>11</v>
      </c>
      <c r="G80" s="0" t="s">
        <v>1036</v>
      </c>
      <c r="H80" s="0" t="s">
        <v>1037</v>
      </c>
      <c r="I80" s="0" t="s">
        <v>1035</v>
      </c>
      <c r="J80" s="0" t="n">
        <v>-9</v>
      </c>
      <c r="K80" s="0" t="n">
        <v>79</v>
      </c>
      <c r="L80" s="0" t="str">
        <f aca="false">C80</f>
        <v>Harold Fannin Jr.</v>
      </c>
      <c r="M80" s="121" t="n">
        <f aca="false">IFERROR(VLOOKUP(E80,RISK!A:B,2,FALSE()),"")</f>
        <v>1.9126</v>
      </c>
      <c r="N80" s="120" t="n">
        <f aca="false">VLOOKUP(E80,Q:R,2,FALSE())</f>
        <v>125.776752</v>
      </c>
      <c r="Q80" s="53" t="s">
        <v>257</v>
      </c>
      <c r="R80" s="120" t="n">
        <f aca="false">Aggregate!BL34</f>
        <v>123.702155411765</v>
      </c>
    </row>
    <row r="81" customFormat="false" ht="14.25" hidden="false" customHeight="true" outlineLevel="0" collapsed="false">
      <c r="A81" s="0" t="n">
        <v>80</v>
      </c>
      <c r="B81" s="0" t="n">
        <v>5</v>
      </c>
      <c r="C81" s="0" t="s">
        <v>763</v>
      </c>
      <c r="D81" s="0" t="s">
        <v>528</v>
      </c>
      <c r="E81" s="0" t="s">
        <v>270</v>
      </c>
      <c r="F81" s="0" t="n">
        <v>10</v>
      </c>
      <c r="G81" s="0" t="s">
        <v>1036</v>
      </c>
      <c r="H81" s="0" t="s">
        <v>1036</v>
      </c>
      <c r="I81" s="0" t="s">
        <v>1032</v>
      </c>
      <c r="J81" s="0" t="n">
        <v>3</v>
      </c>
      <c r="K81" s="0" t="n">
        <v>80</v>
      </c>
      <c r="L81" s="0" t="str">
        <f aca="false">C81</f>
        <v>Chris Godwin Jr.</v>
      </c>
      <c r="M81" s="121" t="n">
        <f aca="false">IFERROR(VLOOKUP(E81,RISK!A:B,2,FALSE()),"")</f>
        <v>3.7565</v>
      </c>
      <c r="N81" s="120" t="n">
        <f aca="false">VLOOKUP(E81,Q:R,2,FALSE())</f>
        <v>121.293308711839</v>
      </c>
      <c r="Q81" s="53" t="s">
        <v>261</v>
      </c>
      <c r="R81" s="120" t="n">
        <f aca="false">Aggregate!BL35</f>
        <v>123.143471764706</v>
      </c>
    </row>
    <row r="82" customFormat="false" ht="14.25" hidden="false" customHeight="true" outlineLevel="0" collapsed="false">
      <c r="A82" s="0" t="n">
        <v>81</v>
      </c>
      <c r="B82" s="0" t="n">
        <v>5</v>
      </c>
      <c r="C82" s="0" t="s">
        <v>633</v>
      </c>
      <c r="D82" s="0" t="s">
        <v>540</v>
      </c>
      <c r="E82" s="0" t="s">
        <v>249</v>
      </c>
      <c r="F82" s="0" t="n">
        <v>5</v>
      </c>
      <c r="G82" s="0" t="s">
        <v>1036</v>
      </c>
      <c r="H82" s="0" t="s">
        <v>1036</v>
      </c>
      <c r="I82" s="0" t="s">
        <v>1034</v>
      </c>
      <c r="J82" s="0" t="n">
        <v>0</v>
      </c>
      <c r="K82" s="0" t="n">
        <v>81</v>
      </c>
      <c r="L82" s="0" t="str">
        <f aca="false">C82</f>
        <v>Jonathon Brooks</v>
      </c>
      <c r="M82" s="121" t="n">
        <f aca="false">IFERROR(VLOOKUP(E82,RISK!A:B,2,FALSE()),"")</f>
        <v>2.998</v>
      </c>
      <c r="N82" s="120" t="n">
        <f aca="false">VLOOKUP(E82,Q:R,2,FALSE())</f>
        <v>136.247315764706</v>
      </c>
      <c r="Q82" s="53" t="s">
        <v>265</v>
      </c>
      <c r="R82" s="120" t="n">
        <f aca="false">Aggregate!BL36</f>
        <v>118.168820235294</v>
      </c>
    </row>
    <row r="83" customFormat="false" ht="14.25" hidden="false" customHeight="true" outlineLevel="0" collapsed="false">
      <c r="A83" s="0" t="n">
        <v>82</v>
      </c>
      <c r="B83" s="0" t="n">
        <v>5</v>
      </c>
      <c r="C83" s="0" t="s">
        <v>905</v>
      </c>
      <c r="D83" s="0" t="s">
        <v>524</v>
      </c>
      <c r="E83" s="0" t="s">
        <v>159</v>
      </c>
      <c r="F83" s="0" t="n">
        <v>6</v>
      </c>
      <c r="G83" s="0" t="s">
        <v>1036</v>
      </c>
      <c r="H83" s="0" t="s">
        <v>1037</v>
      </c>
      <c r="I83" s="0" t="s">
        <v>1035</v>
      </c>
      <c r="J83" s="0" t="n">
        <v>-11</v>
      </c>
      <c r="K83" s="0" t="n">
        <v>82</v>
      </c>
      <c r="L83" s="0" t="str">
        <f aca="false">C83</f>
        <v>Sam LaPorta</v>
      </c>
      <c r="M83" s="121" t="n">
        <f aca="false">IFERROR(VLOOKUP(E83,RISK!A:B,2,FALSE()),"")</f>
        <v>1.8921</v>
      </c>
      <c r="N83" s="120" t="n">
        <f aca="false">VLOOKUP(E83,Q:R,2,FALSE())</f>
        <v>123.859063235294</v>
      </c>
      <c r="Q83" s="53" t="s">
        <v>269</v>
      </c>
      <c r="R83" s="120" t="n">
        <f aca="false">Aggregate!BL37</f>
        <v>115.741193647059</v>
      </c>
    </row>
    <row r="84" customFormat="false" ht="14.25" hidden="false" customHeight="true" outlineLevel="0" collapsed="false">
      <c r="A84" s="0" t="n">
        <v>83</v>
      </c>
      <c r="B84" s="0" t="n">
        <v>5</v>
      </c>
      <c r="C84" s="0" t="s">
        <v>906</v>
      </c>
      <c r="D84" s="0" t="s">
        <v>552</v>
      </c>
      <c r="E84" s="0" t="s">
        <v>163</v>
      </c>
      <c r="F84" s="0" t="n">
        <v>11</v>
      </c>
      <c r="G84" s="0" t="s">
        <v>1036</v>
      </c>
      <c r="H84" s="0" t="s">
        <v>1036</v>
      </c>
      <c r="I84" s="0" t="s">
        <v>1035</v>
      </c>
      <c r="J84" s="0" t="n">
        <v>-10</v>
      </c>
      <c r="K84" s="0" t="n">
        <v>83</v>
      </c>
      <c r="L84" s="0" t="str">
        <f aca="false">C84</f>
        <v>Kyle Pitts Sr.</v>
      </c>
      <c r="M84" s="121" t="n">
        <f aca="false">IFERROR(VLOOKUP(E84,RISK!A:B,2,FALSE()),"")</f>
        <v>1.884</v>
      </c>
      <c r="N84" s="120" t="n">
        <f aca="false">VLOOKUP(E84,Q:R,2,FALSE())</f>
        <v>123.79732</v>
      </c>
      <c r="Q84" s="53" t="s">
        <v>273</v>
      </c>
      <c r="R84" s="120" t="n">
        <f aca="false">Aggregate!BL38</f>
        <v>114.950209411765</v>
      </c>
    </row>
    <row r="85" customFormat="false" ht="14.25" hidden="false" customHeight="true" outlineLevel="0" collapsed="false">
      <c r="A85" s="0" t="n">
        <v>84</v>
      </c>
      <c r="B85" s="0" t="n">
        <v>5</v>
      </c>
      <c r="C85" s="0" t="s">
        <v>750</v>
      </c>
      <c r="D85" s="0" t="s">
        <v>518</v>
      </c>
      <c r="E85" s="0" t="s">
        <v>274</v>
      </c>
      <c r="F85" s="0" t="n">
        <v>10</v>
      </c>
      <c r="G85" s="0" t="s">
        <v>1033</v>
      </c>
      <c r="H85" s="0" t="s">
        <v>1036</v>
      </c>
      <c r="I85" s="0" t="s">
        <v>1031</v>
      </c>
      <c r="J85" s="0" t="n">
        <v>6</v>
      </c>
      <c r="K85" s="0" t="n">
        <v>84</v>
      </c>
      <c r="L85" s="0" t="str">
        <f aca="false">C85</f>
        <v>Courtland Sutton</v>
      </c>
      <c r="M85" s="121" t="n">
        <f aca="false">IFERROR(VLOOKUP(E85,RISK!A:B,2,FALSE()),"")</f>
        <v>3.8026</v>
      </c>
      <c r="N85" s="120" t="n">
        <f aca="false">VLOOKUP(E85,Q:R,2,FALSE())</f>
        <v>121.283550588235</v>
      </c>
      <c r="Q85" s="53" t="s">
        <v>277</v>
      </c>
      <c r="R85" s="120" t="n">
        <f aca="false">Aggregate!BL39</f>
        <v>113.961806470588</v>
      </c>
    </row>
    <row r="86" customFormat="false" ht="14.25" hidden="false" customHeight="true" outlineLevel="0" collapsed="false">
      <c r="A86" s="0" t="n">
        <v>85</v>
      </c>
      <c r="B86" s="0" t="n">
        <v>5</v>
      </c>
      <c r="C86" s="0" t="s">
        <v>761</v>
      </c>
      <c r="D86" s="0" t="s">
        <v>516</v>
      </c>
      <c r="E86" s="0" t="s">
        <v>278</v>
      </c>
      <c r="F86" s="0" t="n">
        <v>7</v>
      </c>
      <c r="G86" s="0" t="s">
        <v>1036</v>
      </c>
      <c r="H86" s="0" t="s">
        <v>1036</v>
      </c>
      <c r="I86" s="0" t="s">
        <v>1031</v>
      </c>
      <c r="J86" s="0" t="n">
        <v>19</v>
      </c>
      <c r="K86" s="0" t="n">
        <v>85</v>
      </c>
      <c r="L86" s="0" t="str">
        <f aca="false">C86</f>
        <v>Quentin Johnston</v>
      </c>
      <c r="M86" s="121" t="n">
        <f aca="false">IFERROR(VLOOKUP(E86,RISK!A:B,2,FALSE()),"")</f>
        <v>3.8481</v>
      </c>
      <c r="N86" s="120" t="n">
        <f aca="false">VLOOKUP(E86,Q:R,2,FALSE())</f>
        <v>119.056738705882</v>
      </c>
      <c r="Q86" s="53" t="s">
        <v>281</v>
      </c>
      <c r="R86" s="120" t="n">
        <f aca="false">Aggregate!BL40</f>
        <v>113.446174117647</v>
      </c>
    </row>
    <row r="87" customFormat="false" ht="14.25" hidden="false" customHeight="true" outlineLevel="0" collapsed="false">
      <c r="A87" s="0" t="n">
        <v>86</v>
      </c>
      <c r="B87" s="0" t="n">
        <v>5</v>
      </c>
      <c r="C87" s="0" t="s">
        <v>629</v>
      </c>
      <c r="D87" s="0" t="s">
        <v>518</v>
      </c>
      <c r="E87" s="0" t="s">
        <v>253</v>
      </c>
      <c r="F87" s="0" t="n">
        <v>10</v>
      </c>
      <c r="G87" s="0" t="s">
        <v>1036</v>
      </c>
      <c r="H87" s="0" t="s">
        <v>1036</v>
      </c>
      <c r="I87" s="0" t="s">
        <v>1031</v>
      </c>
      <c r="J87" s="0" t="n">
        <v>3</v>
      </c>
      <c r="K87" s="0" t="n">
        <v>86</v>
      </c>
      <c r="L87" s="0" t="str">
        <f aca="false">C87</f>
        <v>J.K. Dobbins</v>
      </c>
      <c r="M87" s="121" t="n">
        <f aca="false">IFERROR(VLOOKUP(E87,RISK!A:B,2,FALSE()),"")</f>
        <v>3.0314</v>
      </c>
      <c r="N87" s="120" t="n">
        <f aca="false">VLOOKUP(E87,Q:R,2,FALSE())</f>
        <v>128.819469882353</v>
      </c>
      <c r="Q87" s="53" t="s">
        <v>285</v>
      </c>
      <c r="R87" s="120" t="n">
        <f aca="false">Aggregate!BL41</f>
        <v>112.890752</v>
      </c>
    </row>
    <row r="88" customFormat="false" ht="14.25" hidden="false" customHeight="true" outlineLevel="0" collapsed="false">
      <c r="A88" s="0" t="n">
        <v>87</v>
      </c>
      <c r="B88" s="0" t="n">
        <v>5</v>
      </c>
      <c r="C88" s="0" t="s">
        <v>757</v>
      </c>
      <c r="D88" s="0" t="s">
        <v>548</v>
      </c>
      <c r="E88" s="0" t="s">
        <v>282</v>
      </c>
      <c r="F88" s="0" t="n">
        <v>9</v>
      </c>
      <c r="G88" s="0" t="s">
        <v>1037</v>
      </c>
      <c r="H88" s="0" t="s">
        <v>1037</v>
      </c>
      <c r="I88" s="0" t="s">
        <v>1035</v>
      </c>
      <c r="J88" s="0" t="n">
        <v>28</v>
      </c>
      <c r="K88" s="0" t="n">
        <v>87</v>
      </c>
      <c r="L88" s="0" t="str">
        <f aca="false">C88</f>
        <v>Michael Pittman Jr.</v>
      </c>
      <c r="M88" s="121" t="n">
        <f aca="false">IFERROR(VLOOKUP(E88,RISK!A:B,2,FALSE()),"")</f>
        <v>3.84810126582278</v>
      </c>
      <c r="N88" s="120" t="n">
        <f aca="false">VLOOKUP(E88,Q:R,2,FALSE())</f>
        <v>118.274251675354</v>
      </c>
      <c r="Q88" s="53" t="s">
        <v>289</v>
      </c>
      <c r="R88" s="120" t="n">
        <f aca="false">Aggregate!BL42</f>
        <v>112.344448</v>
      </c>
    </row>
    <row r="89" customFormat="false" ht="14.25" hidden="false" customHeight="true" outlineLevel="0" collapsed="false">
      <c r="A89" s="0" t="n">
        <v>88</v>
      </c>
      <c r="B89" s="0" t="n">
        <v>5</v>
      </c>
      <c r="C89" s="0" t="s">
        <v>641</v>
      </c>
      <c r="D89" s="0" t="s">
        <v>520</v>
      </c>
      <c r="E89" s="0" t="s">
        <v>257</v>
      </c>
      <c r="F89" s="0" t="n">
        <v>11</v>
      </c>
      <c r="G89" s="0" t="s">
        <v>1036</v>
      </c>
      <c r="H89" s="0" t="s">
        <v>1036</v>
      </c>
      <c r="I89" s="0" t="s">
        <v>1030</v>
      </c>
      <c r="J89" s="0" t="n">
        <v>3</v>
      </c>
      <c r="K89" s="0" t="n">
        <v>88</v>
      </c>
      <c r="L89" s="0" t="str">
        <f aca="false">C89</f>
        <v>Blake Corum</v>
      </c>
      <c r="M89" s="121" t="n">
        <f aca="false">IFERROR(VLOOKUP(E89,RISK!A:B,2,FALSE()),"")</f>
        <v>3.066</v>
      </c>
      <c r="N89" s="120" t="n">
        <f aca="false">VLOOKUP(E89,Q:R,2,FALSE())</f>
        <v>123.702155411765</v>
      </c>
      <c r="Q89" s="53" t="s">
        <v>293</v>
      </c>
      <c r="R89" s="120" t="n">
        <f aca="false">Aggregate!BL43</f>
        <v>110.242529411765</v>
      </c>
    </row>
    <row r="90" customFormat="false" ht="14.25" hidden="false" customHeight="true" outlineLevel="0" collapsed="false">
      <c r="A90" s="0" t="n">
        <v>89</v>
      </c>
      <c r="B90" s="0" t="n">
        <v>5</v>
      </c>
      <c r="C90" s="0" t="s">
        <v>760</v>
      </c>
      <c r="D90" s="0" t="s">
        <v>546</v>
      </c>
      <c r="E90" s="0" t="s">
        <v>286</v>
      </c>
      <c r="F90" s="0" t="n">
        <v>14</v>
      </c>
      <c r="G90" s="0" t="s">
        <v>1038</v>
      </c>
      <c r="H90" s="0" t="s">
        <v>1038</v>
      </c>
      <c r="I90" s="0" t="s">
        <v>1031</v>
      </c>
      <c r="J90" s="0" t="n">
        <v>-1</v>
      </c>
      <c r="K90" s="0" t="n">
        <v>89</v>
      </c>
      <c r="L90" s="0" t="str">
        <f aca="false">C90</f>
        <v>Michael Wilson</v>
      </c>
      <c r="M90" s="121" t="n">
        <f aca="false">IFERROR(VLOOKUP(E90,RISK!A:B,2,FALSE()),"")</f>
        <v>3.84810126582278</v>
      </c>
      <c r="N90" s="120" t="n">
        <f aca="false">VLOOKUP(E90,Q:R,2,FALSE())</f>
        <v>116.208629932986</v>
      </c>
      <c r="Q90" s="53" t="s">
        <v>297</v>
      </c>
      <c r="R90" s="120" t="n">
        <f aca="false">Aggregate!BL44</f>
        <v>104.462863855294</v>
      </c>
    </row>
    <row r="91" customFormat="false" ht="14.25" hidden="false" customHeight="true" outlineLevel="0" collapsed="false">
      <c r="A91" s="0" t="n">
        <v>90</v>
      </c>
      <c r="B91" s="0" t="n">
        <v>5</v>
      </c>
      <c r="C91" s="0" t="s">
        <v>632</v>
      </c>
      <c r="D91" s="0" t="s">
        <v>530</v>
      </c>
      <c r="E91" s="0" t="s">
        <v>261</v>
      </c>
      <c r="F91" s="0" t="n">
        <v>11</v>
      </c>
      <c r="G91" s="0" t="s">
        <v>1036</v>
      </c>
      <c r="H91" s="0" t="s">
        <v>1036</v>
      </c>
      <c r="I91" s="0" t="s">
        <v>1032</v>
      </c>
      <c r="J91" s="0" t="n">
        <v>6</v>
      </c>
      <c r="K91" s="0" t="n">
        <v>90</v>
      </c>
      <c r="L91" s="0" t="str">
        <f aca="false">C91</f>
        <v>MarShawn Lloyd</v>
      </c>
      <c r="M91" s="121" t="n">
        <f aca="false">IFERROR(VLOOKUP(E91,RISK!A:B,2,FALSE()),"")</f>
        <v>3.1018</v>
      </c>
      <c r="N91" s="120" t="n">
        <f aca="false">VLOOKUP(E91,Q:R,2,FALSE())</f>
        <v>123.143471764706</v>
      </c>
      <c r="Q91" s="53" t="s">
        <v>301</v>
      </c>
      <c r="R91" s="120" t="n">
        <f aca="false">Aggregate!BL45</f>
        <v>97.3137635294117</v>
      </c>
    </row>
    <row r="92" customFormat="false" ht="14.25" hidden="false" customHeight="true" outlineLevel="0" collapsed="false">
      <c r="A92" s="0" t="n">
        <v>91</v>
      </c>
      <c r="B92" s="0" t="n">
        <v>5</v>
      </c>
      <c r="C92" s="0" t="s">
        <v>904</v>
      </c>
      <c r="D92" s="0" t="s">
        <v>508</v>
      </c>
      <c r="E92" s="0" t="s">
        <v>167</v>
      </c>
      <c r="F92" s="0" t="n">
        <v>8</v>
      </c>
      <c r="G92" s="0" t="s">
        <v>1036</v>
      </c>
      <c r="H92" s="0" t="s">
        <v>1036</v>
      </c>
      <c r="I92" s="0" t="s">
        <v>1035</v>
      </c>
      <c r="J92" s="0" t="n">
        <v>-5</v>
      </c>
      <c r="K92" s="0" t="n">
        <v>91</v>
      </c>
      <c r="L92" s="0" t="str">
        <f aca="false">C92</f>
        <v>George Kittle</v>
      </c>
      <c r="M92" s="121" t="n">
        <f aca="false">IFERROR(VLOOKUP(E92,RISK!A:B,2,FALSE()),"")</f>
        <v>1.8883</v>
      </c>
      <c r="N92" s="120" t="n">
        <f aca="false">VLOOKUP(E92,Q:R,2,FALSE())</f>
        <v>120.770863529412</v>
      </c>
      <c r="Q92" s="53" t="s">
        <v>305</v>
      </c>
      <c r="R92" s="120" t="n">
        <f aca="false">Aggregate!BL46</f>
        <v>96.9188235294118</v>
      </c>
    </row>
    <row r="93" customFormat="false" ht="14.25" hidden="false" customHeight="true" outlineLevel="0" collapsed="false">
      <c r="A93" s="0" t="n">
        <v>92</v>
      </c>
      <c r="B93" s="0" t="n">
        <v>5</v>
      </c>
      <c r="C93" s="0" t="s">
        <v>751</v>
      </c>
      <c r="D93" s="0" t="s">
        <v>532</v>
      </c>
      <c r="E93" s="0" t="s">
        <v>290</v>
      </c>
      <c r="F93" s="0" t="n">
        <v>13</v>
      </c>
      <c r="G93" s="0" t="s">
        <v>1036</v>
      </c>
      <c r="H93" s="0" t="s">
        <v>1036</v>
      </c>
      <c r="I93" s="0" t="s">
        <v>1032</v>
      </c>
      <c r="J93" s="0" t="n">
        <v>0</v>
      </c>
      <c r="K93" s="0" t="n">
        <v>92</v>
      </c>
      <c r="L93" s="0" t="str">
        <f aca="false">C93</f>
        <v>Alec Pierce</v>
      </c>
      <c r="M93" s="121" t="n">
        <f aca="false">IFERROR(VLOOKUP(E93,RISK!A:B,2,FALSE()),"")</f>
        <v>3.84810126582278</v>
      </c>
      <c r="N93" s="120" t="n">
        <f aca="false">VLOOKUP(E93,Q:R,2,FALSE())</f>
        <v>113.16636366344</v>
      </c>
      <c r="Q93" s="53" t="s">
        <v>309</v>
      </c>
      <c r="R93" s="120" t="n">
        <f aca="false">Aggregate!BL47</f>
        <v>90.2948209411765</v>
      </c>
    </row>
    <row r="94" customFormat="false" ht="14.25" hidden="false" customHeight="true" outlineLevel="0" collapsed="false">
      <c r="A94" s="0" t="n">
        <v>93</v>
      </c>
      <c r="B94" s="0" t="n">
        <v>5</v>
      </c>
      <c r="C94" s="0" t="s">
        <v>631</v>
      </c>
      <c r="D94" s="0" t="s">
        <v>540</v>
      </c>
      <c r="E94" s="0" t="s">
        <v>265</v>
      </c>
      <c r="F94" s="0" t="n">
        <v>5</v>
      </c>
      <c r="G94" s="0" t="s">
        <v>1033</v>
      </c>
      <c r="H94" s="0" t="s">
        <v>1036</v>
      </c>
      <c r="I94" s="0" t="s">
        <v>1034</v>
      </c>
      <c r="J94" s="0" t="n">
        <v>-8</v>
      </c>
      <c r="K94" s="0" t="n">
        <v>93</v>
      </c>
      <c r="L94" s="0" t="str">
        <f aca="false">C94</f>
        <v>Chuba Hubbard</v>
      </c>
      <c r="M94" s="121" t="n">
        <f aca="false">IFERROR(VLOOKUP(E94,RISK!A:B,2,FALSE()),"")</f>
        <v>3.1388</v>
      </c>
      <c r="N94" s="120" t="n">
        <f aca="false">VLOOKUP(E94,Q:R,2,FALSE())</f>
        <v>118.168820235294</v>
      </c>
      <c r="Q94" s="53" t="s">
        <v>313</v>
      </c>
      <c r="R94" s="120" t="n">
        <f aca="false">Aggregate!BL48</f>
        <v>89.94884</v>
      </c>
    </row>
    <row r="95" customFormat="false" ht="14.25" hidden="false" customHeight="true" outlineLevel="0" collapsed="false">
      <c r="A95" s="0" t="n">
        <v>94</v>
      </c>
      <c r="B95" s="0" t="n">
        <v>6</v>
      </c>
      <c r="C95" s="0" t="s">
        <v>507</v>
      </c>
      <c r="D95" s="0" t="s">
        <v>508</v>
      </c>
      <c r="E95" s="0" t="s">
        <v>172</v>
      </c>
      <c r="F95" s="0" t="n">
        <v>8</v>
      </c>
      <c r="G95" s="0" t="s">
        <v>1036</v>
      </c>
      <c r="H95" s="0" t="s">
        <v>1033</v>
      </c>
      <c r="I95" s="0" t="s">
        <v>1034</v>
      </c>
      <c r="J95" s="0" t="n">
        <v>19</v>
      </c>
      <c r="K95" s="0" t="n">
        <v>94</v>
      </c>
      <c r="L95" s="0" t="str">
        <f aca="false">C95</f>
        <v>Brock Purdy</v>
      </c>
      <c r="M95" s="121" t="n">
        <f aca="false">IFERROR(VLOOKUP(E95,RISK!A:B,2,FALSE()),"")</f>
        <v>1.99</v>
      </c>
      <c r="N95" s="120" t="n">
        <f aca="false">VLOOKUP(E95,Q:R,2,FALSE())</f>
        <v>267.650496564706</v>
      </c>
      <c r="Q95" s="53" t="s">
        <v>317</v>
      </c>
      <c r="R95" s="120" t="n">
        <f aca="false">Aggregate!BL49</f>
        <v>83.316726</v>
      </c>
    </row>
    <row r="96" customFormat="false" ht="14.25" hidden="false" customHeight="true" outlineLevel="0" collapsed="false">
      <c r="A96" s="0" t="n">
        <v>95</v>
      </c>
      <c r="B96" s="0" t="n">
        <v>6</v>
      </c>
      <c r="C96" s="0" t="s">
        <v>775</v>
      </c>
      <c r="D96" s="0" t="s">
        <v>532</v>
      </c>
      <c r="E96" s="0" t="s">
        <v>294</v>
      </c>
      <c r="F96" s="0" t="n">
        <v>13</v>
      </c>
      <c r="G96" s="0" t="s">
        <v>1037</v>
      </c>
      <c r="H96" s="0" t="s">
        <v>1036</v>
      </c>
      <c r="I96" s="0" t="s">
        <v>1032</v>
      </c>
      <c r="J96" s="0" t="n">
        <v>17</v>
      </c>
      <c r="K96" s="0" t="n">
        <v>95</v>
      </c>
      <c r="L96" s="0" t="str">
        <f aca="false">C96</f>
        <v>Josh Downs</v>
      </c>
      <c r="M96" s="121" t="n">
        <f aca="false">IFERROR(VLOOKUP(E96,RISK!A:B,2,FALSE()),"")</f>
        <v>3.84810126582278</v>
      </c>
      <c r="N96" s="120" t="n">
        <f aca="false">VLOOKUP(E96,Q:R,2,FALSE())</f>
        <v>112.533834698436</v>
      </c>
      <c r="Q96" s="53" t="s">
        <v>321</v>
      </c>
      <c r="R96" s="120" t="n">
        <f aca="false">Aggregate!BL50</f>
        <v>77.3885210294118</v>
      </c>
    </row>
    <row r="97" customFormat="false" ht="14.25" hidden="false" customHeight="true" outlineLevel="0" collapsed="false">
      <c r="A97" s="0" t="n">
        <v>96</v>
      </c>
      <c r="B97" s="0" t="n">
        <v>6</v>
      </c>
      <c r="C97" s="0" t="s">
        <v>517</v>
      </c>
      <c r="D97" s="0" t="s">
        <v>518</v>
      </c>
      <c r="E97" s="0" t="s">
        <v>176</v>
      </c>
      <c r="F97" s="0" t="n">
        <v>10</v>
      </c>
      <c r="G97" s="0" t="s">
        <v>1036</v>
      </c>
      <c r="H97" s="0" t="s">
        <v>1033</v>
      </c>
      <c r="I97" s="0" t="s">
        <v>1035</v>
      </c>
      <c r="J97" s="0" t="n">
        <v>7</v>
      </c>
      <c r="K97" s="0" t="n">
        <v>96</v>
      </c>
      <c r="L97" s="0" t="str">
        <f aca="false">C97</f>
        <v>Bo Nix</v>
      </c>
      <c r="M97" s="121" t="n">
        <f aca="false">IFERROR(VLOOKUP(E97,RISK!A:B,2,FALSE()),"")</f>
        <v>2.0344</v>
      </c>
      <c r="N97" s="120" t="n">
        <f aca="false">VLOOKUP(E97,Q:R,2,FALSE())</f>
        <v>265.585307482353</v>
      </c>
      <c r="Q97" s="53" t="s">
        <v>324</v>
      </c>
      <c r="R97" s="120" t="n">
        <f aca="false">Aggregate!BL51</f>
        <v>75.3235294117647</v>
      </c>
    </row>
    <row r="98" customFormat="false" ht="14.25" hidden="false" customHeight="true" outlineLevel="0" collapsed="false">
      <c r="A98" s="0" t="n">
        <v>97</v>
      </c>
      <c r="B98" s="0" t="n">
        <v>6</v>
      </c>
      <c r="C98" s="0" t="s">
        <v>639</v>
      </c>
      <c r="D98" s="0" t="s">
        <v>518</v>
      </c>
      <c r="E98" s="0" t="s">
        <v>269</v>
      </c>
      <c r="F98" s="0" t="n">
        <v>10</v>
      </c>
      <c r="G98" s="0" t="s">
        <v>1033</v>
      </c>
      <c r="H98" s="0" t="s">
        <v>1036</v>
      </c>
      <c r="I98" s="0" t="s">
        <v>1031</v>
      </c>
      <c r="J98" s="0" t="n">
        <v>-13</v>
      </c>
      <c r="K98" s="0" t="n">
        <v>97</v>
      </c>
      <c r="L98" s="0" t="str">
        <f aca="false">C98</f>
        <v>RJ Harvey</v>
      </c>
      <c r="M98" s="121" t="n">
        <f aca="false">IFERROR(VLOOKUP(E98,RISK!A:B,2,FALSE()),"")</f>
        <v>3.177</v>
      </c>
      <c r="N98" s="120" t="n">
        <f aca="false">VLOOKUP(E98,Q:R,2,FALSE())</f>
        <v>115.741193647059</v>
      </c>
      <c r="Q98" s="53" t="s">
        <v>327</v>
      </c>
      <c r="R98" s="120" t="n">
        <f aca="false">Aggregate!BL52</f>
        <v>74.1403305882353</v>
      </c>
    </row>
    <row r="99" customFormat="false" ht="14.25" hidden="false" customHeight="true" outlineLevel="0" collapsed="false">
      <c r="A99" s="0" t="n">
        <v>98</v>
      </c>
      <c r="B99" s="0" t="n">
        <v>6</v>
      </c>
      <c r="C99" s="0" t="s">
        <v>770</v>
      </c>
      <c r="D99" s="0" t="s">
        <v>496</v>
      </c>
      <c r="E99" s="0" t="s">
        <v>298</v>
      </c>
      <c r="F99" s="0" t="n">
        <v>7</v>
      </c>
      <c r="G99" s="0" t="s">
        <v>1036</v>
      </c>
      <c r="H99" s="0" t="s">
        <v>1033</v>
      </c>
      <c r="I99" s="0" t="s">
        <v>1031</v>
      </c>
      <c r="J99" s="0" t="n">
        <v>7</v>
      </c>
      <c r="K99" s="0" t="n">
        <v>98</v>
      </c>
      <c r="L99" s="0" t="str">
        <f aca="false">C99</f>
        <v>Stefon Diggs</v>
      </c>
      <c r="M99" s="121" t="n">
        <f aca="false">IFERROR(VLOOKUP(E99,RISK!A:B,2,FALSE()),"")</f>
        <v>3.84810126582278</v>
      </c>
      <c r="N99" s="120" t="n">
        <f aca="false">VLOOKUP(E99,Q:R,2,FALSE())</f>
        <v>112.291839761727</v>
      </c>
      <c r="Q99" s="53" t="s">
        <v>330</v>
      </c>
      <c r="R99" s="120" t="n">
        <f aca="false">Aggregate!BL53</f>
        <v>72.02</v>
      </c>
    </row>
    <row r="100" customFormat="false" ht="14.25" hidden="false" customHeight="true" outlineLevel="0" collapsed="false">
      <c r="A100" s="0" t="n">
        <v>99</v>
      </c>
      <c r="B100" s="0" t="n">
        <v>6</v>
      </c>
      <c r="C100" s="0" t="s">
        <v>503</v>
      </c>
      <c r="D100" s="0" t="s">
        <v>504</v>
      </c>
      <c r="E100" s="0" t="s">
        <v>180</v>
      </c>
      <c r="F100" s="0" t="n">
        <v>8</v>
      </c>
      <c r="G100" s="0" t="s">
        <v>1028</v>
      </c>
      <c r="H100" s="0" t="s">
        <v>1036</v>
      </c>
      <c r="I100" s="0" t="s">
        <v>1032</v>
      </c>
      <c r="J100" s="0" t="n">
        <v>-4</v>
      </c>
      <c r="K100" s="0" t="n">
        <v>99</v>
      </c>
      <c r="L100" s="0" t="str">
        <f aca="false">C100</f>
        <v>Jaxson Dart</v>
      </c>
      <c r="M100" s="121" t="n">
        <f aca="false">IFERROR(VLOOKUP(E100,RISK!A:B,2,FALSE()),"")</f>
        <v>2.0892</v>
      </c>
      <c r="N100" s="120" t="n">
        <f aca="false">VLOOKUP(E100,Q:R,2,FALSE())</f>
        <v>264.005417694118</v>
      </c>
      <c r="Q100" s="53" t="s">
        <v>333</v>
      </c>
      <c r="R100" s="120" t="n">
        <f aca="false">Aggregate!BL54</f>
        <v>70.9153031764706</v>
      </c>
    </row>
    <row r="101" customFormat="false" ht="14.25" hidden="false" customHeight="true" outlineLevel="0" collapsed="false">
      <c r="A101" s="0" t="n">
        <v>100</v>
      </c>
      <c r="B101" s="0" t="n">
        <v>6</v>
      </c>
      <c r="C101" s="0" t="s">
        <v>640</v>
      </c>
      <c r="D101" s="0" t="s">
        <v>522</v>
      </c>
      <c r="E101" s="0" t="s">
        <v>273</v>
      </c>
      <c r="F101" s="0" t="n">
        <v>6</v>
      </c>
      <c r="G101" s="0" t="s">
        <v>1036</v>
      </c>
      <c r="H101" s="0" t="s">
        <v>1037</v>
      </c>
      <c r="I101" s="0" t="s">
        <v>1032</v>
      </c>
      <c r="J101" s="0" t="n">
        <v>-6</v>
      </c>
      <c r="K101" s="0" t="n">
        <v>100</v>
      </c>
      <c r="L101" s="0" t="str">
        <f aca="false">C101</f>
        <v>Jordan Mason</v>
      </c>
      <c r="M101" s="121" t="n">
        <f aca="false">IFERROR(VLOOKUP(E101,RISK!A:B,2,FALSE()),"")</f>
        <v>3.2164</v>
      </c>
      <c r="N101" s="120" t="n">
        <f aca="false">VLOOKUP(E101,Q:R,2,FALSE())</f>
        <v>114.950209411765</v>
      </c>
      <c r="Q101" s="53" t="s">
        <v>336</v>
      </c>
      <c r="R101" s="120" t="n">
        <f aca="false">Aggregate!BL55</f>
        <v>70.3560305882353</v>
      </c>
    </row>
    <row r="102" customFormat="false" ht="14.25" hidden="false" customHeight="true" outlineLevel="0" collapsed="false">
      <c r="A102" s="0" t="n">
        <v>101</v>
      </c>
      <c r="B102" s="0" t="n">
        <v>6</v>
      </c>
      <c r="C102" s="0" t="s">
        <v>638</v>
      </c>
      <c r="D102" s="0" t="s">
        <v>496</v>
      </c>
      <c r="E102" s="0" t="s">
        <v>277</v>
      </c>
      <c r="F102" s="0" t="n">
        <v>7</v>
      </c>
      <c r="G102" s="0" t="s">
        <v>1036</v>
      </c>
      <c r="H102" s="0" t="s">
        <v>1036</v>
      </c>
      <c r="I102" s="0" t="s">
        <v>1032</v>
      </c>
      <c r="J102" s="0" t="n">
        <v>-3</v>
      </c>
      <c r="K102" s="0" t="n">
        <v>101</v>
      </c>
      <c r="L102" s="0" t="str">
        <f aca="false">C102</f>
        <v>Jacory Croskey-Merritt</v>
      </c>
      <c r="M102" s="121" t="n">
        <f aca="false">IFERROR(VLOOKUP(E102,RISK!A:B,2,FALSE()),"")</f>
        <v>3.257</v>
      </c>
      <c r="N102" s="120" t="n">
        <f aca="false">VLOOKUP(E102,Q:R,2,FALSE())</f>
        <v>113.961806470588</v>
      </c>
      <c r="Q102" s="53" t="s">
        <v>339</v>
      </c>
      <c r="R102" s="120" t="n">
        <f aca="false">Aggregate!BL56</f>
        <v>69.9758647058824</v>
      </c>
    </row>
    <row r="103" customFormat="false" ht="14.25" hidden="false" customHeight="true" outlineLevel="0" collapsed="false">
      <c r="A103" s="0" t="n">
        <v>102</v>
      </c>
      <c r="B103" s="0" t="n">
        <v>6</v>
      </c>
      <c r="C103" s="0" t="s">
        <v>766</v>
      </c>
      <c r="D103" s="0" t="s">
        <v>544</v>
      </c>
      <c r="E103" s="0" t="s">
        <v>302</v>
      </c>
      <c r="F103" s="0" t="n">
        <v>9</v>
      </c>
      <c r="G103" s="0" t="s">
        <v>1036</v>
      </c>
      <c r="H103" s="0" t="s">
        <v>1037</v>
      </c>
      <c r="I103" s="0" t="s">
        <v>1035</v>
      </c>
      <c r="J103" s="0" t="n">
        <v>26</v>
      </c>
      <c r="K103" s="0" t="n">
        <v>102</v>
      </c>
      <c r="L103" s="0" t="str">
        <f aca="false">C103</f>
        <v>Wan'Dale Robinson</v>
      </c>
      <c r="M103" s="121" t="n">
        <f aca="false">IFERROR(VLOOKUP(E103,RISK!A:B,2,FALSE()),"")</f>
        <v>3.84810126582278</v>
      </c>
      <c r="N103" s="120" t="n">
        <f aca="false">VLOOKUP(E103,Q:R,2,FALSE())</f>
        <v>111.706038719285</v>
      </c>
      <c r="Q103" s="53" t="s">
        <v>342</v>
      </c>
      <c r="R103" s="120" t="n">
        <f aca="false">Aggregate!BL57</f>
        <v>68.6094117647059</v>
      </c>
    </row>
    <row r="104" customFormat="false" ht="14.25" hidden="false" customHeight="true" outlineLevel="0" collapsed="false">
      <c r="A104" s="0" t="n">
        <v>103</v>
      </c>
      <c r="B104" s="0" t="n">
        <v>6</v>
      </c>
      <c r="C104" s="0" t="s">
        <v>511</v>
      </c>
      <c r="D104" s="0" t="s">
        <v>512</v>
      </c>
      <c r="E104" s="0" t="s">
        <v>184</v>
      </c>
      <c r="F104" s="0" t="n">
        <v>5</v>
      </c>
      <c r="G104" s="0" t="s">
        <v>1037</v>
      </c>
      <c r="H104" s="0" t="s">
        <v>1036</v>
      </c>
      <c r="I104" s="0" t="s">
        <v>1031</v>
      </c>
      <c r="J104" s="0" t="n">
        <v>11</v>
      </c>
      <c r="K104" s="0" t="n">
        <v>103</v>
      </c>
      <c r="L104" s="0" t="str">
        <f aca="false">C104</f>
        <v>Patrick Mahomes II</v>
      </c>
      <c r="M104" s="121" t="n">
        <f aca="false">IFERROR(VLOOKUP(E104,RISK!A:B,2,FALSE()),"")</f>
        <v>2.1544</v>
      </c>
      <c r="N104" s="120" t="n">
        <f aca="false">VLOOKUP(E104,Q:R,2,FALSE())</f>
        <v>262.614588141176</v>
      </c>
      <c r="Q104" s="53" t="s">
        <v>345</v>
      </c>
      <c r="R104" s="120" t="n">
        <f aca="false">Aggregate!BL58</f>
        <v>67.4962752941176</v>
      </c>
    </row>
    <row r="105" customFormat="false" ht="14.25" hidden="false" customHeight="true" outlineLevel="0" collapsed="false">
      <c r="A105" s="0" t="n">
        <v>104</v>
      </c>
      <c r="B105" s="0" t="n">
        <v>6</v>
      </c>
      <c r="C105" s="0" t="s">
        <v>908</v>
      </c>
      <c r="D105" s="0" t="s">
        <v>512</v>
      </c>
      <c r="E105" s="0" t="s">
        <v>171</v>
      </c>
      <c r="F105" s="0" t="n">
        <v>5</v>
      </c>
      <c r="G105" s="0" t="s">
        <v>1037</v>
      </c>
      <c r="H105" s="0" t="s">
        <v>1037</v>
      </c>
      <c r="I105" s="0" t="s">
        <v>1032</v>
      </c>
      <c r="J105" s="0" t="n">
        <v>-11</v>
      </c>
      <c r="K105" s="0" t="n">
        <v>104</v>
      </c>
      <c r="L105" s="0" t="str">
        <f aca="false">C105</f>
        <v>Travis Kelce</v>
      </c>
      <c r="M105" s="121" t="n">
        <f aca="false">IFERROR(VLOOKUP(E105,RISK!A:B,2,FALSE()),"")</f>
        <v>1.905</v>
      </c>
      <c r="N105" s="120" t="n">
        <f aca="false">VLOOKUP(E105,Q:R,2,FALSE())</f>
        <v>119.500726470588</v>
      </c>
      <c r="Q105" s="53" t="s">
        <v>348</v>
      </c>
      <c r="R105" s="120" t="n">
        <f aca="false">Aggregate!BL59</f>
        <v>66.8658823529412</v>
      </c>
    </row>
    <row r="106" customFormat="false" ht="14.25" hidden="false" customHeight="true" outlineLevel="0" collapsed="false">
      <c r="A106" s="0" t="n">
        <v>105</v>
      </c>
      <c r="B106" s="0" t="n">
        <v>6</v>
      </c>
      <c r="C106" s="0" t="s">
        <v>759</v>
      </c>
      <c r="D106" s="0" t="s">
        <v>530</v>
      </c>
      <c r="E106" s="0" t="s">
        <v>306</v>
      </c>
      <c r="F106" s="0" t="n">
        <v>11</v>
      </c>
      <c r="G106" s="0" t="s">
        <v>1036</v>
      </c>
      <c r="H106" s="0" t="s">
        <v>1036</v>
      </c>
      <c r="I106" s="0" t="s">
        <v>1030</v>
      </c>
      <c r="J106" s="0" t="n">
        <v>4</v>
      </c>
      <c r="K106" s="0" t="n">
        <v>105</v>
      </c>
      <c r="L106" s="0" t="str">
        <f aca="false">C106</f>
        <v>Jayden Reed</v>
      </c>
      <c r="M106" s="121" t="n">
        <f aca="false">IFERROR(VLOOKUP(E106,RISK!A:B,2,FALSE()),"")</f>
        <v>3.84810126582278</v>
      </c>
      <c r="N106" s="120" t="n">
        <f aca="false">VLOOKUP(E106,Q:R,2,FALSE())</f>
        <v>111.272810411765</v>
      </c>
      <c r="Q106" s="53" t="s">
        <v>351</v>
      </c>
      <c r="R106" s="120" t="n">
        <f aca="false">Aggregate!BL60</f>
        <v>66.055284</v>
      </c>
    </row>
    <row r="107" customFormat="false" ht="14.25" hidden="false" customHeight="true" outlineLevel="0" collapsed="false">
      <c r="A107" s="0" t="n">
        <v>106</v>
      </c>
      <c r="B107" s="0" t="n">
        <v>6</v>
      </c>
      <c r="C107" s="0" t="s">
        <v>634</v>
      </c>
      <c r="D107" s="0" t="s">
        <v>528</v>
      </c>
      <c r="E107" s="0" t="s">
        <v>281</v>
      </c>
      <c r="F107" s="0" t="n">
        <v>10</v>
      </c>
      <c r="G107" s="0" t="s">
        <v>1036</v>
      </c>
      <c r="H107" s="0" t="s">
        <v>1037</v>
      </c>
      <c r="I107" s="0" t="s">
        <v>1031</v>
      </c>
      <c r="J107" s="0" t="n">
        <v>2</v>
      </c>
      <c r="K107" s="0" t="n">
        <v>106</v>
      </c>
      <c r="L107" s="0" t="str">
        <f aca="false">C107</f>
        <v>Kenny Gainwell</v>
      </c>
      <c r="M107" s="121" t="n">
        <f aca="false">IFERROR(VLOOKUP(E107,RISK!A:B,2,FALSE()),"")</f>
        <v>3.2988</v>
      </c>
      <c r="N107" s="120" t="n">
        <f aca="false">VLOOKUP(E107,Q:R,2,FALSE())</f>
        <v>113.446174117647</v>
      </c>
      <c r="Q107" s="53" t="s">
        <v>354</v>
      </c>
      <c r="R107" s="120" t="n">
        <f aca="false">Aggregate!BL61</f>
        <v>63.8223529411765</v>
      </c>
    </row>
    <row r="108" customFormat="false" ht="14.25" hidden="false" customHeight="true" outlineLevel="0" collapsed="false">
      <c r="A108" s="0" t="n">
        <v>107</v>
      </c>
      <c r="B108" s="0" t="n">
        <v>6</v>
      </c>
      <c r="C108" s="0" t="s">
        <v>764</v>
      </c>
      <c r="D108" s="0" t="s">
        <v>522</v>
      </c>
      <c r="E108" s="0" t="s">
        <v>310</v>
      </c>
      <c r="F108" s="0" t="n">
        <v>6</v>
      </c>
      <c r="G108" s="0" t="s">
        <v>1036</v>
      </c>
      <c r="H108" s="0" t="s">
        <v>1037</v>
      </c>
      <c r="I108" s="0" t="s">
        <v>1030</v>
      </c>
      <c r="J108" s="0" t="n">
        <v>0</v>
      </c>
      <c r="K108" s="0" t="n">
        <v>107</v>
      </c>
      <c r="L108" s="0" t="str">
        <f aca="false">C108</f>
        <v>Jordan Addison</v>
      </c>
      <c r="M108" s="121" t="n">
        <f aca="false">IFERROR(VLOOKUP(E108,RISK!A:B,2,FALSE()),"")</f>
        <v>3.84810126582278</v>
      </c>
      <c r="N108" s="120" t="n">
        <f aca="false">VLOOKUP(E108,Q:R,2,FALSE())</f>
        <v>110.520902647059</v>
      </c>
      <c r="Q108" s="53" t="s">
        <v>357</v>
      </c>
      <c r="R108" s="120" t="n">
        <f aca="false">Aggregate!BL62</f>
        <v>63.1876470588235</v>
      </c>
    </row>
    <row r="109" customFormat="false" ht="14.25" hidden="false" customHeight="true" outlineLevel="0" collapsed="false">
      <c r="A109" s="0" t="n">
        <v>108</v>
      </c>
      <c r="B109" s="0" t="n">
        <v>6</v>
      </c>
      <c r="C109" s="0" t="s">
        <v>523</v>
      </c>
      <c r="D109" s="0" t="s">
        <v>524</v>
      </c>
      <c r="E109" s="0" t="s">
        <v>188</v>
      </c>
      <c r="F109" s="0" t="n">
        <v>6</v>
      </c>
      <c r="G109" s="0" t="s">
        <v>1036</v>
      </c>
      <c r="H109" s="0" t="s">
        <v>1033</v>
      </c>
      <c r="I109" s="0" t="s">
        <v>1030</v>
      </c>
      <c r="J109" s="0" t="n">
        <v>15</v>
      </c>
      <c r="K109" s="0" t="n">
        <v>108</v>
      </c>
      <c r="L109" s="0" t="str">
        <f aca="false">C109</f>
        <v>Jared Goff</v>
      </c>
      <c r="M109" s="121" t="n">
        <f aca="false">IFERROR(VLOOKUP(E109,RISK!A:B,2,FALSE()),"")</f>
        <v>2.23</v>
      </c>
      <c r="N109" s="120" t="n">
        <f aca="false">VLOOKUP(E109,Q:R,2,FALSE())</f>
        <v>253.88636</v>
      </c>
      <c r="Q109" s="53" t="s">
        <v>360</v>
      </c>
      <c r="R109" s="120" t="n">
        <f aca="false">Aggregate!BL63</f>
        <v>62.0993117647059</v>
      </c>
    </row>
    <row r="110" customFormat="false" ht="14.25" hidden="false" customHeight="true" outlineLevel="0" collapsed="false">
      <c r="A110" s="0" t="n">
        <v>109</v>
      </c>
      <c r="B110" s="0" t="n">
        <v>6</v>
      </c>
      <c r="C110" s="0" t="s">
        <v>519</v>
      </c>
      <c r="D110" s="0" t="s">
        <v>520</v>
      </c>
      <c r="E110" s="0" t="s">
        <v>192</v>
      </c>
      <c r="F110" s="0" t="n">
        <v>11</v>
      </c>
      <c r="G110" s="0" t="s">
        <v>1036</v>
      </c>
      <c r="H110" s="0" t="s">
        <v>1033</v>
      </c>
      <c r="I110" s="0" t="s">
        <v>1035</v>
      </c>
      <c r="J110" s="0" t="n">
        <v>-8</v>
      </c>
      <c r="K110" s="0" t="n">
        <v>109</v>
      </c>
      <c r="L110" s="0" t="str">
        <f aca="false">C110</f>
        <v>Matthew Stafford</v>
      </c>
      <c r="M110" s="121" t="n">
        <f aca="false">IFERROR(VLOOKUP(E110,RISK!A:B,2,FALSE()),"")</f>
        <v>2.316</v>
      </c>
      <c r="N110" s="120" t="n">
        <f aca="false">VLOOKUP(E110,Q:R,2,FALSE())</f>
        <v>250.366120705882</v>
      </c>
      <c r="Q110" s="53" t="s">
        <v>363</v>
      </c>
      <c r="R110" s="120" t="n">
        <f aca="false">Aggregate!BL64</f>
        <v>61.2887905882353</v>
      </c>
    </row>
    <row r="111" customFormat="false" ht="14.25" hidden="false" customHeight="true" outlineLevel="0" collapsed="false">
      <c r="A111" s="0" t="n">
        <v>110</v>
      </c>
      <c r="B111" s="0" t="n">
        <v>6</v>
      </c>
      <c r="C111" s="0" t="s">
        <v>912</v>
      </c>
      <c r="D111" s="0" t="s">
        <v>490</v>
      </c>
      <c r="E111" s="0" t="s">
        <v>175</v>
      </c>
      <c r="F111" s="0" t="n">
        <v>7</v>
      </c>
      <c r="G111" s="0" t="s">
        <v>1037</v>
      </c>
      <c r="H111" s="0" t="s">
        <v>1036</v>
      </c>
      <c r="I111" s="0" t="s">
        <v>1035</v>
      </c>
      <c r="J111" s="0" t="n">
        <v>-11</v>
      </c>
      <c r="K111" s="0" t="n">
        <v>110</v>
      </c>
      <c r="L111" s="0" t="str">
        <f aca="false">C111</f>
        <v>Dalton Kincaid</v>
      </c>
      <c r="M111" s="121" t="n">
        <f aca="false">IFERROR(VLOOKUP(E111,RISK!A:B,2,FALSE()),"")</f>
        <v>1.9341</v>
      </c>
      <c r="N111" s="120" t="n">
        <f aca="false">VLOOKUP(E111,Q:R,2,FALSE())</f>
        <v>119.116021176471</v>
      </c>
      <c r="Q111" s="53" t="s">
        <v>366</v>
      </c>
      <c r="R111" s="120" t="n">
        <f aca="false">Aggregate!BL65</f>
        <v>60.5795258823529</v>
      </c>
    </row>
    <row r="112" customFormat="false" ht="14.25" hidden="false" customHeight="true" outlineLevel="0" collapsed="false">
      <c r="A112" s="0" t="n">
        <v>111</v>
      </c>
      <c r="B112" s="0" t="n">
        <v>6</v>
      </c>
      <c r="C112" s="0" t="s">
        <v>635</v>
      </c>
      <c r="D112" s="0" t="s">
        <v>514</v>
      </c>
      <c r="E112" s="0" t="s">
        <v>285</v>
      </c>
      <c r="F112" s="0" t="n">
        <v>10</v>
      </c>
      <c r="G112" s="0" t="s">
        <v>1036</v>
      </c>
      <c r="H112" s="0" t="s">
        <v>1037</v>
      </c>
      <c r="I112" s="0" t="s">
        <v>1031</v>
      </c>
      <c r="J112" s="0" t="n">
        <v>-14</v>
      </c>
      <c r="K112" s="0" t="n">
        <v>111</v>
      </c>
      <c r="L112" s="0" t="str">
        <f aca="false">C112</f>
        <v>Kyle Monangai</v>
      </c>
      <c r="M112" s="121" t="n">
        <f aca="false">IFERROR(VLOOKUP(E112,RISK!A:B,2,FALSE()),"")</f>
        <v>3.3418</v>
      </c>
      <c r="N112" s="120" t="n">
        <f aca="false">VLOOKUP(E112,Q:R,2,FALSE())</f>
        <v>112.890752</v>
      </c>
      <c r="Q112" s="53" t="s">
        <v>369</v>
      </c>
      <c r="R112" s="120" t="n">
        <f aca="false">Aggregate!BL66</f>
        <v>60.5511552941177</v>
      </c>
    </row>
    <row r="113" customFormat="false" ht="14.25" hidden="false" customHeight="true" outlineLevel="0" collapsed="false">
      <c r="A113" s="0" t="n">
        <v>112</v>
      </c>
      <c r="B113" s="0" t="n">
        <v>6</v>
      </c>
      <c r="C113" s="0" t="s">
        <v>779</v>
      </c>
      <c r="D113" s="0" t="s">
        <v>500</v>
      </c>
      <c r="E113" s="0" t="s">
        <v>314</v>
      </c>
      <c r="F113" s="0" t="n">
        <v>10</v>
      </c>
      <c r="G113" s="0" t="s">
        <v>1036</v>
      </c>
      <c r="H113" s="0" t="s">
        <v>1033</v>
      </c>
      <c r="I113" s="0" t="s">
        <v>1032</v>
      </c>
      <c r="J113" s="0" t="n">
        <v>-2</v>
      </c>
      <c r="K113" s="0" t="n">
        <v>112</v>
      </c>
      <c r="L113" s="0" t="str">
        <f aca="false">C113</f>
        <v>Makai Lemon</v>
      </c>
      <c r="M113" s="121" t="n">
        <f aca="false">IFERROR(VLOOKUP(E113,RISK!A:B,2,FALSE()),"")</f>
        <v>3.84810126582278</v>
      </c>
      <c r="N113" s="120" t="n">
        <f aca="false">VLOOKUP(E113,Q:R,2,FALSE())</f>
        <v>110.151020104244</v>
      </c>
      <c r="Q113" s="53" t="s">
        <v>372</v>
      </c>
      <c r="R113" s="120" t="n">
        <f aca="false">Aggregate!BL67</f>
        <v>59.6950950588235</v>
      </c>
    </row>
    <row r="114" customFormat="false" ht="14.25" hidden="false" customHeight="true" outlineLevel="0" collapsed="false">
      <c r="A114" s="0" t="n">
        <v>113</v>
      </c>
      <c r="B114" s="0" t="n">
        <v>6</v>
      </c>
      <c r="C114" s="0" t="s">
        <v>636</v>
      </c>
      <c r="D114" s="0" t="s">
        <v>496</v>
      </c>
      <c r="E114" s="0" t="s">
        <v>289</v>
      </c>
      <c r="F114" s="0" t="n">
        <v>7</v>
      </c>
      <c r="G114" s="0" t="s">
        <v>1036</v>
      </c>
      <c r="H114" s="0" t="s">
        <v>1033</v>
      </c>
      <c r="I114" s="0" t="s">
        <v>1032</v>
      </c>
      <c r="J114" s="0" t="n">
        <v>6</v>
      </c>
      <c r="K114" s="0" t="n">
        <v>113</v>
      </c>
      <c r="L114" s="0" t="str">
        <f aca="false">C114</f>
        <v>Rachaad White</v>
      </c>
      <c r="M114" s="121" t="n">
        <f aca="false">IFERROR(VLOOKUP(E114,RISK!A:B,2,FALSE()),"")</f>
        <v>3.386</v>
      </c>
      <c r="N114" s="120" t="n">
        <f aca="false">VLOOKUP(E114,Q:R,2,FALSE())</f>
        <v>112.344448</v>
      </c>
      <c r="Q114" s="53" t="s">
        <v>375</v>
      </c>
      <c r="R114" s="120" t="n">
        <f aca="false">Aggregate!BL68</f>
        <v>57.7582352941176</v>
      </c>
    </row>
    <row r="115" customFormat="false" ht="14.25" hidden="false" customHeight="true" outlineLevel="0" collapsed="false">
      <c r="A115" s="0" t="n">
        <v>114</v>
      </c>
      <c r="B115" s="0" t="n">
        <v>6</v>
      </c>
      <c r="C115" s="0" t="s">
        <v>762</v>
      </c>
      <c r="D115" s="0" t="s">
        <v>506</v>
      </c>
      <c r="E115" s="0" t="s">
        <v>318</v>
      </c>
      <c r="F115" s="0" t="n">
        <v>7</v>
      </c>
      <c r="G115" s="0" t="s">
        <v>1033</v>
      </c>
      <c r="H115" s="0" t="s">
        <v>1037</v>
      </c>
      <c r="I115" s="0" t="s">
        <v>1032</v>
      </c>
      <c r="J115" s="0" t="n">
        <v>20</v>
      </c>
      <c r="K115" s="0" t="n">
        <v>114</v>
      </c>
      <c r="L115" s="0" t="str">
        <f aca="false">C115</f>
        <v>Jakobi Meyers</v>
      </c>
      <c r="M115" s="121" t="n">
        <f aca="false">IFERROR(VLOOKUP(E115,RISK!A:B,2,FALSE()),"")</f>
        <v>3.84810126582278</v>
      </c>
      <c r="N115" s="120" t="n">
        <f aca="false">VLOOKUP(E115,Q:R,2,FALSE())</f>
        <v>109.578525688757</v>
      </c>
      <c r="Q115" s="53" t="s">
        <v>378</v>
      </c>
      <c r="R115" s="120" t="n">
        <f aca="false">Aggregate!BL69</f>
        <v>54.9211764705882</v>
      </c>
    </row>
    <row r="116" customFormat="false" ht="14.25" hidden="false" customHeight="true" outlineLevel="0" collapsed="false">
      <c r="A116" s="0" t="n">
        <v>115</v>
      </c>
      <c r="B116" s="0" t="n">
        <v>6</v>
      </c>
      <c r="C116" s="0" t="s">
        <v>911</v>
      </c>
      <c r="D116" s="0" t="s">
        <v>504</v>
      </c>
      <c r="E116" s="0" t="s">
        <v>179</v>
      </c>
      <c r="F116" s="0" t="n">
        <v>8</v>
      </c>
      <c r="G116" s="0" t="s">
        <v>1036</v>
      </c>
      <c r="H116" s="0" t="s">
        <v>1037</v>
      </c>
      <c r="I116" s="0" t="s">
        <v>1035</v>
      </c>
      <c r="J116" s="0" t="n">
        <v>-15</v>
      </c>
      <c r="K116" s="0" t="n">
        <v>115</v>
      </c>
      <c r="L116" s="0" t="str">
        <f aca="false">C116</f>
        <v>Isaiah Likely</v>
      </c>
      <c r="M116" s="121" t="n">
        <f aca="false">IFERROR(VLOOKUP(E116,RISK!A:B,2,FALSE()),"")</f>
        <v>1.9756</v>
      </c>
      <c r="N116" s="120" t="n">
        <f aca="false">VLOOKUP(E116,Q:R,2,FALSE())</f>
        <v>110.860845176471</v>
      </c>
      <c r="Q116" s="53" t="s">
        <v>381</v>
      </c>
      <c r="R116" s="120" t="n">
        <f aca="false">Aggregate!BL70</f>
        <v>53.9576470588235</v>
      </c>
    </row>
    <row r="117" customFormat="false" ht="14.25" hidden="false" customHeight="true" outlineLevel="0" collapsed="false">
      <c r="A117" s="0" t="n">
        <v>116</v>
      </c>
      <c r="B117" s="0" t="n">
        <v>6</v>
      </c>
      <c r="C117" s="0" t="s">
        <v>772</v>
      </c>
      <c r="D117" s="0" t="s">
        <v>554</v>
      </c>
      <c r="E117" s="0" t="s">
        <v>322</v>
      </c>
      <c r="F117" s="0" t="n">
        <v>11</v>
      </c>
      <c r="G117" s="0" t="s">
        <v>1036</v>
      </c>
      <c r="H117" s="0" t="s">
        <v>1037</v>
      </c>
      <c r="I117" s="0" t="s">
        <v>1035</v>
      </c>
      <c r="J117" s="0" t="n">
        <v>5</v>
      </c>
      <c r="K117" s="0" t="n">
        <v>116</v>
      </c>
      <c r="L117" s="0" t="str">
        <f aca="false">C117</f>
        <v>KC Concepcion</v>
      </c>
      <c r="M117" s="121" t="n">
        <f aca="false">IFERROR(VLOOKUP(E117,RISK!A:B,2,FALSE()),"")</f>
        <v>3.84810126582278</v>
      </c>
      <c r="N117" s="120" t="n">
        <f aca="false">VLOOKUP(E117,Q:R,2,FALSE())</f>
        <v>107.853306031273</v>
      </c>
      <c r="Q117" s="53" t="s">
        <v>384</v>
      </c>
      <c r="R117" s="120" t="n">
        <f aca="false">Aggregate!BL71</f>
        <v>52.7264705882353</v>
      </c>
    </row>
    <row r="118" customFormat="false" ht="14.25" hidden="false" customHeight="true" outlineLevel="0" collapsed="false">
      <c r="A118" s="0" t="n">
        <v>117</v>
      </c>
      <c r="B118" s="0" t="n">
        <v>6</v>
      </c>
      <c r="C118" s="0" t="s">
        <v>907</v>
      </c>
      <c r="D118" s="0" t="s">
        <v>500</v>
      </c>
      <c r="E118" s="0" t="s">
        <v>183</v>
      </c>
      <c r="F118" s="0" t="n">
        <v>10</v>
      </c>
      <c r="G118" s="0" t="s">
        <v>1036</v>
      </c>
      <c r="H118" s="0" t="s">
        <v>1037</v>
      </c>
      <c r="I118" s="0" t="s">
        <v>1032</v>
      </c>
      <c r="J118" s="0" t="n">
        <v>3</v>
      </c>
      <c r="K118" s="0" t="n">
        <v>117</v>
      </c>
      <c r="L118" s="0" t="str">
        <f aca="false">C118</f>
        <v>Dallas Goedert</v>
      </c>
      <c r="M118" s="121" t="n">
        <f aca="false">IFERROR(VLOOKUP(E118,RISK!A:B,2,FALSE()),"")</f>
        <v>2.0295</v>
      </c>
      <c r="N118" s="120" t="n">
        <f aca="false">VLOOKUP(E118,Q:R,2,FALSE())</f>
        <v>110.289531529412</v>
      </c>
      <c r="Q118" s="53" t="s">
        <v>387</v>
      </c>
      <c r="R118" s="120" t="n">
        <f aca="false">Aggregate!BL72</f>
        <v>52.5582352941177</v>
      </c>
    </row>
    <row r="119" customFormat="false" ht="14.25" hidden="false" customHeight="true" outlineLevel="0" collapsed="false">
      <c r="A119" s="0" t="n">
        <v>118</v>
      </c>
      <c r="B119" s="0" t="n">
        <v>6</v>
      </c>
      <c r="C119" s="0" t="s">
        <v>767</v>
      </c>
      <c r="D119" s="0" t="s">
        <v>508</v>
      </c>
      <c r="E119" s="0" t="s">
        <v>325</v>
      </c>
      <c r="F119" s="0" t="n">
        <v>8</v>
      </c>
      <c r="G119" s="0" t="s">
        <v>1036</v>
      </c>
      <c r="H119" s="0" t="s">
        <v>1036</v>
      </c>
      <c r="I119" s="0" t="s">
        <v>1031</v>
      </c>
      <c r="J119" s="0" t="n">
        <v>-12</v>
      </c>
      <c r="K119" s="0" t="n">
        <v>118</v>
      </c>
      <c r="L119" s="0" t="str">
        <f aca="false">C119</f>
        <v>De'Zhaun Stribling</v>
      </c>
      <c r="M119" s="121" t="n">
        <f aca="false">IFERROR(VLOOKUP(E119,RISK!A:B,2,FALSE()),"")</f>
        <v>3.84810126582278</v>
      </c>
      <c r="N119" s="120" t="n">
        <f aca="false">VLOOKUP(E119,Q:R,2,FALSE())</f>
        <v>107.768205510052</v>
      </c>
      <c r="Q119" s="53" t="s">
        <v>390</v>
      </c>
      <c r="R119" s="120" t="n">
        <f aca="false">Aggregate!BL73</f>
        <v>48.6582352941177</v>
      </c>
    </row>
    <row r="120" customFormat="false" ht="14.25" hidden="false" customHeight="true" outlineLevel="0" collapsed="false">
      <c r="A120" s="0" t="n">
        <v>119</v>
      </c>
      <c r="B120" s="0" t="n">
        <v>6</v>
      </c>
      <c r="C120" s="0" t="s">
        <v>521</v>
      </c>
      <c r="D120" s="0" t="s">
        <v>522</v>
      </c>
      <c r="E120" s="0" t="s">
        <v>196</v>
      </c>
      <c r="F120" s="0" t="n">
        <v>6</v>
      </c>
      <c r="G120" s="0" t="s">
        <v>1036</v>
      </c>
      <c r="H120" s="0" t="s">
        <v>1037</v>
      </c>
      <c r="I120" s="0" t="s">
        <v>1030</v>
      </c>
      <c r="J120" s="0" t="n">
        <v>10</v>
      </c>
      <c r="K120" s="0" t="n">
        <v>119</v>
      </c>
      <c r="L120" s="0" t="str">
        <f aca="false">C120</f>
        <v>Kyler Murray</v>
      </c>
      <c r="M120" s="121" t="n">
        <f aca="false">IFERROR(VLOOKUP(E120,RISK!A:B,2,FALSE()),"")</f>
        <v>2.4124</v>
      </c>
      <c r="N120" s="120" t="n">
        <f aca="false">VLOOKUP(E120,Q:R,2,FALSE())</f>
        <v>250.078689411765</v>
      </c>
      <c r="Q120" s="53" t="s">
        <v>393</v>
      </c>
      <c r="R120" s="120" t="n">
        <f aca="false">Aggregate!BL74</f>
        <v>40.8888235294118</v>
      </c>
    </row>
    <row r="121" customFormat="false" ht="14.25" hidden="false" customHeight="true" outlineLevel="0" collapsed="false">
      <c r="A121" s="0" t="n">
        <v>120</v>
      </c>
      <c r="B121" s="0" t="n">
        <v>6</v>
      </c>
      <c r="C121" s="0" t="s">
        <v>637</v>
      </c>
      <c r="D121" s="0" t="s">
        <v>522</v>
      </c>
      <c r="E121" s="0" t="s">
        <v>293</v>
      </c>
      <c r="F121" s="0" t="n">
        <v>6</v>
      </c>
      <c r="G121" s="0" t="s">
        <v>1029</v>
      </c>
      <c r="H121" s="0" t="s">
        <v>1036</v>
      </c>
      <c r="I121" s="0" t="s">
        <v>1032</v>
      </c>
      <c r="J121" s="0" t="n">
        <v>5</v>
      </c>
      <c r="K121" s="0" t="n">
        <v>120</v>
      </c>
      <c r="L121" s="0" t="str">
        <f aca="false">C121</f>
        <v>Aaron Jones Sr.</v>
      </c>
      <c r="M121" s="121" t="n">
        <f aca="false">IFERROR(VLOOKUP(E121,RISK!A:B,2,FALSE()),"")</f>
        <v>3.4314</v>
      </c>
      <c r="N121" s="120" t="n">
        <f aca="false">VLOOKUP(E121,Q:R,2,FALSE())</f>
        <v>110.242529411765</v>
      </c>
      <c r="Q121" s="53" t="s">
        <v>396</v>
      </c>
      <c r="R121" s="120" t="n">
        <f aca="false">Aggregate!BL75</f>
        <v>40.4988235294118</v>
      </c>
    </row>
    <row r="122" customFormat="false" ht="14.25" hidden="false" customHeight="true" outlineLevel="0" collapsed="false">
      <c r="A122" s="0" t="n">
        <v>121</v>
      </c>
      <c r="B122" s="0" t="n">
        <v>6</v>
      </c>
      <c r="C122" s="0" t="s">
        <v>529</v>
      </c>
      <c r="D122" s="0" t="s">
        <v>530</v>
      </c>
      <c r="E122" s="0" t="s">
        <v>200</v>
      </c>
      <c r="F122" s="0" t="n">
        <v>11</v>
      </c>
      <c r="G122" s="0" t="s">
        <v>1036</v>
      </c>
      <c r="H122" s="0" t="s">
        <v>1037</v>
      </c>
      <c r="I122" s="0" t="s">
        <v>1032</v>
      </c>
      <c r="J122" s="0" t="n">
        <v>16</v>
      </c>
      <c r="K122" s="0" t="n">
        <v>121</v>
      </c>
      <c r="L122" s="0" t="str">
        <f aca="false">C122</f>
        <v>Jordan Love</v>
      </c>
      <c r="M122" s="121" t="n">
        <f aca="false">IFERROR(VLOOKUP(E122,RISK!A:B,2,FALSE()),"")</f>
        <v>2.5192</v>
      </c>
      <c r="N122" s="120" t="n">
        <f aca="false">VLOOKUP(E122,Q:R,2,FALSE())</f>
        <v>238.935349176471</v>
      </c>
      <c r="Q122" s="53" t="s">
        <v>399</v>
      </c>
      <c r="R122" s="120" t="n">
        <f aca="false">Aggregate!BL76</f>
        <v>36.9123529411765</v>
      </c>
    </row>
    <row r="123" customFormat="false" ht="14.25" hidden="false" customHeight="true" outlineLevel="0" collapsed="false">
      <c r="A123" s="0" t="n">
        <v>122</v>
      </c>
      <c r="B123" s="0" t="n">
        <v>6</v>
      </c>
      <c r="C123" s="0" t="s">
        <v>527</v>
      </c>
      <c r="D123" s="0" t="s">
        <v>528</v>
      </c>
      <c r="E123" s="0" t="s">
        <v>204</v>
      </c>
      <c r="F123" s="0" t="n">
        <v>10</v>
      </c>
      <c r="G123" s="0" t="s">
        <v>1037</v>
      </c>
      <c r="H123" s="0" t="s">
        <v>1036</v>
      </c>
      <c r="I123" s="0" t="s">
        <v>1031</v>
      </c>
      <c r="J123" s="0" t="n">
        <v>16</v>
      </c>
      <c r="K123" s="0" t="n">
        <v>122</v>
      </c>
      <c r="L123" s="0" t="str">
        <f aca="false">C123</f>
        <v>Baker Mayfield</v>
      </c>
      <c r="M123" s="121" t="n">
        <f aca="false">IFERROR(VLOOKUP(E123,RISK!A:B,2,FALSE()),"")</f>
        <v>2.6364</v>
      </c>
      <c r="N123" s="120" t="n">
        <f aca="false">VLOOKUP(E123,Q:R,2,FALSE())</f>
        <v>238.400273458824</v>
      </c>
      <c r="Q123" s="53" t="s">
        <v>402</v>
      </c>
      <c r="R123" s="120" t="n">
        <f aca="false">Aggregate!BL77</f>
        <v>35.9870588235294</v>
      </c>
    </row>
    <row r="124" customFormat="false" ht="14.25" hidden="false" customHeight="true" outlineLevel="0" collapsed="false">
      <c r="A124" s="0" t="n">
        <v>123</v>
      </c>
      <c r="B124" s="0" t="n">
        <v>6</v>
      </c>
      <c r="C124" s="0" t="s">
        <v>768</v>
      </c>
      <c r="D124" s="0" t="s">
        <v>530</v>
      </c>
      <c r="E124" s="0" t="s">
        <v>328</v>
      </c>
      <c r="F124" s="0" t="n">
        <v>11</v>
      </c>
      <c r="G124" s="0" t="s">
        <v>1037</v>
      </c>
      <c r="H124" s="0" t="s">
        <v>1036</v>
      </c>
      <c r="I124" s="0" t="s">
        <v>1030</v>
      </c>
      <c r="J124" s="0" t="n">
        <v>7</v>
      </c>
      <c r="K124" s="0" t="n">
        <v>123</v>
      </c>
      <c r="L124" s="0" t="str">
        <f aca="false">C124</f>
        <v>Matthew Golden</v>
      </c>
      <c r="M124" s="121" t="n">
        <f aca="false">IFERROR(VLOOKUP(E124,RISK!A:B,2,FALSE()),"")</f>
        <v>3.84810126582278</v>
      </c>
      <c r="N124" s="120" t="n">
        <f aca="false">VLOOKUP(E124,Q:R,2,FALSE())</f>
        <v>106.313760238273</v>
      </c>
      <c r="Q124" s="53" t="s">
        <v>405</v>
      </c>
      <c r="R124" s="120" t="n">
        <f aca="false">Aggregate!BL78</f>
        <v>30.9705882352941</v>
      </c>
    </row>
    <row r="125" customFormat="false" ht="14.25" hidden="false" customHeight="true" outlineLevel="0" collapsed="false">
      <c r="A125" s="0" t="n">
        <v>124</v>
      </c>
      <c r="B125" s="0" t="n">
        <v>6</v>
      </c>
      <c r="C125" s="0" t="s">
        <v>648</v>
      </c>
      <c r="D125" s="0" t="s">
        <v>506</v>
      </c>
      <c r="E125" s="0" t="s">
        <v>297</v>
      </c>
      <c r="F125" s="0" t="n">
        <v>7</v>
      </c>
      <c r="G125" s="0" t="s">
        <v>1037</v>
      </c>
      <c r="H125" s="0" t="s">
        <v>1036</v>
      </c>
      <c r="I125" s="0" t="s">
        <v>1032</v>
      </c>
      <c r="J125" s="0" t="n">
        <v>16</v>
      </c>
      <c r="K125" s="0" t="n">
        <v>124</v>
      </c>
      <c r="L125" s="0" t="str">
        <f aca="false">C125</f>
        <v>Chris Rodriguez Jr.</v>
      </c>
      <c r="M125" s="121" t="n">
        <f aca="false">IFERROR(VLOOKUP(E125,RISK!A:B,2,FALSE()),"")</f>
        <v>3.478</v>
      </c>
      <c r="N125" s="120" t="n">
        <f aca="false">VLOOKUP(E125,Q:R,2,FALSE())</f>
        <v>104.462863855294</v>
      </c>
      <c r="Q125" s="53" t="s">
        <v>408</v>
      </c>
      <c r="R125" s="120" t="n">
        <f aca="false">Aggregate!BL79</f>
        <v>29.4641176470588</v>
      </c>
    </row>
    <row r="126" customFormat="false" ht="14.25" hidden="false" customHeight="true" outlineLevel="0" collapsed="false">
      <c r="A126" s="0" t="n">
        <v>125</v>
      </c>
      <c r="B126" s="0" t="n">
        <v>6</v>
      </c>
      <c r="C126" s="0" t="s">
        <v>913</v>
      </c>
      <c r="D126" s="0" t="s">
        <v>510</v>
      </c>
      <c r="E126" s="0" t="s">
        <v>187</v>
      </c>
      <c r="F126" s="0" t="n">
        <v>14</v>
      </c>
      <c r="G126" s="0" t="s">
        <v>1033</v>
      </c>
      <c r="H126" s="0" t="s">
        <v>1036</v>
      </c>
      <c r="I126" s="0" t="s">
        <v>1031</v>
      </c>
      <c r="J126" s="0" t="n">
        <v>-7</v>
      </c>
      <c r="K126" s="0" t="n">
        <v>125</v>
      </c>
      <c r="L126" s="0" t="str">
        <f aca="false">C126</f>
        <v>Jake Ferguson</v>
      </c>
      <c r="M126" s="121" t="n">
        <f aca="false">IFERROR(VLOOKUP(E126,RISK!A:B,2,FALSE()),"")</f>
        <v>2.0958</v>
      </c>
      <c r="N126" s="120" t="n">
        <f aca="false">VLOOKUP(E126,Q:R,2,FALSE())</f>
        <v>108.911436294118</v>
      </c>
      <c r="Q126" s="53" t="s">
        <v>411</v>
      </c>
      <c r="R126" s="120" t="n">
        <f aca="false">Aggregate!BL80</f>
        <v>26.8794117647059</v>
      </c>
    </row>
    <row r="127" customFormat="false" ht="14.25" hidden="false" customHeight="true" outlineLevel="0" collapsed="false">
      <c r="A127" s="0" t="n">
        <v>126</v>
      </c>
      <c r="B127" s="0" t="n">
        <v>6</v>
      </c>
      <c r="C127" s="0" t="s">
        <v>769</v>
      </c>
      <c r="D127" s="0" t="s">
        <v>498</v>
      </c>
      <c r="E127" s="0" t="s">
        <v>331</v>
      </c>
      <c r="F127" s="0" t="n">
        <v>11</v>
      </c>
      <c r="G127" s="0" t="s">
        <v>1036</v>
      </c>
      <c r="H127" s="0" t="s">
        <v>1037</v>
      </c>
      <c r="I127" s="0" t="s">
        <v>1031</v>
      </c>
      <c r="J127" s="0" t="n">
        <v>21</v>
      </c>
      <c r="K127" s="0" t="n">
        <v>126</v>
      </c>
      <c r="L127" s="0" t="str">
        <f aca="false">C127</f>
        <v>Romeo Doubs</v>
      </c>
      <c r="M127" s="121" t="n">
        <f aca="false">IFERROR(VLOOKUP(E127,RISK!A:B,2,FALSE()),"")</f>
        <v>3.84810126582278</v>
      </c>
      <c r="N127" s="120" t="n">
        <f aca="false">VLOOKUP(E127,Q:R,2,FALSE())</f>
        <v>105.802538198064</v>
      </c>
      <c r="Q127" s="53" t="s">
        <v>414</v>
      </c>
      <c r="R127" s="120" t="n">
        <f aca="false">Aggregate!BL81</f>
        <v>24.7229411764706</v>
      </c>
    </row>
    <row r="128" customFormat="false" ht="14.25" hidden="false" customHeight="true" outlineLevel="0" collapsed="false">
      <c r="A128" s="0" t="n">
        <v>127</v>
      </c>
      <c r="B128" s="0" t="n">
        <v>6</v>
      </c>
      <c r="C128" s="0" t="s">
        <v>915</v>
      </c>
      <c r="D128" s="0" t="s">
        <v>526</v>
      </c>
      <c r="E128" s="0" t="s">
        <v>191</v>
      </c>
      <c r="F128" s="0" t="n">
        <v>8</v>
      </c>
      <c r="G128" s="0" t="s">
        <v>1036</v>
      </c>
      <c r="H128" s="0" t="s">
        <v>1033</v>
      </c>
      <c r="I128" s="0" t="s">
        <v>1031</v>
      </c>
      <c r="J128" s="0" t="n">
        <v>4</v>
      </c>
      <c r="K128" s="0" t="n">
        <v>127</v>
      </c>
      <c r="L128" s="0" t="str">
        <f aca="false">C128</f>
        <v>Juwan Johnson</v>
      </c>
      <c r="M128" s="121" t="n">
        <f aca="false">IFERROR(VLOOKUP(E128,RISK!A:B,2,FALSE()),"")</f>
        <v>2.1745</v>
      </c>
      <c r="N128" s="120" t="n">
        <f aca="false">VLOOKUP(E128,Q:R,2,FALSE())</f>
        <v>106.457098352941</v>
      </c>
      <c r="Q128" s="53" t="s">
        <v>417</v>
      </c>
      <c r="R128" s="120" t="n">
        <f aca="false">Aggregate!BL82</f>
        <v>23.8052941176471</v>
      </c>
    </row>
    <row r="129" customFormat="false" ht="14.25" hidden="false" customHeight="true" outlineLevel="0" collapsed="false">
      <c r="A129" s="0" t="n">
        <v>128</v>
      </c>
      <c r="B129" s="0" t="n">
        <v>6</v>
      </c>
      <c r="C129" s="0" t="s">
        <v>910</v>
      </c>
      <c r="D129" s="0" t="s">
        <v>494</v>
      </c>
      <c r="E129" s="0" t="s">
        <v>195</v>
      </c>
      <c r="F129" s="0" t="n">
        <v>13</v>
      </c>
      <c r="G129" s="0" t="s">
        <v>1036</v>
      </c>
      <c r="H129" s="0" t="s">
        <v>1036</v>
      </c>
      <c r="I129" s="0" t="s">
        <v>1032</v>
      </c>
      <c r="J129" s="0" t="n">
        <v>-6</v>
      </c>
      <c r="K129" s="0" t="n">
        <v>128</v>
      </c>
      <c r="L129" s="0" t="str">
        <f aca="false">C129</f>
        <v>Mark Andrews</v>
      </c>
      <c r="M129" s="121" t="n">
        <f aca="false">IFERROR(VLOOKUP(E129,RISK!A:B,2,FALSE()),"")</f>
        <v>2.2656</v>
      </c>
      <c r="N129" s="120" t="n">
        <f aca="false">VLOOKUP(E129,Q:R,2,FALSE())</f>
        <v>100.483787529412</v>
      </c>
      <c r="Q129" s="53" t="s">
        <v>420</v>
      </c>
      <c r="R129" s="120" t="n">
        <f aca="false">Aggregate!BL83</f>
        <v>22.88</v>
      </c>
    </row>
    <row r="130" customFormat="false" ht="14.25" hidden="false" customHeight="true" outlineLevel="0" collapsed="false">
      <c r="A130" s="0" t="n">
        <v>129</v>
      </c>
      <c r="B130" s="0" t="n">
        <v>6</v>
      </c>
      <c r="C130" s="0" t="s">
        <v>765</v>
      </c>
      <c r="D130" s="0" t="s">
        <v>512</v>
      </c>
      <c r="E130" s="0" t="s">
        <v>334</v>
      </c>
      <c r="F130" s="0" t="n">
        <v>5</v>
      </c>
      <c r="G130" s="0" t="s">
        <v>1036</v>
      </c>
      <c r="H130" s="0" t="s">
        <v>1036</v>
      </c>
      <c r="I130" s="0" t="s">
        <v>1031</v>
      </c>
      <c r="J130" s="0" t="n">
        <v>12</v>
      </c>
      <c r="K130" s="0" t="n">
        <v>129</v>
      </c>
      <c r="L130" s="0" t="str">
        <f aca="false">C130</f>
        <v>Xavier Worthy</v>
      </c>
      <c r="M130" s="121" t="n">
        <f aca="false">IFERROR(VLOOKUP(E130,RISK!A:B,2,FALSE()),"")</f>
        <v>3.84810126582278</v>
      </c>
      <c r="N130" s="120" t="n">
        <f aca="false">VLOOKUP(E130,Q:R,2,FALSE())</f>
        <v>104.874787788533</v>
      </c>
      <c r="Q130" s="53" t="s">
        <v>423</v>
      </c>
      <c r="R130" s="120" t="n">
        <f aca="false">Aggregate!BL84</f>
        <v>19.1941176470588</v>
      </c>
    </row>
    <row r="131" customFormat="false" ht="14.25" hidden="false" customHeight="true" outlineLevel="0" collapsed="false">
      <c r="A131" s="0" t="n">
        <v>130</v>
      </c>
      <c r="B131" s="0" t="n">
        <v>6</v>
      </c>
      <c r="C131" s="0" t="s">
        <v>654</v>
      </c>
      <c r="D131" s="0" t="s">
        <v>546</v>
      </c>
      <c r="E131" s="0" t="s">
        <v>301</v>
      </c>
      <c r="F131" s="0" t="n">
        <v>14</v>
      </c>
      <c r="G131" s="0" t="s">
        <v>1037</v>
      </c>
      <c r="H131" s="0" t="s">
        <v>1036</v>
      </c>
      <c r="I131" s="0" t="s">
        <v>1031</v>
      </c>
      <c r="J131" s="0" t="n">
        <v>6</v>
      </c>
      <c r="K131" s="0" t="n">
        <v>130</v>
      </c>
      <c r="L131" s="0" t="str">
        <f aca="false">C131</f>
        <v>Tyler Allgeier</v>
      </c>
      <c r="M131" s="121" t="n">
        <f aca="false">IFERROR(VLOOKUP(E131,RISK!A:B,2,FALSE()),"")</f>
        <v>3.5258</v>
      </c>
      <c r="N131" s="120" t="n">
        <f aca="false">VLOOKUP(E131,Q:R,2,FALSE())</f>
        <v>97.3137635294117</v>
      </c>
      <c r="Q131" s="53" t="s">
        <v>426</v>
      </c>
      <c r="R131" s="120" t="n">
        <f aca="false">Aggregate!BL85</f>
        <v>18.0470588235294</v>
      </c>
    </row>
    <row r="132" customFormat="false" ht="14.25" hidden="false" customHeight="true" outlineLevel="0" collapsed="false">
      <c r="A132" s="0" t="n">
        <v>131</v>
      </c>
      <c r="B132" s="0" t="n">
        <v>6</v>
      </c>
      <c r="C132" s="0" t="s">
        <v>525</v>
      </c>
      <c r="D132" s="0" t="s">
        <v>526</v>
      </c>
      <c r="E132" s="0" t="s">
        <v>208</v>
      </c>
      <c r="F132" s="0" t="n">
        <v>8</v>
      </c>
      <c r="G132" s="0" t="s">
        <v>1036</v>
      </c>
      <c r="H132" s="0" t="s">
        <v>1033</v>
      </c>
      <c r="I132" s="0" t="s">
        <v>1035</v>
      </c>
      <c r="J132" s="0" t="n">
        <v>37</v>
      </c>
      <c r="K132" s="0" t="n">
        <v>131</v>
      </c>
      <c r="L132" s="0" t="str">
        <f aca="false">C132</f>
        <v>Tyler Shough</v>
      </c>
      <c r="M132" s="121" t="n">
        <f aca="false">IFERROR(VLOOKUP(E132,RISK!A:B,2,FALSE()),"")</f>
        <v>2.764</v>
      </c>
      <c r="N132" s="120" t="n">
        <f aca="false">VLOOKUP(E132,Q:R,2,FALSE())</f>
        <v>234.680955670588</v>
      </c>
      <c r="Q132" s="53" t="s">
        <v>429</v>
      </c>
      <c r="R132" s="120" t="n">
        <f aca="false">Aggregate!BL86</f>
        <v>17.3741176470588</v>
      </c>
    </row>
    <row r="133" customFormat="false" ht="14.25" hidden="false" customHeight="true" outlineLevel="0" collapsed="false">
      <c r="A133" s="0" t="n">
        <v>132</v>
      </c>
      <c r="B133" s="0" t="n">
        <v>6</v>
      </c>
      <c r="C133" s="0" t="s">
        <v>644</v>
      </c>
      <c r="D133" s="0" t="s">
        <v>538</v>
      </c>
      <c r="E133" s="0" t="s">
        <v>305</v>
      </c>
      <c r="F133" s="0" t="n">
        <v>8</v>
      </c>
      <c r="G133" s="0" t="s">
        <v>1037</v>
      </c>
      <c r="H133" s="0" t="s">
        <v>1036</v>
      </c>
      <c r="I133" s="0" t="s">
        <v>1032</v>
      </c>
      <c r="J133" s="0" t="n">
        <v>7</v>
      </c>
      <c r="K133" s="0" t="n">
        <v>132</v>
      </c>
      <c r="L133" s="0" t="str">
        <f aca="false">C133</f>
        <v>Woody Marks</v>
      </c>
      <c r="M133" s="121" t="n">
        <f aca="false">IFERROR(VLOOKUP(E133,RISK!A:B,2,FALSE()),"")</f>
        <v>3.5748</v>
      </c>
      <c r="N133" s="120" t="n">
        <f aca="false">VLOOKUP(E133,Q:R,2,FALSE())</f>
        <v>96.9188235294118</v>
      </c>
      <c r="Q133" s="53" t="s">
        <v>432</v>
      </c>
      <c r="R133" s="120" t="n">
        <f aca="false">Aggregate!BL87</f>
        <v>16.9</v>
      </c>
    </row>
    <row r="134" customFormat="false" ht="14.25" hidden="false" customHeight="true" outlineLevel="0" collapsed="false">
      <c r="A134" s="0" t="n">
        <v>133</v>
      </c>
      <c r="B134" s="0" t="n">
        <v>6</v>
      </c>
      <c r="C134" s="0" t="s">
        <v>776</v>
      </c>
      <c r="D134" s="0" t="s">
        <v>540</v>
      </c>
      <c r="E134" s="0" t="s">
        <v>337</v>
      </c>
      <c r="F134" s="0" t="n">
        <v>5</v>
      </c>
      <c r="G134" s="0" t="s">
        <v>1036</v>
      </c>
      <c r="H134" s="0" t="s">
        <v>1037</v>
      </c>
      <c r="I134" s="0" t="s">
        <v>1031</v>
      </c>
      <c r="J134" s="0" t="n">
        <v>21</v>
      </c>
      <c r="K134" s="0" t="n">
        <v>133</v>
      </c>
      <c r="L134" s="0" t="str">
        <f aca="false">C134</f>
        <v>Jalen Coker</v>
      </c>
      <c r="M134" s="121" t="n">
        <f aca="false">IFERROR(VLOOKUP(E134,RISK!A:B,2,FALSE()),"")</f>
        <v>3.84810126582278</v>
      </c>
      <c r="N134" s="120" t="n">
        <f aca="false">VLOOKUP(E134,Q:R,2,FALSE())</f>
        <v>104.387393894267</v>
      </c>
      <c r="Q134" s="53" t="s">
        <v>435</v>
      </c>
      <c r="R134" s="120" t="n">
        <f aca="false">Aggregate!BL88</f>
        <v>16.7776470588235</v>
      </c>
    </row>
    <row r="135" customFormat="false" ht="14.25" hidden="false" customHeight="true" outlineLevel="0" collapsed="false">
      <c r="A135" s="0" t="n">
        <v>134</v>
      </c>
      <c r="B135" s="0" t="n">
        <v>6</v>
      </c>
      <c r="C135" s="0" t="s">
        <v>774</v>
      </c>
      <c r="D135" s="0" t="s">
        <v>490</v>
      </c>
      <c r="E135" s="0" t="s">
        <v>340</v>
      </c>
      <c r="F135" s="0" t="n">
        <v>7</v>
      </c>
      <c r="G135" s="0" t="s">
        <v>1033</v>
      </c>
      <c r="H135" s="0" t="s">
        <v>1036</v>
      </c>
      <c r="I135" s="0" t="s">
        <v>1032</v>
      </c>
      <c r="J135" s="0" t="n">
        <v>25</v>
      </c>
      <c r="K135" s="0" t="n">
        <v>134</v>
      </c>
      <c r="L135" s="0" t="str">
        <f aca="false">C135</f>
        <v>Khalil Shakir</v>
      </c>
      <c r="M135" s="121" t="n">
        <f aca="false">IFERROR(VLOOKUP(E135,RISK!A:B,2,FALSE()),"")</f>
        <v>3.84810126582278</v>
      </c>
      <c r="N135" s="120" t="n">
        <f aca="false">VLOOKUP(E135,Q:R,2,FALSE())</f>
        <v>104.240402084885</v>
      </c>
      <c r="Q135" s="53" t="s">
        <v>438</v>
      </c>
      <c r="R135" s="120" t="n">
        <f aca="false">Aggregate!BL89</f>
        <v>13.7723529411765</v>
      </c>
    </row>
    <row r="136" customFormat="false" ht="14.25" hidden="false" customHeight="true" outlineLevel="0" collapsed="false">
      <c r="A136" s="0" t="n">
        <v>135</v>
      </c>
      <c r="B136" s="0" t="n">
        <v>6</v>
      </c>
      <c r="C136" s="0" t="s">
        <v>533</v>
      </c>
      <c r="D136" s="0" t="s">
        <v>534</v>
      </c>
      <c r="E136" s="0" t="s">
        <v>212</v>
      </c>
      <c r="F136" s="0" t="n">
        <v>6</v>
      </c>
      <c r="G136" s="0" t="s">
        <v>1036</v>
      </c>
      <c r="H136" s="0" t="s">
        <v>1036</v>
      </c>
      <c r="I136" s="0" t="s">
        <v>1035</v>
      </c>
      <c r="J136" s="0" t="n">
        <v>18</v>
      </c>
      <c r="K136" s="0" t="n">
        <v>135</v>
      </c>
      <c r="L136" s="0" t="str">
        <f aca="false">C136</f>
        <v>Malik Willis</v>
      </c>
      <c r="M136" s="121" t="n">
        <f aca="false">IFERROR(VLOOKUP(E136,RISK!A:B,2,FALSE()),"")</f>
        <v>2.902</v>
      </c>
      <c r="N136" s="120" t="n">
        <f aca="false">VLOOKUP(E136,Q:R,2,FALSE())</f>
        <v>225.174914588235</v>
      </c>
      <c r="Q136" s="53" t="s">
        <v>441</v>
      </c>
      <c r="R136" s="120" t="n">
        <f aca="false">Aggregate!BL90</f>
        <v>13.2982352941176</v>
      </c>
    </row>
    <row r="137" customFormat="false" ht="14.25" hidden="false" customHeight="true" outlineLevel="0" collapsed="false">
      <c r="A137" s="0" t="n">
        <v>136</v>
      </c>
      <c r="B137" s="0" t="n">
        <v>6</v>
      </c>
      <c r="C137" s="0" t="s">
        <v>771</v>
      </c>
      <c r="D137" s="0" t="s">
        <v>508</v>
      </c>
      <c r="E137" s="0" t="s">
        <v>343</v>
      </c>
      <c r="F137" s="0" t="n">
        <v>8</v>
      </c>
      <c r="G137" s="0" t="s">
        <v>1036</v>
      </c>
      <c r="H137" s="0" t="s">
        <v>1037</v>
      </c>
      <c r="I137" s="0" t="s">
        <v>1031</v>
      </c>
      <c r="J137" s="0" t="n">
        <v>6</v>
      </c>
      <c r="K137" s="0" t="n">
        <v>136</v>
      </c>
      <c r="L137" s="0" t="str">
        <f aca="false">C137</f>
        <v>Deebo Samuel Sr.</v>
      </c>
      <c r="M137" s="121" t="n">
        <f aca="false">IFERROR(VLOOKUP(E137,RISK!A:B,2,FALSE()),"")</f>
        <v>3.84810126582278</v>
      </c>
      <c r="N137" s="120" t="n">
        <f aca="false">VLOOKUP(E137,Q:R,2,FALSE())</f>
        <v>102.244408041698</v>
      </c>
      <c r="Q137" s="53" t="s">
        <v>444</v>
      </c>
      <c r="R137" s="120" t="n">
        <f aca="false">Aggregate!BL91</f>
        <v>8.64117647058824</v>
      </c>
    </row>
    <row r="138" customFormat="false" ht="14.25" hidden="false" customHeight="true" outlineLevel="0" collapsed="false">
      <c r="A138" s="0" t="n">
        <v>137</v>
      </c>
      <c r="B138" s="0" t="n">
        <v>7</v>
      </c>
      <c r="C138" s="0" t="s">
        <v>670</v>
      </c>
      <c r="D138" s="0" t="s">
        <v>518</v>
      </c>
      <c r="E138" s="0" t="s">
        <v>309</v>
      </c>
      <c r="F138" s="0" t="n">
        <v>10</v>
      </c>
      <c r="G138" s="0" t="s">
        <v>1036</v>
      </c>
      <c r="H138" s="0" t="s">
        <v>1036</v>
      </c>
      <c r="I138" s="0" t="s">
        <v>1031</v>
      </c>
      <c r="J138" s="0" t="n">
        <v>7</v>
      </c>
      <c r="K138" s="0" t="n">
        <v>137</v>
      </c>
      <c r="L138" s="0" t="str">
        <f aca="false">C138</f>
        <v>Jonah Coleman</v>
      </c>
      <c r="M138" s="121" t="n">
        <f aca="false">IFERROR(VLOOKUP(E138,RISK!A:B,2,FALSE()),"")</f>
        <v>3.625</v>
      </c>
      <c r="N138" s="120" t="n">
        <f aca="false">VLOOKUP(E138,Q:R,2,FALSE())</f>
        <v>90.2948209411765</v>
      </c>
      <c r="Q138" s="53" t="s">
        <v>447</v>
      </c>
      <c r="R138" s="120" t="n">
        <f aca="false">Aggregate!BL92</f>
        <v>7.83823529411765</v>
      </c>
    </row>
    <row r="139" customFormat="false" ht="14.25" hidden="false" customHeight="true" outlineLevel="0" collapsed="false">
      <c r="A139" s="0" t="n">
        <v>138</v>
      </c>
      <c r="B139" s="0" t="n">
        <v>7</v>
      </c>
      <c r="C139" s="0" t="s">
        <v>643</v>
      </c>
      <c r="D139" s="0" t="s">
        <v>544</v>
      </c>
      <c r="E139" s="0" t="s">
        <v>313</v>
      </c>
      <c r="F139" s="0" t="n">
        <v>9</v>
      </c>
      <c r="G139" s="0" t="s">
        <v>1036</v>
      </c>
      <c r="H139" s="0" t="s">
        <v>1036</v>
      </c>
      <c r="I139" s="0" t="s">
        <v>1035</v>
      </c>
      <c r="J139" s="0" t="n">
        <v>20</v>
      </c>
      <c r="K139" s="0" t="n">
        <v>138</v>
      </c>
      <c r="L139" s="0" t="str">
        <f aca="false">C139</f>
        <v>Tyjae Spears</v>
      </c>
      <c r="M139" s="121" t="n">
        <f aca="false">IFERROR(VLOOKUP(E139,RISK!A:B,2,FALSE()),"")</f>
        <v>3.6764</v>
      </c>
      <c r="N139" s="120" t="n">
        <f aca="false">VLOOKUP(E139,Q:R,2,FALSE())</f>
        <v>89.94884</v>
      </c>
      <c r="Q139" s="53" t="s">
        <v>450</v>
      </c>
      <c r="R139" s="120" t="n">
        <f aca="false">Aggregate!BL93</f>
        <v>6.92058823529412</v>
      </c>
    </row>
    <row r="140" customFormat="false" ht="14.25" hidden="false" customHeight="true" outlineLevel="0" collapsed="false">
      <c r="A140" s="0" t="n">
        <v>139</v>
      </c>
      <c r="B140" s="0" t="n">
        <v>7</v>
      </c>
      <c r="C140" s="0" t="s">
        <v>793</v>
      </c>
      <c r="D140" s="0" t="s">
        <v>526</v>
      </c>
      <c r="E140" s="0" t="s">
        <v>346</v>
      </c>
      <c r="F140" s="0" t="n">
        <v>8</v>
      </c>
      <c r="G140" s="0" t="s">
        <v>1037</v>
      </c>
      <c r="H140" s="0" t="s">
        <v>1028</v>
      </c>
      <c r="I140" s="0" t="s">
        <v>1035</v>
      </c>
      <c r="J140" s="0" t="n">
        <v>-22</v>
      </c>
      <c r="K140" s="0" t="n">
        <v>139</v>
      </c>
      <c r="L140" s="0" t="str">
        <f aca="false">C140</f>
        <v>Jordyn Tyson</v>
      </c>
      <c r="M140" s="121" t="n">
        <f aca="false">IFERROR(VLOOKUP(E140,RISK!A:B,2,FALSE()),"")</f>
        <v>3.84810126582278</v>
      </c>
      <c r="N140" s="120" t="n">
        <f aca="false">VLOOKUP(E140,Q:R,2,FALSE())</f>
        <v>100.403142218913</v>
      </c>
      <c r="Q140" s="53" t="s">
        <v>453</v>
      </c>
      <c r="R140" s="120" t="n">
        <f aca="false">Aggregate!BL94</f>
        <v>5.69705882352941</v>
      </c>
    </row>
    <row r="141" customFormat="false" ht="14.25" hidden="false" customHeight="true" outlineLevel="0" collapsed="false">
      <c r="A141" s="0" t="n">
        <v>140</v>
      </c>
      <c r="B141" s="0" t="n">
        <v>7</v>
      </c>
      <c r="C141" s="0" t="s">
        <v>773</v>
      </c>
      <c r="D141" s="0" t="s">
        <v>536</v>
      </c>
      <c r="E141" s="0" t="s">
        <v>349</v>
      </c>
      <c r="F141" s="0" t="n">
        <v>11</v>
      </c>
      <c r="G141" s="0" t="s">
        <v>1037</v>
      </c>
      <c r="H141" s="0" t="s">
        <v>1036</v>
      </c>
      <c r="I141" s="0" t="s">
        <v>1035</v>
      </c>
      <c r="J141" s="0" t="n">
        <v>3</v>
      </c>
      <c r="K141" s="0" t="n">
        <v>140</v>
      </c>
      <c r="L141" s="0" t="str">
        <f aca="false">C141</f>
        <v>Rashid Shaheed</v>
      </c>
      <c r="M141" s="121" t="n">
        <f aca="false">IFERROR(VLOOKUP(E141,RISK!A:B,2,FALSE()),"")</f>
        <v>3.84810126582278</v>
      </c>
      <c r="N141" s="120" t="n">
        <f aca="false">VLOOKUP(E141,Q:R,2,FALSE())</f>
        <v>99.7610201042442</v>
      </c>
      <c r="Q141" s="53" t="s">
        <v>456</v>
      </c>
      <c r="R141" s="120" t="n">
        <f aca="false">Aggregate!BL95</f>
        <v>0</v>
      </c>
    </row>
    <row r="142" customFormat="false" ht="14.25" hidden="false" customHeight="true" outlineLevel="0" collapsed="false">
      <c r="A142" s="0" t="n">
        <v>141</v>
      </c>
      <c r="B142" s="0" t="n">
        <v>7</v>
      </c>
      <c r="C142" s="0" t="s">
        <v>535</v>
      </c>
      <c r="D142" s="0" t="s">
        <v>536</v>
      </c>
      <c r="E142" s="0" t="s">
        <v>216</v>
      </c>
      <c r="F142" s="0" t="n">
        <v>11</v>
      </c>
      <c r="G142" s="0" t="s">
        <v>1033</v>
      </c>
      <c r="H142" s="0" t="s">
        <v>1036</v>
      </c>
      <c r="I142" s="0" t="s">
        <v>1032</v>
      </c>
      <c r="J142" s="0" t="n">
        <v>7</v>
      </c>
      <c r="K142" s="0" t="n">
        <v>141</v>
      </c>
      <c r="L142" s="0" t="str">
        <f aca="false">C142</f>
        <v>Sam Darnold</v>
      </c>
      <c r="M142" s="121" t="n">
        <f aca="false">IFERROR(VLOOKUP(E142,RISK!A:B,2,FALSE()),"")</f>
        <v>3.0504</v>
      </c>
      <c r="N142" s="120" t="n">
        <f aca="false">VLOOKUP(E142,Q:R,2,FALSE())</f>
        <v>221.554941176471</v>
      </c>
      <c r="Q142" s="53" t="s">
        <v>459</v>
      </c>
      <c r="R142" s="120" t="n">
        <f aca="false">Aggregate!BL96</f>
        <v>0</v>
      </c>
    </row>
    <row r="143" customFormat="false" ht="14.25" hidden="false" customHeight="true" outlineLevel="0" collapsed="false">
      <c r="A143" s="0" t="n">
        <v>142</v>
      </c>
      <c r="B143" s="0" t="n">
        <v>7</v>
      </c>
      <c r="C143" s="0" t="s">
        <v>649</v>
      </c>
      <c r="D143" s="0" t="s">
        <v>550</v>
      </c>
      <c r="E143" s="0" t="s">
        <v>317</v>
      </c>
      <c r="F143" s="0" t="n">
        <v>13</v>
      </c>
      <c r="G143" s="0" t="s">
        <v>1036</v>
      </c>
      <c r="H143" s="0" t="s">
        <v>1036</v>
      </c>
      <c r="I143" s="0" t="s">
        <v>1031</v>
      </c>
      <c r="J143" s="0" t="n">
        <v>-15</v>
      </c>
      <c r="K143" s="0" t="n">
        <v>142</v>
      </c>
      <c r="L143" s="0" t="str">
        <f aca="false">C143</f>
        <v>Mike Washington Jr.</v>
      </c>
      <c r="M143" s="121" t="n">
        <f aca="false">IFERROR(VLOOKUP(E143,RISK!A:B,2,FALSE()),"")</f>
        <v>3.729</v>
      </c>
      <c r="N143" s="120" t="n">
        <f aca="false">VLOOKUP(E143,Q:R,2,FALSE())</f>
        <v>83.316726</v>
      </c>
      <c r="Q143" s="53" t="s">
        <v>462</v>
      </c>
      <c r="R143" s="120" t="n">
        <f aca="false">Aggregate!BL97</f>
        <v>0</v>
      </c>
    </row>
    <row r="144" customFormat="false" ht="14.25" hidden="false" customHeight="true" outlineLevel="0" collapsed="false">
      <c r="A144" s="0" t="n">
        <v>143</v>
      </c>
      <c r="B144" s="0" t="n">
        <v>7</v>
      </c>
      <c r="C144" s="0" t="s">
        <v>659</v>
      </c>
      <c r="D144" s="0" t="s">
        <v>516</v>
      </c>
      <c r="E144" s="0" t="s">
        <v>321</v>
      </c>
      <c r="F144" s="0" t="n">
        <v>7</v>
      </c>
      <c r="G144" s="0" t="s">
        <v>1036</v>
      </c>
      <c r="H144" s="0" t="s">
        <v>1036</v>
      </c>
      <c r="I144" s="0" t="s">
        <v>1035</v>
      </c>
      <c r="J144" s="0" t="n">
        <v>19</v>
      </c>
      <c r="K144" s="0" t="n">
        <v>143</v>
      </c>
      <c r="L144" s="0" t="str">
        <f aca="false">C144</f>
        <v>Keaton Mitchell</v>
      </c>
      <c r="M144" s="121" t="n">
        <f aca="false">IFERROR(VLOOKUP(E144,RISK!A:B,2,FALSE()),"")</f>
        <v>3.7828</v>
      </c>
      <c r="N144" s="120" t="n">
        <f aca="false">VLOOKUP(E144,Q:R,2,FALSE())</f>
        <v>77.3885210294118</v>
      </c>
      <c r="Q144" s="53" t="s">
        <v>465</v>
      </c>
      <c r="R144" s="120" t="n">
        <f aca="false">Aggregate!BL98</f>
        <v>0</v>
      </c>
    </row>
    <row r="145" customFormat="false" ht="14.25" hidden="false" customHeight="true" outlineLevel="0" collapsed="false">
      <c r="A145" s="0" t="n">
        <v>144</v>
      </c>
      <c r="B145" s="0" t="n">
        <v>7</v>
      </c>
      <c r="C145" s="0" t="s">
        <v>645</v>
      </c>
      <c r="D145" s="0" t="s">
        <v>536</v>
      </c>
      <c r="E145" s="0" t="s">
        <v>324</v>
      </c>
      <c r="F145" s="0" t="n">
        <v>11</v>
      </c>
      <c r="G145" s="0" t="s">
        <v>1037</v>
      </c>
      <c r="H145" s="0" t="s">
        <v>1036</v>
      </c>
      <c r="I145" s="0" t="s">
        <v>1032</v>
      </c>
      <c r="J145" s="0" t="n">
        <v>5</v>
      </c>
      <c r="K145" s="0" t="n">
        <v>144</v>
      </c>
      <c r="L145" s="0" t="str">
        <f aca="false">C145</f>
        <v>Zach Charbonnet</v>
      </c>
      <c r="M145" s="121" t="n">
        <f aca="false">IFERROR(VLOOKUP(E145,RISK!A:B,2,FALSE()),"")</f>
        <v>3.8378</v>
      </c>
      <c r="N145" s="120" t="n">
        <f aca="false">VLOOKUP(E145,Q:R,2,FALSE())</f>
        <v>75.3235294117647</v>
      </c>
      <c r="Q145" s="53" t="s">
        <v>468</v>
      </c>
      <c r="R145" s="120" t="n">
        <f aca="false">Aggregate!BL99</f>
        <v>0</v>
      </c>
    </row>
    <row r="146" customFormat="false" ht="14.25" hidden="false" customHeight="true" outlineLevel="0" collapsed="false">
      <c r="A146" s="0" t="n">
        <v>145</v>
      </c>
      <c r="B146" s="0" t="n">
        <v>7</v>
      </c>
      <c r="C146" s="0" t="s">
        <v>658</v>
      </c>
      <c r="D146" s="0" t="s">
        <v>500</v>
      </c>
      <c r="E146" s="0" t="s">
        <v>327</v>
      </c>
      <c r="F146" s="0" t="n">
        <v>10</v>
      </c>
      <c r="G146" s="0" t="s">
        <v>1036</v>
      </c>
      <c r="H146" s="0" t="s">
        <v>1037</v>
      </c>
      <c r="I146" s="0" t="s">
        <v>1032</v>
      </c>
      <c r="J146" s="0" t="n">
        <v>11</v>
      </c>
      <c r="K146" s="0" t="n">
        <v>145</v>
      </c>
      <c r="L146" s="0" t="str">
        <f aca="false">C146</f>
        <v>Tank Bigsby</v>
      </c>
      <c r="M146" s="121" t="n">
        <f aca="false">IFERROR(VLOOKUP(E146,RISK!A:B,2,FALSE()),"")</f>
        <v>3.894</v>
      </c>
      <c r="N146" s="120" t="n">
        <f aca="false">VLOOKUP(E146,Q:R,2,FALSE())</f>
        <v>74.1403305882353</v>
      </c>
      <c r="Q146" s="53" t="s">
        <v>471</v>
      </c>
      <c r="R146" s="120" t="n">
        <f aca="false">Aggregate!BL100</f>
        <v>0</v>
      </c>
    </row>
    <row r="147" customFormat="false" ht="14.25" hidden="false" customHeight="true" outlineLevel="0" collapsed="false">
      <c r="A147" s="0" t="n">
        <v>146</v>
      </c>
      <c r="B147" s="0" t="n">
        <v>7</v>
      </c>
      <c r="C147" s="0" t="s">
        <v>650</v>
      </c>
      <c r="D147" s="0" t="s">
        <v>554</v>
      </c>
      <c r="E147" s="0" t="s">
        <v>330</v>
      </c>
      <c r="F147" s="0" t="n">
        <v>11</v>
      </c>
      <c r="G147" s="0" t="s">
        <v>1036</v>
      </c>
      <c r="H147" s="0" t="s">
        <v>1033</v>
      </c>
      <c r="I147" s="0" t="s">
        <v>1035</v>
      </c>
      <c r="J147" s="0" t="n">
        <v>60</v>
      </c>
      <c r="K147" s="0" t="n">
        <v>146</v>
      </c>
      <c r="L147" s="0" t="str">
        <f aca="false">C147</f>
        <v>Dylan Sampson</v>
      </c>
      <c r="M147" s="121" t="n">
        <f aca="false">IFERROR(VLOOKUP(E147,RISK!A:B,2,FALSE()),"")</f>
        <v>3.9514</v>
      </c>
      <c r="N147" s="120" t="n">
        <f aca="false">VLOOKUP(E147,Q:R,2,FALSE())</f>
        <v>72.02</v>
      </c>
      <c r="Q147" s="53" t="s">
        <v>474</v>
      </c>
      <c r="R147" s="120" t="n">
        <f aca="false">Aggregate!BL101</f>
        <v>0</v>
      </c>
    </row>
    <row r="148" customFormat="false" ht="14.25" hidden="false" customHeight="true" outlineLevel="0" collapsed="false">
      <c r="A148" s="0" t="n">
        <v>147</v>
      </c>
      <c r="B148" s="0" t="n">
        <v>7</v>
      </c>
      <c r="C148" s="0" t="s">
        <v>914</v>
      </c>
      <c r="D148" s="0" t="s">
        <v>498</v>
      </c>
      <c r="E148" s="0" t="s">
        <v>199</v>
      </c>
      <c r="F148" s="0" t="n">
        <v>11</v>
      </c>
      <c r="G148" s="0" t="s">
        <v>1033</v>
      </c>
      <c r="H148" s="0" t="s">
        <v>1036</v>
      </c>
      <c r="I148" s="0" t="s">
        <v>1032</v>
      </c>
      <c r="J148" s="0" t="n">
        <v>4</v>
      </c>
      <c r="K148" s="0" t="n">
        <v>147</v>
      </c>
      <c r="L148" s="0" t="str">
        <f aca="false">C148</f>
        <v>Hunter Henry</v>
      </c>
      <c r="M148" s="121" t="n">
        <f aca="false">IFERROR(VLOOKUP(E148,RISK!A:B,2,FALSE()),"")</f>
        <v>2.3691</v>
      </c>
      <c r="N148" s="120" t="n">
        <f aca="false">VLOOKUP(E148,Q:R,2,FALSE())</f>
        <v>100.381262647059</v>
      </c>
      <c r="Q148" s="53" t="s">
        <v>477</v>
      </c>
      <c r="R148" s="120" t="n">
        <f aca="false">Aggregate!BL102</f>
        <v>0</v>
      </c>
    </row>
    <row r="149" customFormat="false" ht="14.25" hidden="false" customHeight="true" outlineLevel="0" collapsed="false">
      <c r="A149" s="0" t="n">
        <v>148</v>
      </c>
      <c r="B149" s="0" t="n">
        <v>7</v>
      </c>
      <c r="C149" s="0" t="s">
        <v>780</v>
      </c>
      <c r="D149" s="0" t="s">
        <v>554</v>
      </c>
      <c r="E149" s="0" t="s">
        <v>352</v>
      </c>
      <c r="F149" s="0" t="n">
        <v>11</v>
      </c>
      <c r="G149" s="0" t="s">
        <v>1036</v>
      </c>
      <c r="H149" s="0" t="s">
        <v>1036</v>
      </c>
      <c r="I149" s="0" t="s">
        <v>1035</v>
      </c>
      <c r="J149" s="0" t="n">
        <v>35</v>
      </c>
      <c r="K149" s="0" t="n">
        <v>148</v>
      </c>
      <c r="L149" s="0" t="str">
        <f aca="false">C149</f>
        <v>Denzel Boston</v>
      </c>
      <c r="M149" s="121" t="n">
        <f aca="false">IFERROR(VLOOKUP(E149,RISK!A:B,2,FALSE()),"")</f>
        <v>3.84810126582278</v>
      </c>
      <c r="N149" s="120" t="n">
        <f aca="false">VLOOKUP(E149,Q:R,2,FALSE())</f>
        <v>98.3529932985853</v>
      </c>
      <c r="Q149" s="53" t="s">
        <v>134</v>
      </c>
      <c r="R149" s="120" t="n">
        <f aca="false">Aggregate!BQ3</f>
        <v>249.350763529412</v>
      </c>
    </row>
    <row r="150" customFormat="false" ht="14.25" hidden="false" customHeight="true" outlineLevel="0" collapsed="false">
      <c r="A150" s="0" t="n">
        <v>149</v>
      </c>
      <c r="B150" s="0" t="n">
        <v>7</v>
      </c>
      <c r="C150" s="0" t="s">
        <v>537</v>
      </c>
      <c r="D150" s="0" t="s">
        <v>538</v>
      </c>
      <c r="E150" s="0" t="s">
        <v>220</v>
      </c>
      <c r="F150" s="0" t="n">
        <v>8</v>
      </c>
      <c r="G150" s="0" t="s">
        <v>1037</v>
      </c>
      <c r="H150" s="0" t="s">
        <v>1036</v>
      </c>
      <c r="I150" s="0" t="s">
        <v>1032</v>
      </c>
      <c r="J150" s="0" t="n">
        <v>16</v>
      </c>
      <c r="K150" s="0" t="n">
        <v>149</v>
      </c>
      <c r="L150" s="0" t="str">
        <f aca="false">C150</f>
        <v>C.J. Stroud</v>
      </c>
      <c r="M150" s="121" t="n">
        <f aca="false">IFERROR(VLOOKUP(E150,RISK!A:B,2,FALSE()),"")</f>
        <v>3.2</v>
      </c>
      <c r="N150" s="120" t="n">
        <f aca="false">VLOOKUP(E150,Q:R,2,FALSE())</f>
        <v>218.147127058824</v>
      </c>
      <c r="Q150" s="53" t="s">
        <v>138</v>
      </c>
      <c r="R150" s="120" t="n">
        <f aca="false">Aggregate!BQ4</f>
        <v>245.443388882353</v>
      </c>
    </row>
    <row r="151" customFormat="false" ht="14.25" hidden="false" customHeight="true" outlineLevel="0" collapsed="false">
      <c r="A151" s="0" t="n">
        <v>150</v>
      </c>
      <c r="B151" s="0" t="n">
        <v>7</v>
      </c>
      <c r="C151" s="0" t="s">
        <v>781</v>
      </c>
      <c r="D151" s="0" t="s">
        <v>550</v>
      </c>
      <c r="E151" s="0" t="s">
        <v>355</v>
      </c>
      <c r="F151" s="0" t="n">
        <v>13</v>
      </c>
      <c r="G151" s="0" t="s">
        <v>1036</v>
      </c>
      <c r="H151" s="0" t="s">
        <v>1033</v>
      </c>
      <c r="I151" s="0" t="s">
        <v>1031</v>
      </c>
      <c r="J151" s="0" t="n">
        <v>17</v>
      </c>
      <c r="K151" s="0" t="n">
        <v>150</v>
      </c>
      <c r="L151" s="0" t="str">
        <f aca="false">C151</f>
        <v>Tre Tucker</v>
      </c>
      <c r="M151" s="121" t="n">
        <f aca="false">IFERROR(VLOOKUP(E151,RISK!A:B,2,FALSE()),"")</f>
        <v>3.84810126582278</v>
      </c>
      <c r="N151" s="120" t="n">
        <f aca="false">VLOOKUP(E151,Q:R,2,FALSE())</f>
        <v>97.664452717796</v>
      </c>
      <c r="Q151" s="53" t="s">
        <v>142</v>
      </c>
      <c r="R151" s="120" t="n">
        <f aca="false">Aggregate!BQ5</f>
        <v>239.223649411765</v>
      </c>
    </row>
    <row r="152" customFormat="false" ht="14.25" hidden="false" customHeight="true" outlineLevel="0" collapsed="false">
      <c r="A152" s="0" t="n">
        <v>151</v>
      </c>
      <c r="B152" s="0" t="n">
        <v>7</v>
      </c>
      <c r="C152" s="0" t="s">
        <v>916</v>
      </c>
      <c r="D152" s="0" t="s">
        <v>506</v>
      </c>
      <c r="E152" s="0" t="s">
        <v>203</v>
      </c>
      <c r="F152" s="0" t="n">
        <v>7</v>
      </c>
      <c r="G152" s="0" t="s">
        <v>1036</v>
      </c>
      <c r="H152" s="0" t="s">
        <v>1037</v>
      </c>
      <c r="I152" s="0" t="s">
        <v>1035</v>
      </c>
      <c r="J152" s="0" t="n">
        <v>23</v>
      </c>
      <c r="K152" s="0" t="n">
        <v>151</v>
      </c>
      <c r="L152" s="0" t="str">
        <f aca="false">C152</f>
        <v>Brenton Strange</v>
      </c>
      <c r="M152" s="121" t="n">
        <f aca="false">IFERROR(VLOOKUP(E152,RISK!A:B,2,FALSE()),"")</f>
        <v>2.485</v>
      </c>
      <c r="N152" s="120" t="n">
        <f aca="false">VLOOKUP(E152,Q:R,2,FALSE())</f>
        <v>96.61635</v>
      </c>
      <c r="Q152" s="53" t="s">
        <v>146</v>
      </c>
      <c r="R152" s="120" t="n">
        <f aca="false">Aggregate!BQ6</f>
        <v>230.047944</v>
      </c>
    </row>
    <row r="153" customFormat="false" ht="14.25" hidden="false" customHeight="true" outlineLevel="0" collapsed="false">
      <c r="A153" s="0" t="n">
        <v>152</v>
      </c>
      <c r="B153" s="0" t="n">
        <v>7</v>
      </c>
      <c r="C153" s="0" t="s">
        <v>925</v>
      </c>
      <c r="D153" s="0" t="s">
        <v>496</v>
      </c>
      <c r="E153" s="0" t="s">
        <v>207</v>
      </c>
      <c r="F153" s="0" t="n">
        <v>7</v>
      </c>
      <c r="G153" s="0" t="s">
        <v>1036</v>
      </c>
      <c r="H153" s="0" t="s">
        <v>1037</v>
      </c>
      <c r="I153" s="0" t="s">
        <v>1034</v>
      </c>
      <c r="J153" s="0" t="n">
        <v>17</v>
      </c>
      <c r="K153" s="0" t="n">
        <v>152</v>
      </c>
      <c r="L153" s="0" t="str">
        <f aca="false">C153</f>
        <v>Chig Okonkwo</v>
      </c>
      <c r="M153" s="121" t="n">
        <f aca="false">IFERROR(VLOOKUP(E153,RISK!A:B,2,FALSE()),"")</f>
        <v>2.6133</v>
      </c>
      <c r="N153" s="120" t="n">
        <f aca="false">VLOOKUP(E153,Q:R,2,FALSE())</f>
        <v>90.2442188235294</v>
      </c>
      <c r="Q153" s="53" t="s">
        <v>150</v>
      </c>
      <c r="R153" s="120" t="n">
        <f aca="false">Aggregate!BQ7</f>
        <v>196.15638</v>
      </c>
    </row>
    <row r="154" customFormat="false" ht="14.25" hidden="false" customHeight="true" outlineLevel="0" collapsed="false">
      <c r="A154" s="0" t="n">
        <v>153</v>
      </c>
      <c r="B154" s="0" t="n">
        <v>7</v>
      </c>
      <c r="C154" s="0" t="s">
        <v>531</v>
      </c>
      <c r="D154" s="0" t="s">
        <v>532</v>
      </c>
      <c r="E154" s="0" t="s">
        <v>224</v>
      </c>
      <c r="F154" s="0" t="n">
        <v>13</v>
      </c>
      <c r="G154" s="0" t="s">
        <v>1036</v>
      </c>
      <c r="H154" s="0" t="s">
        <v>1036</v>
      </c>
      <c r="I154" s="0" t="s">
        <v>1032</v>
      </c>
      <c r="J154" s="0" t="n">
        <v>26</v>
      </c>
      <c r="K154" s="0" t="n">
        <v>153</v>
      </c>
      <c r="L154" s="0" t="str">
        <f aca="false">C154</f>
        <v>Daniel Jones</v>
      </c>
      <c r="M154" s="121" t="n">
        <f aca="false">IFERROR(VLOOKUP(E154,RISK!A:B,2,FALSE()),"")</f>
        <v>3.2</v>
      </c>
      <c r="N154" s="120" t="n">
        <f aca="false">VLOOKUP(E154,Q:R,2,FALSE())</f>
        <v>211.453341176471</v>
      </c>
      <c r="Q154" s="53" t="s">
        <v>154</v>
      </c>
      <c r="R154" s="120" t="n">
        <f aca="false">Aggregate!BQ8</f>
        <v>194.981075058824</v>
      </c>
    </row>
    <row r="155" customFormat="false" ht="14.25" hidden="false" customHeight="true" outlineLevel="0" collapsed="false">
      <c r="A155" s="0" t="n">
        <v>154</v>
      </c>
      <c r="B155" s="0" t="n">
        <v>7</v>
      </c>
      <c r="C155" s="0" t="s">
        <v>917</v>
      </c>
      <c r="D155" s="0" t="s">
        <v>538</v>
      </c>
      <c r="E155" s="0" t="s">
        <v>211</v>
      </c>
      <c r="F155" s="0" t="n">
        <v>8</v>
      </c>
      <c r="G155" s="0" t="s">
        <v>1037</v>
      </c>
      <c r="H155" s="0" t="s">
        <v>1033</v>
      </c>
      <c r="I155" s="0" t="s">
        <v>1032</v>
      </c>
      <c r="J155" s="0" t="n">
        <v>28</v>
      </c>
      <c r="K155" s="0" t="n">
        <v>154</v>
      </c>
      <c r="L155" s="0" t="str">
        <f aca="false">C155</f>
        <v>Dalton Schultz</v>
      </c>
      <c r="M155" s="121" t="n">
        <f aca="false">IFERROR(VLOOKUP(E155,RISK!A:B,2,FALSE()),"")</f>
        <v>2.754</v>
      </c>
      <c r="N155" s="120" t="n">
        <f aca="false">VLOOKUP(E155,Q:R,2,FALSE())</f>
        <v>83.33</v>
      </c>
      <c r="Q155" s="53" t="s">
        <v>158</v>
      </c>
      <c r="R155" s="120" t="n">
        <f aca="false">Aggregate!BQ9</f>
        <v>192.584726470588</v>
      </c>
    </row>
    <row r="156" customFormat="false" ht="14.25" hidden="false" customHeight="true" outlineLevel="0" collapsed="false">
      <c r="A156" s="0" t="n">
        <v>155</v>
      </c>
      <c r="B156" s="0" t="n">
        <v>7</v>
      </c>
      <c r="C156" s="0" t="s">
        <v>792</v>
      </c>
      <c r="D156" s="0" t="s">
        <v>542</v>
      </c>
      <c r="E156" s="0" t="s">
        <v>358</v>
      </c>
      <c r="F156" s="0" t="n">
        <v>13</v>
      </c>
      <c r="G156" s="0" t="s">
        <v>1036</v>
      </c>
      <c r="H156" s="0" t="s">
        <v>1036</v>
      </c>
      <c r="I156" s="0" t="s">
        <v>1032</v>
      </c>
      <c r="J156" s="0" t="n">
        <v>77</v>
      </c>
      <c r="K156" s="0" t="n">
        <v>155</v>
      </c>
      <c r="L156" s="0" t="str">
        <f aca="false">C156</f>
        <v>Adonai Mitchell</v>
      </c>
      <c r="M156" s="121" t="n">
        <f aca="false">IFERROR(VLOOKUP(E156,RISK!A:B,2,FALSE()),"")</f>
        <v>3.84810126582278</v>
      </c>
      <c r="N156" s="120" t="n">
        <f aca="false">VLOOKUP(E156,Q:R,2,FALSE())</f>
        <v>96.4498361876396</v>
      </c>
      <c r="Q156" s="53" t="s">
        <v>162</v>
      </c>
      <c r="R156" s="120" t="n">
        <f aca="false">Aggregate!BQ10</f>
        <v>185.337053647059</v>
      </c>
    </row>
    <row r="157" customFormat="false" ht="14.25" hidden="false" customHeight="true" outlineLevel="0" collapsed="false">
      <c r="A157" s="0" t="n">
        <v>156</v>
      </c>
      <c r="B157" s="0" t="n">
        <v>7</v>
      </c>
      <c r="C157" s="0" t="s">
        <v>543</v>
      </c>
      <c r="D157" s="0" t="s">
        <v>544</v>
      </c>
      <c r="E157" s="0" t="s">
        <v>228</v>
      </c>
      <c r="F157" s="0" t="n">
        <v>9</v>
      </c>
      <c r="G157" s="0" t="s">
        <v>1036</v>
      </c>
      <c r="H157" s="0" t="s">
        <v>1036</v>
      </c>
      <c r="I157" s="0" t="s">
        <v>1035</v>
      </c>
      <c r="J157" s="0" t="n">
        <v>21</v>
      </c>
      <c r="K157" s="0" t="n">
        <v>156</v>
      </c>
      <c r="L157" s="0" t="str">
        <f aca="false">C157</f>
        <v>Cam Ward</v>
      </c>
      <c r="M157" s="121" t="n">
        <f aca="false">IFERROR(VLOOKUP(E157,RISK!A:B,2,FALSE()),"")</f>
        <v>3.2</v>
      </c>
      <c r="N157" s="120" t="n">
        <f aca="false">VLOOKUP(E157,Q:R,2,FALSE())</f>
        <v>207.508164705882</v>
      </c>
      <c r="Q157" s="53" t="s">
        <v>166</v>
      </c>
      <c r="R157" s="120" t="n">
        <f aca="false">Aggregate!BQ11</f>
        <v>185.097543941176</v>
      </c>
    </row>
    <row r="158" customFormat="false" ht="14.25" hidden="false" customHeight="true" outlineLevel="0" collapsed="false">
      <c r="A158" s="0" t="n">
        <v>157</v>
      </c>
      <c r="B158" s="0" t="n">
        <v>7</v>
      </c>
      <c r="C158" s="0" t="s">
        <v>652</v>
      </c>
      <c r="D158" s="0" t="s">
        <v>542</v>
      </c>
      <c r="E158" s="0" t="s">
        <v>333</v>
      </c>
      <c r="F158" s="0" t="n">
        <v>13</v>
      </c>
      <c r="G158" s="0" t="s">
        <v>1029</v>
      </c>
      <c r="H158" s="0" t="s">
        <v>1036</v>
      </c>
      <c r="I158" s="0" t="s">
        <v>1035</v>
      </c>
      <c r="J158" s="0" t="n">
        <v>14</v>
      </c>
      <c r="K158" s="0" t="n">
        <v>157</v>
      </c>
      <c r="L158" s="0" t="str">
        <f aca="false">C158</f>
        <v>Braelon Allen</v>
      </c>
      <c r="M158" s="121" t="n">
        <f aca="false">IFERROR(VLOOKUP(E158,RISK!A:B,2,FALSE()),"")</f>
        <v>4</v>
      </c>
      <c r="N158" s="120" t="n">
        <f aca="false">VLOOKUP(E158,Q:R,2,FALSE())</f>
        <v>70.9153031764706</v>
      </c>
      <c r="Q158" s="53" t="s">
        <v>170</v>
      </c>
      <c r="R158" s="120" t="n">
        <f aca="false">Aggregate!BQ12</f>
        <v>184.632294</v>
      </c>
    </row>
    <row r="159" customFormat="false" ht="14.25" hidden="false" customHeight="true" outlineLevel="0" collapsed="false">
      <c r="A159" s="0" t="n">
        <v>158</v>
      </c>
      <c r="B159" s="0" t="n">
        <v>7</v>
      </c>
      <c r="C159" s="0" t="s">
        <v>783</v>
      </c>
      <c r="D159" s="0" t="s">
        <v>538</v>
      </c>
      <c r="E159" s="0" t="s">
        <v>361</v>
      </c>
      <c r="F159" s="0" t="n">
        <v>8</v>
      </c>
      <c r="G159" s="0" t="s">
        <v>1037</v>
      </c>
      <c r="H159" s="0" t="s">
        <v>1036</v>
      </c>
      <c r="I159" s="0" t="s">
        <v>1035</v>
      </c>
      <c r="J159" s="0" t="n">
        <v>41</v>
      </c>
      <c r="K159" s="0" t="n">
        <v>158</v>
      </c>
      <c r="L159" s="0" t="str">
        <f aca="false">C159</f>
        <v>Kayshon Boutte</v>
      </c>
      <c r="M159" s="121" t="n">
        <f aca="false">IFERROR(VLOOKUP(E159,RISK!A:B,2,FALSE()),"")</f>
        <v>3.84810126582278</v>
      </c>
      <c r="N159" s="120" t="n">
        <f aca="false">VLOOKUP(E159,Q:R,2,FALSE())</f>
        <v>94.1329358153388</v>
      </c>
      <c r="Q159" s="53" t="s">
        <v>174</v>
      </c>
      <c r="R159" s="120" t="n">
        <f aca="false">Aggregate!BQ13</f>
        <v>180.894068235294</v>
      </c>
    </row>
    <row r="160" customFormat="false" ht="14.25" hidden="false" customHeight="true" outlineLevel="0" collapsed="false">
      <c r="A160" s="0" t="n">
        <v>159</v>
      </c>
      <c r="B160" s="0" t="n">
        <v>7</v>
      </c>
      <c r="C160" s="0" t="s">
        <v>647</v>
      </c>
      <c r="D160" s="0" t="s">
        <v>526</v>
      </c>
      <c r="E160" s="0" t="s">
        <v>336</v>
      </c>
      <c r="F160" s="0" t="n">
        <v>8</v>
      </c>
      <c r="G160" s="0" t="s">
        <v>1033</v>
      </c>
      <c r="H160" s="0" t="s">
        <v>1036</v>
      </c>
      <c r="I160" s="0" t="s">
        <v>1035</v>
      </c>
      <c r="J160" s="0" t="n">
        <v>-7</v>
      </c>
      <c r="K160" s="0" t="n">
        <v>159</v>
      </c>
      <c r="L160" s="0" t="str">
        <f aca="false">C160</f>
        <v>Alvin Kamara</v>
      </c>
      <c r="M160" s="121" t="n">
        <f aca="false">IFERROR(VLOOKUP(E160,RISK!A:B,2,FALSE()),"")</f>
        <v>4</v>
      </c>
      <c r="N160" s="120" t="n">
        <f aca="false">VLOOKUP(E160,Q:R,2,FALSE())</f>
        <v>70.3560305882353</v>
      </c>
      <c r="Q160" s="53" t="s">
        <v>178</v>
      </c>
      <c r="R160" s="120" t="n">
        <f aca="false">Aggregate!BQ14</f>
        <v>180.572979411765</v>
      </c>
    </row>
    <row r="161" customFormat="false" ht="14.25" hidden="false" customHeight="true" outlineLevel="0" collapsed="false">
      <c r="A161" s="0" t="n">
        <v>160</v>
      </c>
      <c r="B161" s="0" t="n">
        <v>7</v>
      </c>
      <c r="C161" s="0" t="s">
        <v>786</v>
      </c>
      <c r="D161" s="0" t="s">
        <v>528</v>
      </c>
      <c r="E161" s="0" t="s">
        <v>364</v>
      </c>
      <c r="F161" s="0" t="n">
        <v>10</v>
      </c>
      <c r="G161" s="0" t="s">
        <v>1036</v>
      </c>
      <c r="H161" s="0" t="s">
        <v>1037</v>
      </c>
      <c r="I161" s="0" t="s">
        <v>1032</v>
      </c>
      <c r="J161" s="0" t="n">
        <v>66</v>
      </c>
      <c r="K161" s="0" t="n">
        <v>160</v>
      </c>
      <c r="L161" s="0" t="str">
        <f aca="false">C161</f>
        <v>Jalen McMillan</v>
      </c>
      <c r="M161" s="121" t="n">
        <f aca="false">IFERROR(VLOOKUP(E161,RISK!A:B,2,FALSE()),"")</f>
        <v>3.84810126582278</v>
      </c>
      <c r="N161" s="120" t="n">
        <f aca="false">VLOOKUP(E161,Q:R,2,FALSE())</f>
        <v>93.4533694713329</v>
      </c>
      <c r="Q161" s="53" t="s">
        <v>182</v>
      </c>
      <c r="R161" s="120" t="n">
        <f aca="false">Aggregate!BQ15</f>
        <v>170.262280941176</v>
      </c>
    </row>
    <row r="162" customFormat="false" ht="14.25" hidden="false" customHeight="true" outlineLevel="0" collapsed="false">
      <c r="A162" s="0" t="n">
        <v>161</v>
      </c>
      <c r="B162" s="0" t="n">
        <v>7</v>
      </c>
      <c r="C162" s="0" t="s">
        <v>802</v>
      </c>
      <c r="D162" s="0" t="s">
        <v>500</v>
      </c>
      <c r="E162" s="0" t="s">
        <v>367</v>
      </c>
      <c r="F162" s="0" t="n">
        <v>10</v>
      </c>
      <c r="G162" s="0" t="s">
        <v>1036</v>
      </c>
      <c r="H162" s="0" t="s">
        <v>1036</v>
      </c>
      <c r="I162" s="0" t="s">
        <v>1032</v>
      </c>
      <c r="J162" s="0" t="n">
        <v>47</v>
      </c>
      <c r="K162" s="0" t="n">
        <v>161</v>
      </c>
      <c r="L162" s="0" t="str">
        <f aca="false">C162</f>
        <v>Dontayvion Wicks</v>
      </c>
      <c r="M162" s="121" t="n">
        <f aca="false">IFERROR(VLOOKUP(E162,RISK!A:B,2,FALSE()),"")</f>
        <v>3.84810126582278</v>
      </c>
      <c r="N162" s="120" t="n">
        <f aca="false">VLOOKUP(E162,Q:R,2,FALSE())</f>
        <v>93.1302969471333</v>
      </c>
      <c r="Q162" s="53" t="s">
        <v>186</v>
      </c>
      <c r="R162" s="120" t="n">
        <f aca="false">Aggregate!BQ16</f>
        <v>169.093665294118</v>
      </c>
    </row>
    <row r="163" customFormat="false" ht="14.25" hidden="false" customHeight="true" outlineLevel="0" collapsed="false">
      <c r="A163" s="0" t="n">
        <v>162</v>
      </c>
      <c r="B163" s="0" t="n">
        <v>7</v>
      </c>
      <c r="C163" s="0" t="s">
        <v>665</v>
      </c>
      <c r="D163" s="0" t="s">
        <v>504</v>
      </c>
      <c r="E163" s="0" t="s">
        <v>339</v>
      </c>
      <c r="F163" s="0" t="n">
        <v>8</v>
      </c>
      <c r="G163" s="0" t="s">
        <v>1029</v>
      </c>
      <c r="H163" s="0" t="s">
        <v>1036</v>
      </c>
      <c r="I163" s="0" t="s">
        <v>1032</v>
      </c>
      <c r="J163" s="0" t="n">
        <v>-7</v>
      </c>
      <c r="K163" s="0" t="n">
        <v>162</v>
      </c>
      <c r="L163" s="0" t="str">
        <f aca="false">C163</f>
        <v>Tyrone Tracy Jr.</v>
      </c>
      <c r="M163" s="121" t="n">
        <f aca="false">IFERROR(VLOOKUP(E163,RISK!A:B,2,FALSE()),"")</f>
        <v>4</v>
      </c>
      <c r="N163" s="120" t="n">
        <f aca="false">VLOOKUP(E163,Q:R,2,FALSE())</f>
        <v>69.9758647058824</v>
      </c>
      <c r="Q163" s="53" t="s">
        <v>190</v>
      </c>
      <c r="R163" s="120" t="n">
        <f aca="false">Aggregate!BQ17</f>
        <v>163.547825</v>
      </c>
    </row>
    <row r="164" customFormat="false" ht="14.25" hidden="false" customHeight="true" outlineLevel="0" collapsed="false">
      <c r="A164" s="0" t="n">
        <v>163</v>
      </c>
      <c r="B164" s="0" t="n">
        <v>7</v>
      </c>
      <c r="C164" s="0" t="s">
        <v>674</v>
      </c>
      <c r="D164" s="0" t="s">
        <v>512</v>
      </c>
      <c r="E164" s="0" t="s">
        <v>342</v>
      </c>
      <c r="F164" s="0" t="n">
        <v>5</v>
      </c>
      <c r="G164" s="0" t="s">
        <v>1036</v>
      </c>
      <c r="H164" s="0" t="s">
        <v>1036</v>
      </c>
      <c r="I164" s="0" t="s">
        <v>1035</v>
      </c>
      <c r="J164" s="0" t="n">
        <v>-2</v>
      </c>
      <c r="K164" s="0" t="n">
        <v>163</v>
      </c>
      <c r="L164" s="0" t="str">
        <f aca="false">C164</f>
        <v>Emmett Johnson</v>
      </c>
      <c r="M164" s="121" t="n">
        <f aca="false">IFERROR(VLOOKUP(E164,RISK!A:B,2,FALSE()),"")</f>
        <v>4</v>
      </c>
      <c r="N164" s="120" t="n">
        <f aca="false">VLOOKUP(E164,Q:R,2,FALSE())</f>
        <v>68.6094117647059</v>
      </c>
      <c r="Q164" s="53" t="s">
        <v>194</v>
      </c>
      <c r="R164" s="120" t="n">
        <f aca="false">Aggregate!BQ18</f>
        <v>160.794566235294</v>
      </c>
    </row>
    <row r="165" customFormat="false" ht="14.25" hidden="false" customHeight="true" outlineLevel="0" collapsed="false">
      <c r="A165" s="0" t="n">
        <v>164</v>
      </c>
      <c r="B165" s="0" t="n">
        <v>7</v>
      </c>
      <c r="C165" s="0" t="s">
        <v>657</v>
      </c>
      <c r="D165" s="0" t="s">
        <v>552</v>
      </c>
      <c r="E165" s="0" t="s">
        <v>345</v>
      </c>
      <c r="F165" s="0" t="n">
        <v>11</v>
      </c>
      <c r="G165" s="0" t="s">
        <v>1029</v>
      </c>
      <c r="H165" s="0" t="s">
        <v>1036</v>
      </c>
      <c r="I165" s="0" t="s">
        <v>1031</v>
      </c>
      <c r="J165" s="0" t="n">
        <v>-19</v>
      </c>
      <c r="K165" s="0" t="n">
        <v>164</v>
      </c>
      <c r="L165" s="0" t="str">
        <f aca="false">C165</f>
        <v>Brian Robinson Jr.</v>
      </c>
      <c r="M165" s="121" t="n">
        <f aca="false">IFERROR(VLOOKUP(E165,RISK!A:B,2,FALSE()),"")</f>
        <v>4</v>
      </c>
      <c r="N165" s="120" t="n">
        <f aca="false">VLOOKUP(E165,Q:R,2,FALSE())</f>
        <v>67.4962752941176</v>
      </c>
      <c r="Q165" s="53" t="s">
        <v>198</v>
      </c>
      <c r="R165" s="120" t="n">
        <f aca="false">Aggregate!BQ19</f>
        <v>158.905295294118</v>
      </c>
    </row>
    <row r="166" customFormat="false" ht="14.25" hidden="false" customHeight="true" outlineLevel="0" collapsed="false">
      <c r="A166" s="0" t="n">
        <v>165</v>
      </c>
      <c r="B166" s="0" t="n">
        <v>7</v>
      </c>
      <c r="C166" s="0" t="s">
        <v>642</v>
      </c>
      <c r="D166" s="0" t="s">
        <v>530</v>
      </c>
      <c r="E166" s="0" t="s">
        <v>348</v>
      </c>
      <c r="F166" s="0" t="n">
        <v>11</v>
      </c>
      <c r="G166" s="0" t="s">
        <v>1036</v>
      </c>
      <c r="H166" s="0" t="s">
        <v>1028</v>
      </c>
      <c r="I166" s="0" t="s">
        <v>1032</v>
      </c>
      <c r="J166" s="0" t="n">
        <v>-105</v>
      </c>
      <c r="K166" s="0" t="n">
        <v>165</v>
      </c>
      <c r="L166" s="0" t="str">
        <f aca="false">C166</f>
        <v>Josh Jacobs</v>
      </c>
      <c r="M166" s="121" t="n">
        <f aca="false">IFERROR(VLOOKUP(E166,RISK!A:B,2,FALSE()),"")</f>
        <v>4</v>
      </c>
      <c r="N166" s="120" t="n">
        <f aca="false">VLOOKUP(E166,Q:R,2,FALSE())</f>
        <v>66.8658823529412</v>
      </c>
      <c r="Q166" s="53" t="s">
        <v>202</v>
      </c>
      <c r="R166" s="120" t="n">
        <f aca="false">Aggregate!BQ20</f>
        <v>157.098394</v>
      </c>
    </row>
    <row r="167" customFormat="false" ht="14.25" hidden="false" customHeight="true" outlineLevel="0" collapsed="false">
      <c r="A167" s="0" t="n">
        <v>166</v>
      </c>
      <c r="B167" s="0" t="n">
        <v>7</v>
      </c>
      <c r="C167" s="0" t="s">
        <v>777</v>
      </c>
      <c r="D167" s="0" t="s">
        <v>554</v>
      </c>
      <c r="E167" s="0" t="s">
        <v>370</v>
      </c>
      <c r="F167" s="0" t="n">
        <v>11</v>
      </c>
      <c r="G167" s="0" t="s">
        <v>1029</v>
      </c>
      <c r="H167" s="0" t="s">
        <v>1036</v>
      </c>
      <c r="I167" s="0" t="s">
        <v>1035</v>
      </c>
      <c r="J167" s="0" t="n">
        <v>54</v>
      </c>
      <c r="K167" s="0" t="n">
        <v>166</v>
      </c>
      <c r="L167" s="0" t="str">
        <f aca="false">C167</f>
        <v>Jerry Jeudy</v>
      </c>
      <c r="M167" s="121" t="n">
        <f aca="false">IFERROR(VLOOKUP(E167,RISK!A:B,2,FALSE()),"")</f>
        <v>3.84810126582278</v>
      </c>
      <c r="N167" s="120" t="n">
        <f aca="false">VLOOKUP(E167,Q:R,2,FALSE())</f>
        <v>92.071955919583</v>
      </c>
      <c r="Q167" s="53" t="s">
        <v>206</v>
      </c>
      <c r="R167" s="120" t="n">
        <f aca="false">Aggregate!BQ21</f>
        <v>155.838984823529</v>
      </c>
    </row>
    <row r="168" customFormat="false" ht="14.25" hidden="false" customHeight="true" outlineLevel="0" collapsed="false">
      <c r="A168" s="0" t="n">
        <v>167</v>
      </c>
      <c r="B168" s="0" t="n">
        <v>7</v>
      </c>
      <c r="C168" s="0" t="s">
        <v>679</v>
      </c>
      <c r="D168" s="0" t="s">
        <v>490</v>
      </c>
      <c r="E168" s="0" t="s">
        <v>351</v>
      </c>
      <c r="F168" s="0" t="n">
        <v>7</v>
      </c>
      <c r="G168" s="0" t="s">
        <v>1038</v>
      </c>
      <c r="H168" s="0" t="s">
        <v>1038</v>
      </c>
      <c r="I168" s="0" t="s">
        <v>1031</v>
      </c>
      <c r="J168" s="0" t="n">
        <v>11</v>
      </c>
      <c r="K168" s="0" t="n">
        <v>167</v>
      </c>
      <c r="L168" s="0" t="str">
        <f aca="false">C168</f>
        <v>Ray Davis</v>
      </c>
      <c r="M168" s="121" t="n">
        <f aca="false">IFERROR(VLOOKUP(E168,RISK!A:B,2,FALSE()),"")</f>
        <v>4</v>
      </c>
      <c r="N168" s="120" t="n">
        <f aca="false">VLOOKUP(E168,Q:R,2,FALSE())</f>
        <v>66.055284</v>
      </c>
      <c r="Q168" s="53" t="s">
        <v>210</v>
      </c>
      <c r="R168" s="120" t="n">
        <f aca="false">Aggregate!BQ22</f>
        <v>152.905529117647</v>
      </c>
    </row>
    <row r="169" customFormat="false" ht="14.25" hidden="false" customHeight="true" outlineLevel="0" collapsed="false">
      <c r="A169" s="0" t="n">
        <v>168</v>
      </c>
      <c r="B169" s="0" t="n">
        <v>7</v>
      </c>
      <c r="C169" s="0" t="s">
        <v>787</v>
      </c>
      <c r="D169" s="0" t="s">
        <v>522</v>
      </c>
      <c r="E169" s="0" t="s">
        <v>373</v>
      </c>
      <c r="F169" s="0" t="n">
        <v>6</v>
      </c>
      <c r="G169" s="0" t="s">
        <v>1033</v>
      </c>
      <c r="H169" s="0" t="s">
        <v>1036</v>
      </c>
      <c r="I169" s="0" t="s">
        <v>1030</v>
      </c>
      <c r="J169" s="0" t="n">
        <v>16</v>
      </c>
      <c r="K169" s="0" t="n">
        <v>168</v>
      </c>
      <c r="L169" s="0" t="str">
        <f aca="false">C169</f>
        <v>Jauan Jennings</v>
      </c>
      <c r="M169" s="121" t="n">
        <f aca="false">IFERROR(VLOOKUP(E169,RISK!A:B,2,FALSE()),"")</f>
        <v>3.84810126582278</v>
      </c>
      <c r="N169" s="120" t="n">
        <f aca="false">VLOOKUP(E169,Q:R,2,FALSE())</f>
        <v>91.2531341772152</v>
      </c>
      <c r="Q169" s="53" t="s">
        <v>214</v>
      </c>
      <c r="R169" s="120" t="n">
        <f aca="false">Aggregate!BQ23</f>
        <v>149.714507352941</v>
      </c>
    </row>
    <row r="170" customFormat="false" ht="14.25" hidden="false" customHeight="true" outlineLevel="0" collapsed="false">
      <c r="A170" s="0" t="n">
        <v>169</v>
      </c>
      <c r="B170" s="0" t="n">
        <v>7</v>
      </c>
      <c r="C170" s="0" t="s">
        <v>812</v>
      </c>
      <c r="D170" s="0" t="s">
        <v>510</v>
      </c>
      <c r="E170" s="0" t="s">
        <v>376</v>
      </c>
      <c r="F170" s="0" t="n">
        <v>14</v>
      </c>
      <c r="G170" s="0" t="s">
        <v>1036</v>
      </c>
      <c r="H170" s="0" t="s">
        <v>1037</v>
      </c>
      <c r="I170" s="0" t="s">
        <v>1031</v>
      </c>
      <c r="J170" s="0" t="n">
        <v>82</v>
      </c>
      <c r="K170" s="0" t="n">
        <v>169</v>
      </c>
      <c r="L170" s="0" t="str">
        <f aca="false">C170</f>
        <v>Ryan Flournoy</v>
      </c>
      <c r="M170" s="121" t="n">
        <f aca="false">IFERROR(VLOOKUP(E170,RISK!A:B,2,FALSE()),"")</f>
        <v>3.84810126582278</v>
      </c>
      <c r="N170" s="120" t="n">
        <f aca="false">VLOOKUP(E170,Q:R,2,FALSE())</f>
        <v>91.0358957557707</v>
      </c>
      <c r="Q170" s="53" t="s">
        <v>218</v>
      </c>
      <c r="R170" s="120" t="n">
        <f aca="false">Aggregate!BQ24</f>
        <v>148.091699411765</v>
      </c>
    </row>
    <row r="171" customFormat="false" ht="14.25" hidden="false" customHeight="true" outlineLevel="0" collapsed="false">
      <c r="A171" s="0" t="n">
        <v>170</v>
      </c>
      <c r="B171" s="0" t="n">
        <v>7</v>
      </c>
      <c r="C171" s="0" t="s">
        <v>922</v>
      </c>
      <c r="D171" s="0" t="s">
        <v>520</v>
      </c>
      <c r="E171" s="0" t="s">
        <v>215</v>
      </c>
      <c r="F171" s="0" t="n">
        <v>11</v>
      </c>
      <c r="G171" s="0" t="s">
        <v>1036</v>
      </c>
      <c r="H171" s="0" t="s">
        <v>1036</v>
      </c>
      <c r="I171" s="0" t="s">
        <v>1032</v>
      </c>
      <c r="J171" s="0" t="n">
        <v>11</v>
      </c>
      <c r="K171" s="0" t="n">
        <v>170</v>
      </c>
      <c r="L171" s="0" t="str">
        <f aca="false">C171</f>
        <v>Terrance Ferguson</v>
      </c>
      <c r="M171" s="121" t="n">
        <f aca="false">IFERROR(VLOOKUP(E171,RISK!A:B,2,FALSE()),"")</f>
        <v>2.9071</v>
      </c>
      <c r="N171" s="120" t="n">
        <f aca="false">VLOOKUP(E171,Q:R,2,FALSE())</f>
        <v>82.4811764705882</v>
      </c>
      <c r="Q171" s="53" t="s">
        <v>222</v>
      </c>
      <c r="R171" s="120" t="n">
        <f aca="false">Aggregate!BQ25</f>
        <v>144.335678294118</v>
      </c>
    </row>
    <row r="172" customFormat="false" ht="14.25" hidden="false" customHeight="true" outlineLevel="0" collapsed="false">
      <c r="A172" s="0" t="n">
        <v>171</v>
      </c>
      <c r="B172" s="0" t="n">
        <v>7</v>
      </c>
      <c r="C172" s="0" t="s">
        <v>825</v>
      </c>
      <c r="D172" s="0" t="s">
        <v>518</v>
      </c>
      <c r="E172" s="0" t="s">
        <v>379</v>
      </c>
      <c r="F172" s="0" t="n">
        <v>10</v>
      </c>
      <c r="G172" s="0" t="s">
        <v>1037</v>
      </c>
      <c r="H172" s="0" t="s">
        <v>1036</v>
      </c>
      <c r="I172" s="0" t="s">
        <v>1031</v>
      </c>
      <c r="J172" s="0" t="n">
        <v>77</v>
      </c>
      <c r="K172" s="0" t="n">
        <v>171</v>
      </c>
      <c r="L172" s="0" t="str">
        <f aca="false">C172</f>
        <v>Pat Bryant</v>
      </c>
      <c r="M172" s="121" t="n">
        <f aca="false">IFERROR(VLOOKUP(E172,RISK!A:B,2,FALSE()),"")</f>
        <v>3.84810126582278</v>
      </c>
      <c r="N172" s="120" t="n">
        <f aca="false">VLOOKUP(E172,Q:R,2,FALSE())</f>
        <v>90.9415115413254</v>
      </c>
      <c r="Q172" s="53" t="s">
        <v>226</v>
      </c>
      <c r="R172" s="120" t="n">
        <f aca="false">Aggregate!BQ26</f>
        <v>142.152626352941</v>
      </c>
    </row>
    <row r="173" customFormat="false" ht="14.25" hidden="false" customHeight="true" outlineLevel="0" collapsed="false">
      <c r="A173" s="0" t="n">
        <v>172</v>
      </c>
      <c r="B173" s="0" t="n">
        <v>7</v>
      </c>
      <c r="C173" s="0" t="s">
        <v>810</v>
      </c>
      <c r="D173" s="0" t="s">
        <v>516</v>
      </c>
      <c r="E173" s="0" t="s">
        <v>382</v>
      </c>
      <c r="F173" s="0" t="n">
        <v>7</v>
      </c>
      <c r="G173" s="0" t="s">
        <v>1036</v>
      </c>
      <c r="H173" s="0" t="s">
        <v>1033</v>
      </c>
      <c r="I173" s="0" t="s">
        <v>1031</v>
      </c>
      <c r="J173" s="0" t="n">
        <v>62</v>
      </c>
      <c r="K173" s="0" t="n">
        <v>172</v>
      </c>
      <c r="L173" s="0" t="str">
        <f aca="false">C173</f>
        <v>Tre' Harris</v>
      </c>
      <c r="M173" s="121" t="n">
        <f aca="false">IFERROR(VLOOKUP(E173,RISK!A:B,2,FALSE()),"")</f>
        <v>3.84810126582278</v>
      </c>
      <c r="N173" s="120" t="n">
        <f aca="false">VLOOKUP(E173,Q:R,2,FALSE())</f>
        <v>88.8294713328369</v>
      </c>
      <c r="Q173" s="53" t="s">
        <v>230</v>
      </c>
      <c r="R173" s="120" t="n">
        <f aca="false">Aggregate!BQ27</f>
        <v>140.396439764706</v>
      </c>
    </row>
    <row r="174" customFormat="false" ht="14.25" hidden="false" customHeight="true" outlineLevel="0" collapsed="false">
      <c r="A174" s="0" t="n">
        <v>173</v>
      </c>
      <c r="B174" s="0" t="n">
        <v>7</v>
      </c>
      <c r="C174" s="0" t="s">
        <v>799</v>
      </c>
      <c r="D174" s="0" t="s">
        <v>542</v>
      </c>
      <c r="E174" s="0" t="s">
        <v>385</v>
      </c>
      <c r="F174" s="0" t="n">
        <v>13</v>
      </c>
      <c r="G174" s="0" t="s">
        <v>1036</v>
      </c>
      <c r="H174" s="0" t="s">
        <v>1036</v>
      </c>
      <c r="I174" s="0" t="s">
        <v>1032</v>
      </c>
      <c r="J174" s="0" t="n">
        <v>54</v>
      </c>
      <c r="K174" s="0" t="n">
        <v>173</v>
      </c>
      <c r="L174" s="0" t="str">
        <f aca="false">C174</f>
        <v>Omar Cooper Jr.</v>
      </c>
      <c r="M174" s="121" t="n">
        <f aca="false">IFERROR(VLOOKUP(E174,RISK!A:B,2,FALSE()),"")</f>
        <v>3.84810126582278</v>
      </c>
      <c r="N174" s="120" t="n">
        <f aca="false">VLOOKUP(E174,Q:R,2,FALSE())</f>
        <v>88.017148175726</v>
      </c>
      <c r="Q174" s="53" t="s">
        <v>234</v>
      </c>
      <c r="R174" s="120" t="n">
        <f aca="false">Aggregate!BQ28</f>
        <v>139.921139647059</v>
      </c>
    </row>
    <row r="175" customFormat="false" ht="14.25" hidden="false" customHeight="true" outlineLevel="0" collapsed="false">
      <c r="A175" s="0" t="n">
        <v>174</v>
      </c>
      <c r="B175" s="0" t="n">
        <v>7</v>
      </c>
      <c r="C175" s="0" t="s">
        <v>788</v>
      </c>
      <c r="D175" s="0" t="s">
        <v>550</v>
      </c>
      <c r="E175" s="0" t="s">
        <v>388</v>
      </c>
      <c r="F175" s="0" t="n">
        <v>13</v>
      </c>
      <c r="G175" s="0" t="s">
        <v>1038</v>
      </c>
      <c r="H175" s="0" t="s">
        <v>1038</v>
      </c>
      <c r="I175" s="0" t="s">
        <v>1031</v>
      </c>
      <c r="J175" s="0" t="n">
        <v>-2</v>
      </c>
      <c r="K175" s="0" t="n">
        <v>174</v>
      </c>
      <c r="L175" s="0" t="str">
        <f aca="false">C175</f>
        <v>Jalen Nailor</v>
      </c>
      <c r="M175" s="121" t="n">
        <f aca="false">IFERROR(VLOOKUP(E175,RISK!A:B,2,FALSE()),"")</f>
        <v>3.84810126582278</v>
      </c>
      <c r="N175" s="120" t="n">
        <f aca="false">VLOOKUP(E175,Q:R,2,FALSE())</f>
        <v>87.1816157855547</v>
      </c>
      <c r="Q175" s="53" t="s">
        <v>238</v>
      </c>
      <c r="R175" s="120" t="n">
        <f aca="false">Aggregate!BQ29</f>
        <v>139.00203</v>
      </c>
    </row>
    <row r="176" customFormat="false" ht="14.25" hidden="false" customHeight="true" outlineLevel="0" collapsed="false">
      <c r="A176" s="0" t="n">
        <v>175</v>
      </c>
      <c r="B176" s="0" t="n">
        <v>7</v>
      </c>
      <c r="C176" s="0" t="s">
        <v>924</v>
      </c>
      <c r="D176" s="0" t="s">
        <v>536</v>
      </c>
      <c r="E176" s="0" t="s">
        <v>219</v>
      </c>
      <c r="F176" s="0" t="n">
        <v>11</v>
      </c>
      <c r="G176" s="0" t="s">
        <v>1036</v>
      </c>
      <c r="H176" s="0" t="s">
        <v>1033</v>
      </c>
      <c r="I176" s="0" t="s">
        <v>1035</v>
      </c>
      <c r="J176" s="0" t="n">
        <v>18</v>
      </c>
      <c r="K176" s="0" t="n">
        <v>175</v>
      </c>
      <c r="L176" s="0" t="str">
        <f aca="false">C176</f>
        <v>AJ Barner</v>
      </c>
      <c r="M176" s="121" t="n">
        <f aca="false">IFERROR(VLOOKUP(E176,RISK!A:B,2,FALSE()),"")</f>
        <v>3</v>
      </c>
      <c r="N176" s="120" t="n">
        <f aca="false">VLOOKUP(E176,Q:R,2,FALSE())</f>
        <v>81.3111764705882</v>
      </c>
      <c r="Q176" s="53" t="s">
        <v>242</v>
      </c>
      <c r="R176" s="120" t="n">
        <f aca="false">Aggregate!BQ30</f>
        <v>134.534513235294</v>
      </c>
    </row>
    <row r="177" customFormat="false" ht="14.25" hidden="false" customHeight="true" outlineLevel="0" collapsed="false">
      <c r="A177" s="0" t="n">
        <v>176</v>
      </c>
      <c r="B177" s="0" t="n">
        <v>7</v>
      </c>
      <c r="C177" s="0" t="s">
        <v>918</v>
      </c>
      <c r="D177" s="0" t="s">
        <v>522</v>
      </c>
      <c r="E177" s="0" t="s">
        <v>223</v>
      </c>
      <c r="F177" s="0" t="n">
        <v>6</v>
      </c>
      <c r="G177" s="0" t="s">
        <v>1033</v>
      </c>
      <c r="H177" s="0" t="s">
        <v>1036</v>
      </c>
      <c r="I177" s="0" t="s">
        <v>1032</v>
      </c>
      <c r="J177" s="0" t="n">
        <v>-3</v>
      </c>
      <c r="K177" s="0" t="n">
        <v>176</v>
      </c>
      <c r="L177" s="0" t="str">
        <f aca="false">C177</f>
        <v>T.J. Hockenson</v>
      </c>
      <c r="M177" s="121" t="n">
        <f aca="false">IFERROR(VLOOKUP(E177,RISK!A:B,2,FALSE()),"")</f>
        <v>3</v>
      </c>
      <c r="N177" s="120" t="n">
        <f aca="false">VLOOKUP(E177,Q:R,2,FALSE())</f>
        <v>80.7835294117647</v>
      </c>
      <c r="Q177" s="53" t="s">
        <v>246</v>
      </c>
      <c r="R177" s="120" t="n">
        <f aca="false">Aggregate!BQ31</f>
        <v>129.834315882353</v>
      </c>
    </row>
    <row r="178" customFormat="false" ht="14.25" hidden="false" customHeight="true" outlineLevel="0" collapsed="false">
      <c r="A178" s="0" t="n">
        <v>177</v>
      </c>
      <c r="B178" s="0" t="n">
        <v>7</v>
      </c>
      <c r="C178" s="0" t="s">
        <v>539</v>
      </c>
      <c r="D178" s="0" t="s">
        <v>540</v>
      </c>
      <c r="E178" s="0" t="s">
        <v>232</v>
      </c>
      <c r="F178" s="0" t="n">
        <v>5</v>
      </c>
      <c r="G178" s="0" t="s">
        <v>1033</v>
      </c>
      <c r="H178" s="0" t="s">
        <v>1036</v>
      </c>
      <c r="I178" s="0" t="s">
        <v>1031</v>
      </c>
      <c r="J178" s="0" t="n">
        <v>-2</v>
      </c>
      <c r="K178" s="0" t="n">
        <v>177</v>
      </c>
      <c r="L178" s="0" t="str">
        <f aca="false">C178</f>
        <v>Bryce Young</v>
      </c>
      <c r="M178" s="121" t="n">
        <f aca="false">IFERROR(VLOOKUP(E178,RISK!A:B,2,FALSE()),"")</f>
        <v>3.2</v>
      </c>
      <c r="N178" s="120" t="n">
        <f aca="false">VLOOKUP(E178,Q:R,2,FALSE())</f>
        <v>189.582776470588</v>
      </c>
      <c r="Q178" s="53" t="s">
        <v>250</v>
      </c>
      <c r="R178" s="120" t="n">
        <f aca="false">Aggregate!BQ32</f>
        <v>128.902221647059</v>
      </c>
    </row>
    <row r="179" customFormat="false" ht="14.25" hidden="false" customHeight="true" outlineLevel="0" collapsed="false">
      <c r="A179" s="0" t="n">
        <v>178</v>
      </c>
      <c r="B179" s="0" t="n">
        <v>8</v>
      </c>
      <c r="C179" s="0" t="s">
        <v>784</v>
      </c>
      <c r="D179" s="0" t="s">
        <v>532</v>
      </c>
      <c r="E179" s="0" t="s">
        <v>391</v>
      </c>
      <c r="F179" s="0" t="n">
        <v>13</v>
      </c>
      <c r="G179" s="0" t="s">
        <v>1037</v>
      </c>
      <c r="H179" s="0" t="s">
        <v>1037</v>
      </c>
      <c r="I179" s="0" t="s">
        <v>1032</v>
      </c>
      <c r="J179" s="0" t="n">
        <v>-12</v>
      </c>
      <c r="K179" s="0" t="n">
        <v>178</v>
      </c>
      <c r="L179" s="0" t="str">
        <f aca="false">C179</f>
        <v>Keenan Allen</v>
      </c>
      <c r="M179" s="121" t="n">
        <f aca="false">IFERROR(VLOOKUP(E179,RISK!A:B,2,FALSE()),"")</f>
        <v>3.84810126582278</v>
      </c>
      <c r="N179" s="120" t="n">
        <f aca="false">VLOOKUP(E179,Q:R,2,FALSE())</f>
        <v>85.2475130305287</v>
      </c>
      <c r="Q179" s="53" t="s">
        <v>254</v>
      </c>
      <c r="R179" s="120" t="n">
        <f aca="false">Aggregate!BQ33</f>
        <v>128.045832705882</v>
      </c>
    </row>
    <row r="180" customFormat="false" ht="14.25" hidden="false" customHeight="true" outlineLevel="0" collapsed="false">
      <c r="A180" s="0" t="n">
        <v>179</v>
      </c>
      <c r="B180" s="0" t="n">
        <v>8</v>
      </c>
      <c r="C180" s="0" t="s">
        <v>795</v>
      </c>
      <c r="D180" s="0" t="s">
        <v>534</v>
      </c>
      <c r="E180" s="0" t="s">
        <v>394</v>
      </c>
      <c r="F180" s="0" t="n">
        <v>6</v>
      </c>
      <c r="G180" s="0" t="s">
        <v>1037</v>
      </c>
      <c r="H180" s="0" t="s">
        <v>1036</v>
      </c>
      <c r="I180" s="0" t="s">
        <v>1035</v>
      </c>
      <c r="J180" s="0" t="n">
        <v>37</v>
      </c>
      <c r="K180" s="0" t="n">
        <v>179</v>
      </c>
      <c r="L180" s="0" t="str">
        <f aca="false">C180</f>
        <v>Malik Washington</v>
      </c>
      <c r="M180" s="121" t="n">
        <f aca="false">IFERROR(VLOOKUP(E180,RISK!A:B,2,FALSE()),"")</f>
        <v>3.84810126582278</v>
      </c>
      <c r="N180" s="120" t="n">
        <f aca="false">VLOOKUP(E180,Q:R,2,FALSE())</f>
        <v>85.1546760982874</v>
      </c>
      <c r="Q180" s="53" t="s">
        <v>258</v>
      </c>
      <c r="R180" s="120" t="n">
        <f aca="false">Aggregate!BQ34</f>
        <v>127.945852941176</v>
      </c>
    </row>
    <row r="181" customFormat="false" ht="14.25" hidden="false" customHeight="true" outlineLevel="0" collapsed="false">
      <c r="A181" s="0" t="n">
        <v>180</v>
      </c>
      <c r="B181" s="0" t="n">
        <v>8</v>
      </c>
      <c r="C181" s="0" t="s">
        <v>921</v>
      </c>
      <c r="D181" s="0" t="s">
        <v>542</v>
      </c>
      <c r="E181" s="0" t="s">
        <v>227</v>
      </c>
      <c r="F181" s="0" t="n">
        <v>13</v>
      </c>
      <c r="G181" s="0" t="s">
        <v>1037</v>
      </c>
      <c r="H181" s="0" t="s">
        <v>1036</v>
      </c>
      <c r="I181" s="0" t="s">
        <v>1032</v>
      </c>
      <c r="J181" s="0" t="n">
        <v>9</v>
      </c>
      <c r="K181" s="0" t="n">
        <v>180</v>
      </c>
      <c r="L181" s="0" t="str">
        <f aca="false">C181</f>
        <v>Kenyon Sadiq</v>
      </c>
      <c r="M181" s="121" t="n">
        <f aca="false">IFERROR(VLOOKUP(E181,RISK!A:B,2,FALSE()),"")</f>
        <v>3</v>
      </c>
      <c r="N181" s="120" t="n">
        <f aca="false">VLOOKUP(E181,Q:R,2,FALSE())</f>
        <v>79.3121671764706</v>
      </c>
      <c r="Q181" s="53" t="s">
        <v>262</v>
      </c>
      <c r="R181" s="120" t="n">
        <f aca="false">Aggregate!BQ35</f>
        <v>127.613569044706</v>
      </c>
    </row>
    <row r="182" customFormat="false" ht="14.25" hidden="false" customHeight="true" outlineLevel="0" collapsed="false">
      <c r="A182" s="0" t="n">
        <v>181</v>
      </c>
      <c r="B182" s="0" t="n">
        <v>8</v>
      </c>
      <c r="C182" s="0" t="s">
        <v>778</v>
      </c>
      <c r="D182" s="0" t="s">
        <v>544</v>
      </c>
      <c r="E182" s="0" t="s">
        <v>397</v>
      </c>
      <c r="F182" s="0" t="n">
        <v>9</v>
      </c>
      <c r="G182" s="0" t="s">
        <v>1033</v>
      </c>
      <c r="H182" s="0" t="s">
        <v>1036</v>
      </c>
      <c r="I182" s="0" t="s">
        <v>1035</v>
      </c>
      <c r="J182" s="0" t="n">
        <v>47</v>
      </c>
      <c r="K182" s="0" t="n">
        <v>181</v>
      </c>
      <c r="L182" s="0" t="str">
        <f aca="false">C182</f>
        <v>Calvin Ridley</v>
      </c>
      <c r="M182" s="121" t="n">
        <f aca="false">IFERROR(VLOOKUP(E182,RISK!A:B,2,FALSE()),"")</f>
        <v>3.84810126582278</v>
      </c>
      <c r="N182" s="120" t="n">
        <f aca="false">VLOOKUP(E182,Q:R,2,FALSE())</f>
        <v>83.042635889799</v>
      </c>
      <c r="Q182" s="53" t="s">
        <v>266</v>
      </c>
      <c r="R182" s="120" t="n">
        <f aca="false">Aggregate!BQ36</f>
        <v>126.598629932986</v>
      </c>
    </row>
    <row r="183" customFormat="false" ht="14.25" hidden="false" customHeight="true" outlineLevel="0" collapsed="false">
      <c r="A183" s="0" t="n">
        <v>182</v>
      </c>
      <c r="B183" s="0" t="n">
        <v>8</v>
      </c>
      <c r="C183" s="0" t="s">
        <v>791</v>
      </c>
      <c r="D183" s="0" t="s">
        <v>538</v>
      </c>
      <c r="E183" s="0" t="s">
        <v>400</v>
      </c>
      <c r="F183" s="0" t="n">
        <v>8</v>
      </c>
      <c r="G183" s="0" t="s">
        <v>1036</v>
      </c>
      <c r="H183" s="0" t="s">
        <v>1037</v>
      </c>
      <c r="I183" s="0" t="s">
        <v>1035</v>
      </c>
      <c r="J183" s="0" t="n">
        <v>130</v>
      </c>
      <c r="K183" s="0" t="n">
        <v>182</v>
      </c>
      <c r="L183" s="0" t="str">
        <f aca="false">C183</f>
        <v>Jaylin Noel</v>
      </c>
      <c r="M183" s="121" t="n">
        <f aca="false">IFERROR(VLOOKUP(E183,RISK!A:B,2,FALSE()),"")</f>
        <v>3.84810126582278</v>
      </c>
      <c r="N183" s="120" t="n">
        <f aca="false">VLOOKUP(E183,Q:R,2,FALSE())</f>
        <v>82.3073673864483</v>
      </c>
      <c r="Q183" s="53" t="s">
        <v>270</v>
      </c>
      <c r="R183" s="120" t="n">
        <f aca="false">Aggregate!BQ37</f>
        <v>121.293308711839</v>
      </c>
    </row>
    <row r="184" customFormat="false" ht="14.25" hidden="false" customHeight="true" outlineLevel="0" collapsed="false">
      <c r="A184" s="0" t="n">
        <v>183</v>
      </c>
      <c r="B184" s="0" t="n">
        <v>8</v>
      </c>
      <c r="C184" s="0" t="s">
        <v>666</v>
      </c>
      <c r="D184" s="0" t="s">
        <v>516</v>
      </c>
      <c r="E184" s="0" t="s">
        <v>354</v>
      </c>
      <c r="F184" s="0" t="n">
        <v>7</v>
      </c>
      <c r="G184" s="0" t="s">
        <v>1029</v>
      </c>
      <c r="H184" s="0" t="s">
        <v>1036</v>
      </c>
      <c r="I184" s="0" t="s">
        <v>1035</v>
      </c>
      <c r="J184" s="0" t="n">
        <v>54</v>
      </c>
      <c r="K184" s="0" t="n">
        <v>183</v>
      </c>
      <c r="L184" s="0" t="str">
        <f aca="false">C184</f>
        <v>Kimani Vidal</v>
      </c>
      <c r="M184" s="121" t="n">
        <f aca="false">IFERROR(VLOOKUP(E184,RISK!A:B,2,FALSE()),"")</f>
        <v>4</v>
      </c>
      <c r="N184" s="120" t="n">
        <f aca="false">VLOOKUP(E184,Q:R,2,FALSE())</f>
        <v>63.8223529411765</v>
      </c>
      <c r="Q184" s="53" t="s">
        <v>274</v>
      </c>
      <c r="R184" s="120" t="n">
        <f aca="false">Aggregate!BQ38</f>
        <v>121.283550588235</v>
      </c>
    </row>
    <row r="185" customFormat="false" ht="14.25" hidden="false" customHeight="true" outlineLevel="0" collapsed="false">
      <c r="A185" s="0" t="n">
        <v>184</v>
      </c>
      <c r="B185" s="0" t="n">
        <v>8</v>
      </c>
      <c r="C185" s="0" t="s">
        <v>1039</v>
      </c>
      <c r="D185" s="0" t="s">
        <v>538</v>
      </c>
      <c r="E185" s="0" t="s">
        <v>1040</v>
      </c>
      <c r="F185" s="0" t="n">
        <v>8</v>
      </c>
      <c r="G185" s="0" t="s">
        <v>1038</v>
      </c>
      <c r="H185" s="0" t="s">
        <v>1038</v>
      </c>
      <c r="I185" s="0" t="s">
        <v>1031</v>
      </c>
      <c r="J185" s="0" t="n">
        <v>-73</v>
      </c>
      <c r="K185" s="0" t="n">
        <v>184</v>
      </c>
      <c r="L185" s="0" t="str">
        <f aca="false">C185</f>
        <v>Houston Texans</v>
      </c>
      <c r="M185" s="121" t="str">
        <f aca="false">IFERROR(VLOOKUP(E185,RISK!A:B,2,FALSE()),"")</f>
        <v/>
      </c>
      <c r="N185" s="120" t="e">
        <f aca="false">VLOOKUP(E185,Q:R,2,FALSE())</f>
        <v>#N/A</v>
      </c>
      <c r="Q185" s="53" t="s">
        <v>278</v>
      </c>
      <c r="R185" s="120" t="n">
        <f aca="false">Aggregate!BQ39</f>
        <v>119.056738705882</v>
      </c>
    </row>
    <row r="186" customFormat="false" ht="14.25" hidden="false" customHeight="true" outlineLevel="0" collapsed="false">
      <c r="A186" s="0" t="n">
        <v>185</v>
      </c>
      <c r="B186" s="0" t="n">
        <v>8</v>
      </c>
      <c r="C186" s="0" t="s">
        <v>660</v>
      </c>
      <c r="D186" s="0" t="s">
        <v>524</v>
      </c>
      <c r="E186" s="0" t="s">
        <v>357</v>
      </c>
      <c r="F186" s="0" t="n">
        <v>6</v>
      </c>
      <c r="G186" s="0" t="s">
        <v>1037</v>
      </c>
      <c r="H186" s="0" t="s">
        <v>1036</v>
      </c>
      <c r="I186" s="0" t="s">
        <v>1030</v>
      </c>
      <c r="J186" s="0" t="n">
        <v>-28</v>
      </c>
      <c r="K186" s="0" t="n">
        <v>185</v>
      </c>
      <c r="L186" s="0" t="str">
        <f aca="false">C186</f>
        <v>Isiah Pacheco</v>
      </c>
      <c r="M186" s="121" t="n">
        <f aca="false">IFERROR(VLOOKUP(E186,RISK!A:B,2,FALSE()),"")</f>
        <v>4</v>
      </c>
      <c r="N186" s="120" t="n">
        <f aca="false">VLOOKUP(E186,Q:R,2,FALSE())</f>
        <v>63.1876470588235</v>
      </c>
      <c r="Q186" s="53" t="s">
        <v>282</v>
      </c>
      <c r="R186" s="120" t="n">
        <f aca="false">Aggregate!BQ40</f>
        <v>118.274251675354</v>
      </c>
    </row>
    <row r="187" customFormat="false" ht="14.25" hidden="false" customHeight="true" outlineLevel="0" collapsed="false">
      <c r="A187" s="0" t="n">
        <v>186</v>
      </c>
      <c r="B187" s="0" t="n">
        <v>8</v>
      </c>
      <c r="C187" s="0" t="s">
        <v>545</v>
      </c>
      <c r="D187" s="0" t="s">
        <v>546</v>
      </c>
      <c r="E187" s="0" t="s">
        <v>236</v>
      </c>
      <c r="F187" s="0" t="n">
        <v>14</v>
      </c>
      <c r="G187" s="0" t="s">
        <v>1033</v>
      </c>
      <c r="H187" s="0" t="s">
        <v>1036</v>
      </c>
      <c r="I187" s="0" t="s">
        <v>1031</v>
      </c>
      <c r="J187" s="0" t="n">
        <v>47</v>
      </c>
      <c r="K187" s="0" t="n">
        <v>186</v>
      </c>
      <c r="L187" s="0" t="str">
        <f aca="false">C187</f>
        <v>Jacoby Brissett</v>
      </c>
      <c r="M187" s="121" t="n">
        <f aca="false">IFERROR(VLOOKUP(E187,RISK!A:B,2,FALSE()),"")</f>
        <v>3.2</v>
      </c>
      <c r="N187" s="120" t="n">
        <f aca="false">VLOOKUP(E187,Q:R,2,FALSE())</f>
        <v>188.280705882353</v>
      </c>
      <c r="Q187" s="53" t="s">
        <v>286</v>
      </c>
      <c r="R187" s="120" t="n">
        <f aca="false">Aggregate!BQ41</f>
        <v>116.208629932986</v>
      </c>
    </row>
    <row r="188" customFormat="false" ht="14.25" hidden="false" customHeight="true" outlineLevel="0" collapsed="false">
      <c r="A188" s="0" t="n">
        <v>187</v>
      </c>
      <c r="B188" s="0" t="n">
        <v>8</v>
      </c>
      <c r="C188" s="0" t="s">
        <v>929</v>
      </c>
      <c r="D188" s="0" t="s">
        <v>544</v>
      </c>
      <c r="E188" s="0" t="s">
        <v>231</v>
      </c>
      <c r="F188" s="0" t="n">
        <v>9</v>
      </c>
      <c r="G188" s="0" t="s">
        <v>1037</v>
      </c>
      <c r="H188" s="0" t="s">
        <v>1036</v>
      </c>
      <c r="I188" s="0" t="s">
        <v>1035</v>
      </c>
      <c r="J188" s="0" t="n">
        <v>67</v>
      </c>
      <c r="K188" s="0" t="n">
        <v>187</v>
      </c>
      <c r="L188" s="0" t="str">
        <f aca="false">C188</f>
        <v>Gunnar Helm</v>
      </c>
      <c r="M188" s="121" t="n">
        <f aca="false">IFERROR(VLOOKUP(E188,RISK!A:B,2,FALSE()),"")</f>
        <v>3</v>
      </c>
      <c r="N188" s="120" t="n">
        <f aca="false">VLOOKUP(E188,Q:R,2,FALSE())</f>
        <v>78.6035525882353</v>
      </c>
      <c r="Q188" s="53" t="s">
        <v>290</v>
      </c>
      <c r="R188" s="120" t="n">
        <f aca="false">Aggregate!BQ42</f>
        <v>113.16636366344</v>
      </c>
    </row>
    <row r="189" customFormat="false" ht="14.25" hidden="false" customHeight="true" outlineLevel="0" collapsed="false">
      <c r="A189" s="0" t="n">
        <v>188</v>
      </c>
      <c r="B189" s="0" t="n">
        <v>8</v>
      </c>
      <c r="C189" s="0" t="s">
        <v>800</v>
      </c>
      <c r="D189" s="0" t="s">
        <v>506</v>
      </c>
      <c r="E189" s="0" t="s">
        <v>403</v>
      </c>
      <c r="F189" s="0" t="n">
        <v>7</v>
      </c>
      <c r="G189" s="0" t="s">
        <v>1037</v>
      </c>
      <c r="H189" s="0" t="s">
        <v>1036</v>
      </c>
      <c r="I189" s="0" t="s">
        <v>1032</v>
      </c>
      <c r="J189" s="0" t="n">
        <v>6</v>
      </c>
      <c r="K189" s="0" t="n">
        <v>188</v>
      </c>
      <c r="L189" s="0" t="str">
        <f aca="false">C189</f>
        <v>Travis Hunter</v>
      </c>
      <c r="M189" s="121" t="n">
        <f aca="false">IFERROR(VLOOKUP(E189,RISK!A:B,2,FALSE()),"")</f>
        <v>3.84810126582278</v>
      </c>
      <c r="N189" s="120" t="n">
        <f aca="false">VLOOKUP(E189,Q:R,2,FALSE())</f>
        <v>81.2942069992554</v>
      </c>
      <c r="Q189" s="53" t="s">
        <v>294</v>
      </c>
      <c r="R189" s="120" t="n">
        <f aca="false">Aggregate!BQ43</f>
        <v>112.533834698436</v>
      </c>
    </row>
    <row r="190" customFormat="false" ht="14.25" hidden="false" customHeight="true" outlineLevel="0" collapsed="false">
      <c r="A190" s="0" t="n">
        <v>189</v>
      </c>
      <c r="B190" s="0" t="n">
        <v>8</v>
      </c>
      <c r="C190" s="0" t="s">
        <v>933</v>
      </c>
      <c r="D190" s="0" t="s">
        <v>516</v>
      </c>
      <c r="E190" s="0" t="s">
        <v>235</v>
      </c>
      <c r="F190" s="0" t="n">
        <v>7</v>
      </c>
      <c r="G190" s="0" t="s">
        <v>1037</v>
      </c>
      <c r="H190" s="0" t="s">
        <v>1036</v>
      </c>
      <c r="I190" s="0" t="s">
        <v>1032</v>
      </c>
      <c r="J190" s="0" t="n">
        <v>-2</v>
      </c>
      <c r="K190" s="0" t="n">
        <v>189</v>
      </c>
      <c r="L190" s="0" t="str">
        <f aca="false">C190</f>
        <v>Oronde Gadsden II</v>
      </c>
      <c r="M190" s="121" t="n">
        <f aca="false">IFERROR(VLOOKUP(E190,RISK!A:B,2,FALSE()),"")</f>
        <v>3</v>
      </c>
      <c r="N190" s="120" t="n">
        <f aca="false">VLOOKUP(E190,Q:R,2,FALSE())</f>
        <v>77.6252941176471</v>
      </c>
      <c r="Q190" s="53" t="s">
        <v>298</v>
      </c>
      <c r="R190" s="120" t="n">
        <f aca="false">Aggregate!BQ44</f>
        <v>112.291839761727</v>
      </c>
    </row>
    <row r="191" customFormat="false" ht="14.25" hidden="false" customHeight="true" outlineLevel="0" collapsed="false">
      <c r="A191" s="0" t="n">
        <v>190</v>
      </c>
      <c r="B191" s="0" t="n">
        <v>8</v>
      </c>
      <c r="C191" s="0" t="s">
        <v>1041</v>
      </c>
      <c r="D191" s="0" t="s">
        <v>520</v>
      </c>
      <c r="E191" s="0" t="s">
        <v>1042</v>
      </c>
      <c r="F191" s="0" t="n">
        <v>11</v>
      </c>
      <c r="G191" s="0" t="s">
        <v>1038</v>
      </c>
      <c r="H191" s="0" t="s">
        <v>1038</v>
      </c>
      <c r="I191" s="0" t="s">
        <v>1031</v>
      </c>
      <c r="J191" s="0" t="n">
        <v>-88</v>
      </c>
      <c r="K191" s="0" t="n">
        <v>190</v>
      </c>
      <c r="L191" s="0" t="str">
        <f aca="false">C191</f>
        <v>Los Angeles Rams</v>
      </c>
      <c r="M191" s="121" t="str">
        <f aca="false">IFERROR(VLOOKUP(E191,RISK!A:B,2,FALSE()),"")</f>
        <v/>
      </c>
      <c r="N191" s="120" t="e">
        <f aca="false">VLOOKUP(E191,Q:R,2,FALSE())</f>
        <v>#N/A</v>
      </c>
      <c r="Q191" s="53" t="s">
        <v>302</v>
      </c>
      <c r="R191" s="120" t="n">
        <f aca="false">Aggregate!BQ45</f>
        <v>111.706038719285</v>
      </c>
    </row>
    <row r="192" customFormat="false" ht="14.25" hidden="false" customHeight="true" outlineLevel="0" collapsed="false">
      <c r="A192" s="0" t="n">
        <v>191</v>
      </c>
      <c r="B192" s="0" t="n">
        <v>8</v>
      </c>
      <c r="C192" s="0" t="s">
        <v>1043</v>
      </c>
      <c r="D192" s="0" t="s">
        <v>518</v>
      </c>
      <c r="E192" s="0" t="s">
        <v>1044</v>
      </c>
      <c r="F192" s="0" t="n">
        <v>10</v>
      </c>
      <c r="G192" s="0" t="s">
        <v>1038</v>
      </c>
      <c r="H192" s="0" t="s">
        <v>1038</v>
      </c>
      <c r="I192" s="0" t="s">
        <v>1032</v>
      </c>
      <c r="J192" s="0" t="n">
        <v>-67</v>
      </c>
      <c r="K192" s="0" t="n">
        <v>191</v>
      </c>
      <c r="L192" s="0" t="str">
        <f aca="false">C192</f>
        <v>Denver Broncos</v>
      </c>
      <c r="M192" s="121" t="str">
        <f aca="false">IFERROR(VLOOKUP(E192,RISK!A:B,2,FALSE()),"")</f>
        <v/>
      </c>
      <c r="N192" s="120" t="e">
        <f aca="false">VLOOKUP(E192,Q:R,2,FALSE())</f>
        <v>#N/A</v>
      </c>
      <c r="Q192" s="53" t="s">
        <v>306</v>
      </c>
      <c r="R192" s="120" t="n">
        <f aca="false">Aggregate!BQ46</f>
        <v>111.272810411765</v>
      </c>
    </row>
    <row r="193" customFormat="false" ht="14.25" hidden="false" customHeight="true" outlineLevel="0" collapsed="false">
      <c r="A193" s="0" t="n">
        <v>192</v>
      </c>
      <c r="B193" s="0" t="n">
        <v>8</v>
      </c>
      <c r="C193" s="0" t="s">
        <v>782</v>
      </c>
      <c r="D193" s="0" t="s">
        <v>494</v>
      </c>
      <c r="E193" s="0" t="s">
        <v>406</v>
      </c>
      <c r="F193" s="0" t="n">
        <v>13</v>
      </c>
      <c r="G193" s="0" t="s">
        <v>1037</v>
      </c>
      <c r="H193" s="0" t="s">
        <v>1036</v>
      </c>
      <c r="I193" s="0" t="s">
        <v>1032</v>
      </c>
      <c r="J193" s="0" t="s">
        <v>1038</v>
      </c>
      <c r="K193" s="0" t="n">
        <v>192</v>
      </c>
      <c r="L193" s="0" t="str">
        <f aca="false">C193</f>
        <v>Rashod Bateman</v>
      </c>
      <c r="M193" s="121" t="n">
        <f aca="false">IFERROR(VLOOKUP(E193,RISK!A:B,2,FALSE()),"")</f>
        <v>3.84810126582278</v>
      </c>
      <c r="N193" s="120" t="n">
        <f aca="false">VLOOKUP(E193,Q:R,2,FALSE())</f>
        <v>80.2129661950856</v>
      </c>
      <c r="Q193" s="53" t="s">
        <v>310</v>
      </c>
      <c r="R193" s="120" t="n">
        <f aca="false">Aggregate!BQ47</f>
        <v>110.520902647059</v>
      </c>
    </row>
    <row r="194" customFormat="false" ht="14.25" hidden="false" customHeight="true" outlineLevel="0" collapsed="false">
      <c r="A194" s="0" t="n">
        <v>193</v>
      </c>
      <c r="B194" s="0" t="n">
        <v>8</v>
      </c>
      <c r="C194" s="0" t="s">
        <v>661</v>
      </c>
      <c r="D194" s="0" t="s">
        <v>510</v>
      </c>
      <c r="E194" s="0" t="s">
        <v>360</v>
      </c>
      <c r="F194" s="0" t="n">
        <v>14</v>
      </c>
      <c r="G194" s="0" t="s">
        <v>1038</v>
      </c>
      <c r="H194" s="0" t="s">
        <v>1038</v>
      </c>
      <c r="I194" s="0" t="s">
        <v>1032</v>
      </c>
      <c r="J194" s="0" t="n">
        <v>76</v>
      </c>
      <c r="K194" s="0" t="n">
        <v>193</v>
      </c>
      <c r="L194" s="0" t="str">
        <f aca="false">C194</f>
        <v>Malik Davis</v>
      </c>
      <c r="M194" s="121" t="n">
        <f aca="false">IFERROR(VLOOKUP(E194,RISK!A:B,2,FALSE()),"")</f>
        <v>4</v>
      </c>
      <c r="N194" s="120" t="n">
        <f aca="false">VLOOKUP(E194,Q:R,2,FALSE())</f>
        <v>62.0993117647059</v>
      </c>
      <c r="Q194" s="53" t="s">
        <v>314</v>
      </c>
      <c r="R194" s="120" t="n">
        <f aca="false">Aggregate!BQ48</f>
        <v>110.151020104244</v>
      </c>
    </row>
    <row r="195" customFormat="false" ht="14.25" hidden="false" customHeight="true" outlineLevel="0" collapsed="false">
      <c r="A195" s="0" t="n">
        <v>194</v>
      </c>
      <c r="B195" s="0" t="n">
        <v>8</v>
      </c>
      <c r="C195" s="0" t="s">
        <v>1045</v>
      </c>
      <c r="D195" s="0" t="s">
        <v>536</v>
      </c>
      <c r="E195" s="0" t="s">
        <v>1046</v>
      </c>
      <c r="F195" s="0" t="n">
        <v>11</v>
      </c>
      <c r="G195" s="0" t="s">
        <v>1038</v>
      </c>
      <c r="H195" s="0" t="s">
        <v>1038</v>
      </c>
      <c r="I195" s="0" t="s">
        <v>1031</v>
      </c>
      <c r="J195" s="0" t="n">
        <v>-68</v>
      </c>
      <c r="K195" s="0" t="n">
        <v>194</v>
      </c>
      <c r="L195" s="0" t="str">
        <f aca="false">C195</f>
        <v>Seattle Seahawks</v>
      </c>
      <c r="M195" s="121" t="str">
        <f aca="false">IFERROR(VLOOKUP(E195,RISK!A:B,2,FALSE()),"")</f>
        <v/>
      </c>
      <c r="N195" s="120" t="e">
        <f aca="false">VLOOKUP(E195,Q:R,2,FALSE())</f>
        <v>#N/A</v>
      </c>
      <c r="Q195" s="53" t="s">
        <v>318</v>
      </c>
      <c r="R195" s="120" t="n">
        <f aca="false">Aggregate!BQ49</f>
        <v>109.578525688757</v>
      </c>
    </row>
    <row r="196" customFormat="false" ht="14.25" hidden="false" customHeight="true" outlineLevel="0" collapsed="false">
      <c r="A196" s="0" t="n">
        <v>195</v>
      </c>
      <c r="B196" s="0" t="n">
        <v>8</v>
      </c>
      <c r="C196" s="0" t="s">
        <v>680</v>
      </c>
      <c r="D196" s="0" t="s">
        <v>528</v>
      </c>
      <c r="E196" s="0" t="s">
        <v>363</v>
      </c>
      <c r="F196" s="0" t="n">
        <v>10</v>
      </c>
      <c r="G196" s="0" t="s">
        <v>1037</v>
      </c>
      <c r="H196" s="0" t="s">
        <v>1036</v>
      </c>
      <c r="I196" s="0" t="s">
        <v>1031</v>
      </c>
      <c r="J196" s="0" t="n">
        <v>65</v>
      </c>
      <c r="K196" s="0" t="n">
        <v>195</v>
      </c>
      <c r="L196" s="0" t="str">
        <f aca="false">C196</f>
        <v>Sean Tucker</v>
      </c>
      <c r="M196" s="121" t="n">
        <f aca="false">IFERROR(VLOOKUP(E196,RISK!A:B,2,FALSE()),"")</f>
        <v>4</v>
      </c>
      <c r="N196" s="120" t="n">
        <f aca="false">VLOOKUP(E196,Q:R,2,FALSE())</f>
        <v>61.2887905882353</v>
      </c>
      <c r="Q196" s="53" t="s">
        <v>322</v>
      </c>
      <c r="R196" s="120" t="n">
        <f aca="false">Aggregate!BQ50</f>
        <v>107.853306031273</v>
      </c>
    </row>
    <row r="197" customFormat="false" ht="14.25" hidden="false" customHeight="true" outlineLevel="0" collapsed="false">
      <c r="A197" s="0" t="n">
        <v>196</v>
      </c>
      <c r="B197" s="0" t="n">
        <v>8</v>
      </c>
      <c r="C197" s="0" t="s">
        <v>693</v>
      </c>
      <c r="D197" s="0" t="s">
        <v>544</v>
      </c>
      <c r="E197" s="0" t="s">
        <v>366</v>
      </c>
      <c r="F197" s="0" t="n">
        <v>9</v>
      </c>
      <c r="G197" s="0" t="s">
        <v>1037</v>
      </c>
      <c r="H197" s="0" t="s">
        <v>1036</v>
      </c>
      <c r="I197" s="0" t="s">
        <v>1035</v>
      </c>
      <c r="J197" s="0" t="n">
        <v>40</v>
      </c>
      <c r="K197" s="0" t="n">
        <v>196</v>
      </c>
      <c r="L197" s="0" t="str">
        <f aca="false">C197</f>
        <v>Nicholas Singleton</v>
      </c>
      <c r="M197" s="121" t="n">
        <f aca="false">IFERROR(VLOOKUP(E197,RISK!A:B,2,FALSE()),"")</f>
        <v>4</v>
      </c>
      <c r="N197" s="120" t="n">
        <f aca="false">VLOOKUP(E197,Q:R,2,FALSE())</f>
        <v>60.5795258823529</v>
      </c>
      <c r="Q197" s="53" t="s">
        <v>325</v>
      </c>
      <c r="R197" s="120" t="n">
        <f aca="false">Aggregate!BQ51</f>
        <v>107.768205510052</v>
      </c>
    </row>
    <row r="198" customFormat="false" ht="14.25" hidden="false" customHeight="true" outlineLevel="0" collapsed="false">
      <c r="A198" s="0" t="n">
        <v>197</v>
      </c>
      <c r="B198" s="0" t="n">
        <v>8</v>
      </c>
      <c r="C198" s="0" t="s">
        <v>1047</v>
      </c>
      <c r="D198" s="0" t="s">
        <v>500</v>
      </c>
      <c r="E198" s="0" t="s">
        <v>1048</v>
      </c>
      <c r="F198" s="0" t="n">
        <v>10</v>
      </c>
      <c r="G198" s="0" t="s">
        <v>1038</v>
      </c>
      <c r="H198" s="0" t="s">
        <v>1038</v>
      </c>
      <c r="I198" s="0" t="s">
        <v>1049</v>
      </c>
      <c r="J198" s="0" t="n">
        <v>-62</v>
      </c>
      <c r="K198" s="0" t="n">
        <v>197</v>
      </c>
      <c r="L198" s="0" t="str">
        <f aca="false">C198</f>
        <v>Philadelphia Eagles</v>
      </c>
      <c r="M198" s="121" t="str">
        <f aca="false">IFERROR(VLOOKUP(E198,RISK!A:B,2,FALSE()),"")</f>
        <v/>
      </c>
      <c r="N198" s="120" t="e">
        <f aca="false">VLOOKUP(E198,Q:R,2,FALSE())</f>
        <v>#N/A</v>
      </c>
      <c r="Q198" s="53" t="s">
        <v>328</v>
      </c>
      <c r="R198" s="120" t="n">
        <f aca="false">Aggregate!BQ52</f>
        <v>106.313760238273</v>
      </c>
    </row>
    <row r="199" customFormat="false" ht="14.25" hidden="false" customHeight="true" outlineLevel="0" collapsed="false">
      <c r="A199" s="0" t="n">
        <v>198</v>
      </c>
      <c r="B199" s="0" t="n">
        <v>8</v>
      </c>
      <c r="C199" s="0" t="s">
        <v>919</v>
      </c>
      <c r="D199" s="0" t="s">
        <v>548</v>
      </c>
      <c r="E199" s="0" t="s">
        <v>239</v>
      </c>
      <c r="F199" s="0" t="n">
        <v>9</v>
      </c>
      <c r="G199" s="0" t="s">
        <v>1037</v>
      </c>
      <c r="H199" s="0" t="s">
        <v>1037</v>
      </c>
      <c r="I199" s="0" t="s">
        <v>1031</v>
      </c>
      <c r="J199" s="0" t="n">
        <v>0</v>
      </c>
      <c r="K199" s="0" t="n">
        <v>198</v>
      </c>
      <c r="L199" s="0" t="str">
        <f aca="false">C199</f>
        <v>Pat Freiermuth</v>
      </c>
      <c r="M199" s="121" t="n">
        <f aca="false">IFERROR(VLOOKUP(E199,RISK!A:B,2,FALSE()),"")</f>
        <v>3</v>
      </c>
      <c r="N199" s="120" t="n">
        <f aca="false">VLOOKUP(E199,Q:R,2,FALSE())</f>
        <v>76.4629411764706</v>
      </c>
      <c r="Q199" s="53" t="s">
        <v>331</v>
      </c>
      <c r="R199" s="120" t="n">
        <f aca="false">Aggregate!BQ53</f>
        <v>105.802538198064</v>
      </c>
    </row>
    <row r="200" customFormat="false" ht="14.25" hidden="false" customHeight="true" outlineLevel="0" collapsed="false">
      <c r="A200" s="0" t="n">
        <v>199</v>
      </c>
      <c r="B200" s="0" t="n">
        <v>8</v>
      </c>
      <c r="C200" s="0" t="s">
        <v>796</v>
      </c>
      <c r="D200" s="0" t="s">
        <v>534</v>
      </c>
      <c r="E200" s="0" t="s">
        <v>409</v>
      </c>
      <c r="F200" s="0" t="n">
        <v>6</v>
      </c>
      <c r="G200" s="0" t="s">
        <v>1036</v>
      </c>
      <c r="H200" s="0" t="s">
        <v>1036</v>
      </c>
      <c r="I200" s="0" t="s">
        <v>1035</v>
      </c>
      <c r="J200" s="0" t="n">
        <v>26</v>
      </c>
      <c r="K200" s="0" t="n">
        <v>199</v>
      </c>
      <c r="L200" s="0" t="str">
        <f aca="false">C200</f>
        <v>Chris Bell</v>
      </c>
      <c r="M200" s="121" t="n">
        <f aca="false">IFERROR(VLOOKUP(E200,RISK!A:B,2,FALSE()),"")</f>
        <v>3.84810126582278</v>
      </c>
      <c r="N200" s="120" t="n">
        <f aca="false">VLOOKUP(E200,Q:R,2,FALSE())</f>
        <v>79.2131124348474</v>
      </c>
      <c r="Q200" s="53" t="s">
        <v>334</v>
      </c>
      <c r="R200" s="120" t="n">
        <f aca="false">Aggregate!BQ54</f>
        <v>104.874787788533</v>
      </c>
    </row>
    <row r="201" customFormat="false" ht="14.25" hidden="false" customHeight="true" outlineLevel="0" collapsed="false">
      <c r="A201" s="0" t="n">
        <v>200</v>
      </c>
      <c r="B201" s="0" t="n">
        <v>8</v>
      </c>
      <c r="C201" s="0" t="s">
        <v>923</v>
      </c>
      <c r="D201" s="0" t="s">
        <v>528</v>
      </c>
      <c r="E201" s="0" t="s">
        <v>243</v>
      </c>
      <c r="F201" s="0" t="n">
        <v>10</v>
      </c>
      <c r="G201" s="0" t="s">
        <v>1033</v>
      </c>
      <c r="H201" s="0" t="s">
        <v>1037</v>
      </c>
      <c r="I201" s="0" t="s">
        <v>1031</v>
      </c>
      <c r="J201" s="0" t="n">
        <v>56</v>
      </c>
      <c r="K201" s="0" t="n">
        <v>200</v>
      </c>
      <c r="L201" s="0" t="str">
        <f aca="false">C201</f>
        <v>Cade Otton</v>
      </c>
      <c r="M201" s="121" t="n">
        <f aca="false">IFERROR(VLOOKUP(E201,RISK!A:B,2,FALSE()),"")</f>
        <v>3</v>
      </c>
      <c r="N201" s="120" t="n">
        <f aca="false">VLOOKUP(E201,Q:R,2,FALSE())</f>
        <v>72.0888235294118</v>
      </c>
      <c r="Q201" s="53" t="s">
        <v>337</v>
      </c>
      <c r="R201" s="120" t="n">
        <f aca="false">Aggregate!BQ55</f>
        <v>104.387393894267</v>
      </c>
    </row>
    <row r="202" customFormat="false" ht="14.25" hidden="false" customHeight="true" outlineLevel="0" collapsed="false">
      <c r="A202" s="0" t="n">
        <v>201</v>
      </c>
      <c r="B202" s="0" t="n">
        <v>8</v>
      </c>
      <c r="C202" s="0" t="s">
        <v>785</v>
      </c>
      <c r="D202" s="0" t="s">
        <v>494</v>
      </c>
      <c r="E202" s="0" t="s">
        <v>412</v>
      </c>
      <c r="F202" s="0" t="n">
        <v>13</v>
      </c>
      <c r="G202" s="0" t="s">
        <v>1036</v>
      </c>
      <c r="H202" s="0" t="s">
        <v>1036</v>
      </c>
      <c r="I202" s="0" t="s">
        <v>1032</v>
      </c>
      <c r="J202" s="0" t="n">
        <v>-51</v>
      </c>
      <c r="K202" s="0" t="n">
        <v>201</v>
      </c>
      <c r="L202" s="0" t="str">
        <f aca="false">C202</f>
        <v>Ja'Kobi Lane</v>
      </c>
      <c r="M202" s="121" t="n">
        <f aca="false">IFERROR(VLOOKUP(E202,RISK!A:B,2,FALSE()),"")</f>
        <v>3.84810126582278</v>
      </c>
      <c r="N202" s="120" t="n">
        <f aca="false">VLOOKUP(E202,Q:R,2,FALSE())</f>
        <v>78.2383246463142</v>
      </c>
      <c r="Q202" s="53" t="s">
        <v>340</v>
      </c>
      <c r="R202" s="120" t="n">
        <f aca="false">Aggregate!BQ56</f>
        <v>104.240402084885</v>
      </c>
    </row>
    <row r="203" customFormat="false" ht="14.25" hidden="false" customHeight="true" outlineLevel="0" collapsed="false">
      <c r="A203" s="0" t="n">
        <v>202</v>
      </c>
      <c r="B203" s="0" t="n">
        <v>8</v>
      </c>
      <c r="C203" s="0" t="s">
        <v>822</v>
      </c>
      <c r="D203" s="0" t="s">
        <v>552</v>
      </c>
      <c r="E203" s="0" t="s">
        <v>415</v>
      </c>
      <c r="F203" s="0" t="n">
        <v>11</v>
      </c>
      <c r="G203" s="0" t="s">
        <v>1037</v>
      </c>
      <c r="H203" s="0" t="s">
        <v>1036</v>
      </c>
      <c r="I203" s="0" t="s">
        <v>1035</v>
      </c>
      <c r="J203" s="0" t="n">
        <v>53</v>
      </c>
      <c r="K203" s="0" t="n">
        <v>202</v>
      </c>
      <c r="L203" s="0" t="str">
        <f aca="false">C203</f>
        <v>Zachariah Branch</v>
      </c>
      <c r="M203" s="121" t="n">
        <f aca="false">IFERROR(VLOOKUP(E203,RISK!A:B,2,FALSE()),"")</f>
        <v>3.84810126582278</v>
      </c>
      <c r="N203" s="120" t="n">
        <f aca="false">VLOOKUP(E203,Q:R,2,FALSE())</f>
        <v>75.5924720774386</v>
      </c>
      <c r="Q203" s="53" t="s">
        <v>343</v>
      </c>
      <c r="R203" s="120" t="n">
        <f aca="false">Aggregate!BQ57</f>
        <v>102.244408041698</v>
      </c>
    </row>
    <row r="204" customFormat="false" ht="14.25" hidden="false" customHeight="true" outlineLevel="0" collapsed="false">
      <c r="A204" s="0" t="n">
        <v>203</v>
      </c>
      <c r="B204" s="0" t="n">
        <v>8</v>
      </c>
      <c r="C204" s="0" t="s">
        <v>547</v>
      </c>
      <c r="D204" s="0" t="s">
        <v>548</v>
      </c>
      <c r="E204" s="0" t="s">
        <v>240</v>
      </c>
      <c r="F204" s="0" t="n">
        <v>9</v>
      </c>
      <c r="G204" s="0" t="s">
        <v>1029</v>
      </c>
      <c r="H204" s="0" t="s">
        <v>1036</v>
      </c>
      <c r="I204" s="0" t="s">
        <v>1031</v>
      </c>
      <c r="J204" s="0" t="n">
        <v>-27</v>
      </c>
      <c r="K204" s="0" t="n">
        <v>203</v>
      </c>
      <c r="L204" s="0" t="str">
        <f aca="false">C204</f>
        <v>Aaron Rodgers</v>
      </c>
      <c r="M204" s="121" t="n">
        <f aca="false">IFERROR(VLOOKUP(E204,RISK!A:B,2,FALSE()),"")</f>
        <v>3.2</v>
      </c>
      <c r="N204" s="120" t="n">
        <f aca="false">VLOOKUP(E204,Q:R,2,FALSE())</f>
        <v>186.801670588235</v>
      </c>
      <c r="Q204" s="53" t="s">
        <v>346</v>
      </c>
      <c r="R204" s="120" t="n">
        <f aca="false">Aggregate!BQ58</f>
        <v>100.403142218913</v>
      </c>
    </row>
    <row r="205" customFormat="false" ht="14.25" hidden="false" customHeight="true" outlineLevel="0" collapsed="false">
      <c r="A205" s="0" t="n">
        <v>204</v>
      </c>
      <c r="B205" s="0" t="n">
        <v>8</v>
      </c>
      <c r="C205" s="0" t="s">
        <v>691</v>
      </c>
      <c r="D205" s="0" t="s">
        <v>496</v>
      </c>
      <c r="E205" s="0" t="s">
        <v>369</v>
      </c>
      <c r="F205" s="0" t="n">
        <v>7</v>
      </c>
      <c r="G205" s="0" t="s">
        <v>1037</v>
      </c>
      <c r="H205" s="0" t="s">
        <v>1036</v>
      </c>
      <c r="I205" s="0" t="s">
        <v>1032</v>
      </c>
      <c r="J205" s="0" t="n">
        <v>42</v>
      </c>
      <c r="K205" s="0" t="n">
        <v>204</v>
      </c>
      <c r="L205" s="0" t="str">
        <f aca="false">C205</f>
        <v>Kaytron Allen</v>
      </c>
      <c r="M205" s="121" t="n">
        <f aca="false">IFERROR(VLOOKUP(E205,RISK!A:B,2,FALSE()),"")</f>
        <v>4</v>
      </c>
      <c r="N205" s="120" t="n">
        <f aca="false">VLOOKUP(E205,Q:R,2,FALSE())</f>
        <v>60.5511552941177</v>
      </c>
      <c r="Q205" s="53" t="s">
        <v>349</v>
      </c>
      <c r="R205" s="120" t="n">
        <f aca="false">Aggregate!BQ59</f>
        <v>99.7610201042442</v>
      </c>
    </row>
    <row r="206" customFormat="false" ht="14.25" hidden="false" customHeight="true" outlineLevel="0" collapsed="false">
      <c r="A206" s="0" t="n">
        <v>205</v>
      </c>
      <c r="B206" s="0" t="n">
        <v>8</v>
      </c>
      <c r="C206" s="0" t="s">
        <v>1050</v>
      </c>
      <c r="D206" s="0" t="s">
        <v>498</v>
      </c>
      <c r="E206" s="0" t="s">
        <v>1051</v>
      </c>
      <c r="F206" s="0" t="n">
        <v>11</v>
      </c>
      <c r="G206" s="0" t="s">
        <v>1038</v>
      </c>
      <c r="H206" s="0" t="s">
        <v>1038</v>
      </c>
      <c r="I206" s="0" t="s">
        <v>1035</v>
      </c>
      <c r="J206" s="0" t="n">
        <v>-41</v>
      </c>
      <c r="K206" s="0" t="n">
        <v>205</v>
      </c>
      <c r="L206" s="0" t="str">
        <f aca="false">C206</f>
        <v>New England Patriots</v>
      </c>
      <c r="M206" s="121" t="str">
        <f aca="false">IFERROR(VLOOKUP(E206,RISK!A:B,2,FALSE()),"")</f>
        <v/>
      </c>
      <c r="N206" s="120" t="e">
        <f aca="false">VLOOKUP(E206,Q:R,2,FALSE())</f>
        <v>#N/A</v>
      </c>
      <c r="Q206" s="53" t="s">
        <v>352</v>
      </c>
      <c r="R206" s="120" t="n">
        <f aca="false">Aggregate!BQ60</f>
        <v>98.3529932985853</v>
      </c>
    </row>
    <row r="207" customFormat="false" ht="14.25" hidden="false" customHeight="true" outlineLevel="0" collapsed="false">
      <c r="A207" s="0" t="n">
        <v>206</v>
      </c>
      <c r="B207" s="0" t="n">
        <v>8</v>
      </c>
      <c r="C207" s="0" t="s">
        <v>1052</v>
      </c>
      <c r="D207" s="0" t="s">
        <v>522</v>
      </c>
      <c r="E207" s="0" t="s">
        <v>1053</v>
      </c>
      <c r="F207" s="0" t="n">
        <v>6</v>
      </c>
      <c r="G207" s="0" t="s">
        <v>1038</v>
      </c>
      <c r="H207" s="0" t="s">
        <v>1038</v>
      </c>
      <c r="I207" s="0" t="s">
        <v>1034</v>
      </c>
      <c r="J207" s="0" t="n">
        <v>-21</v>
      </c>
      <c r="K207" s="0" t="n">
        <v>206</v>
      </c>
      <c r="L207" s="0" t="str">
        <f aca="false">C207</f>
        <v>Minnesota Vikings</v>
      </c>
      <c r="M207" s="121" t="str">
        <f aca="false">IFERROR(VLOOKUP(E207,RISK!A:B,2,FALSE()),"")</f>
        <v/>
      </c>
      <c r="N207" s="120" t="e">
        <f aca="false">VLOOKUP(E207,Q:R,2,FALSE())</f>
        <v>#N/A</v>
      </c>
      <c r="Q207" s="53" t="s">
        <v>355</v>
      </c>
      <c r="R207" s="120" t="n">
        <f aca="false">Aggregate!BQ61</f>
        <v>97.664452717796</v>
      </c>
    </row>
    <row r="208" customFormat="false" ht="14.25" hidden="false" customHeight="true" outlineLevel="0" collapsed="false">
      <c r="A208" s="0" t="n">
        <v>207</v>
      </c>
      <c r="B208" s="0" t="n">
        <v>8</v>
      </c>
      <c r="C208" s="0" t="s">
        <v>1054</v>
      </c>
      <c r="D208" s="0" t="s">
        <v>548</v>
      </c>
      <c r="E208" s="0" t="s">
        <v>1055</v>
      </c>
      <c r="F208" s="0" t="n">
        <v>9</v>
      </c>
      <c r="G208" s="0" t="s">
        <v>1038</v>
      </c>
      <c r="H208" s="0" t="s">
        <v>1038</v>
      </c>
      <c r="I208" s="0" t="s">
        <v>1030</v>
      </c>
      <c r="J208" s="0" t="n">
        <v>-16</v>
      </c>
      <c r="K208" s="0" t="n">
        <v>207</v>
      </c>
      <c r="L208" s="0" t="str">
        <f aca="false">C208</f>
        <v>Pittsburgh Steelers</v>
      </c>
      <c r="M208" s="121" t="str">
        <f aca="false">IFERROR(VLOOKUP(E208,RISK!A:B,2,FALSE()),"")</f>
        <v/>
      </c>
      <c r="N208" s="120" t="e">
        <f aca="false">VLOOKUP(E208,Q:R,2,FALSE())</f>
        <v>#N/A</v>
      </c>
      <c r="Q208" s="53" t="s">
        <v>358</v>
      </c>
      <c r="R208" s="120" t="n">
        <f aca="false">Aggregate!BQ62</f>
        <v>96.4498361876396</v>
      </c>
    </row>
    <row r="209" customFormat="false" ht="14.25" hidden="false" customHeight="true" outlineLevel="0" collapsed="false">
      <c r="A209" s="0" t="n">
        <v>208</v>
      </c>
      <c r="B209" s="0" t="n">
        <v>8</v>
      </c>
      <c r="C209" s="0" t="s">
        <v>814</v>
      </c>
      <c r="D209" s="0" t="s">
        <v>504</v>
      </c>
      <c r="E209" s="0" t="s">
        <v>418</v>
      </c>
      <c r="F209" s="0" t="n">
        <v>8</v>
      </c>
      <c r="G209" s="0" t="s">
        <v>1036</v>
      </c>
      <c r="H209" s="0" t="s">
        <v>1036</v>
      </c>
      <c r="I209" s="0" t="s">
        <v>1032</v>
      </c>
      <c r="J209" s="0" t="n">
        <v>10</v>
      </c>
      <c r="K209" s="0" t="n">
        <v>208</v>
      </c>
      <c r="L209" s="0" t="str">
        <f aca="false">C209</f>
        <v>Malachi Fields</v>
      </c>
      <c r="M209" s="121" t="n">
        <f aca="false">IFERROR(VLOOKUP(E209,RISK!A:B,2,FALSE()),"")</f>
        <v>3.84810126582278</v>
      </c>
      <c r="N209" s="120" t="n">
        <f aca="false">VLOOKUP(E209,Q:R,2,FALSE())</f>
        <v>73.2173938942666</v>
      </c>
      <c r="Q209" s="53" t="s">
        <v>361</v>
      </c>
      <c r="R209" s="120" t="n">
        <f aca="false">Aggregate!BQ63</f>
        <v>94.1329358153388</v>
      </c>
    </row>
    <row r="210" customFormat="false" ht="14.25" hidden="false" customHeight="true" outlineLevel="0" collapsed="false">
      <c r="A210" s="0" t="n">
        <v>209</v>
      </c>
      <c r="B210" s="0" t="n">
        <v>8</v>
      </c>
      <c r="C210" s="0" t="s">
        <v>1056</v>
      </c>
      <c r="D210" s="0" t="s">
        <v>506</v>
      </c>
      <c r="E210" s="0" t="s">
        <v>1057</v>
      </c>
      <c r="F210" s="0" t="n">
        <v>7</v>
      </c>
      <c r="G210" s="0" t="s">
        <v>1038</v>
      </c>
      <c r="H210" s="0" t="s">
        <v>1038</v>
      </c>
      <c r="I210" s="0" t="s">
        <v>1035</v>
      </c>
      <c r="J210" s="0" t="n">
        <v>-23</v>
      </c>
      <c r="K210" s="0" t="n">
        <v>209</v>
      </c>
      <c r="L210" s="0" t="str">
        <f aca="false">C210</f>
        <v>Jacksonville Jaguars</v>
      </c>
      <c r="M210" s="121" t="str">
        <f aca="false">IFERROR(VLOOKUP(E210,RISK!A:B,2,FALSE()),"")</f>
        <v/>
      </c>
      <c r="N210" s="120" t="e">
        <f aca="false">VLOOKUP(E210,Q:R,2,FALSE())</f>
        <v>#N/A</v>
      </c>
      <c r="Q210" s="53" t="s">
        <v>364</v>
      </c>
      <c r="R210" s="120" t="n">
        <f aca="false">Aggregate!BQ64</f>
        <v>93.4533694713329</v>
      </c>
    </row>
    <row r="211" customFormat="false" ht="14.25" hidden="false" customHeight="true" outlineLevel="0" collapsed="false">
      <c r="A211" s="0" t="n">
        <v>210</v>
      </c>
      <c r="B211" s="0" t="n">
        <v>8</v>
      </c>
      <c r="C211" s="0" t="s">
        <v>811</v>
      </c>
      <c r="D211" s="0" t="s">
        <v>524</v>
      </c>
      <c r="E211" s="0" t="s">
        <v>421</v>
      </c>
      <c r="F211" s="0" t="n">
        <v>6</v>
      </c>
      <c r="G211" s="0" t="s">
        <v>1037</v>
      </c>
      <c r="H211" s="0" t="s">
        <v>1036</v>
      </c>
      <c r="I211" s="0" t="s">
        <v>1032</v>
      </c>
      <c r="J211" s="0" t="n">
        <v>0</v>
      </c>
      <c r="K211" s="0" t="n">
        <v>210</v>
      </c>
      <c r="L211" s="0" t="str">
        <f aca="false">C211</f>
        <v>Isaac TeSlaa</v>
      </c>
      <c r="M211" s="121" t="n">
        <f aca="false">IFERROR(VLOOKUP(E211,RISK!A:B,2,FALSE()),"")</f>
        <v>3.84810126582278</v>
      </c>
      <c r="N211" s="120" t="n">
        <f aca="false">VLOOKUP(E211,Q:R,2,FALSE())</f>
        <v>68.0881533879375</v>
      </c>
      <c r="Q211" s="53" t="s">
        <v>367</v>
      </c>
      <c r="R211" s="120" t="n">
        <f aca="false">Aggregate!BQ65</f>
        <v>93.1302969471333</v>
      </c>
    </row>
    <row r="212" customFormat="false" ht="14.25" hidden="false" customHeight="true" outlineLevel="0" collapsed="false">
      <c r="A212" s="0" t="n">
        <v>211</v>
      </c>
      <c r="B212" s="0" t="n">
        <v>8</v>
      </c>
      <c r="C212" s="0" t="s">
        <v>655</v>
      </c>
      <c r="D212" s="0" t="s">
        <v>508</v>
      </c>
      <c r="E212" s="0" t="s">
        <v>372</v>
      </c>
      <c r="F212" s="0" t="n">
        <v>8</v>
      </c>
      <c r="G212" s="0" t="s">
        <v>1036</v>
      </c>
      <c r="H212" s="0" t="s">
        <v>1036</v>
      </c>
      <c r="I212" s="0" t="s">
        <v>1031</v>
      </c>
      <c r="J212" s="0" t="n">
        <v>-51</v>
      </c>
      <c r="K212" s="0" t="n">
        <v>211</v>
      </c>
      <c r="L212" s="0" t="str">
        <f aca="false">C212</f>
        <v>Kaelon Black</v>
      </c>
      <c r="M212" s="121" t="n">
        <f aca="false">IFERROR(VLOOKUP(E212,RISK!A:B,2,FALSE()),"")</f>
        <v>4</v>
      </c>
      <c r="N212" s="120" t="n">
        <f aca="false">VLOOKUP(E212,Q:R,2,FALSE())</f>
        <v>59.6950950588235</v>
      </c>
      <c r="Q212" s="53" t="s">
        <v>370</v>
      </c>
      <c r="R212" s="120" t="n">
        <f aca="false">Aggregate!BQ66</f>
        <v>92.071955919583</v>
      </c>
    </row>
    <row r="213" customFormat="false" ht="14.25" hidden="false" customHeight="true" outlineLevel="0" collapsed="false">
      <c r="A213" s="0" t="n">
        <v>212</v>
      </c>
      <c r="B213" s="0" t="n">
        <v>8</v>
      </c>
      <c r="C213" s="0" t="s">
        <v>1058</v>
      </c>
      <c r="D213" s="0" t="s">
        <v>516</v>
      </c>
      <c r="E213" s="0" t="s">
        <v>1059</v>
      </c>
      <c r="F213" s="0" t="n">
        <v>7</v>
      </c>
      <c r="G213" s="0" t="s">
        <v>1038</v>
      </c>
      <c r="H213" s="0" t="s">
        <v>1038</v>
      </c>
      <c r="I213" s="0" t="s">
        <v>1035</v>
      </c>
      <c r="J213" s="0" t="n">
        <v>-17</v>
      </c>
      <c r="K213" s="0" t="n">
        <v>212</v>
      </c>
      <c r="L213" s="0" t="str">
        <f aca="false">C213</f>
        <v>Los Angeles Chargers</v>
      </c>
      <c r="M213" s="121" t="str">
        <f aca="false">IFERROR(VLOOKUP(E213,RISK!A:B,2,FALSE()),"")</f>
        <v/>
      </c>
      <c r="N213" s="120" t="e">
        <f aca="false">VLOOKUP(E213,Q:R,2,FALSE())</f>
        <v>#N/A</v>
      </c>
      <c r="Q213" s="53" t="s">
        <v>373</v>
      </c>
      <c r="R213" s="120" t="n">
        <f aca="false">Aggregate!BQ67</f>
        <v>91.2531341772152</v>
      </c>
    </row>
    <row r="214" customFormat="false" ht="14.25" hidden="false" customHeight="true" outlineLevel="0" collapsed="false">
      <c r="A214" s="0" t="n">
        <v>213</v>
      </c>
      <c r="B214" s="0" t="n">
        <v>8</v>
      </c>
      <c r="C214" s="0" t="s">
        <v>790</v>
      </c>
      <c r="D214" s="0" t="s">
        <v>536</v>
      </c>
      <c r="E214" s="0" t="s">
        <v>424</v>
      </c>
      <c r="F214" s="0" t="n">
        <v>11</v>
      </c>
      <c r="G214" s="0" t="s">
        <v>1033</v>
      </c>
      <c r="H214" s="0" t="s">
        <v>1036</v>
      </c>
      <c r="I214" s="0" t="s">
        <v>1035</v>
      </c>
      <c r="J214" s="0" t="n">
        <v>-16</v>
      </c>
      <c r="K214" s="0" t="n">
        <v>213</v>
      </c>
      <c r="L214" s="0" t="str">
        <f aca="false">C214</f>
        <v>Cooper Kupp</v>
      </c>
      <c r="M214" s="121" t="n">
        <f aca="false">IFERROR(VLOOKUP(E214,RISK!A:B,2,FALSE()),"")</f>
        <v>3.84810126582278</v>
      </c>
      <c r="N214" s="120" t="n">
        <f aca="false">VLOOKUP(E214,Q:R,2,FALSE())</f>
        <v>64.7460238272524</v>
      </c>
      <c r="Q214" s="53" t="s">
        <v>376</v>
      </c>
      <c r="R214" s="120" t="n">
        <f aca="false">Aggregate!BQ68</f>
        <v>91.0358957557707</v>
      </c>
    </row>
    <row r="215" customFormat="false" ht="14.25" hidden="false" customHeight="true" outlineLevel="0" collapsed="false">
      <c r="A215" s="0" t="n">
        <v>214</v>
      </c>
      <c r="B215" s="0" t="n">
        <v>8</v>
      </c>
      <c r="C215" s="0" t="s">
        <v>682</v>
      </c>
      <c r="D215" s="0" t="s">
        <v>536</v>
      </c>
      <c r="E215" s="0" t="s">
        <v>375</v>
      </c>
      <c r="F215" s="0" t="n">
        <v>11</v>
      </c>
      <c r="G215" s="0" t="s">
        <v>1037</v>
      </c>
      <c r="H215" s="0" t="s">
        <v>1036</v>
      </c>
      <c r="I215" s="0" t="s">
        <v>1032</v>
      </c>
      <c r="J215" s="0" t="n">
        <v>47</v>
      </c>
      <c r="K215" s="0" t="n">
        <v>214</v>
      </c>
      <c r="L215" s="0" t="str">
        <f aca="false">C215</f>
        <v>George Holani</v>
      </c>
      <c r="M215" s="121" t="n">
        <f aca="false">IFERROR(VLOOKUP(E215,RISK!A:B,2,FALSE()),"")</f>
        <v>4</v>
      </c>
      <c r="N215" s="120" t="n">
        <f aca="false">VLOOKUP(E215,Q:R,2,FALSE())</f>
        <v>57.7582352941176</v>
      </c>
      <c r="Q215" s="53" t="s">
        <v>379</v>
      </c>
      <c r="R215" s="120" t="n">
        <f aca="false">Aggregate!BQ69</f>
        <v>90.9415115413254</v>
      </c>
    </row>
    <row r="216" customFormat="false" ht="14.25" hidden="false" customHeight="true" outlineLevel="0" collapsed="false">
      <c r="A216" s="0" t="n">
        <v>215</v>
      </c>
      <c r="B216" s="0" t="n">
        <v>8</v>
      </c>
      <c r="C216" s="0" t="s">
        <v>1060</v>
      </c>
      <c r="D216" s="0" t="s">
        <v>494</v>
      </c>
      <c r="E216" s="0" t="s">
        <v>1061</v>
      </c>
      <c r="F216" s="0" t="n">
        <v>13</v>
      </c>
      <c r="G216" s="0" t="s">
        <v>1038</v>
      </c>
      <c r="H216" s="0" t="s">
        <v>1038</v>
      </c>
      <c r="I216" s="0" t="s">
        <v>1030</v>
      </c>
      <c r="J216" s="0" t="n">
        <v>-27</v>
      </c>
      <c r="K216" s="0" t="n">
        <v>215</v>
      </c>
      <c r="L216" s="0" t="str">
        <f aca="false">C216</f>
        <v>Baltimore Ravens</v>
      </c>
      <c r="M216" s="121" t="str">
        <f aca="false">IFERROR(VLOOKUP(E216,RISK!A:B,2,FALSE()),"")</f>
        <v/>
      </c>
      <c r="N216" s="120" t="e">
        <f aca="false">VLOOKUP(E216,Q:R,2,FALSE())</f>
        <v>#N/A</v>
      </c>
      <c r="Q216" s="53" t="s">
        <v>382</v>
      </c>
      <c r="R216" s="120" t="n">
        <f aca="false">Aggregate!BQ70</f>
        <v>88.8294713328369</v>
      </c>
    </row>
    <row r="217" customFormat="false" ht="14.25" hidden="false" customHeight="true" outlineLevel="0" collapsed="false">
      <c r="A217" s="0" t="n">
        <v>216</v>
      </c>
      <c r="B217" s="0" t="n">
        <v>8</v>
      </c>
      <c r="C217" s="0" t="s">
        <v>541</v>
      </c>
      <c r="D217" s="0" t="s">
        <v>542</v>
      </c>
      <c r="E217" s="0" t="s">
        <v>244</v>
      </c>
      <c r="F217" s="0" t="n">
        <v>13</v>
      </c>
      <c r="G217" s="0" t="s">
        <v>1033</v>
      </c>
      <c r="H217" s="0" t="s">
        <v>1036</v>
      </c>
      <c r="I217" s="0" t="s">
        <v>1032</v>
      </c>
      <c r="J217" s="0" t="n">
        <v>19</v>
      </c>
      <c r="K217" s="0" t="n">
        <v>216</v>
      </c>
      <c r="L217" s="0" t="str">
        <f aca="false">C217</f>
        <v>Geno Smith</v>
      </c>
      <c r="M217" s="121" t="n">
        <f aca="false">IFERROR(VLOOKUP(E217,RISK!A:B,2,FALSE()),"")</f>
        <v>3.2</v>
      </c>
      <c r="N217" s="120" t="n">
        <f aca="false">VLOOKUP(E217,Q:R,2,FALSE())</f>
        <v>182.148635294118</v>
      </c>
      <c r="Q217" s="53" t="s">
        <v>385</v>
      </c>
      <c r="R217" s="120" t="n">
        <f aca="false">Aggregate!BQ71</f>
        <v>88.017148175726</v>
      </c>
    </row>
    <row r="218" customFormat="false" ht="14.25" hidden="false" customHeight="true" outlineLevel="0" collapsed="false">
      <c r="A218" s="0" t="n">
        <v>217</v>
      </c>
      <c r="B218" s="0" t="n">
        <v>8</v>
      </c>
      <c r="C218" s="0" t="s">
        <v>663</v>
      </c>
      <c r="D218" s="0" t="s">
        <v>504</v>
      </c>
      <c r="E218" s="0" t="s">
        <v>378</v>
      </c>
      <c r="F218" s="0" t="n">
        <v>8</v>
      </c>
      <c r="G218" s="0" t="s">
        <v>1033</v>
      </c>
      <c r="H218" s="0" t="s">
        <v>1036</v>
      </c>
      <c r="I218" s="0" t="s">
        <v>1032</v>
      </c>
      <c r="J218" s="0" t="n">
        <v>45</v>
      </c>
      <c r="K218" s="0" t="n">
        <v>217</v>
      </c>
      <c r="L218" s="0" t="str">
        <f aca="false">C218</f>
        <v>Najee Harris</v>
      </c>
      <c r="M218" s="121" t="n">
        <f aca="false">IFERROR(VLOOKUP(E218,RISK!A:B,2,FALSE()),"")</f>
        <v>4</v>
      </c>
      <c r="N218" s="120" t="n">
        <f aca="false">VLOOKUP(E218,Q:R,2,FALSE())</f>
        <v>54.9211764705882</v>
      </c>
      <c r="Q218" s="53" t="s">
        <v>388</v>
      </c>
      <c r="R218" s="120" t="n">
        <f aca="false">Aggregate!BQ72</f>
        <v>87.1816157855547</v>
      </c>
    </row>
    <row r="219" customFormat="false" ht="14.25" hidden="false" customHeight="true" outlineLevel="0" collapsed="false">
      <c r="A219" s="0" t="n">
        <v>218</v>
      </c>
      <c r="B219" s="0" t="n">
        <v>8</v>
      </c>
      <c r="C219" s="0" t="s">
        <v>668</v>
      </c>
      <c r="D219" s="0" t="s">
        <v>534</v>
      </c>
      <c r="E219" s="0" t="s">
        <v>381</v>
      </c>
      <c r="F219" s="0" t="n">
        <v>6</v>
      </c>
      <c r="G219" s="0" t="s">
        <v>1038</v>
      </c>
      <c r="H219" s="0" t="s">
        <v>1038</v>
      </c>
      <c r="I219" s="0" t="s">
        <v>1035</v>
      </c>
      <c r="J219" s="0" t="n">
        <v>24</v>
      </c>
      <c r="K219" s="0" t="n">
        <v>218</v>
      </c>
      <c r="L219" s="0" t="str">
        <f aca="false">C219</f>
        <v>Jaylen Wright</v>
      </c>
      <c r="M219" s="121" t="n">
        <f aca="false">IFERROR(VLOOKUP(E219,RISK!A:B,2,FALSE()),"")</f>
        <v>4</v>
      </c>
      <c r="N219" s="120" t="n">
        <f aca="false">VLOOKUP(E219,Q:R,2,FALSE())</f>
        <v>53.9576470588235</v>
      </c>
      <c r="Q219" s="53" t="s">
        <v>391</v>
      </c>
      <c r="R219" s="120" t="n">
        <f aca="false">Aggregate!BQ73</f>
        <v>85.2475130305287</v>
      </c>
    </row>
    <row r="220" customFormat="false" ht="14.25" hidden="false" customHeight="true" outlineLevel="0" collapsed="false">
      <c r="A220" s="0" t="n">
        <v>219</v>
      </c>
      <c r="B220" s="0" t="n">
        <v>8</v>
      </c>
      <c r="C220" s="0" t="s">
        <v>1062</v>
      </c>
      <c r="D220" s="0" t="s">
        <v>510</v>
      </c>
      <c r="E220" s="0" t="s">
        <v>1063</v>
      </c>
      <c r="F220" s="0" t="n">
        <v>14</v>
      </c>
      <c r="G220" s="0" t="s">
        <v>1028</v>
      </c>
      <c r="H220" s="0" t="s">
        <v>1029</v>
      </c>
      <c r="I220" s="0" t="s">
        <v>1031</v>
      </c>
      <c r="J220" s="0" t="n">
        <v>-103</v>
      </c>
      <c r="K220" s="0" t="n">
        <v>219</v>
      </c>
      <c r="L220" s="0" t="str">
        <f aca="false">C220</f>
        <v>Brandon Aubrey</v>
      </c>
      <c r="M220" s="121" t="str">
        <f aca="false">IFERROR(VLOOKUP(E220,RISK!A:B,2,FALSE()),"")</f>
        <v/>
      </c>
      <c r="N220" s="120" t="e">
        <f aca="false">VLOOKUP(E220,Q:R,2,FALSE())</f>
        <v>#N/A</v>
      </c>
      <c r="Q220" s="53" t="s">
        <v>394</v>
      </c>
      <c r="R220" s="120" t="n">
        <f aca="false">Aggregate!BQ74</f>
        <v>85.1546760982874</v>
      </c>
    </row>
    <row r="221" customFormat="false" ht="14.25" hidden="false" customHeight="true" outlineLevel="0" collapsed="false">
      <c r="A221" s="0" t="n">
        <v>220</v>
      </c>
      <c r="B221" s="0" t="n">
        <v>8</v>
      </c>
      <c r="C221" s="0" t="s">
        <v>1064</v>
      </c>
      <c r="D221" s="0" t="s">
        <v>512</v>
      </c>
      <c r="E221" s="0" t="s">
        <v>1065</v>
      </c>
      <c r="F221" s="0" t="n">
        <v>5</v>
      </c>
      <c r="G221" s="0" t="s">
        <v>1038</v>
      </c>
      <c r="H221" s="0" t="s">
        <v>1038</v>
      </c>
      <c r="I221" s="0" t="s">
        <v>1035</v>
      </c>
      <c r="J221" s="0" t="n">
        <v>1</v>
      </c>
      <c r="K221" s="0" t="n">
        <v>220</v>
      </c>
      <c r="L221" s="0" t="str">
        <f aca="false">C221</f>
        <v>Kansas City Chiefs</v>
      </c>
      <c r="M221" s="121" t="str">
        <f aca="false">IFERROR(VLOOKUP(E221,RISK!A:B,2,FALSE()),"")</f>
        <v/>
      </c>
      <c r="N221" s="120" t="e">
        <f aca="false">VLOOKUP(E221,Q:R,2,FALSE())</f>
        <v>#N/A</v>
      </c>
      <c r="Q221" s="53" t="s">
        <v>397</v>
      </c>
      <c r="R221" s="120" t="n">
        <f aca="false">Aggregate!BQ75</f>
        <v>83.042635889799</v>
      </c>
    </row>
    <row r="222" customFormat="false" ht="14.25" hidden="false" customHeight="true" outlineLevel="0" collapsed="false">
      <c r="A222" s="0" t="n">
        <v>221</v>
      </c>
      <c r="B222" s="0" t="n">
        <v>8</v>
      </c>
      <c r="C222" s="0" t="s">
        <v>1066</v>
      </c>
      <c r="D222" s="0" t="s">
        <v>516</v>
      </c>
      <c r="E222" s="0" t="s">
        <v>1067</v>
      </c>
      <c r="F222" s="0" t="n">
        <v>7</v>
      </c>
      <c r="G222" s="0" t="s">
        <v>1028</v>
      </c>
      <c r="H222" s="0" t="s">
        <v>1029</v>
      </c>
      <c r="I222" s="0" t="s">
        <v>1031</v>
      </c>
      <c r="J222" s="0" t="n">
        <v>-88</v>
      </c>
      <c r="K222" s="0" t="n">
        <v>221</v>
      </c>
      <c r="L222" s="0" t="str">
        <f aca="false">C222</f>
        <v>Cameron Dicker</v>
      </c>
      <c r="M222" s="121" t="str">
        <f aca="false">IFERROR(VLOOKUP(E222,RISK!A:B,2,FALSE()),"")</f>
        <v/>
      </c>
      <c r="N222" s="120" t="e">
        <f aca="false">VLOOKUP(E222,Q:R,2,FALSE())</f>
        <v>#N/A</v>
      </c>
      <c r="Q222" s="53" t="s">
        <v>400</v>
      </c>
      <c r="R222" s="120" t="n">
        <f aca="false">Aggregate!BQ76</f>
        <v>82.3073673864483</v>
      </c>
    </row>
    <row r="223" customFormat="false" ht="14.25" hidden="false" customHeight="true" outlineLevel="0" collapsed="false">
      <c r="A223" s="0" t="n">
        <v>222</v>
      </c>
      <c r="B223" s="0" t="n">
        <v>8</v>
      </c>
      <c r="C223" s="0" t="s">
        <v>831</v>
      </c>
      <c r="D223" s="0" t="s">
        <v>504</v>
      </c>
      <c r="E223" s="0" t="s">
        <v>427</v>
      </c>
      <c r="F223" s="0" t="n">
        <v>8</v>
      </c>
      <c r="G223" s="0" t="s">
        <v>1037</v>
      </c>
      <c r="H223" s="0" t="s">
        <v>1036</v>
      </c>
      <c r="I223" s="0" t="s">
        <v>1032</v>
      </c>
      <c r="J223" s="0" t="n">
        <v>77</v>
      </c>
      <c r="K223" s="0" t="n">
        <v>222</v>
      </c>
      <c r="L223" s="0" t="str">
        <f aca="false">C223</f>
        <v>Darnell Mooney</v>
      </c>
      <c r="M223" s="121" t="n">
        <f aca="false">IFERROR(VLOOKUP(E223,RISK!A:B,2,FALSE()),"")</f>
        <v>3.84810126582278</v>
      </c>
      <c r="N223" s="120" t="n">
        <f aca="false">VLOOKUP(E223,Q:R,2,FALSE())</f>
        <v>64.4520402084885</v>
      </c>
      <c r="Q223" s="53" t="s">
        <v>403</v>
      </c>
      <c r="R223" s="120" t="n">
        <f aca="false">Aggregate!BQ77</f>
        <v>81.2942069992554</v>
      </c>
    </row>
    <row r="224" customFormat="false" ht="14.25" hidden="false" customHeight="true" outlineLevel="0" collapsed="false">
      <c r="A224" s="0" t="n">
        <v>223</v>
      </c>
      <c r="B224" s="0" t="n">
        <v>8</v>
      </c>
      <c r="C224" s="0" t="s">
        <v>646</v>
      </c>
      <c r="D224" s="0" t="s">
        <v>494</v>
      </c>
      <c r="E224" s="0" t="s">
        <v>384</v>
      </c>
      <c r="F224" s="0" t="n">
        <v>13</v>
      </c>
      <c r="G224" s="0" t="s">
        <v>1038</v>
      </c>
      <c r="H224" s="0" t="s">
        <v>1038</v>
      </c>
      <c r="I224" s="0" t="s">
        <v>1035</v>
      </c>
      <c r="J224" s="0" t="n">
        <v>0</v>
      </c>
      <c r="K224" s="0" t="n">
        <v>223</v>
      </c>
      <c r="L224" s="0" t="str">
        <f aca="false">C224</f>
        <v>Justice Hill</v>
      </c>
      <c r="M224" s="121" t="n">
        <f aca="false">IFERROR(VLOOKUP(E224,RISK!A:B,2,FALSE()),"")</f>
        <v>4</v>
      </c>
      <c r="N224" s="120" t="n">
        <f aca="false">VLOOKUP(E224,Q:R,2,FALSE())</f>
        <v>52.7264705882353</v>
      </c>
      <c r="Q224" s="53" t="s">
        <v>406</v>
      </c>
      <c r="R224" s="120" t="n">
        <f aca="false">Aggregate!BQ78</f>
        <v>80.2129661950856</v>
      </c>
    </row>
    <row r="225" customFormat="false" ht="14.25" hidden="false" customHeight="true" outlineLevel="0" collapsed="false">
      <c r="A225" s="0" t="n">
        <v>224</v>
      </c>
      <c r="B225" s="0" t="n">
        <v>8</v>
      </c>
      <c r="C225" s="0" t="s">
        <v>672</v>
      </c>
      <c r="D225" s="0" t="s">
        <v>546</v>
      </c>
      <c r="E225" s="0" t="s">
        <v>387</v>
      </c>
      <c r="F225" s="0" t="n">
        <v>14</v>
      </c>
      <c r="G225" s="0" t="s">
        <v>1037</v>
      </c>
      <c r="H225" s="0" t="s">
        <v>1036</v>
      </c>
      <c r="I225" s="0" t="s">
        <v>1031</v>
      </c>
      <c r="J225" s="0" t="n">
        <v>-15</v>
      </c>
      <c r="K225" s="0" t="n">
        <v>224</v>
      </c>
      <c r="L225" s="0" t="str">
        <f aca="false">C225</f>
        <v>James Conner</v>
      </c>
      <c r="M225" s="121" t="n">
        <f aca="false">IFERROR(VLOOKUP(E225,RISK!A:B,2,FALSE()),"")</f>
        <v>4</v>
      </c>
      <c r="N225" s="120" t="n">
        <f aca="false">VLOOKUP(E225,Q:R,2,FALSE())</f>
        <v>52.5582352941177</v>
      </c>
      <c r="Q225" s="53" t="s">
        <v>409</v>
      </c>
      <c r="R225" s="120" t="n">
        <f aca="false">Aggregate!BQ79</f>
        <v>79.2131124348474</v>
      </c>
    </row>
    <row r="226" customFormat="false" ht="14.25" hidden="false" customHeight="true" outlineLevel="0" collapsed="false">
      <c r="A226" s="0" t="n">
        <v>225</v>
      </c>
      <c r="B226" s="0" t="n">
        <v>8</v>
      </c>
      <c r="C226" s="0" t="s">
        <v>1068</v>
      </c>
      <c r="D226" s="0" t="s">
        <v>538</v>
      </c>
      <c r="E226" s="0" t="s">
        <v>1069</v>
      </c>
      <c r="F226" s="0" t="n">
        <v>8</v>
      </c>
      <c r="G226" s="0" t="s">
        <v>1028</v>
      </c>
      <c r="H226" s="0" t="s">
        <v>1029</v>
      </c>
      <c r="I226" s="0" t="s">
        <v>1031</v>
      </c>
      <c r="J226" s="0" t="n">
        <v>-93</v>
      </c>
      <c r="K226" s="0" t="n">
        <v>225</v>
      </c>
      <c r="L226" s="0" t="str">
        <f aca="false">C226</f>
        <v>Ka'imi Fairbairn</v>
      </c>
      <c r="M226" s="121" t="str">
        <f aca="false">IFERROR(VLOOKUP(E226,RISK!A:B,2,FALSE()),"")</f>
        <v/>
      </c>
      <c r="N226" s="120" t="e">
        <f aca="false">VLOOKUP(E226,Q:R,2,FALSE())</f>
        <v>#N/A</v>
      </c>
      <c r="Q226" s="53" t="s">
        <v>412</v>
      </c>
      <c r="R226" s="120" t="n">
        <f aca="false">Aggregate!BQ80</f>
        <v>78.2383246463142</v>
      </c>
    </row>
    <row r="227" customFormat="false" ht="14.25" hidden="false" customHeight="true" outlineLevel="0" collapsed="false">
      <c r="A227" s="0" t="n">
        <v>226</v>
      </c>
      <c r="B227" s="0" t="n">
        <v>8</v>
      </c>
      <c r="C227" s="0" t="s">
        <v>669</v>
      </c>
      <c r="D227" s="0" t="s">
        <v>536</v>
      </c>
      <c r="E227" s="0" t="s">
        <v>390</v>
      </c>
      <c r="F227" s="0" t="n">
        <v>11</v>
      </c>
      <c r="G227" s="0" t="s">
        <v>1037</v>
      </c>
      <c r="H227" s="0" t="s">
        <v>1036</v>
      </c>
      <c r="I227" s="0" t="s">
        <v>1032</v>
      </c>
      <c r="J227" s="0" t="n">
        <v>44</v>
      </c>
      <c r="K227" s="0" t="n">
        <v>226</v>
      </c>
      <c r="L227" s="0" t="str">
        <f aca="false">C227</f>
        <v>Emanuel Wilson</v>
      </c>
      <c r="M227" s="121" t="n">
        <f aca="false">IFERROR(VLOOKUP(E227,RISK!A:B,2,FALSE()),"")</f>
        <v>4</v>
      </c>
      <c r="N227" s="120" t="n">
        <f aca="false">VLOOKUP(E227,Q:R,2,FALSE())</f>
        <v>48.6582352941177</v>
      </c>
      <c r="Q227" s="53" t="s">
        <v>415</v>
      </c>
      <c r="R227" s="120" t="n">
        <f aca="false">Aggregate!BQ81</f>
        <v>75.5924720774386</v>
      </c>
    </row>
    <row r="228" customFormat="false" ht="14.25" hidden="false" customHeight="true" outlineLevel="0" collapsed="false">
      <c r="A228" s="0" t="n">
        <v>227</v>
      </c>
      <c r="B228" s="0" t="n">
        <v>8</v>
      </c>
      <c r="C228" s="0" t="s">
        <v>794</v>
      </c>
      <c r="D228" s="0" t="s">
        <v>548</v>
      </c>
      <c r="E228" s="0" t="s">
        <v>430</v>
      </c>
      <c r="F228" s="0" t="n">
        <v>9</v>
      </c>
      <c r="G228" s="0" t="s">
        <v>1033</v>
      </c>
      <c r="H228" s="0" t="s">
        <v>1036</v>
      </c>
      <c r="I228" s="0" t="s">
        <v>1035</v>
      </c>
      <c r="J228" s="0" t="n">
        <v>47</v>
      </c>
      <c r="K228" s="0" t="n">
        <v>227</v>
      </c>
      <c r="L228" s="0" t="str">
        <f aca="false">C228</f>
        <v>Germie Bernard</v>
      </c>
      <c r="M228" s="121" t="n">
        <f aca="false">IFERROR(VLOOKUP(E228,RISK!A:B,2,FALSE()),"")</f>
        <v>3.84810126582278</v>
      </c>
      <c r="N228" s="120" t="n">
        <f aca="false">VLOOKUP(E228,Q:R,2,FALSE())</f>
        <v>61.968652271035</v>
      </c>
      <c r="Q228" s="53" t="s">
        <v>418</v>
      </c>
      <c r="R228" s="120" t="n">
        <f aca="false">Aggregate!BQ82</f>
        <v>73.2173938942666</v>
      </c>
    </row>
    <row r="229" customFormat="false" ht="14.25" hidden="false" customHeight="true" outlineLevel="0" collapsed="false">
      <c r="A229" s="0" t="n">
        <v>228</v>
      </c>
      <c r="B229" s="0" t="n">
        <v>8</v>
      </c>
      <c r="C229" s="0" t="s">
        <v>1070</v>
      </c>
      <c r="D229" s="0" t="s">
        <v>506</v>
      </c>
      <c r="E229" s="0" t="s">
        <v>1071</v>
      </c>
      <c r="F229" s="0" t="n">
        <v>7</v>
      </c>
      <c r="G229" s="0" t="s">
        <v>1038</v>
      </c>
      <c r="H229" s="0" t="s">
        <v>1038</v>
      </c>
      <c r="I229" s="0" t="s">
        <v>1032</v>
      </c>
      <c r="J229" s="0" t="n">
        <v>-65</v>
      </c>
      <c r="K229" s="0" t="n">
        <v>228</v>
      </c>
      <c r="L229" s="0" t="str">
        <f aca="false">C229</f>
        <v>Cam Little</v>
      </c>
      <c r="M229" s="121" t="str">
        <f aca="false">IFERROR(VLOOKUP(E229,RISK!A:B,2,FALSE()),"")</f>
        <v/>
      </c>
      <c r="N229" s="120" t="e">
        <f aca="false">VLOOKUP(E229,Q:R,2,FALSE())</f>
        <v>#N/A</v>
      </c>
      <c r="Q229" s="53" t="s">
        <v>421</v>
      </c>
      <c r="R229" s="120" t="n">
        <f aca="false">Aggregate!BQ83</f>
        <v>68.0881533879375</v>
      </c>
    </row>
    <row r="230" customFormat="false" ht="14.25" hidden="false" customHeight="true" outlineLevel="0" collapsed="false">
      <c r="A230" s="0" t="n">
        <v>229</v>
      </c>
      <c r="B230" s="0" t="n">
        <v>8</v>
      </c>
      <c r="C230" s="0" t="s">
        <v>1072</v>
      </c>
      <c r="D230" s="0" t="s">
        <v>536</v>
      </c>
      <c r="E230" s="0" t="s">
        <v>1073</v>
      </c>
      <c r="F230" s="0" t="n">
        <v>11</v>
      </c>
      <c r="G230" s="0" t="s">
        <v>1036</v>
      </c>
      <c r="H230" s="0" t="s">
        <v>1033</v>
      </c>
      <c r="I230" s="0" t="s">
        <v>1032</v>
      </c>
      <c r="J230" s="0" t="n">
        <v>-83</v>
      </c>
      <c r="K230" s="0" t="n">
        <v>229</v>
      </c>
      <c r="L230" s="0" t="str">
        <f aca="false">C230</f>
        <v>Jason Myers</v>
      </c>
      <c r="M230" s="121" t="str">
        <f aca="false">IFERROR(VLOOKUP(E230,RISK!A:B,2,FALSE()),"")</f>
        <v/>
      </c>
      <c r="N230" s="120" t="e">
        <f aca="false">VLOOKUP(E230,Q:R,2,FALSE())</f>
        <v>#N/A</v>
      </c>
      <c r="Q230" s="53" t="s">
        <v>424</v>
      </c>
      <c r="R230" s="120" t="n">
        <f aca="false">Aggregate!BQ84</f>
        <v>64.7460238272524</v>
      </c>
    </row>
    <row r="231" customFormat="false" ht="14.25" hidden="false" customHeight="true" outlineLevel="0" collapsed="false">
      <c r="A231" s="0" t="n">
        <v>230</v>
      </c>
      <c r="B231" s="0" t="n">
        <v>8</v>
      </c>
      <c r="C231" s="0" t="s">
        <v>817</v>
      </c>
      <c r="D231" s="0" t="s">
        <v>528</v>
      </c>
      <c r="E231" s="0" t="s">
        <v>433</v>
      </c>
      <c r="F231" s="0" t="n">
        <v>10</v>
      </c>
      <c r="G231" s="0" t="s">
        <v>1036</v>
      </c>
      <c r="H231" s="0" t="s">
        <v>1036</v>
      </c>
      <c r="I231" s="0" t="s">
        <v>1032</v>
      </c>
      <c r="J231" s="0" t="n">
        <v>27</v>
      </c>
      <c r="K231" s="0" t="n">
        <v>230</v>
      </c>
      <c r="L231" s="0" t="str">
        <f aca="false">C231</f>
        <v>Ted Hurst III</v>
      </c>
      <c r="M231" s="121" t="n">
        <f aca="false">IFERROR(VLOOKUP(E231,RISK!A:B,2,FALSE()),"")</f>
        <v>3.84810126582278</v>
      </c>
      <c r="N231" s="120" t="n">
        <f aca="false">VLOOKUP(E231,Q:R,2,FALSE())</f>
        <v>61.2723752792256</v>
      </c>
      <c r="Q231" s="53" t="s">
        <v>427</v>
      </c>
      <c r="R231" s="120" t="n">
        <f aca="false">Aggregate!BQ85</f>
        <v>64.4520402084885</v>
      </c>
    </row>
    <row r="232" customFormat="false" ht="14.25" hidden="false" customHeight="true" outlineLevel="0" collapsed="false">
      <c r="A232" s="0" t="n">
        <v>231</v>
      </c>
      <c r="B232" s="0" t="n">
        <v>8</v>
      </c>
      <c r="C232" s="0" t="s">
        <v>789</v>
      </c>
      <c r="D232" s="0" t="s">
        <v>526</v>
      </c>
      <c r="E232" s="0" t="s">
        <v>436</v>
      </c>
      <c r="F232" s="0" t="n">
        <v>8</v>
      </c>
      <c r="G232" s="0" t="s">
        <v>1033</v>
      </c>
      <c r="H232" s="0" t="s">
        <v>1036</v>
      </c>
      <c r="I232" s="0" t="s">
        <v>1035</v>
      </c>
      <c r="J232" s="0" t="n">
        <v>36</v>
      </c>
      <c r="K232" s="0" t="n">
        <v>231</v>
      </c>
      <c r="L232" s="0" t="str">
        <f aca="false">C232</f>
        <v>Devaughn Vele</v>
      </c>
      <c r="M232" s="121" t="n">
        <f aca="false">IFERROR(VLOOKUP(E232,RISK!A:B,2,FALSE()),"")</f>
        <v>3.84810126582278</v>
      </c>
      <c r="N232" s="120" t="n">
        <f aca="false">VLOOKUP(E232,Q:R,2,FALSE())</f>
        <v>60.9938644825019</v>
      </c>
      <c r="Q232" s="53" t="s">
        <v>430</v>
      </c>
      <c r="R232" s="120" t="n">
        <f aca="false">Aggregate!BQ86</f>
        <v>61.968652271035</v>
      </c>
    </row>
    <row r="233" customFormat="false" ht="14.25" hidden="false" customHeight="true" outlineLevel="0" collapsed="false">
      <c r="A233" s="0" t="n">
        <v>232</v>
      </c>
      <c r="B233" s="0" t="n">
        <v>8</v>
      </c>
      <c r="C233" s="0" t="s">
        <v>1074</v>
      </c>
      <c r="D233" s="0" t="s">
        <v>530</v>
      </c>
      <c r="E233" s="0" t="s">
        <v>1075</v>
      </c>
      <c r="F233" s="0" t="n">
        <v>11</v>
      </c>
      <c r="G233" s="0" t="s">
        <v>1038</v>
      </c>
      <c r="H233" s="0" t="s">
        <v>1038</v>
      </c>
      <c r="I233" s="0" t="s">
        <v>1031</v>
      </c>
      <c r="J233" s="0" t="n">
        <v>-18</v>
      </c>
      <c r="K233" s="0" t="n">
        <v>232</v>
      </c>
      <c r="L233" s="0" t="str">
        <f aca="false">C233</f>
        <v>Green Bay Packers</v>
      </c>
      <c r="M233" s="121" t="str">
        <f aca="false">IFERROR(VLOOKUP(E233,RISK!A:B,2,FALSE()),"")</f>
        <v/>
      </c>
      <c r="N233" s="120" t="e">
        <f aca="false">VLOOKUP(E233,Q:R,2,FALSE())</f>
        <v>#N/A</v>
      </c>
      <c r="Q233" s="53" t="s">
        <v>433</v>
      </c>
      <c r="R233" s="120" t="n">
        <f aca="false">Aggregate!BQ87</f>
        <v>61.2723752792256</v>
      </c>
    </row>
    <row r="234" customFormat="false" ht="14.25" hidden="false" customHeight="true" outlineLevel="0" collapsed="false">
      <c r="A234" s="0" t="n">
        <v>233</v>
      </c>
      <c r="B234" s="0" t="n">
        <v>8</v>
      </c>
      <c r="C234" s="0" t="s">
        <v>805</v>
      </c>
      <c r="D234" s="0" t="s">
        <v>518</v>
      </c>
      <c r="E234" s="0" t="s">
        <v>439</v>
      </c>
      <c r="F234" s="0" t="n">
        <v>10</v>
      </c>
      <c r="G234" s="0" t="s">
        <v>1029</v>
      </c>
      <c r="H234" s="0" t="s">
        <v>1028</v>
      </c>
      <c r="I234" s="0" t="s">
        <v>1031</v>
      </c>
      <c r="J234" s="0" t="n">
        <v>78</v>
      </c>
      <c r="K234" s="0" t="n">
        <v>233</v>
      </c>
      <c r="L234" s="0" t="str">
        <f aca="false">C234</f>
        <v>Troy Franklin</v>
      </c>
      <c r="M234" s="121" t="n">
        <f aca="false">IFERROR(VLOOKUP(E234,RISK!A:B,2,FALSE()),"")</f>
        <v>3.84810126582278</v>
      </c>
      <c r="N234" s="120" t="n">
        <f aca="false">VLOOKUP(E234,Q:R,2,FALSE())</f>
        <v>60.9629188384214</v>
      </c>
      <c r="Q234" s="53" t="s">
        <v>436</v>
      </c>
      <c r="R234" s="120" t="n">
        <f aca="false">Aggregate!BQ88</f>
        <v>60.9938644825019</v>
      </c>
    </row>
    <row r="235" customFormat="false" ht="14.25" hidden="false" customHeight="true" outlineLevel="0" collapsed="false">
      <c r="A235" s="0" t="n">
        <v>234</v>
      </c>
      <c r="B235" s="0" t="n">
        <v>8</v>
      </c>
      <c r="C235" s="0" t="s">
        <v>653</v>
      </c>
      <c r="D235" s="0" t="s">
        <v>502</v>
      </c>
      <c r="E235" s="0" t="s">
        <v>393</v>
      </c>
      <c r="F235" s="0" t="n">
        <v>6</v>
      </c>
      <c r="G235" s="0" t="s">
        <v>1033</v>
      </c>
      <c r="H235" s="0" t="s">
        <v>1028</v>
      </c>
      <c r="I235" s="0" t="s">
        <v>1031</v>
      </c>
      <c r="J235" s="0" t="n">
        <v>61</v>
      </c>
      <c r="K235" s="0" t="n">
        <v>234</v>
      </c>
      <c r="L235" s="0" t="str">
        <f aca="false">C235</f>
        <v>Samaje Perine</v>
      </c>
      <c r="M235" s="121" t="n">
        <f aca="false">IFERROR(VLOOKUP(E235,RISK!A:B,2,FALSE()),"")</f>
        <v>4</v>
      </c>
      <c r="N235" s="120" t="n">
        <f aca="false">VLOOKUP(E235,Q:R,2,FALSE())</f>
        <v>40.8888235294118</v>
      </c>
      <c r="Q235" s="53" t="s">
        <v>439</v>
      </c>
      <c r="R235" s="120" t="n">
        <f aca="false">Aggregate!BQ89</f>
        <v>60.9629188384214</v>
      </c>
    </row>
    <row r="236" customFormat="false" ht="14.25" hidden="false" customHeight="true" outlineLevel="0" collapsed="false">
      <c r="A236" s="0" t="n">
        <v>235</v>
      </c>
      <c r="B236" s="0" t="n">
        <v>8</v>
      </c>
      <c r="C236" s="0" t="s">
        <v>927</v>
      </c>
      <c r="D236" s="0" t="s">
        <v>518</v>
      </c>
      <c r="E236" s="0" t="s">
        <v>247</v>
      </c>
      <c r="F236" s="0" t="n">
        <v>10</v>
      </c>
      <c r="G236" s="0" t="s">
        <v>1038</v>
      </c>
      <c r="H236" s="0" t="s">
        <v>1038</v>
      </c>
      <c r="I236" s="0" t="s">
        <v>1032</v>
      </c>
      <c r="J236" s="0" t="n">
        <v>48</v>
      </c>
      <c r="K236" s="0" t="n">
        <v>235</v>
      </c>
      <c r="L236" s="0" t="str">
        <f aca="false">C236</f>
        <v>Evan Engram</v>
      </c>
      <c r="M236" s="121" t="n">
        <f aca="false">IFERROR(VLOOKUP(E236,RISK!A:B,2,FALSE()),"")</f>
        <v>3</v>
      </c>
      <c r="N236" s="120" t="n">
        <f aca="false">VLOOKUP(E236,Q:R,2,FALSE())</f>
        <v>69.0376470588235</v>
      </c>
      <c r="Q236" s="53" t="s">
        <v>442</v>
      </c>
      <c r="R236" s="120" t="n">
        <f aca="false">Aggregate!BQ90</f>
        <v>58.8199329858526</v>
      </c>
    </row>
    <row r="237" customFormat="false" ht="14.25" hidden="false" customHeight="true" outlineLevel="0" collapsed="false">
      <c r="A237" s="0" t="n">
        <v>236</v>
      </c>
      <c r="B237" s="0" t="n">
        <v>8</v>
      </c>
      <c r="C237" s="0" t="s">
        <v>694</v>
      </c>
      <c r="D237" s="0" t="s">
        <v>522</v>
      </c>
      <c r="E237" s="0" t="s">
        <v>396</v>
      </c>
      <c r="F237" s="0" t="n">
        <v>6</v>
      </c>
      <c r="G237" s="0" t="s">
        <v>1037</v>
      </c>
      <c r="H237" s="0" t="s">
        <v>1036</v>
      </c>
      <c r="I237" s="0" t="s">
        <v>1032</v>
      </c>
      <c r="J237" s="0" t="n">
        <v>29</v>
      </c>
      <c r="K237" s="0" t="n">
        <v>236</v>
      </c>
      <c r="L237" s="0" t="str">
        <f aca="false">C237</f>
        <v>Demond Claiborne</v>
      </c>
      <c r="M237" s="121" t="n">
        <f aca="false">IFERROR(VLOOKUP(E237,RISK!A:B,2,FALSE()),"")</f>
        <v>4</v>
      </c>
      <c r="N237" s="120" t="n">
        <f aca="false">VLOOKUP(E237,Q:R,2,FALSE())</f>
        <v>40.4988235294118</v>
      </c>
      <c r="Q237" s="53" t="s">
        <v>445</v>
      </c>
      <c r="R237" s="120" t="n">
        <f aca="false">Aggregate!BQ91</f>
        <v>56.0889798957558</v>
      </c>
    </row>
    <row r="238" customFormat="false" ht="14.25" hidden="false" customHeight="true" outlineLevel="0" collapsed="false">
      <c r="A238" s="0" t="n">
        <v>237</v>
      </c>
      <c r="B238" s="0" t="n">
        <v>8</v>
      </c>
      <c r="C238" s="0" t="s">
        <v>662</v>
      </c>
      <c r="D238" s="0" t="s">
        <v>530</v>
      </c>
      <c r="E238" s="0" t="s">
        <v>399</v>
      </c>
      <c r="F238" s="0" t="n">
        <v>11</v>
      </c>
      <c r="G238" s="0" t="s">
        <v>1033</v>
      </c>
      <c r="H238" s="0" t="s">
        <v>1036</v>
      </c>
      <c r="I238" s="0" t="s">
        <v>1032</v>
      </c>
      <c r="J238" s="0" t="n">
        <v>34</v>
      </c>
      <c r="K238" s="0" t="n">
        <v>237</v>
      </c>
      <c r="L238" s="0" t="str">
        <f aca="false">C238</f>
        <v>Chris Brooks</v>
      </c>
      <c r="M238" s="121" t="n">
        <f aca="false">IFERROR(VLOOKUP(E238,RISK!A:B,2,FALSE()),"")</f>
        <v>4</v>
      </c>
      <c r="N238" s="120" t="n">
        <f aca="false">VLOOKUP(E238,Q:R,2,FALSE())</f>
        <v>36.9123529411765</v>
      </c>
      <c r="Q238" s="53" t="s">
        <v>448</v>
      </c>
      <c r="R238" s="120" t="n">
        <f aca="false">Aggregate!BQ92</f>
        <v>56.0502978406552</v>
      </c>
    </row>
    <row r="239" customFormat="false" ht="14.25" hidden="false" customHeight="true" outlineLevel="0" collapsed="false">
      <c r="A239" s="0" t="n">
        <v>238</v>
      </c>
      <c r="B239" s="0" t="n">
        <v>8</v>
      </c>
      <c r="C239" s="0" t="s">
        <v>1076</v>
      </c>
      <c r="D239" s="0" t="s">
        <v>524</v>
      </c>
      <c r="E239" s="0" t="s">
        <v>1077</v>
      </c>
      <c r="F239" s="0" t="n">
        <v>6</v>
      </c>
      <c r="G239" s="0" t="s">
        <v>1036</v>
      </c>
      <c r="H239" s="0" t="s">
        <v>1033</v>
      </c>
      <c r="I239" s="0" t="s">
        <v>1030</v>
      </c>
      <c r="J239" s="0" t="n">
        <v>-46</v>
      </c>
      <c r="K239" s="0" t="n">
        <v>238</v>
      </c>
      <c r="L239" s="0" t="str">
        <f aca="false">C239</f>
        <v>Jake Bates</v>
      </c>
      <c r="M239" s="121" t="str">
        <f aca="false">IFERROR(VLOOKUP(E239,RISK!A:B,2,FALSE()),"")</f>
        <v/>
      </c>
      <c r="N239" s="120" t="e">
        <f aca="false">VLOOKUP(E239,Q:R,2,FALSE())</f>
        <v>#N/A</v>
      </c>
      <c r="Q239" s="53" t="s">
        <v>451</v>
      </c>
      <c r="R239" s="120" t="n">
        <f aca="false">Aggregate!BQ93</f>
        <v>55.9651973194341</v>
      </c>
    </row>
    <row r="240" customFormat="false" ht="14.25" hidden="false" customHeight="true" outlineLevel="0" collapsed="false">
      <c r="A240" s="0" t="n">
        <v>239</v>
      </c>
      <c r="B240" s="0" t="n">
        <v>8</v>
      </c>
      <c r="C240" s="0" t="s">
        <v>549</v>
      </c>
      <c r="D240" s="0" t="s">
        <v>550</v>
      </c>
      <c r="E240" s="0" t="s">
        <v>248</v>
      </c>
      <c r="F240" s="0" t="n">
        <v>13</v>
      </c>
      <c r="G240" s="0" t="s">
        <v>1036</v>
      </c>
      <c r="H240" s="0" t="s">
        <v>1037</v>
      </c>
      <c r="I240" s="0" t="s">
        <v>1034</v>
      </c>
      <c r="J240" s="0" t="n">
        <v>-69</v>
      </c>
      <c r="K240" s="0" t="n">
        <v>239</v>
      </c>
      <c r="L240" s="0" t="str">
        <f aca="false">C240</f>
        <v>Fernando Mendoza</v>
      </c>
      <c r="M240" s="121" t="n">
        <f aca="false">IFERROR(VLOOKUP(E240,RISK!A:B,2,FALSE()),"")</f>
        <v>3.2</v>
      </c>
      <c r="N240" s="120" t="n">
        <f aca="false">VLOOKUP(E240,Q:R,2,FALSE())</f>
        <v>155.521129411765</v>
      </c>
      <c r="Q240" s="53" t="s">
        <v>454</v>
      </c>
      <c r="R240" s="120" t="n">
        <f aca="false">Aggregate!BQ94</f>
        <v>55.9491055845123</v>
      </c>
    </row>
    <row r="241" customFormat="false" ht="14.25" hidden="false" customHeight="true" outlineLevel="0" collapsed="false">
      <c r="A241" s="0" t="n">
        <v>240</v>
      </c>
      <c r="B241" s="0" t="n">
        <v>8</v>
      </c>
      <c r="C241" s="0" t="s">
        <v>1078</v>
      </c>
      <c r="D241" s="0" t="s">
        <v>508</v>
      </c>
      <c r="E241" s="0" t="s">
        <v>1079</v>
      </c>
      <c r="F241" s="0" t="n">
        <v>8</v>
      </c>
      <c r="G241" s="0" t="s">
        <v>1036</v>
      </c>
      <c r="H241" s="0" t="s">
        <v>1033</v>
      </c>
      <c r="I241" s="0" t="s">
        <v>1030</v>
      </c>
      <c r="J241" s="0" t="n">
        <v>-39</v>
      </c>
      <c r="K241" s="0" t="n">
        <v>240</v>
      </c>
      <c r="L241" s="0" t="str">
        <f aca="false">C241</f>
        <v>Eddy Pineiro</v>
      </c>
      <c r="M241" s="121" t="str">
        <f aca="false">IFERROR(VLOOKUP(E241,RISK!A:B,2,FALSE()),"")</f>
        <v/>
      </c>
      <c r="N241" s="120" t="e">
        <f aca="false">VLOOKUP(E241,Q:R,2,FALSE())</f>
        <v>#N/A</v>
      </c>
      <c r="Q241" s="53" t="s">
        <v>457</v>
      </c>
      <c r="R241" s="120" t="n">
        <f aca="false">Aggregate!BQ95</f>
        <v>51.6173343261355</v>
      </c>
    </row>
    <row r="242" customFormat="false" ht="14.25" hidden="false" customHeight="true" outlineLevel="0" collapsed="false">
      <c r="A242" s="0" t="n">
        <v>241</v>
      </c>
      <c r="B242" s="0" t="n">
        <v>9</v>
      </c>
      <c r="C242" s="0" t="s">
        <v>1080</v>
      </c>
      <c r="D242" s="0" t="s">
        <v>494</v>
      </c>
      <c r="E242" s="0" t="s">
        <v>1081</v>
      </c>
      <c r="F242" s="0" t="n">
        <v>13</v>
      </c>
      <c r="G242" s="0" t="s">
        <v>1038</v>
      </c>
      <c r="H242" s="0" t="s">
        <v>1038</v>
      </c>
      <c r="I242" s="0" t="s">
        <v>1035</v>
      </c>
      <c r="J242" s="0" t="n">
        <v>-39</v>
      </c>
      <c r="K242" s="0" t="n">
        <v>241</v>
      </c>
      <c r="L242" s="0" t="str">
        <f aca="false">C242</f>
        <v>Tyler Loop</v>
      </c>
      <c r="M242" s="121" t="str">
        <f aca="false">IFERROR(VLOOKUP(E242,RISK!A:B,2,FALSE()),"")</f>
        <v/>
      </c>
      <c r="N242" s="120" t="e">
        <f aca="false">VLOOKUP(E242,Q:R,2,FALSE())</f>
        <v>#N/A</v>
      </c>
      <c r="Q242" s="53" t="s">
        <v>460</v>
      </c>
      <c r="R242" s="120" t="n">
        <f aca="false">Aggregate!BQ96</f>
        <v>50.5729188384215</v>
      </c>
    </row>
    <row r="243" customFormat="false" ht="14.25" hidden="false" customHeight="true" outlineLevel="0" collapsed="false">
      <c r="A243" s="0" t="n">
        <v>242</v>
      </c>
      <c r="B243" s="0" t="n">
        <v>9</v>
      </c>
      <c r="C243" s="0" t="s">
        <v>836</v>
      </c>
      <c r="D243" s="0" t="s">
        <v>538</v>
      </c>
      <c r="E243" s="0" t="s">
        <v>442</v>
      </c>
      <c r="F243" s="0" t="n">
        <v>8</v>
      </c>
      <c r="G243" s="0" t="s">
        <v>1036</v>
      </c>
      <c r="H243" s="0" t="s">
        <v>1028</v>
      </c>
      <c r="I243" s="0" t="s">
        <v>1035</v>
      </c>
      <c r="J243" s="0" t="n">
        <v>-3</v>
      </c>
      <c r="K243" s="0" t="n">
        <v>242</v>
      </c>
      <c r="L243" s="0" t="str">
        <f aca="false">C243</f>
        <v>Tank Dell</v>
      </c>
      <c r="M243" s="121" t="n">
        <f aca="false">IFERROR(VLOOKUP(E243,RISK!A:B,2,FALSE()),"")</f>
        <v>3.84810126582278</v>
      </c>
      <c r="N243" s="120" t="n">
        <f aca="false">VLOOKUP(E243,Q:R,2,FALSE())</f>
        <v>58.8199329858526</v>
      </c>
      <c r="Q243" s="53" t="s">
        <v>463</v>
      </c>
      <c r="R243" s="120" t="n">
        <f aca="false">Aggregate!BQ97</f>
        <v>48.2674683544304</v>
      </c>
    </row>
    <row r="244" customFormat="false" ht="14.25" hidden="false" customHeight="true" outlineLevel="0" collapsed="false">
      <c r="A244" s="0" t="n">
        <v>243</v>
      </c>
      <c r="B244" s="0" t="n">
        <v>9</v>
      </c>
      <c r="C244" s="0" t="s">
        <v>1082</v>
      </c>
      <c r="D244" s="0" t="s">
        <v>524</v>
      </c>
      <c r="E244" s="0" t="s">
        <v>1083</v>
      </c>
      <c r="F244" s="0" t="n">
        <v>6</v>
      </c>
      <c r="G244" s="0" t="s">
        <v>1038</v>
      </c>
      <c r="H244" s="0" t="s">
        <v>1038</v>
      </c>
      <c r="I244" s="0" t="s">
        <v>1030</v>
      </c>
      <c r="J244" s="0" t="n">
        <v>-30</v>
      </c>
      <c r="K244" s="0" t="n">
        <v>243</v>
      </c>
      <c r="L244" s="0" t="str">
        <f aca="false">C244</f>
        <v>Detroit Lions</v>
      </c>
      <c r="M244" s="121" t="str">
        <f aca="false">IFERROR(VLOOKUP(E244,RISK!A:B,2,FALSE()),"")</f>
        <v/>
      </c>
      <c r="N244" s="120" t="e">
        <f aca="false">VLOOKUP(E244,Q:R,2,FALSE())</f>
        <v>#N/A</v>
      </c>
      <c r="Q244" s="53" t="s">
        <v>466</v>
      </c>
      <c r="R244" s="120" t="n">
        <f aca="false">Aggregate!BQ98</f>
        <v>45.0413849590469</v>
      </c>
    </row>
    <row r="245" customFormat="false" ht="14.25" hidden="false" customHeight="true" outlineLevel="0" collapsed="false">
      <c r="A245" s="0" t="n">
        <v>244</v>
      </c>
      <c r="B245" s="0" t="n">
        <v>9</v>
      </c>
      <c r="C245" s="0" t="s">
        <v>1084</v>
      </c>
      <c r="D245" s="0" t="s">
        <v>490</v>
      </c>
      <c r="E245" s="0" t="s">
        <v>1085</v>
      </c>
      <c r="F245" s="0" t="n">
        <v>7</v>
      </c>
      <c r="G245" s="0" t="s">
        <v>1038</v>
      </c>
      <c r="H245" s="0" t="s">
        <v>1038</v>
      </c>
      <c r="I245" s="0" t="s">
        <v>1035</v>
      </c>
      <c r="J245" s="0" t="n">
        <v>-15</v>
      </c>
      <c r="K245" s="0" t="n">
        <v>244</v>
      </c>
      <c r="L245" s="0" t="str">
        <f aca="false">C245</f>
        <v>Buffalo Bills</v>
      </c>
      <c r="M245" s="121" t="str">
        <f aca="false">IFERROR(VLOOKUP(E245,RISK!A:B,2,FALSE()),"")</f>
        <v/>
      </c>
      <c r="N245" s="120" t="e">
        <f aca="false">VLOOKUP(E245,Q:R,2,FALSE())</f>
        <v>#N/A</v>
      </c>
      <c r="Q245" s="53" t="s">
        <v>469</v>
      </c>
      <c r="R245" s="120" t="n">
        <f aca="false">Aggregate!BQ99</f>
        <v>41.1422338049144</v>
      </c>
    </row>
    <row r="246" customFormat="false" ht="14.25" hidden="false" customHeight="true" outlineLevel="0" collapsed="false">
      <c r="A246" s="0" t="n">
        <v>245</v>
      </c>
      <c r="B246" s="0" t="n">
        <v>9</v>
      </c>
      <c r="C246" s="0" t="s">
        <v>709</v>
      </c>
      <c r="D246" s="0" t="s">
        <v>530</v>
      </c>
      <c r="E246" s="0" t="s">
        <v>402</v>
      </c>
      <c r="F246" s="0" t="n">
        <v>11</v>
      </c>
      <c r="G246" s="0" t="s">
        <v>1029</v>
      </c>
      <c r="H246" s="0" t="s">
        <v>1028</v>
      </c>
      <c r="I246" s="0" t="s">
        <v>1032</v>
      </c>
      <c r="J246" s="0" t="n">
        <v>8</v>
      </c>
      <c r="K246" s="0" t="n">
        <v>245</v>
      </c>
      <c r="L246" s="0" t="str">
        <f aca="false">C246</f>
        <v>Kaleb Johnson</v>
      </c>
      <c r="M246" s="121" t="n">
        <f aca="false">IFERROR(VLOOKUP(E246,RISK!A:B,2,FALSE()),"")</f>
        <v>4</v>
      </c>
      <c r="N246" s="120" t="n">
        <f aca="false">VLOOKUP(E246,Q:R,2,FALSE())</f>
        <v>35.9870588235294</v>
      </c>
      <c r="Q246" s="53" t="s">
        <v>472</v>
      </c>
      <c r="R246" s="120" t="n">
        <f aca="false">Aggregate!BQ100</f>
        <v>40.2061280714818</v>
      </c>
    </row>
    <row r="247" customFormat="false" ht="14.25" hidden="false" customHeight="true" outlineLevel="0" collapsed="false">
      <c r="A247" s="0" t="n">
        <v>246</v>
      </c>
      <c r="B247" s="0" t="n">
        <v>9</v>
      </c>
      <c r="C247" s="0" t="s">
        <v>823</v>
      </c>
      <c r="D247" s="0" t="s">
        <v>490</v>
      </c>
      <c r="E247" s="0" t="s">
        <v>445</v>
      </c>
      <c r="F247" s="0" t="n">
        <v>7</v>
      </c>
      <c r="G247" s="0" t="s">
        <v>1033</v>
      </c>
      <c r="H247" s="0" t="s">
        <v>1036</v>
      </c>
      <c r="I247" s="0" t="s">
        <v>1032</v>
      </c>
      <c r="J247" s="0" t="n">
        <v>22</v>
      </c>
      <c r="K247" s="0" t="n">
        <v>246</v>
      </c>
      <c r="L247" s="0" t="str">
        <f aca="false">C247</f>
        <v>Keon Coleman</v>
      </c>
      <c r="M247" s="121" t="n">
        <f aca="false">IFERROR(VLOOKUP(E247,RISK!A:B,2,FALSE()),"")</f>
        <v>3.84810126582278</v>
      </c>
      <c r="N247" s="120" t="n">
        <f aca="false">VLOOKUP(E247,Q:R,2,FALSE())</f>
        <v>56.0889798957558</v>
      </c>
      <c r="Q247" s="53" t="s">
        <v>475</v>
      </c>
      <c r="R247" s="120" t="n">
        <f aca="false">Aggregate!BQ101</f>
        <v>34.5430752047655</v>
      </c>
    </row>
    <row r="248" customFormat="false" ht="14.25" hidden="false" customHeight="true" outlineLevel="0" collapsed="false">
      <c r="A248" s="0" t="n">
        <v>247</v>
      </c>
      <c r="B248" s="0" t="n">
        <v>9</v>
      </c>
      <c r="C248" s="0" t="s">
        <v>832</v>
      </c>
      <c r="D248" s="0" t="s">
        <v>550</v>
      </c>
      <c r="E248" s="0" t="s">
        <v>448</v>
      </c>
      <c r="F248" s="0" t="n">
        <v>13</v>
      </c>
      <c r="G248" s="0" t="s">
        <v>1037</v>
      </c>
      <c r="H248" s="0" t="s">
        <v>1036</v>
      </c>
      <c r="I248" s="0" t="s">
        <v>1031</v>
      </c>
      <c r="J248" s="0" t="n">
        <v>59</v>
      </c>
      <c r="K248" s="0" t="n">
        <v>247</v>
      </c>
      <c r="L248" s="0" t="str">
        <f aca="false">C248</f>
        <v>Jack Bech</v>
      </c>
      <c r="M248" s="121" t="n">
        <f aca="false">IFERROR(VLOOKUP(E248,RISK!A:B,2,FALSE()),"")</f>
        <v>3.84810126582278</v>
      </c>
      <c r="N248" s="120" t="n">
        <f aca="false">VLOOKUP(E248,Q:R,2,FALSE())</f>
        <v>56.0502978406552</v>
      </c>
      <c r="Q248" s="53" t="s">
        <v>478</v>
      </c>
      <c r="R248" s="120" t="n">
        <f aca="false">Aggregate!BQ102</f>
        <v>33.8467982129561</v>
      </c>
    </row>
    <row r="249" customFormat="false" ht="14.25" hidden="false" customHeight="true" outlineLevel="0" collapsed="false">
      <c r="A249" s="0" t="n">
        <v>248</v>
      </c>
      <c r="B249" s="0" t="n">
        <v>9</v>
      </c>
      <c r="C249" s="0" t="s">
        <v>930</v>
      </c>
      <c r="D249" s="0" t="s">
        <v>516</v>
      </c>
      <c r="E249" s="0" t="s">
        <v>251</v>
      </c>
      <c r="F249" s="0" t="n">
        <v>7</v>
      </c>
      <c r="G249" s="0" t="s">
        <v>1036</v>
      </c>
      <c r="H249" s="0" t="s">
        <v>1036</v>
      </c>
      <c r="I249" s="0" t="s">
        <v>1032</v>
      </c>
      <c r="J249" s="0" t="n">
        <v>-68</v>
      </c>
      <c r="K249" s="0" t="n">
        <v>248</v>
      </c>
      <c r="L249" s="0" t="str">
        <f aca="false">C249</f>
        <v>David Njoku</v>
      </c>
      <c r="M249" s="121" t="n">
        <f aca="false">IFERROR(VLOOKUP(E249,RISK!A:B,2,FALSE()),"")</f>
        <v>3</v>
      </c>
      <c r="N249" s="120" t="n">
        <f aca="false">VLOOKUP(E249,Q:R,2,FALSE())</f>
        <v>67.4011764705882</v>
      </c>
      <c r="Q249" s="53" t="s">
        <v>135</v>
      </c>
      <c r="R249" s="120" t="n">
        <f aca="false">Aggregate!BV3</f>
        <v>173.582391764706</v>
      </c>
    </row>
    <row r="250" customFormat="false" ht="14.25" hidden="false" customHeight="true" outlineLevel="0" collapsed="false">
      <c r="A250" s="0" t="n">
        <v>249</v>
      </c>
      <c r="B250" s="0" t="n">
        <v>9</v>
      </c>
      <c r="C250" s="0" t="s">
        <v>797</v>
      </c>
      <c r="D250" s="0" t="s">
        <v>496</v>
      </c>
      <c r="E250" s="0" t="s">
        <v>451</v>
      </c>
      <c r="F250" s="0" t="n">
        <v>7</v>
      </c>
      <c r="G250" s="0" t="s">
        <v>1036</v>
      </c>
      <c r="H250" s="0" t="s">
        <v>1033</v>
      </c>
      <c r="I250" s="0" t="s">
        <v>1031</v>
      </c>
      <c r="J250" s="0" t="n">
        <v>29</v>
      </c>
      <c r="K250" s="0" t="n">
        <v>249</v>
      </c>
      <c r="L250" s="0" t="str">
        <f aca="false">C250</f>
        <v>Antonio Williams</v>
      </c>
      <c r="M250" s="121" t="n">
        <f aca="false">IFERROR(VLOOKUP(E250,RISK!A:B,2,FALSE()),"")</f>
        <v>3.84810126582278</v>
      </c>
      <c r="N250" s="120" t="n">
        <f aca="false">VLOOKUP(E250,Q:R,2,FALSE())</f>
        <v>55.9651973194341</v>
      </c>
      <c r="Q250" s="53" t="s">
        <v>139</v>
      </c>
      <c r="R250" s="120" t="n">
        <f aca="false">Aggregate!BV4</f>
        <v>164.731390352941</v>
      </c>
    </row>
    <row r="251" customFormat="false" ht="14.25" hidden="false" customHeight="true" outlineLevel="0" collapsed="false">
      <c r="A251" s="0" t="n">
        <v>250</v>
      </c>
      <c r="B251" s="0" t="n">
        <v>9</v>
      </c>
      <c r="C251" s="0" t="s">
        <v>1086</v>
      </c>
      <c r="D251" s="0" t="s">
        <v>520</v>
      </c>
      <c r="E251" s="0" t="s">
        <v>1087</v>
      </c>
      <c r="F251" s="0" t="n">
        <v>11</v>
      </c>
      <c r="G251" s="0" t="s">
        <v>1036</v>
      </c>
      <c r="H251" s="0" t="s">
        <v>1033</v>
      </c>
      <c r="I251" s="0" t="s">
        <v>1031</v>
      </c>
      <c r="J251" s="0" t="n">
        <v>-60</v>
      </c>
      <c r="K251" s="0" t="n">
        <v>250</v>
      </c>
      <c r="L251" s="0" t="str">
        <f aca="false">C251</f>
        <v>Harrison Mevis</v>
      </c>
      <c r="M251" s="121" t="str">
        <f aca="false">IFERROR(VLOOKUP(E251,RISK!A:B,2,FALSE()),"")</f>
        <v/>
      </c>
      <c r="N251" s="120" t="e">
        <f aca="false">VLOOKUP(E251,Q:R,2,FALSE())</f>
        <v>#N/A</v>
      </c>
      <c r="Q251" s="53" t="s">
        <v>143</v>
      </c>
      <c r="R251" s="120" t="n">
        <f aca="false">Aggregate!BV5</f>
        <v>141.386142352941</v>
      </c>
    </row>
    <row r="252" customFormat="false" ht="14.25" hidden="false" customHeight="true" outlineLevel="0" collapsed="false">
      <c r="A252" s="0" t="n">
        <v>251</v>
      </c>
      <c r="B252" s="0" t="n">
        <v>9</v>
      </c>
      <c r="C252" s="0" t="s">
        <v>1088</v>
      </c>
      <c r="D252" s="0" t="s">
        <v>514</v>
      </c>
      <c r="E252" s="0" t="s">
        <v>1089</v>
      </c>
      <c r="F252" s="0" t="n">
        <v>10</v>
      </c>
      <c r="G252" s="0" t="s">
        <v>1037</v>
      </c>
      <c r="H252" s="0" t="s">
        <v>1037</v>
      </c>
      <c r="I252" s="0" t="s">
        <v>1049</v>
      </c>
      <c r="J252" s="0" t="n">
        <v>7</v>
      </c>
      <c r="K252" s="0" t="n">
        <v>251</v>
      </c>
      <c r="L252" s="0" t="str">
        <f aca="false">C252</f>
        <v>Cairo Santos</v>
      </c>
      <c r="M252" s="121" t="str">
        <f aca="false">IFERROR(VLOOKUP(E252,RISK!A:B,2,FALSE()),"")</f>
        <v/>
      </c>
      <c r="N252" s="120" t="e">
        <f aca="false">VLOOKUP(E252,Q:R,2,FALSE())</f>
        <v>#N/A</v>
      </c>
      <c r="Q252" s="53" t="s">
        <v>147</v>
      </c>
      <c r="R252" s="120" t="n">
        <f aca="false">Aggregate!BV6</f>
        <v>131.546388</v>
      </c>
    </row>
    <row r="253" customFormat="false" ht="14.25" hidden="false" customHeight="true" outlineLevel="0" collapsed="false">
      <c r="A253" s="0" t="n">
        <v>252</v>
      </c>
      <c r="B253" s="0" t="n">
        <v>9</v>
      </c>
      <c r="C253" s="0" t="s">
        <v>798</v>
      </c>
      <c r="D253" s="0" t="s">
        <v>534</v>
      </c>
      <c r="E253" s="0" t="s">
        <v>454</v>
      </c>
      <c r="F253" s="0" t="n">
        <v>6</v>
      </c>
      <c r="G253" s="0" t="s">
        <v>1037</v>
      </c>
      <c r="H253" s="0" t="s">
        <v>1036</v>
      </c>
      <c r="I253" s="0" t="s">
        <v>1035</v>
      </c>
      <c r="J253" s="0" t="n">
        <v>-28</v>
      </c>
      <c r="K253" s="0" t="n">
        <v>252</v>
      </c>
      <c r="L253" s="0" t="str">
        <f aca="false">C253</f>
        <v>Caleb Douglas</v>
      </c>
      <c r="M253" s="121" t="n">
        <f aca="false">IFERROR(VLOOKUP(E253,RISK!A:B,2,FALSE()),"")</f>
        <v>3.84810126582278</v>
      </c>
      <c r="N253" s="120" t="n">
        <f aca="false">VLOOKUP(E253,Q:R,2,FALSE())</f>
        <v>55.9491055845123</v>
      </c>
      <c r="Q253" s="53" t="s">
        <v>151</v>
      </c>
      <c r="R253" s="120" t="n">
        <f aca="false">Aggregate!BV7</f>
        <v>130.374743647059</v>
      </c>
    </row>
    <row r="254" customFormat="false" ht="14.25" hidden="false" customHeight="true" outlineLevel="0" collapsed="false">
      <c r="A254" s="0" t="n">
        <v>253</v>
      </c>
      <c r="B254" s="0" t="n">
        <v>9</v>
      </c>
      <c r="C254" s="0" t="s">
        <v>685</v>
      </c>
      <c r="D254" s="0" t="s">
        <v>534</v>
      </c>
      <c r="E254" s="0" t="s">
        <v>405</v>
      </c>
      <c r="F254" s="0" t="n">
        <v>6</v>
      </c>
      <c r="G254" s="0" t="s">
        <v>1037</v>
      </c>
      <c r="H254" s="0" t="s">
        <v>1036</v>
      </c>
      <c r="I254" s="0" t="s">
        <v>1035</v>
      </c>
      <c r="J254" s="0" t="n">
        <v>39</v>
      </c>
      <c r="K254" s="0" t="n">
        <v>253</v>
      </c>
      <c r="L254" s="0" t="str">
        <f aca="false">C254</f>
        <v>Ollie Gordon II</v>
      </c>
      <c r="M254" s="121" t="n">
        <f aca="false">IFERROR(VLOOKUP(E254,RISK!A:B,2,FALSE()),"")</f>
        <v>4</v>
      </c>
      <c r="N254" s="120" t="n">
        <f aca="false">VLOOKUP(E254,Q:R,2,FALSE())</f>
        <v>30.9705882352941</v>
      </c>
      <c r="Q254" s="53" t="s">
        <v>155</v>
      </c>
      <c r="R254" s="120" t="n">
        <f aca="false">Aggregate!BV8</f>
        <v>125.776752</v>
      </c>
    </row>
    <row r="255" customFormat="false" ht="14.25" hidden="false" customHeight="true" outlineLevel="0" collapsed="false">
      <c r="A255" s="0" t="n">
        <v>254</v>
      </c>
      <c r="B255" s="0" t="n">
        <v>9</v>
      </c>
      <c r="C255" s="0" t="s">
        <v>1090</v>
      </c>
      <c r="D255" s="0" t="s">
        <v>554</v>
      </c>
      <c r="E255" s="0" t="s">
        <v>1091</v>
      </c>
      <c r="F255" s="0" t="n">
        <v>11</v>
      </c>
      <c r="G255" s="0" t="s">
        <v>1038</v>
      </c>
      <c r="H255" s="0" t="s">
        <v>1038</v>
      </c>
      <c r="I255" s="0" t="s">
        <v>1030</v>
      </c>
      <c r="J255" s="0" t="n">
        <v>-7</v>
      </c>
      <c r="K255" s="0" t="n">
        <v>254</v>
      </c>
      <c r="L255" s="0" t="str">
        <f aca="false">C255</f>
        <v>Cleveland Browns</v>
      </c>
      <c r="M255" s="121" t="str">
        <f aca="false">IFERROR(VLOOKUP(E255,RISK!A:B,2,FALSE()),"")</f>
        <v/>
      </c>
      <c r="N255" s="120" t="e">
        <f aca="false">VLOOKUP(E255,Q:R,2,FALSE())</f>
        <v>#N/A</v>
      </c>
      <c r="Q255" s="53" t="s">
        <v>159</v>
      </c>
      <c r="R255" s="120" t="n">
        <f aca="false">Aggregate!BV9</f>
        <v>123.859063235294</v>
      </c>
    </row>
    <row r="256" customFormat="false" ht="14.25" hidden="false" customHeight="true" outlineLevel="0" collapsed="false">
      <c r="A256" s="0" t="n">
        <v>255</v>
      </c>
      <c r="B256" s="0" t="n">
        <v>9</v>
      </c>
      <c r="C256" s="0" t="s">
        <v>1092</v>
      </c>
      <c r="D256" s="0" t="s">
        <v>498</v>
      </c>
      <c r="E256" s="0" t="s">
        <v>1093</v>
      </c>
      <c r="F256" s="0" t="n">
        <v>11</v>
      </c>
      <c r="G256" s="0" t="s">
        <v>1038</v>
      </c>
      <c r="H256" s="0" t="s">
        <v>1038</v>
      </c>
      <c r="I256" s="0" t="s">
        <v>1034</v>
      </c>
      <c r="J256" s="0" t="n">
        <v>-25</v>
      </c>
      <c r="K256" s="0" t="n">
        <v>255</v>
      </c>
      <c r="L256" s="0" t="str">
        <f aca="false">C256</f>
        <v>Andy Borregales</v>
      </c>
      <c r="M256" s="121" t="str">
        <f aca="false">IFERROR(VLOOKUP(E256,RISK!A:B,2,FALSE()),"")</f>
        <v/>
      </c>
      <c r="N256" s="120" t="e">
        <f aca="false">VLOOKUP(E256,Q:R,2,FALSE())</f>
        <v>#N/A</v>
      </c>
      <c r="Q256" s="53" t="s">
        <v>163</v>
      </c>
      <c r="R256" s="120" t="n">
        <f aca="false">Aggregate!BV10</f>
        <v>123.79732</v>
      </c>
    </row>
    <row r="257" customFormat="false" ht="14.25" hidden="false" customHeight="true" outlineLevel="0" collapsed="false">
      <c r="A257" s="0" t="n">
        <v>256</v>
      </c>
      <c r="B257" s="0" t="n">
        <v>9</v>
      </c>
      <c r="C257" s="0" t="s">
        <v>664</v>
      </c>
      <c r="D257" s="0" t="s">
        <v>508</v>
      </c>
      <c r="E257" s="0" t="s">
        <v>408</v>
      </c>
      <c r="F257" s="0" t="n">
        <v>8</v>
      </c>
      <c r="G257" s="0" t="s">
        <v>1033</v>
      </c>
      <c r="H257" s="0" t="s">
        <v>1036</v>
      </c>
      <c r="I257" s="0" t="s">
        <v>1031</v>
      </c>
      <c r="J257" s="0" t="n">
        <v>-6</v>
      </c>
      <c r="K257" s="0" t="n">
        <v>256</v>
      </c>
      <c r="L257" s="0" t="str">
        <f aca="false">C257</f>
        <v>Jordan James</v>
      </c>
      <c r="M257" s="121" t="n">
        <f aca="false">IFERROR(VLOOKUP(E257,RISK!A:B,2,FALSE()),"")</f>
        <v>4</v>
      </c>
      <c r="N257" s="120" t="n">
        <f aca="false">VLOOKUP(E257,Q:R,2,FALSE())</f>
        <v>29.4641176470588</v>
      </c>
      <c r="Q257" s="53" t="s">
        <v>167</v>
      </c>
      <c r="R257" s="120" t="n">
        <f aca="false">Aggregate!BV11</f>
        <v>120.770863529412</v>
      </c>
    </row>
    <row r="258" customFormat="false" ht="14.25" hidden="false" customHeight="true" outlineLevel="0" collapsed="false">
      <c r="A258" s="0" t="n">
        <v>257</v>
      </c>
      <c r="B258" s="0" t="n">
        <v>9</v>
      </c>
      <c r="C258" s="0" t="s">
        <v>932</v>
      </c>
      <c r="D258" s="0" t="s">
        <v>520</v>
      </c>
      <c r="E258" s="0" t="s">
        <v>255</v>
      </c>
      <c r="F258" s="0" t="n">
        <v>11</v>
      </c>
      <c r="G258" s="0" t="s">
        <v>1038</v>
      </c>
      <c r="H258" s="0" t="s">
        <v>1038</v>
      </c>
      <c r="I258" s="0" t="s">
        <v>1032</v>
      </c>
      <c r="J258" s="0" t="n">
        <v>19</v>
      </c>
      <c r="K258" s="0" t="n">
        <v>257</v>
      </c>
      <c r="L258" s="0" t="str">
        <f aca="false">C258</f>
        <v>Colby Parkinson</v>
      </c>
      <c r="M258" s="121" t="n">
        <f aca="false">IFERROR(VLOOKUP(E258,RISK!A:B,2,FALSE()),"")</f>
        <v>3</v>
      </c>
      <c r="N258" s="120" t="n">
        <f aca="false">VLOOKUP(E258,Q:R,2,FALSE())</f>
        <v>66.5370588235294</v>
      </c>
      <c r="Q258" s="53" t="s">
        <v>171</v>
      </c>
      <c r="R258" s="120" t="n">
        <f aca="false">Aggregate!BV12</f>
        <v>119.500726470588</v>
      </c>
    </row>
    <row r="259" customFormat="false" ht="14.25" hidden="false" customHeight="true" outlineLevel="0" collapsed="false">
      <c r="A259" s="0" t="n">
        <v>258</v>
      </c>
      <c r="B259" s="0" t="n">
        <v>9</v>
      </c>
      <c r="C259" s="0" t="s">
        <v>1094</v>
      </c>
      <c r="D259" s="0" t="s">
        <v>528</v>
      </c>
      <c r="E259" s="0" t="s">
        <v>1095</v>
      </c>
      <c r="F259" s="0" t="n">
        <v>10</v>
      </c>
      <c r="G259" s="0" t="s">
        <v>1036</v>
      </c>
      <c r="H259" s="0" t="s">
        <v>1033</v>
      </c>
      <c r="I259" s="0" t="s">
        <v>1035</v>
      </c>
      <c r="J259" s="0" t="n">
        <v>-36</v>
      </c>
      <c r="K259" s="0" t="n">
        <v>258</v>
      </c>
      <c r="L259" s="0" t="str">
        <f aca="false">C259</f>
        <v>Chase McLaughlin</v>
      </c>
      <c r="M259" s="121" t="str">
        <f aca="false">IFERROR(VLOOKUP(E259,RISK!A:B,2,FALSE()),"")</f>
        <v/>
      </c>
      <c r="N259" s="120" t="e">
        <f aca="false">VLOOKUP(E259,Q:R,2,FALSE())</f>
        <v>#N/A</v>
      </c>
      <c r="Q259" s="53" t="s">
        <v>175</v>
      </c>
      <c r="R259" s="120" t="n">
        <f aca="false">Aggregate!BV13</f>
        <v>119.116021176471</v>
      </c>
    </row>
    <row r="260" customFormat="false" ht="14.25" hidden="false" customHeight="true" outlineLevel="0" collapsed="false">
      <c r="A260" s="0" t="n">
        <v>259</v>
      </c>
      <c r="B260" s="0" t="n">
        <v>9</v>
      </c>
      <c r="C260" s="0" t="s">
        <v>1096</v>
      </c>
      <c r="D260" s="0" t="s">
        <v>502</v>
      </c>
      <c r="E260" s="0" t="s">
        <v>1097</v>
      </c>
      <c r="F260" s="0" t="n">
        <v>6</v>
      </c>
      <c r="G260" s="0" t="s">
        <v>1036</v>
      </c>
      <c r="H260" s="0" t="s">
        <v>1033</v>
      </c>
      <c r="I260" s="0" t="s">
        <v>1031</v>
      </c>
      <c r="J260" s="0" t="n">
        <v>-59</v>
      </c>
      <c r="K260" s="0" t="n">
        <v>259</v>
      </c>
      <c r="L260" s="0" t="str">
        <f aca="false">C260</f>
        <v>Evan McPherson</v>
      </c>
      <c r="M260" s="121" t="str">
        <f aca="false">IFERROR(VLOOKUP(E260,RISK!A:B,2,FALSE()),"")</f>
        <v/>
      </c>
      <c r="N260" s="120" t="e">
        <f aca="false">VLOOKUP(E260,Q:R,2,FALSE())</f>
        <v>#N/A</v>
      </c>
      <c r="Q260" s="53" t="s">
        <v>179</v>
      </c>
      <c r="R260" s="120" t="n">
        <f aca="false">Aggregate!BV14</f>
        <v>110.860845176471</v>
      </c>
    </row>
    <row r="261" customFormat="false" ht="14.25" hidden="false" customHeight="true" outlineLevel="0" collapsed="false">
      <c r="A261" s="0" t="n">
        <v>260</v>
      </c>
      <c r="B261" s="0" t="n">
        <v>9</v>
      </c>
      <c r="C261" s="0" t="s">
        <v>806</v>
      </c>
      <c r="D261" s="0" t="s">
        <v>536</v>
      </c>
      <c r="E261" s="0" t="s">
        <v>457</v>
      </c>
      <c r="F261" s="0" t="n">
        <v>11</v>
      </c>
      <c r="G261" s="0" t="s">
        <v>1036</v>
      </c>
      <c r="H261" s="0" t="s">
        <v>1036</v>
      </c>
      <c r="I261" s="0" t="s">
        <v>1035</v>
      </c>
      <c r="J261" s="0" t="n">
        <v>43</v>
      </c>
      <c r="K261" s="0" t="n">
        <v>260</v>
      </c>
      <c r="L261" s="0" t="str">
        <f aca="false">C261</f>
        <v>Tory Horton</v>
      </c>
      <c r="M261" s="121" t="n">
        <f aca="false">IFERROR(VLOOKUP(E261,RISK!A:B,2,FALSE()),"")</f>
        <v>3.84810126582278</v>
      </c>
      <c r="N261" s="120" t="n">
        <f aca="false">VLOOKUP(E261,Q:R,2,FALSE())</f>
        <v>51.6173343261355</v>
      </c>
      <c r="Q261" s="53" t="s">
        <v>183</v>
      </c>
      <c r="R261" s="120" t="n">
        <f aca="false">Aggregate!BV15</f>
        <v>110.289531529412</v>
      </c>
    </row>
    <row r="262" customFormat="false" ht="14.25" hidden="false" customHeight="true" outlineLevel="0" collapsed="false">
      <c r="A262" s="0" t="n">
        <v>261</v>
      </c>
      <c r="B262" s="0" t="n">
        <v>9</v>
      </c>
      <c r="C262" s="0" t="s">
        <v>673</v>
      </c>
      <c r="D262" s="0" t="s">
        <v>542</v>
      </c>
      <c r="E262" s="0" t="s">
        <v>411</v>
      </c>
      <c r="F262" s="0" t="n">
        <v>13</v>
      </c>
      <c r="G262" s="0" t="s">
        <v>1033</v>
      </c>
      <c r="H262" s="0" t="s">
        <v>1036</v>
      </c>
      <c r="I262" s="0" t="s">
        <v>1035</v>
      </c>
      <c r="J262" s="0" t="s">
        <v>1038</v>
      </c>
      <c r="K262" s="0" t="n">
        <v>261</v>
      </c>
      <c r="L262" s="0" t="str">
        <f aca="false">C262</f>
        <v>Isaiah Davis</v>
      </c>
      <c r="M262" s="121" t="n">
        <f aca="false">IFERROR(VLOOKUP(E262,RISK!A:B,2,FALSE()),"")</f>
        <v>4</v>
      </c>
      <c r="N262" s="120" t="n">
        <f aca="false">VLOOKUP(E262,Q:R,2,FALSE())</f>
        <v>26.8794117647059</v>
      </c>
      <c r="Q262" s="53" t="s">
        <v>187</v>
      </c>
      <c r="R262" s="120" t="n">
        <f aca="false">Aggregate!BV16</f>
        <v>108.911436294118</v>
      </c>
    </row>
    <row r="263" customFormat="false" ht="14.25" hidden="false" customHeight="true" outlineLevel="0" collapsed="false">
      <c r="A263" s="0" t="n">
        <v>262</v>
      </c>
      <c r="B263" s="0" t="n">
        <v>9</v>
      </c>
      <c r="C263" s="0" t="s">
        <v>656</v>
      </c>
      <c r="D263" s="0" t="s">
        <v>490</v>
      </c>
      <c r="E263" s="0" t="s">
        <v>414</v>
      </c>
      <c r="F263" s="0" t="n">
        <v>7</v>
      </c>
      <c r="G263" s="0" t="s">
        <v>1038</v>
      </c>
      <c r="H263" s="0" t="s">
        <v>1038</v>
      </c>
      <c r="I263" s="0" t="s">
        <v>1031</v>
      </c>
      <c r="J263" s="0" t="n">
        <v>15</v>
      </c>
      <c r="K263" s="0" t="n">
        <v>262</v>
      </c>
      <c r="L263" s="0" t="str">
        <f aca="false">C263</f>
        <v>Ty Johnson</v>
      </c>
      <c r="M263" s="121" t="n">
        <f aca="false">IFERROR(VLOOKUP(E263,RISK!A:B,2,FALSE()),"")</f>
        <v>4</v>
      </c>
      <c r="N263" s="120" t="n">
        <f aca="false">VLOOKUP(E263,Q:R,2,FALSE())</f>
        <v>24.7229411764706</v>
      </c>
      <c r="Q263" s="53" t="s">
        <v>191</v>
      </c>
      <c r="R263" s="120" t="n">
        <f aca="false">Aggregate!BV17</f>
        <v>106.457098352941</v>
      </c>
    </row>
    <row r="264" customFormat="false" ht="14.25" hidden="false" customHeight="true" outlineLevel="0" collapsed="false">
      <c r="A264" s="0" t="n">
        <v>263</v>
      </c>
      <c r="B264" s="0" t="n">
        <v>9</v>
      </c>
      <c r="C264" s="0" t="s">
        <v>920</v>
      </c>
      <c r="D264" s="0" t="s">
        <v>534</v>
      </c>
      <c r="E264" s="0" t="s">
        <v>259</v>
      </c>
      <c r="F264" s="0" t="n">
        <v>6</v>
      </c>
      <c r="G264" s="0" t="s">
        <v>1036</v>
      </c>
      <c r="H264" s="0" t="s">
        <v>1036</v>
      </c>
      <c r="I264" s="0" t="s">
        <v>1030</v>
      </c>
      <c r="J264" s="0" t="n">
        <v>-48</v>
      </c>
      <c r="K264" s="0" t="n">
        <v>263</v>
      </c>
      <c r="L264" s="0" t="str">
        <f aca="false">C264</f>
        <v>Greg Dulcich</v>
      </c>
      <c r="M264" s="121" t="n">
        <f aca="false">IFERROR(VLOOKUP(E264,RISK!A:B,2,FALSE()),"")</f>
        <v>3</v>
      </c>
      <c r="N264" s="120" t="n">
        <f aca="false">VLOOKUP(E264,Q:R,2,FALSE())</f>
        <v>66.0476470588235</v>
      </c>
      <c r="Q264" s="53" t="s">
        <v>195</v>
      </c>
      <c r="R264" s="120" t="n">
        <f aca="false">Aggregate!BV18</f>
        <v>100.483787529412</v>
      </c>
    </row>
    <row r="265" customFormat="false" ht="14.25" hidden="false" customHeight="true" outlineLevel="0" collapsed="false">
      <c r="A265" s="0" t="n">
        <v>264</v>
      </c>
      <c r="B265" s="0" t="n">
        <v>9</v>
      </c>
      <c r="C265" s="0" t="s">
        <v>803</v>
      </c>
      <c r="D265" s="0" t="s">
        <v>512</v>
      </c>
      <c r="E265" s="0" t="s">
        <v>460</v>
      </c>
      <c r="F265" s="0" t="n">
        <v>5</v>
      </c>
      <c r="G265" s="0" t="s">
        <v>1033</v>
      </c>
      <c r="H265" s="0" t="s">
        <v>1028</v>
      </c>
      <c r="I265" s="0" t="s">
        <v>1031</v>
      </c>
      <c r="J265" s="0" t="s">
        <v>1038</v>
      </c>
      <c r="K265" s="0" t="n">
        <v>264</v>
      </c>
      <c r="L265" s="0" t="str">
        <f aca="false">C265</f>
        <v>Tyquan Thornton</v>
      </c>
      <c r="M265" s="121" t="n">
        <f aca="false">IFERROR(VLOOKUP(E265,RISK!A:B,2,FALSE()),"")</f>
        <v>3.84810126582278</v>
      </c>
      <c r="N265" s="120" t="n">
        <f aca="false">VLOOKUP(E265,Q:R,2,FALSE())</f>
        <v>50.5729188384215</v>
      </c>
      <c r="Q265" s="53" t="s">
        <v>199</v>
      </c>
      <c r="R265" s="120" t="n">
        <f aca="false">Aggregate!BV19</f>
        <v>100.381262647059</v>
      </c>
    </row>
    <row r="266" customFormat="false" ht="14.25" hidden="false" customHeight="true" outlineLevel="0" collapsed="false">
      <c r="A266" s="0" t="n">
        <v>265</v>
      </c>
      <c r="B266" s="0" t="n">
        <v>9</v>
      </c>
      <c r="C266" s="0" t="s">
        <v>676</v>
      </c>
      <c r="D266" s="0" t="s">
        <v>506</v>
      </c>
      <c r="E266" s="0" t="s">
        <v>417</v>
      </c>
      <c r="F266" s="0" t="n">
        <v>7</v>
      </c>
      <c r="G266" s="0" t="s">
        <v>1033</v>
      </c>
      <c r="H266" s="0" t="s">
        <v>1028</v>
      </c>
      <c r="I266" s="0" t="s">
        <v>1032</v>
      </c>
      <c r="J266" s="0" t="s">
        <v>1038</v>
      </c>
      <c r="K266" s="0" t="n">
        <v>265</v>
      </c>
      <c r="L266" s="0" t="str">
        <f aca="false">C266</f>
        <v>LeQuint Allen Jr.</v>
      </c>
      <c r="M266" s="121" t="n">
        <f aca="false">IFERROR(VLOOKUP(E266,RISK!A:B,2,FALSE()),"")</f>
        <v>4</v>
      </c>
      <c r="N266" s="120" t="n">
        <f aca="false">VLOOKUP(E266,Q:R,2,FALSE())</f>
        <v>23.8052941176471</v>
      </c>
      <c r="Q266" s="53" t="s">
        <v>203</v>
      </c>
      <c r="R266" s="120" t="n">
        <f aca="false">Aggregate!BV20</f>
        <v>96.61635</v>
      </c>
    </row>
    <row r="267" customFormat="false" ht="14.25" hidden="false" customHeight="true" outlineLevel="0" collapsed="false">
      <c r="A267" s="0" t="n">
        <v>266</v>
      </c>
      <c r="B267" s="0" t="n">
        <v>9</v>
      </c>
      <c r="C267" s="0" t="s">
        <v>819</v>
      </c>
      <c r="D267" s="0" t="s">
        <v>544</v>
      </c>
      <c r="E267" s="0" t="s">
        <v>463</v>
      </c>
      <c r="F267" s="0" t="n">
        <v>9</v>
      </c>
      <c r="G267" s="0" t="s">
        <v>1029</v>
      </c>
      <c r="H267" s="0" t="s">
        <v>1028</v>
      </c>
      <c r="I267" s="0" t="s">
        <v>1035</v>
      </c>
      <c r="J267" s="0" t="s">
        <v>1038</v>
      </c>
      <c r="K267" s="0" t="n">
        <v>266</v>
      </c>
      <c r="L267" s="0" t="str">
        <f aca="false">C267</f>
        <v>Elic Ayomanor</v>
      </c>
      <c r="M267" s="121" t="n">
        <f aca="false">IFERROR(VLOOKUP(E267,RISK!A:B,2,FALSE()),"")</f>
        <v>3.84810126582278</v>
      </c>
      <c r="N267" s="120" t="n">
        <f aca="false">VLOOKUP(E267,Q:R,2,FALSE())</f>
        <v>48.2674683544304</v>
      </c>
      <c r="Q267" s="53" t="s">
        <v>207</v>
      </c>
      <c r="R267" s="120" t="n">
        <f aca="false">Aggregate!BV21</f>
        <v>90.2442188235294</v>
      </c>
    </row>
    <row r="268" customFormat="false" ht="14.25" hidden="false" customHeight="true" outlineLevel="0" collapsed="false">
      <c r="A268" s="0" t="n">
        <v>267</v>
      </c>
      <c r="B268" s="0" t="n">
        <v>9</v>
      </c>
      <c r="C268" s="0" t="s">
        <v>556</v>
      </c>
      <c r="D268" s="0" t="s">
        <v>552</v>
      </c>
      <c r="E268" s="0" t="s">
        <v>252</v>
      </c>
      <c r="F268" s="0" t="n">
        <v>11</v>
      </c>
      <c r="G268" s="0" t="s">
        <v>1033</v>
      </c>
      <c r="H268" s="0" t="s">
        <v>1028</v>
      </c>
      <c r="I268" s="0" t="s">
        <v>1032</v>
      </c>
      <c r="J268" s="0" t="n">
        <v>-18</v>
      </c>
      <c r="K268" s="0" t="n">
        <v>267</v>
      </c>
      <c r="L268" s="0" t="str">
        <f aca="false">C268</f>
        <v>Michael Penix Jr.</v>
      </c>
      <c r="M268" s="121" t="n">
        <f aca="false">IFERROR(VLOOKUP(E268,RISK!A:B,2,FALSE()),"")</f>
        <v>3.2</v>
      </c>
      <c r="N268" s="120" t="n">
        <f aca="false">VLOOKUP(E268,Q:R,2,FALSE())</f>
        <v>114.200682352941</v>
      </c>
      <c r="Q268" s="53" t="s">
        <v>211</v>
      </c>
      <c r="R268" s="120" t="n">
        <f aca="false">Aggregate!BV22</f>
        <v>83.33</v>
      </c>
    </row>
    <row r="269" customFormat="false" ht="14.25" hidden="false" customHeight="true" outlineLevel="0" collapsed="false">
      <c r="A269" s="0" t="n">
        <v>268</v>
      </c>
      <c r="B269" s="0" t="n">
        <v>9</v>
      </c>
      <c r="C269" s="0" t="s">
        <v>551</v>
      </c>
      <c r="D269" s="0" t="s">
        <v>552</v>
      </c>
      <c r="E269" s="0" t="s">
        <v>256</v>
      </c>
      <c r="F269" s="0" t="n">
        <v>11</v>
      </c>
      <c r="G269" s="0" t="s">
        <v>1033</v>
      </c>
      <c r="H269" s="0" t="s">
        <v>1036</v>
      </c>
      <c r="I269" s="0" t="s">
        <v>1032</v>
      </c>
      <c r="J269" s="0" t="n">
        <v>-25</v>
      </c>
      <c r="K269" s="0" t="n">
        <v>268</v>
      </c>
      <c r="L269" s="0" t="str">
        <f aca="false">C269</f>
        <v>Tua Tagovailoa</v>
      </c>
      <c r="M269" s="121" t="n">
        <f aca="false">IFERROR(VLOOKUP(E269,RISK!A:B,2,FALSE()),"")</f>
        <v>3.2</v>
      </c>
      <c r="N269" s="120" t="n">
        <f aca="false">VLOOKUP(E269,Q:R,2,FALSE())</f>
        <v>109.784682352941</v>
      </c>
      <c r="Q269" s="53" t="s">
        <v>215</v>
      </c>
      <c r="R269" s="120" t="n">
        <f aca="false">Aggregate!BV23</f>
        <v>82.4811764705882</v>
      </c>
    </row>
    <row r="270" customFormat="false" ht="14.25" hidden="false" customHeight="true" outlineLevel="0" collapsed="false">
      <c r="A270" s="0" t="n">
        <v>269</v>
      </c>
      <c r="B270" s="0" t="n">
        <v>9</v>
      </c>
      <c r="C270" s="0" t="s">
        <v>557</v>
      </c>
      <c r="D270" s="0" t="s">
        <v>550</v>
      </c>
      <c r="E270" s="0" t="s">
        <v>260</v>
      </c>
      <c r="F270" s="0" t="n">
        <v>13</v>
      </c>
      <c r="G270" s="0" t="s">
        <v>1033</v>
      </c>
      <c r="H270" s="0" t="s">
        <v>1036</v>
      </c>
      <c r="I270" s="0" t="s">
        <v>1034</v>
      </c>
      <c r="J270" s="0" t="n">
        <v>-25</v>
      </c>
      <c r="K270" s="0" t="n">
        <v>269</v>
      </c>
      <c r="L270" s="0" t="str">
        <f aca="false">C270</f>
        <v>Kirk Cousins</v>
      </c>
      <c r="M270" s="121" t="n">
        <f aca="false">IFERROR(VLOOKUP(E270,RISK!A:B,2,FALSE()),"")</f>
        <v>3.2</v>
      </c>
      <c r="N270" s="120" t="n">
        <f aca="false">VLOOKUP(E270,Q:R,2,FALSE())</f>
        <v>86.1217411764706</v>
      </c>
      <c r="Q270" s="53" t="s">
        <v>219</v>
      </c>
      <c r="R270" s="120" t="n">
        <f aca="false">Aggregate!BV24</f>
        <v>81.3111764705882</v>
      </c>
    </row>
    <row r="271" customFormat="false" ht="14.25" hidden="false" customHeight="true" outlineLevel="0" collapsed="false">
      <c r="A271" s="0" t="n">
        <v>270</v>
      </c>
      <c r="B271" s="0" t="n">
        <v>9</v>
      </c>
      <c r="C271" s="0" t="s">
        <v>1098</v>
      </c>
      <c r="D271" s="0" t="s">
        <v>512</v>
      </c>
      <c r="E271" s="0" t="s">
        <v>1099</v>
      </c>
      <c r="F271" s="0" t="n">
        <v>5</v>
      </c>
      <c r="G271" s="0" t="s">
        <v>1038</v>
      </c>
      <c r="H271" s="0" t="s">
        <v>1038</v>
      </c>
      <c r="I271" s="0" t="s">
        <v>1030</v>
      </c>
      <c r="J271" s="0" t="n">
        <v>-74</v>
      </c>
      <c r="K271" s="0" t="n">
        <v>270</v>
      </c>
      <c r="L271" s="0" t="str">
        <f aca="false">C271</f>
        <v>Harrison Butker</v>
      </c>
      <c r="M271" s="121" t="str">
        <f aca="false">IFERROR(VLOOKUP(E271,RISK!A:B,2,FALSE()),"")</f>
        <v/>
      </c>
      <c r="N271" s="120" t="e">
        <f aca="false">VLOOKUP(E271,Q:R,2,FALSE())</f>
        <v>#N/A</v>
      </c>
      <c r="Q271" s="53" t="s">
        <v>223</v>
      </c>
      <c r="R271" s="120" t="n">
        <f aca="false">Aggregate!BV25</f>
        <v>80.7835294117647</v>
      </c>
    </row>
    <row r="272" customFormat="false" ht="14.25" hidden="false" customHeight="true" outlineLevel="0" collapsed="false">
      <c r="A272" s="0" t="n">
        <v>271</v>
      </c>
      <c r="B272" s="0" t="n">
        <v>9</v>
      </c>
      <c r="C272" s="0" t="s">
        <v>821</v>
      </c>
      <c r="D272" s="0" t="s">
        <v>544</v>
      </c>
      <c r="E272" s="0" t="s">
        <v>466</v>
      </c>
      <c r="F272" s="0" t="n">
        <v>9</v>
      </c>
      <c r="G272" s="0" t="s">
        <v>1029</v>
      </c>
      <c r="H272" s="0" t="s">
        <v>1028</v>
      </c>
      <c r="I272" s="0" t="s">
        <v>1035</v>
      </c>
      <c r="J272" s="0" t="s">
        <v>1038</v>
      </c>
      <c r="K272" s="0" t="n">
        <v>271</v>
      </c>
      <c r="L272" s="0" t="str">
        <f aca="false">C272</f>
        <v>Chimere Dike</v>
      </c>
      <c r="M272" s="121" t="n">
        <f aca="false">IFERROR(VLOOKUP(E272,RISK!A:B,2,FALSE()),"")</f>
        <v>3.84810126582278</v>
      </c>
      <c r="N272" s="120" t="n">
        <f aca="false">VLOOKUP(E272,Q:R,2,FALSE())</f>
        <v>45.0413849590469</v>
      </c>
      <c r="Q272" s="53" t="s">
        <v>227</v>
      </c>
      <c r="R272" s="120" t="n">
        <f aca="false">Aggregate!BV26</f>
        <v>79.3121671764706</v>
      </c>
    </row>
    <row r="273" customFormat="false" ht="14.25" hidden="false" customHeight="true" outlineLevel="0" collapsed="false">
      <c r="A273" s="0" t="n">
        <v>272</v>
      </c>
      <c r="B273" s="0" t="n">
        <v>9</v>
      </c>
      <c r="C273" s="0" t="s">
        <v>1100</v>
      </c>
      <c r="D273" s="0" t="s">
        <v>548</v>
      </c>
      <c r="E273" s="0" t="s">
        <v>1101</v>
      </c>
      <c r="F273" s="0" t="n">
        <v>9</v>
      </c>
      <c r="G273" s="0" t="s">
        <v>1036</v>
      </c>
      <c r="H273" s="0" t="s">
        <v>1033</v>
      </c>
      <c r="I273" s="0" t="s">
        <v>1032</v>
      </c>
      <c r="J273" s="0" t="n">
        <v>-55</v>
      </c>
      <c r="K273" s="0" t="n">
        <v>272</v>
      </c>
      <c r="L273" s="0" t="str">
        <f aca="false">C273</f>
        <v>Chris Boswell</v>
      </c>
      <c r="M273" s="121" t="str">
        <f aca="false">IFERROR(VLOOKUP(E273,RISK!A:B,2,FALSE()),"")</f>
        <v/>
      </c>
      <c r="N273" s="120" t="e">
        <f aca="false">VLOOKUP(E273,Q:R,2,FALSE())</f>
        <v>#N/A</v>
      </c>
      <c r="Q273" s="53" t="s">
        <v>231</v>
      </c>
      <c r="R273" s="120" t="n">
        <f aca="false">Aggregate!BV27</f>
        <v>78.6035525882353</v>
      </c>
    </row>
    <row r="274" customFormat="false" ht="14.25" hidden="false" customHeight="true" outlineLevel="0" collapsed="false">
      <c r="A274" s="0" t="n">
        <v>273</v>
      </c>
      <c r="B274" s="0" t="n">
        <v>9</v>
      </c>
      <c r="C274" s="0" t="s">
        <v>681</v>
      </c>
      <c r="D274" s="0" t="s">
        <v>532</v>
      </c>
      <c r="E274" s="0" t="s">
        <v>420</v>
      </c>
      <c r="F274" s="0" t="n">
        <v>13</v>
      </c>
      <c r="G274" s="0" t="s">
        <v>1036</v>
      </c>
      <c r="H274" s="0" t="s">
        <v>1036</v>
      </c>
      <c r="I274" s="0" t="s">
        <v>1032</v>
      </c>
      <c r="J274" s="0" t="n">
        <v>16</v>
      </c>
      <c r="K274" s="0" t="n">
        <v>273</v>
      </c>
      <c r="L274" s="0" t="str">
        <f aca="false">C274</f>
        <v>Seth McGowan</v>
      </c>
      <c r="M274" s="121" t="n">
        <f aca="false">IFERROR(VLOOKUP(E274,RISK!A:B,2,FALSE()),"")</f>
        <v>4</v>
      </c>
      <c r="N274" s="120" t="n">
        <f aca="false">VLOOKUP(E274,Q:R,2,FALSE())</f>
        <v>22.88</v>
      </c>
      <c r="Q274" s="53" t="s">
        <v>235</v>
      </c>
      <c r="R274" s="120" t="n">
        <f aca="false">Aggregate!BV28</f>
        <v>77.6252941176471</v>
      </c>
    </row>
    <row r="275" customFormat="false" ht="14.25" hidden="false" customHeight="true" outlineLevel="0" collapsed="false">
      <c r="A275" s="0" t="n">
        <v>274</v>
      </c>
      <c r="B275" s="0" t="n">
        <v>9</v>
      </c>
      <c r="C275" s="0" t="s">
        <v>696</v>
      </c>
      <c r="D275" s="0" t="s">
        <v>532</v>
      </c>
      <c r="E275" s="0" t="s">
        <v>423</v>
      </c>
      <c r="F275" s="0" t="n">
        <v>13</v>
      </c>
      <c r="G275" s="0" t="s">
        <v>1033</v>
      </c>
      <c r="H275" s="0" t="s">
        <v>1036</v>
      </c>
      <c r="I275" s="0" t="s">
        <v>1032</v>
      </c>
      <c r="J275" s="0" t="s">
        <v>1038</v>
      </c>
      <c r="K275" s="0" t="n">
        <v>274</v>
      </c>
      <c r="L275" s="0" t="str">
        <f aca="false">C275</f>
        <v>DJ Giddens</v>
      </c>
      <c r="M275" s="121" t="n">
        <f aca="false">IFERROR(VLOOKUP(E275,RISK!A:B,2,FALSE()),"")</f>
        <v>4</v>
      </c>
      <c r="N275" s="120" t="n">
        <f aca="false">VLOOKUP(E275,Q:R,2,FALSE())</f>
        <v>19.1941176470588</v>
      </c>
      <c r="Q275" s="53" t="s">
        <v>239</v>
      </c>
      <c r="R275" s="120" t="n">
        <f aca="false">Aggregate!BV29</f>
        <v>76.4629411764706</v>
      </c>
    </row>
    <row r="276" customFormat="false" ht="14.25" hidden="false" customHeight="true" outlineLevel="0" collapsed="false">
      <c r="A276" s="0" t="n">
        <v>275</v>
      </c>
      <c r="B276" s="0" t="n">
        <v>9</v>
      </c>
      <c r="C276" s="0" t="s">
        <v>686</v>
      </c>
      <c r="D276" s="0" t="s">
        <v>526</v>
      </c>
      <c r="E276" s="0" t="s">
        <v>426</v>
      </c>
      <c r="F276" s="0" t="n">
        <v>8</v>
      </c>
      <c r="G276" s="0" t="s">
        <v>1033</v>
      </c>
      <c r="H276" s="0" t="s">
        <v>1036</v>
      </c>
      <c r="I276" s="0" t="s">
        <v>1035</v>
      </c>
      <c r="J276" s="0" t="n">
        <v>41</v>
      </c>
      <c r="K276" s="0" t="n">
        <v>275</v>
      </c>
      <c r="L276" s="0" t="str">
        <f aca="false">C276</f>
        <v>Kendre Miller</v>
      </c>
      <c r="M276" s="121" t="n">
        <f aca="false">IFERROR(VLOOKUP(E276,RISK!A:B,2,FALSE()),"")</f>
        <v>4</v>
      </c>
      <c r="N276" s="120" t="n">
        <f aca="false">VLOOKUP(E276,Q:R,2,FALSE())</f>
        <v>18.0470588235294</v>
      </c>
      <c r="Q276" s="53" t="s">
        <v>243</v>
      </c>
      <c r="R276" s="120" t="n">
        <f aca="false">Aggregate!BV30</f>
        <v>72.0888235294118</v>
      </c>
    </row>
    <row r="277" customFormat="false" ht="14.25" hidden="false" customHeight="true" outlineLevel="0" collapsed="false">
      <c r="A277" s="0" t="n">
        <v>276</v>
      </c>
      <c r="B277" s="0" t="n">
        <v>9</v>
      </c>
      <c r="C277" s="0" t="s">
        <v>1102</v>
      </c>
      <c r="D277" s="0" t="s">
        <v>518</v>
      </c>
      <c r="E277" s="0" t="s">
        <v>1103</v>
      </c>
      <c r="F277" s="0" t="n">
        <v>10</v>
      </c>
      <c r="G277" s="0" t="s">
        <v>1038</v>
      </c>
      <c r="H277" s="0" t="s">
        <v>1038</v>
      </c>
      <c r="I277" s="0" t="s">
        <v>1034</v>
      </c>
      <c r="J277" s="0" t="n">
        <v>-38</v>
      </c>
      <c r="K277" s="0" t="n">
        <v>276</v>
      </c>
      <c r="L277" s="0" t="str">
        <f aca="false">C277</f>
        <v>Wil Lutz</v>
      </c>
      <c r="M277" s="121" t="str">
        <f aca="false">IFERROR(VLOOKUP(E277,RISK!A:B,2,FALSE()),"")</f>
        <v/>
      </c>
      <c r="N277" s="120" t="e">
        <f aca="false">VLOOKUP(E277,Q:R,2,FALSE())</f>
        <v>#N/A</v>
      </c>
      <c r="Q277" s="53" t="s">
        <v>247</v>
      </c>
      <c r="R277" s="120" t="n">
        <f aca="false">Aggregate!BV31</f>
        <v>69.0376470588235</v>
      </c>
    </row>
    <row r="278" customFormat="false" ht="14.25" hidden="false" customHeight="true" outlineLevel="0" collapsed="false">
      <c r="A278" s="0" t="n">
        <v>277</v>
      </c>
      <c r="B278" s="0" t="n">
        <v>9</v>
      </c>
      <c r="C278" s="0" t="s">
        <v>804</v>
      </c>
      <c r="D278" s="0" t="s">
        <v>504</v>
      </c>
      <c r="E278" s="0" t="s">
        <v>469</v>
      </c>
      <c r="F278" s="0" t="n">
        <v>8</v>
      </c>
      <c r="G278" s="0" t="s">
        <v>1033</v>
      </c>
      <c r="H278" s="0" t="s">
        <v>1036</v>
      </c>
      <c r="I278" s="0" t="s">
        <v>1032</v>
      </c>
      <c r="J278" s="0" t="s">
        <v>1038</v>
      </c>
      <c r="K278" s="0" t="n">
        <v>277</v>
      </c>
      <c r="L278" s="0" t="str">
        <f aca="false">C278</f>
        <v>Darius Slayton</v>
      </c>
      <c r="M278" s="121" t="n">
        <f aca="false">IFERROR(VLOOKUP(E278,RISK!A:B,2,FALSE()),"")</f>
        <v>3.84810126582278</v>
      </c>
      <c r="N278" s="120" t="n">
        <f aca="false">VLOOKUP(E278,Q:R,2,FALSE())</f>
        <v>41.1422338049144</v>
      </c>
      <c r="Q278" s="53" t="s">
        <v>251</v>
      </c>
      <c r="R278" s="120" t="n">
        <f aca="false">Aggregate!BV32</f>
        <v>67.4011764705882</v>
      </c>
    </row>
    <row r="279" customFormat="false" ht="14.25" hidden="false" customHeight="true" outlineLevel="0" collapsed="false">
      <c r="A279" s="0" t="n">
        <v>278</v>
      </c>
      <c r="B279" s="0" t="n">
        <v>9</v>
      </c>
      <c r="C279" s="0" t="s">
        <v>555</v>
      </c>
      <c r="D279" s="0" t="s">
        <v>554</v>
      </c>
      <c r="E279" s="0" t="s">
        <v>264</v>
      </c>
      <c r="F279" s="0" t="n">
        <v>11</v>
      </c>
      <c r="G279" s="0" t="s">
        <v>1037</v>
      </c>
      <c r="H279" s="0" t="s">
        <v>1036</v>
      </c>
      <c r="I279" s="0" t="s">
        <v>1032</v>
      </c>
      <c r="J279" s="0" t="n">
        <v>-15</v>
      </c>
      <c r="K279" s="0" t="n">
        <v>278</v>
      </c>
      <c r="L279" s="0" t="str">
        <f aca="false">C279</f>
        <v>Shedeur Sanders</v>
      </c>
      <c r="M279" s="121" t="n">
        <f aca="false">IFERROR(VLOOKUP(E279,RISK!A:B,2,FALSE()),"")</f>
        <v>3.2</v>
      </c>
      <c r="N279" s="120" t="n">
        <f aca="false">VLOOKUP(E279,Q:R,2,FALSE())</f>
        <v>79.9929176470588</v>
      </c>
      <c r="Q279" s="53" t="s">
        <v>255</v>
      </c>
      <c r="R279" s="120" t="n">
        <f aca="false">Aggregate!BV33</f>
        <v>66.5370588235294</v>
      </c>
    </row>
    <row r="280" customFormat="false" ht="14.25" hidden="false" customHeight="true" outlineLevel="0" collapsed="false">
      <c r="A280" s="0" t="n">
        <v>279</v>
      </c>
      <c r="B280" s="0" t="n">
        <v>9</v>
      </c>
      <c r="C280" s="0" t="s">
        <v>807</v>
      </c>
      <c r="D280" s="0" t="s">
        <v>540</v>
      </c>
      <c r="E280" s="0" t="s">
        <v>472</v>
      </c>
      <c r="F280" s="0" t="n">
        <v>5</v>
      </c>
      <c r="G280" s="0" t="s">
        <v>1033</v>
      </c>
      <c r="H280" s="0" t="s">
        <v>1036</v>
      </c>
      <c r="I280" s="0" t="s">
        <v>1031</v>
      </c>
      <c r="J280" s="0" t="s">
        <v>1038</v>
      </c>
      <c r="K280" s="0" t="n">
        <v>279</v>
      </c>
      <c r="L280" s="0" t="str">
        <f aca="false">C280</f>
        <v>Xavier Legette</v>
      </c>
      <c r="M280" s="121" t="n">
        <f aca="false">IFERROR(VLOOKUP(E280,RISK!A:B,2,FALSE()),"")</f>
        <v>3.84810126582278</v>
      </c>
      <c r="N280" s="120" t="n">
        <f aca="false">VLOOKUP(E280,Q:R,2,FALSE())</f>
        <v>40.2061280714818</v>
      </c>
      <c r="Q280" s="53" t="s">
        <v>259</v>
      </c>
      <c r="R280" s="120" t="n">
        <f aca="false">Aggregate!BV34</f>
        <v>66.0476470588235</v>
      </c>
    </row>
    <row r="281" customFormat="false" ht="14.25" hidden="false" customHeight="true" outlineLevel="0" collapsed="false">
      <c r="A281" s="0" t="n">
        <v>280</v>
      </c>
      <c r="B281" s="0" t="n">
        <v>9</v>
      </c>
      <c r="C281" s="0" t="s">
        <v>553</v>
      </c>
      <c r="D281" s="0" t="s">
        <v>554</v>
      </c>
      <c r="E281" s="0" t="s">
        <v>268</v>
      </c>
      <c r="F281" s="0" t="n">
        <v>11</v>
      </c>
      <c r="G281" s="0" t="s">
        <v>1029</v>
      </c>
      <c r="H281" s="0" t="s">
        <v>1028</v>
      </c>
      <c r="I281" s="0" t="s">
        <v>1032</v>
      </c>
      <c r="J281" s="0" t="n">
        <v>-21</v>
      </c>
      <c r="K281" s="0" t="n">
        <v>280</v>
      </c>
      <c r="L281" s="0" t="str">
        <f aca="false">C281</f>
        <v>Deshaun Watson</v>
      </c>
      <c r="M281" s="121" t="n">
        <f aca="false">IFERROR(VLOOKUP(E281,RISK!A:B,2,FALSE()),"")</f>
        <v>3.2</v>
      </c>
      <c r="N281" s="120" t="n">
        <f aca="false">VLOOKUP(E281,Q:R,2,FALSE())</f>
        <v>38.2113882352941</v>
      </c>
      <c r="Q281" s="53" t="s">
        <v>263</v>
      </c>
      <c r="R281" s="120" t="n">
        <f aca="false">Aggregate!BV35</f>
        <v>57.8041176470588</v>
      </c>
    </row>
    <row r="282" customFormat="false" ht="14.25" hidden="false" customHeight="true" outlineLevel="0" collapsed="false">
      <c r="A282" s="0" t="n">
        <v>281</v>
      </c>
      <c r="B282" s="0" t="n">
        <v>9</v>
      </c>
      <c r="C282" s="0" t="s">
        <v>857</v>
      </c>
      <c r="D282" s="0" t="s">
        <v>494</v>
      </c>
      <c r="E282" s="0" t="s">
        <v>475</v>
      </c>
      <c r="F282" s="0" t="n">
        <v>13</v>
      </c>
      <c r="G282" s="0" t="s">
        <v>1037</v>
      </c>
      <c r="H282" s="0" t="s">
        <v>1037</v>
      </c>
      <c r="I282" s="0" t="s">
        <v>1032</v>
      </c>
      <c r="J282" s="0" t="s">
        <v>1038</v>
      </c>
      <c r="K282" s="0" t="n">
        <v>281</v>
      </c>
      <c r="L282" s="0" t="str">
        <f aca="false">C282</f>
        <v>Elijah Sarratt</v>
      </c>
      <c r="M282" s="121" t="n">
        <f aca="false">IFERROR(VLOOKUP(E282,RISK!A:B,2,FALSE()),"")</f>
        <v>3.84810126582278</v>
      </c>
      <c r="N282" s="120" t="n">
        <f aca="false">VLOOKUP(E282,Q:R,2,FALSE())</f>
        <v>34.5430752047655</v>
      </c>
      <c r="Q282" s="53" t="s">
        <v>267</v>
      </c>
      <c r="R282" s="120" t="n">
        <f aca="false">Aggregate!BV36</f>
        <v>56.3741176470588</v>
      </c>
    </row>
    <row r="283" customFormat="false" ht="14.25" hidden="false" customHeight="true" outlineLevel="0" collapsed="false">
      <c r="A283" s="0" t="n">
        <v>282</v>
      </c>
      <c r="B283" s="0" t="n">
        <v>9</v>
      </c>
      <c r="C283" s="0" t="s">
        <v>837</v>
      </c>
      <c r="D283" s="0" t="s">
        <v>508</v>
      </c>
      <c r="E283" s="0" t="s">
        <v>478</v>
      </c>
      <c r="F283" s="0" t="n">
        <v>8</v>
      </c>
      <c r="G283" s="0" t="s">
        <v>1029</v>
      </c>
      <c r="H283" s="0" t="s">
        <v>1028</v>
      </c>
      <c r="I283" s="0" t="s">
        <v>1031</v>
      </c>
      <c r="J283" s="0" t="s">
        <v>1038</v>
      </c>
      <c r="K283" s="0" t="n">
        <v>282</v>
      </c>
      <c r="L283" s="0" t="str">
        <f aca="false">C283</f>
        <v>Christian Kirk</v>
      </c>
      <c r="M283" s="121" t="n">
        <f aca="false">IFERROR(VLOOKUP(E283,RISK!A:B,2,FALSE()),"")</f>
        <v>3.84810126582278</v>
      </c>
      <c r="N283" s="120" t="n">
        <f aca="false">VLOOKUP(E283,Q:R,2,FALSE())</f>
        <v>33.8467982129561</v>
      </c>
      <c r="Q283" s="53" t="s">
        <v>271</v>
      </c>
      <c r="R283" s="120" t="n">
        <f aca="false">Aggregate!BV37</f>
        <v>54.8064705882353</v>
      </c>
    </row>
    <row r="284" customFormat="false" ht="14.25" hidden="false" customHeight="true" outlineLevel="0" collapsed="false">
      <c r="A284" s="0" t="n">
        <v>283</v>
      </c>
      <c r="B284" s="0" t="n">
        <v>9</v>
      </c>
      <c r="C284" s="0" t="s">
        <v>931</v>
      </c>
      <c r="D284" s="0" t="s">
        <v>542</v>
      </c>
      <c r="E284" s="0" t="s">
        <v>263</v>
      </c>
      <c r="F284" s="0" t="n">
        <v>13</v>
      </c>
      <c r="G284" s="0" t="s">
        <v>1029</v>
      </c>
      <c r="H284" s="0" t="s">
        <v>1036</v>
      </c>
      <c r="I284" s="0" t="s">
        <v>1032</v>
      </c>
      <c r="J284" s="0" t="s">
        <v>1038</v>
      </c>
      <c r="K284" s="0" t="n">
        <v>283</v>
      </c>
      <c r="L284" s="0" t="str">
        <f aca="false">C284</f>
        <v>Mason Taylor</v>
      </c>
      <c r="M284" s="121" t="n">
        <f aca="false">IFERROR(VLOOKUP(E284,RISK!A:B,2,FALSE()),"")</f>
        <v>3</v>
      </c>
      <c r="N284" s="120" t="n">
        <f aca="false">VLOOKUP(E284,Q:R,2,FALSE())</f>
        <v>57.8041176470588</v>
      </c>
      <c r="Q284" s="53" t="s">
        <v>275</v>
      </c>
      <c r="R284" s="120" t="n">
        <f aca="false">Aggregate!BV38</f>
        <v>53.5829411764706</v>
      </c>
    </row>
    <row r="285" customFormat="false" ht="14.25" hidden="false" customHeight="true" outlineLevel="0" collapsed="false">
      <c r="A285" s="0" t="n">
        <v>284</v>
      </c>
      <c r="B285" s="0" t="n">
        <v>9</v>
      </c>
      <c r="C285" s="0" t="s">
        <v>1104</v>
      </c>
      <c r="D285" s="0" t="s">
        <v>522</v>
      </c>
      <c r="E285" s="0" t="s">
        <v>1105</v>
      </c>
      <c r="F285" s="0" t="n">
        <v>6</v>
      </c>
      <c r="G285" s="0" t="s">
        <v>1038</v>
      </c>
      <c r="H285" s="0" t="s">
        <v>1038</v>
      </c>
      <c r="I285" s="0" t="s">
        <v>1031</v>
      </c>
      <c r="J285" s="0" t="n">
        <v>-77</v>
      </c>
      <c r="K285" s="0" t="n">
        <v>284</v>
      </c>
      <c r="L285" s="0" t="str">
        <f aca="false">C285</f>
        <v>Will Reichard</v>
      </c>
      <c r="M285" s="121" t="str">
        <f aca="false">IFERROR(VLOOKUP(E285,RISK!A:B,2,FALSE()),"")</f>
        <v/>
      </c>
      <c r="N285" s="120" t="e">
        <f aca="false">VLOOKUP(E285,Q:R,2,FALSE())</f>
        <v>#N/A</v>
      </c>
      <c r="Q285" s="53" t="s">
        <v>279</v>
      </c>
      <c r="R285" s="120" t="n">
        <f aca="false">Aggregate!BV39</f>
        <v>49.4688235294118</v>
      </c>
    </row>
    <row r="286" customFormat="false" ht="14.25" hidden="false" customHeight="true" outlineLevel="0" collapsed="false">
      <c r="A286" s="0" t="n">
        <v>285</v>
      </c>
      <c r="B286" s="0" t="n">
        <v>9</v>
      </c>
      <c r="C286" s="0" t="s">
        <v>827</v>
      </c>
      <c r="D286" s="0" t="s">
        <v>518</v>
      </c>
      <c r="E286" s="0" t="s">
        <v>1106</v>
      </c>
      <c r="F286" s="0" t="n">
        <v>10</v>
      </c>
      <c r="G286" s="0" t="s">
        <v>1037</v>
      </c>
      <c r="H286" s="0" t="s">
        <v>1036</v>
      </c>
      <c r="I286" s="0" t="s">
        <v>1031</v>
      </c>
      <c r="J286" s="0" t="s">
        <v>1038</v>
      </c>
      <c r="K286" s="0" t="n">
        <v>285</v>
      </c>
      <c r="L286" s="0" t="str">
        <f aca="false">C286</f>
        <v>Marvin Mims Jr.</v>
      </c>
      <c r="M286" s="121" t="n">
        <f aca="false">IFERROR(VLOOKUP(E286,RISK!A:B,2,FALSE()),"")</f>
        <v>3.84810126582278</v>
      </c>
      <c r="N286" s="120" t="e">
        <f aca="false">VLOOKUP(E286,Q:R,2,FALSE())</f>
        <v>#N/A</v>
      </c>
      <c r="Q286" s="53" t="s">
        <v>283</v>
      </c>
      <c r="R286" s="120" t="n">
        <f aca="false">Aggregate!BV40</f>
        <v>47.8552941176471</v>
      </c>
    </row>
    <row r="287" customFormat="false" ht="14.25" hidden="false" customHeight="true" outlineLevel="0" collapsed="false">
      <c r="A287" s="0" t="n">
        <v>286</v>
      </c>
      <c r="B287" s="0" t="n">
        <v>9</v>
      </c>
      <c r="C287" s="0" t="s">
        <v>667</v>
      </c>
      <c r="D287" s="0" t="s">
        <v>512</v>
      </c>
      <c r="E287" s="0" t="s">
        <v>429</v>
      </c>
      <c r="F287" s="0" t="n">
        <v>5</v>
      </c>
      <c r="G287" s="0" t="s">
        <v>1038</v>
      </c>
      <c r="H287" s="0" t="s">
        <v>1038</v>
      </c>
      <c r="I287" s="0" t="s">
        <v>1035</v>
      </c>
      <c r="J287" s="0" t="n">
        <v>37</v>
      </c>
      <c r="K287" s="0" t="n">
        <v>286</v>
      </c>
      <c r="L287" s="0" t="str">
        <f aca="false">C287</f>
        <v>Brashard Smith</v>
      </c>
      <c r="M287" s="121" t="n">
        <f aca="false">IFERROR(VLOOKUP(E287,RISK!A:B,2,FALSE()),"")</f>
        <v>4</v>
      </c>
      <c r="N287" s="120" t="n">
        <f aca="false">VLOOKUP(E287,Q:R,2,FALSE())</f>
        <v>17.3741176470588</v>
      </c>
      <c r="Q287" s="53" t="s">
        <v>287</v>
      </c>
      <c r="R287" s="120" t="n">
        <f aca="false">Aggregate!BV41</f>
        <v>45.1558823529412</v>
      </c>
    </row>
    <row r="288" customFormat="false" ht="14.25" hidden="false" customHeight="true" outlineLevel="0" collapsed="false">
      <c r="A288" s="0" t="n">
        <v>287</v>
      </c>
      <c r="B288" s="0" t="n">
        <v>9</v>
      </c>
      <c r="C288" s="0" t="s">
        <v>838</v>
      </c>
      <c r="D288" s="0" t="s">
        <v>512</v>
      </c>
      <c r="E288" s="0" t="s">
        <v>1107</v>
      </c>
      <c r="F288" s="0" t="n">
        <v>5</v>
      </c>
      <c r="G288" s="0" t="s">
        <v>1036</v>
      </c>
      <c r="H288" s="0" t="s">
        <v>1036</v>
      </c>
      <c r="I288" s="0" t="s">
        <v>1031</v>
      </c>
      <c r="J288" s="0" t="n">
        <v>-68</v>
      </c>
      <c r="K288" s="0" t="n">
        <v>287</v>
      </c>
      <c r="L288" s="0" t="str">
        <f aca="false">C288</f>
        <v>Cyrus Allen</v>
      </c>
      <c r="M288" s="121" t="n">
        <f aca="false">IFERROR(VLOOKUP(E288,RISK!A:B,2,FALSE()),"")</f>
        <v>3.84810126582278</v>
      </c>
      <c r="N288" s="120" t="e">
        <f aca="false">VLOOKUP(E288,Q:R,2,FALSE())</f>
        <v>#N/A</v>
      </c>
      <c r="Q288" s="53" t="s">
        <v>291</v>
      </c>
      <c r="R288" s="120" t="n">
        <f aca="false">Aggregate!BV42</f>
        <v>44.2</v>
      </c>
    </row>
    <row r="289" customFormat="false" ht="14.25" hidden="false" customHeight="true" outlineLevel="0" collapsed="false">
      <c r="A289" s="0" t="n">
        <v>288</v>
      </c>
      <c r="B289" s="0" t="n">
        <v>9</v>
      </c>
      <c r="C289" s="0" t="s">
        <v>840</v>
      </c>
      <c r="D289" s="0" t="s">
        <v>498</v>
      </c>
      <c r="E289" s="0" t="s">
        <v>1108</v>
      </c>
      <c r="F289" s="0" t="n">
        <v>11</v>
      </c>
      <c r="G289" s="0" t="s">
        <v>1037</v>
      </c>
      <c r="H289" s="0" t="s">
        <v>1036</v>
      </c>
      <c r="I289" s="0" t="s">
        <v>1031</v>
      </c>
      <c r="J289" s="0" t="s">
        <v>1038</v>
      </c>
      <c r="K289" s="0" t="n">
        <v>288</v>
      </c>
      <c r="L289" s="0" t="str">
        <f aca="false">C289</f>
        <v>Kyle Williams</v>
      </c>
      <c r="M289" s="121" t="n">
        <f aca="false">IFERROR(VLOOKUP(E289,RISK!A:B,2,FALSE()),"")</f>
        <v>3.84810126582278</v>
      </c>
      <c r="N289" s="120" t="e">
        <f aca="false">VLOOKUP(E289,Q:R,2,FALSE())</f>
        <v>#N/A</v>
      </c>
      <c r="Q289" s="53" t="s">
        <v>295</v>
      </c>
      <c r="R289" s="120" t="n">
        <f aca="false">Aggregate!BV43</f>
        <v>43.2976470588235</v>
      </c>
    </row>
    <row r="290" customFormat="false" ht="14.25" hidden="false" customHeight="true" outlineLevel="0" collapsed="false">
      <c r="A290" s="0" t="n">
        <v>289</v>
      </c>
      <c r="B290" s="0" t="n">
        <v>9</v>
      </c>
      <c r="C290" s="0" t="s">
        <v>1109</v>
      </c>
      <c r="D290" s="0" t="s">
        <v>508</v>
      </c>
      <c r="E290" s="0" t="s">
        <v>1110</v>
      </c>
      <c r="F290" s="0" t="n">
        <v>8</v>
      </c>
      <c r="G290" s="0" t="s">
        <v>1038</v>
      </c>
      <c r="H290" s="0" t="s">
        <v>1038</v>
      </c>
      <c r="I290" s="0" t="s">
        <v>1035</v>
      </c>
      <c r="J290" s="0" t="n">
        <v>-77</v>
      </c>
      <c r="K290" s="0" t="n">
        <v>289</v>
      </c>
      <c r="L290" s="0" t="str">
        <f aca="false">C290</f>
        <v>San Francisco 49ers</v>
      </c>
      <c r="M290" s="121" t="str">
        <f aca="false">IFERROR(VLOOKUP(E290,RISK!A:B,2,FALSE()),"")</f>
        <v/>
      </c>
      <c r="N290" s="120" t="e">
        <f aca="false">VLOOKUP(E290,Q:R,2,FALSE())</f>
        <v>#N/A</v>
      </c>
      <c r="Q290" s="53" t="s">
        <v>299</v>
      </c>
      <c r="R290" s="120" t="n">
        <f aca="false">Aggregate!BV44</f>
        <v>40.9729411764706</v>
      </c>
    </row>
    <row r="291" customFormat="false" ht="14.25" hidden="false" customHeight="true" outlineLevel="0" collapsed="false">
      <c r="A291" s="0" t="n">
        <v>290</v>
      </c>
      <c r="B291" s="0" t="n">
        <v>9</v>
      </c>
      <c r="C291" s="0" t="s">
        <v>1111</v>
      </c>
      <c r="D291" s="0" t="s">
        <v>552</v>
      </c>
      <c r="E291" s="0" t="s">
        <v>1112</v>
      </c>
      <c r="F291" s="0" t="n">
        <v>11</v>
      </c>
      <c r="G291" s="0" t="s">
        <v>1038</v>
      </c>
      <c r="H291" s="0" t="s">
        <v>1038</v>
      </c>
      <c r="I291" s="0" t="s">
        <v>1032</v>
      </c>
      <c r="J291" s="0" t="s">
        <v>1038</v>
      </c>
      <c r="K291" s="0" t="n">
        <v>290</v>
      </c>
      <c r="L291" s="0" t="str">
        <f aca="false">C291</f>
        <v>Atlanta Falcons</v>
      </c>
      <c r="M291" s="121" t="str">
        <f aca="false">IFERROR(VLOOKUP(E291,RISK!A:B,2,FALSE()),"")</f>
        <v/>
      </c>
      <c r="N291" s="120" t="e">
        <f aca="false">VLOOKUP(E291,Q:R,2,FALSE())</f>
        <v>#N/A</v>
      </c>
      <c r="Q291" s="53" t="s">
        <v>303</v>
      </c>
      <c r="R291" s="120" t="n">
        <f aca="false">Aggregate!BV45</f>
        <v>35.8876470588235</v>
      </c>
    </row>
    <row r="292" customFormat="false" ht="14.25" hidden="false" customHeight="true" outlineLevel="0" collapsed="false">
      <c r="A292" s="0" t="n">
        <v>291</v>
      </c>
      <c r="B292" s="0" t="n">
        <v>9</v>
      </c>
      <c r="C292" s="0" t="s">
        <v>683</v>
      </c>
      <c r="D292" s="0" t="s">
        <v>510</v>
      </c>
      <c r="E292" s="0" t="s">
        <v>432</v>
      </c>
      <c r="F292" s="0" t="n">
        <v>14</v>
      </c>
      <c r="G292" s="0" t="s">
        <v>1033</v>
      </c>
      <c r="H292" s="0" t="s">
        <v>1028</v>
      </c>
      <c r="I292" s="0" t="s">
        <v>1032</v>
      </c>
      <c r="J292" s="0" t="n">
        <v>27</v>
      </c>
      <c r="K292" s="0" t="n">
        <v>291</v>
      </c>
      <c r="L292" s="0" t="str">
        <f aca="false">C292</f>
        <v>Emari Demercado</v>
      </c>
      <c r="M292" s="121" t="n">
        <f aca="false">IFERROR(VLOOKUP(E292,RISK!A:B,2,FALSE()),"")</f>
        <v>4</v>
      </c>
      <c r="N292" s="120" t="n">
        <f aca="false">VLOOKUP(E292,Q:R,2,FALSE())</f>
        <v>16.9</v>
      </c>
      <c r="Q292" s="53" t="s">
        <v>307</v>
      </c>
      <c r="R292" s="120" t="n">
        <f aca="false">Aggregate!BV46</f>
        <v>31.2458823529412</v>
      </c>
    </row>
    <row r="293" customFormat="false" ht="14.25" hidden="false" customHeight="true" outlineLevel="0" collapsed="false">
      <c r="A293" s="0" t="n">
        <v>292</v>
      </c>
      <c r="B293" s="0" t="n">
        <v>9</v>
      </c>
      <c r="C293" s="0" t="s">
        <v>703</v>
      </c>
      <c r="D293" s="0" t="s">
        <v>504</v>
      </c>
      <c r="E293" s="0" t="s">
        <v>435</v>
      </c>
      <c r="F293" s="0" t="n">
        <v>8</v>
      </c>
      <c r="G293" s="0" t="s">
        <v>1029</v>
      </c>
      <c r="H293" s="0" t="s">
        <v>1028</v>
      </c>
      <c r="I293" s="0" t="s">
        <v>1032</v>
      </c>
      <c r="J293" s="0" t="n">
        <v>-28</v>
      </c>
      <c r="K293" s="0" t="n">
        <v>292</v>
      </c>
      <c r="L293" s="0" t="str">
        <f aca="false">C293</f>
        <v>Devin Singletary</v>
      </c>
      <c r="M293" s="121" t="n">
        <f aca="false">IFERROR(VLOOKUP(E293,RISK!A:B,2,FALSE()),"")</f>
        <v>4</v>
      </c>
      <c r="N293" s="120" t="n">
        <f aca="false">VLOOKUP(E293,Q:R,2,FALSE())</f>
        <v>16.7776470588235</v>
      </c>
      <c r="Q293" s="53" t="s">
        <v>311</v>
      </c>
      <c r="R293" s="120" t="n">
        <f aca="false">Aggregate!BV47</f>
        <v>30.9247058823529</v>
      </c>
    </row>
    <row r="294" customFormat="false" ht="14.25" hidden="false" customHeight="true" outlineLevel="0" collapsed="false">
      <c r="A294" s="0" t="n">
        <v>293</v>
      </c>
      <c r="B294" s="0" t="n">
        <v>9</v>
      </c>
      <c r="C294" s="0" t="s">
        <v>936</v>
      </c>
      <c r="D294" s="0" t="s">
        <v>504</v>
      </c>
      <c r="E294" s="0" t="s">
        <v>267</v>
      </c>
      <c r="F294" s="0" t="n">
        <v>8</v>
      </c>
      <c r="G294" s="0" t="s">
        <v>1033</v>
      </c>
      <c r="H294" s="0" t="s">
        <v>1036</v>
      </c>
      <c r="I294" s="0" t="s">
        <v>1035</v>
      </c>
      <c r="J294" s="0" t="n">
        <v>14</v>
      </c>
      <c r="K294" s="0" t="n">
        <v>293</v>
      </c>
      <c r="L294" s="0" t="str">
        <f aca="false">C294</f>
        <v>Theo Johnson</v>
      </c>
      <c r="M294" s="121" t="n">
        <f aca="false">IFERROR(VLOOKUP(E294,RISK!A:B,2,FALSE()),"")</f>
        <v>3</v>
      </c>
      <c r="N294" s="120" t="n">
        <f aca="false">VLOOKUP(E294,Q:R,2,FALSE())</f>
        <v>56.3741176470588</v>
      </c>
      <c r="Q294" s="53" t="s">
        <v>315</v>
      </c>
      <c r="R294" s="120" t="n">
        <f aca="false">Aggregate!BV48</f>
        <v>29.9305882352941</v>
      </c>
    </row>
    <row r="295" customFormat="false" ht="14.25" hidden="false" customHeight="true" outlineLevel="0" collapsed="false">
      <c r="A295" s="0" t="n">
        <v>294</v>
      </c>
      <c r="B295" s="0" t="n">
        <v>9</v>
      </c>
      <c r="C295" s="0" t="s">
        <v>675</v>
      </c>
      <c r="D295" s="0" t="s">
        <v>494</v>
      </c>
      <c r="E295" s="0" t="s">
        <v>438</v>
      </c>
      <c r="F295" s="0" t="n">
        <v>13</v>
      </c>
      <c r="G295" s="0" t="s">
        <v>1037</v>
      </c>
      <c r="H295" s="0" t="s">
        <v>1028</v>
      </c>
      <c r="I295" s="0" t="s">
        <v>1035</v>
      </c>
      <c r="J295" s="0" t="s">
        <v>1038</v>
      </c>
      <c r="K295" s="0" t="n">
        <v>294</v>
      </c>
      <c r="L295" s="0" t="str">
        <f aca="false">C295</f>
        <v>Adam Randall</v>
      </c>
      <c r="M295" s="121" t="n">
        <f aca="false">IFERROR(VLOOKUP(E295,RISK!A:B,2,FALSE()),"")</f>
        <v>4</v>
      </c>
      <c r="N295" s="120" t="n">
        <f aca="false">VLOOKUP(E295,Q:R,2,FALSE())</f>
        <v>13.7723529411765</v>
      </c>
      <c r="Q295" s="53" t="s">
        <v>319</v>
      </c>
      <c r="R295" s="120" t="n">
        <f aca="false">Aggregate!BV49</f>
        <v>29.6247058823529</v>
      </c>
    </row>
    <row r="296" customFormat="false" ht="14.25" hidden="false" customHeight="true" outlineLevel="0" collapsed="false">
      <c r="A296" s="0" t="n">
        <v>295</v>
      </c>
      <c r="B296" s="0" t="n">
        <v>9</v>
      </c>
      <c r="C296" s="0" t="s">
        <v>835</v>
      </c>
      <c r="D296" s="0" t="s">
        <v>498</v>
      </c>
      <c r="E296" s="0" t="s">
        <v>1113</v>
      </c>
      <c r="F296" s="0" t="n">
        <v>11</v>
      </c>
      <c r="G296" s="0" t="s">
        <v>1038</v>
      </c>
      <c r="H296" s="0" t="s">
        <v>1038</v>
      </c>
      <c r="I296" s="0" t="s">
        <v>1031</v>
      </c>
      <c r="J296" s="0" t="s">
        <v>1038</v>
      </c>
      <c r="K296" s="0" t="n">
        <v>295</v>
      </c>
      <c r="L296" s="0" t="str">
        <f aca="false">C296</f>
        <v>Mack Hollins</v>
      </c>
      <c r="M296" s="121" t="n">
        <f aca="false">IFERROR(VLOOKUP(E296,RISK!A:B,2,FALSE()),"")</f>
        <v>3.84810126582278</v>
      </c>
      <c r="N296" s="120" t="e">
        <f aca="false">VLOOKUP(E296,Q:R,2,FALSE())</f>
        <v>#N/A</v>
      </c>
      <c r="Q296" s="53" t="s">
        <v>323</v>
      </c>
      <c r="R296" s="120" t="n">
        <f aca="false">Aggregate!BV50</f>
        <v>22.7423529411765</v>
      </c>
    </row>
    <row r="297" customFormat="false" ht="14.25" hidden="false" customHeight="true" outlineLevel="0" collapsed="false">
      <c r="A297" s="0" t="n">
        <v>296</v>
      </c>
      <c r="B297" s="0" t="n">
        <v>9</v>
      </c>
      <c r="C297" s="0" t="s">
        <v>1114</v>
      </c>
      <c r="D297" s="0" t="s">
        <v>526</v>
      </c>
      <c r="E297" s="0" t="s">
        <v>1115</v>
      </c>
      <c r="F297" s="0" t="n">
        <v>8</v>
      </c>
      <c r="G297" s="0" t="s">
        <v>1038</v>
      </c>
      <c r="H297" s="0" t="s">
        <v>1038</v>
      </c>
      <c r="I297" s="0" t="s">
        <v>1030</v>
      </c>
      <c r="J297" s="0" t="s">
        <v>1038</v>
      </c>
      <c r="K297" s="0" t="n">
        <v>296</v>
      </c>
      <c r="L297" s="0" t="str">
        <f aca="false">C297</f>
        <v>New Orleans Saints</v>
      </c>
      <c r="M297" s="121" t="str">
        <f aca="false">IFERROR(VLOOKUP(E297,RISK!A:B,2,FALSE()),"")</f>
        <v/>
      </c>
      <c r="N297" s="120" t="e">
        <f aca="false">VLOOKUP(E297,Q:R,2,FALSE())</f>
        <v>#N/A</v>
      </c>
      <c r="Q297" s="53" t="s">
        <v>326</v>
      </c>
      <c r="R297" s="120" t="n">
        <f aca="false">Aggregate!BV51</f>
        <v>14.0323529411765</v>
      </c>
    </row>
    <row r="298" customFormat="false" ht="14.25" hidden="false" customHeight="true" outlineLevel="0" collapsed="false">
      <c r="A298" s="0" t="n">
        <v>297</v>
      </c>
      <c r="B298" s="0" t="n">
        <v>9</v>
      </c>
      <c r="C298" s="0" t="s">
        <v>953</v>
      </c>
      <c r="D298" s="0" t="s">
        <v>500</v>
      </c>
      <c r="E298" s="0" t="s">
        <v>271</v>
      </c>
      <c r="F298" s="0" t="n">
        <v>10</v>
      </c>
      <c r="G298" s="0" t="s">
        <v>1036</v>
      </c>
      <c r="H298" s="0" t="s">
        <v>1036</v>
      </c>
      <c r="I298" s="0" t="s">
        <v>1032</v>
      </c>
      <c r="J298" s="0" t="n">
        <v>-7</v>
      </c>
      <c r="K298" s="0" t="n">
        <v>297</v>
      </c>
      <c r="L298" s="0" t="str">
        <f aca="false">C298</f>
        <v>Eli Stowers</v>
      </c>
      <c r="M298" s="121" t="n">
        <f aca="false">IFERROR(VLOOKUP(E298,RISK!A:B,2,FALSE()),"")</f>
        <v>3</v>
      </c>
      <c r="N298" s="120" t="n">
        <f aca="false">VLOOKUP(E298,Q:R,2,FALSE())</f>
        <v>54.8064705882353</v>
      </c>
      <c r="Q298" s="53" t="s">
        <v>329</v>
      </c>
      <c r="R298" s="120" t="n">
        <f aca="false">Aggregate!BV52</f>
        <v>12.3882352941176</v>
      </c>
    </row>
    <row r="299" customFormat="false" ht="14.25" hidden="false" customHeight="true" outlineLevel="0" collapsed="false">
      <c r="A299" s="0" t="n">
        <v>298</v>
      </c>
      <c r="B299" s="0" t="n">
        <v>9</v>
      </c>
      <c r="C299" s="0" t="s">
        <v>818</v>
      </c>
      <c r="D299" s="0" t="s">
        <v>500</v>
      </c>
      <c r="E299" s="0" t="s">
        <v>1116</v>
      </c>
      <c r="F299" s="0" t="n">
        <v>10</v>
      </c>
      <c r="G299" s="0" t="s">
        <v>1038</v>
      </c>
      <c r="H299" s="0" t="s">
        <v>1038</v>
      </c>
      <c r="I299" s="0" t="s">
        <v>1032</v>
      </c>
      <c r="J299" s="0" t="s">
        <v>1038</v>
      </c>
      <c r="K299" s="0" t="n">
        <v>298</v>
      </c>
      <c r="L299" s="0" t="str">
        <f aca="false">C299</f>
        <v>Hollywood Brown</v>
      </c>
      <c r="M299" s="121" t="n">
        <f aca="false">IFERROR(VLOOKUP(E299,RISK!A:B,2,FALSE()),"")</f>
        <v>3.84810126582278</v>
      </c>
      <c r="N299" s="120" t="e">
        <f aca="false">VLOOKUP(E299,Q:R,2,FALSE())</f>
        <v>#N/A</v>
      </c>
    </row>
    <row r="300" customFormat="false" ht="14.25" hidden="false" customHeight="true" outlineLevel="0" collapsed="false">
      <c r="A300" s="0" t="n">
        <v>299</v>
      </c>
      <c r="B300" s="0" t="n">
        <v>9</v>
      </c>
      <c r="C300" s="0" t="s">
        <v>1117</v>
      </c>
      <c r="D300" s="0" t="s">
        <v>500</v>
      </c>
      <c r="E300" s="0" t="s">
        <v>441</v>
      </c>
      <c r="F300" s="0" t="n">
        <v>10</v>
      </c>
      <c r="G300" s="0" t="s">
        <v>1037</v>
      </c>
      <c r="H300" s="0" t="s">
        <v>1028</v>
      </c>
      <c r="I300" s="0" t="s">
        <v>1032</v>
      </c>
      <c r="J300" s="0" t="n">
        <v>-26</v>
      </c>
      <c r="K300" s="0" t="n">
        <v>299</v>
      </c>
      <c r="L300" s="0" t="str">
        <f aca="false">C300</f>
        <v>Jaydon Blue</v>
      </c>
      <c r="M300" s="121" t="n">
        <f aca="false">IFERROR(VLOOKUP(E300,RISK!A:B,2,FALSE()),"")</f>
        <v>4</v>
      </c>
      <c r="N300" s="120" t="n">
        <f aca="false">VLOOKUP(E300,Q:R,2,FALSE())</f>
        <v>13.2982352941176</v>
      </c>
    </row>
    <row r="301" customFormat="false" ht="14.25" hidden="false" customHeight="true" outlineLevel="0" collapsed="false">
      <c r="A301" s="0" t="n">
        <v>300</v>
      </c>
      <c r="B301" s="0" t="n">
        <v>9</v>
      </c>
      <c r="C301" s="0" t="s">
        <v>847</v>
      </c>
      <c r="D301" s="0" t="s">
        <v>554</v>
      </c>
      <c r="E301" s="0" t="s">
        <v>1118</v>
      </c>
      <c r="F301" s="0" t="n">
        <v>11</v>
      </c>
      <c r="G301" s="0" t="s">
        <v>1038</v>
      </c>
      <c r="H301" s="0" t="s">
        <v>1038</v>
      </c>
      <c r="I301" s="0" t="s">
        <v>1035</v>
      </c>
      <c r="J301" s="0" t="s">
        <v>1038</v>
      </c>
      <c r="K301" s="0" t="n">
        <v>300</v>
      </c>
      <c r="L301" s="0" t="str">
        <f aca="false">C301</f>
        <v>Isaiah Bond</v>
      </c>
      <c r="M301" s="121" t="n">
        <f aca="false">IFERROR(VLOOKUP(E301,RISK!A:B,2,FALSE()),"")</f>
        <v>3.84810126582278</v>
      </c>
      <c r="N301" s="120" t="e">
        <f aca="false">VLOOKUP(E301,Q:R,2,FALSE())</f>
        <v>#N/A</v>
      </c>
    </row>
    <row r="302" customFormat="false" ht="14.25" hidden="false" customHeight="true" outlineLevel="0" collapsed="false">
      <c r="A302" s="0" t="n">
        <v>301</v>
      </c>
      <c r="B302" s="0" t="n">
        <v>9</v>
      </c>
      <c r="C302" s="0" t="s">
        <v>849</v>
      </c>
      <c r="D302" s="0" t="s">
        <v>490</v>
      </c>
      <c r="E302" s="0" t="s">
        <v>1119</v>
      </c>
      <c r="F302" s="0" t="n">
        <v>7</v>
      </c>
      <c r="G302" s="0" t="s">
        <v>1038</v>
      </c>
      <c r="H302" s="0" t="s">
        <v>1038</v>
      </c>
      <c r="I302" s="0" t="s">
        <v>1032</v>
      </c>
      <c r="J302" s="0" t="s">
        <v>1038</v>
      </c>
      <c r="K302" s="0" t="n">
        <v>301</v>
      </c>
      <c r="L302" s="0" t="str">
        <f aca="false">C302</f>
        <v>Skyler Bell</v>
      </c>
      <c r="M302" s="121" t="n">
        <f aca="false">IFERROR(VLOOKUP(E302,RISK!A:B,2,FALSE()),"")</f>
        <v>3.84810126582278</v>
      </c>
      <c r="N302" s="120" t="e">
        <f aca="false">VLOOKUP(E302,Q:R,2,FALSE())</f>
        <v>#N/A</v>
      </c>
    </row>
    <row r="303" customFormat="false" ht="14.25" hidden="false" customHeight="true" outlineLevel="0" collapsed="false">
      <c r="A303" s="0" t="n">
        <v>302</v>
      </c>
      <c r="B303" s="0" t="n">
        <v>9</v>
      </c>
      <c r="C303" s="0" t="s">
        <v>1120</v>
      </c>
      <c r="D303" s="0" t="s">
        <v>1121</v>
      </c>
      <c r="E303" s="0" t="s">
        <v>444</v>
      </c>
      <c r="F303" s="0" t="s">
        <v>1038</v>
      </c>
      <c r="G303" s="0" t="s">
        <v>1029</v>
      </c>
      <c r="H303" s="0" t="s">
        <v>1028</v>
      </c>
      <c r="I303" s="0" t="s">
        <v>1038</v>
      </c>
      <c r="J303" s="0" t="s">
        <v>1038</v>
      </c>
      <c r="K303" s="0" t="n">
        <v>302</v>
      </c>
      <c r="L303" s="0" t="str">
        <f aca="false">C303</f>
        <v>Devin Neal</v>
      </c>
      <c r="M303" s="121" t="n">
        <f aca="false">IFERROR(VLOOKUP(E303,RISK!A:B,2,FALSE()),"")</f>
        <v>4</v>
      </c>
      <c r="N303" s="120" t="n">
        <f aca="false">VLOOKUP(E303,Q:R,2,FALSE())</f>
        <v>8.64117647058824</v>
      </c>
    </row>
    <row r="304" customFormat="false" ht="14.25" hidden="false" customHeight="true" outlineLevel="0" collapsed="false">
      <c r="A304" s="0" t="n">
        <v>303</v>
      </c>
      <c r="B304" s="0" t="n">
        <v>10</v>
      </c>
      <c r="C304" s="0" t="s">
        <v>719</v>
      </c>
      <c r="D304" s="0" t="s">
        <v>540</v>
      </c>
      <c r="E304" s="0" t="s">
        <v>447</v>
      </c>
      <c r="F304" s="0" t="n">
        <v>5</v>
      </c>
      <c r="G304" s="0" t="s">
        <v>1033</v>
      </c>
      <c r="H304" s="0" t="s">
        <v>1036</v>
      </c>
      <c r="I304" s="0" t="s">
        <v>1034</v>
      </c>
      <c r="J304" s="0" t="s">
        <v>1038</v>
      </c>
      <c r="K304" s="0" t="n">
        <v>303</v>
      </c>
      <c r="L304" s="0" t="str">
        <f aca="false">C304</f>
        <v>Trevor Etienne</v>
      </c>
      <c r="M304" s="121" t="n">
        <f aca="false">IFERROR(VLOOKUP(E304,RISK!A:B,2,FALSE()),"")</f>
        <v>4</v>
      </c>
      <c r="N304" s="120" t="n">
        <f aca="false">VLOOKUP(E304,Q:R,2,FALSE())</f>
        <v>7.83823529411765</v>
      </c>
    </row>
    <row r="305" customFormat="false" ht="14.25" hidden="false" customHeight="true" outlineLevel="0" collapsed="false">
      <c r="A305" s="0" t="n">
        <v>304</v>
      </c>
      <c r="B305" s="0" t="n">
        <v>10</v>
      </c>
      <c r="C305" s="0" t="s">
        <v>695</v>
      </c>
      <c r="D305" s="0" t="s">
        <v>502</v>
      </c>
      <c r="E305" s="0" t="s">
        <v>450</v>
      </c>
      <c r="F305" s="0" t="n">
        <v>6</v>
      </c>
      <c r="G305" s="0" t="s">
        <v>1038</v>
      </c>
      <c r="H305" s="0" t="s">
        <v>1038</v>
      </c>
      <c r="I305" s="0" t="s">
        <v>1031</v>
      </c>
      <c r="J305" s="0" t="s">
        <v>1038</v>
      </c>
      <c r="K305" s="0" t="n">
        <v>304</v>
      </c>
      <c r="L305" s="0" t="str">
        <f aca="false">C305</f>
        <v>Tahj Brooks</v>
      </c>
      <c r="M305" s="121" t="n">
        <f aca="false">IFERROR(VLOOKUP(E305,RISK!A:B,2,FALSE()),"")</f>
        <v>4</v>
      </c>
      <c r="N305" s="120" t="n">
        <f aca="false">VLOOKUP(E305,Q:R,2,FALSE())</f>
        <v>6.92058823529412</v>
      </c>
    </row>
    <row r="306" customFormat="false" ht="14.25" hidden="false" customHeight="true" outlineLevel="0" collapsed="false">
      <c r="A306" s="0" t="n">
        <v>305</v>
      </c>
      <c r="B306" s="0" t="n">
        <v>10</v>
      </c>
      <c r="C306" s="0" t="s">
        <v>928</v>
      </c>
      <c r="D306" s="0" t="s">
        <v>502</v>
      </c>
      <c r="E306" s="0" t="s">
        <v>275</v>
      </c>
      <c r="F306" s="0" t="n">
        <v>6</v>
      </c>
      <c r="G306" s="0" t="s">
        <v>1038</v>
      </c>
      <c r="H306" s="0" t="s">
        <v>1038</v>
      </c>
      <c r="I306" s="0" t="s">
        <v>1035</v>
      </c>
      <c r="J306" s="0" t="n">
        <v>-39</v>
      </c>
      <c r="K306" s="0" t="n">
        <v>305</v>
      </c>
      <c r="L306" s="0" t="str">
        <f aca="false">C306</f>
        <v>Mike Gesicki</v>
      </c>
      <c r="M306" s="121" t="n">
        <f aca="false">IFERROR(VLOOKUP(E306,RISK!A:B,2,FALSE()),"")</f>
        <v>3</v>
      </c>
      <c r="N306" s="120" t="n">
        <f aca="false">VLOOKUP(E306,Q:R,2,FALSE())</f>
        <v>53.5829411764706</v>
      </c>
    </row>
    <row r="307" customFormat="false" ht="14.25" hidden="false" customHeight="true" outlineLevel="0" collapsed="false">
      <c r="A307" s="0" t="n">
        <v>306</v>
      </c>
      <c r="B307" s="0" t="n">
        <v>10</v>
      </c>
      <c r="C307" s="0" t="s">
        <v>1122</v>
      </c>
      <c r="D307" s="0" t="s">
        <v>532</v>
      </c>
      <c r="E307" s="0" t="s">
        <v>1123</v>
      </c>
      <c r="F307" s="0" t="n">
        <v>13</v>
      </c>
      <c r="G307" s="0" t="s">
        <v>1038</v>
      </c>
      <c r="H307" s="0" t="s">
        <v>1038</v>
      </c>
      <c r="I307" s="0" t="s">
        <v>1030</v>
      </c>
      <c r="J307" s="0" t="s">
        <v>1038</v>
      </c>
      <c r="K307" s="0" t="n">
        <v>306</v>
      </c>
      <c r="L307" s="0" t="str">
        <f aca="false">C307</f>
        <v>Indianapolis Colts</v>
      </c>
      <c r="M307" s="121" t="str">
        <f aca="false">IFERROR(VLOOKUP(E307,RISK!A:B,2,FALSE()),"")</f>
        <v/>
      </c>
      <c r="N307" s="120" t="e">
        <f aca="false">VLOOKUP(E307,Q:R,2,FALSE())</f>
        <v>#N/A</v>
      </c>
    </row>
    <row r="308" customFormat="false" ht="14.25" hidden="false" customHeight="true" outlineLevel="0" collapsed="false">
      <c r="A308" s="0" t="n">
        <v>307</v>
      </c>
      <c r="B308" s="0" t="n">
        <v>10</v>
      </c>
      <c r="C308" s="0" t="s">
        <v>702</v>
      </c>
      <c r="D308" s="0" t="s">
        <v>508</v>
      </c>
      <c r="E308" s="0" t="s">
        <v>453</v>
      </c>
      <c r="F308" s="0" t="n">
        <v>8</v>
      </c>
      <c r="G308" s="0" t="s">
        <v>1038</v>
      </c>
      <c r="H308" s="0" t="s">
        <v>1038</v>
      </c>
      <c r="I308" s="0" t="s">
        <v>1031</v>
      </c>
      <c r="J308" s="0" t="s">
        <v>1038</v>
      </c>
      <c r="K308" s="0" t="n">
        <v>307</v>
      </c>
      <c r="L308" s="0" t="str">
        <f aca="false">C308</f>
        <v>Isaac Guerendo</v>
      </c>
      <c r="M308" s="121" t="n">
        <f aca="false">IFERROR(VLOOKUP(E308,RISK!A:B,2,FALSE()),"")</f>
        <v>4</v>
      </c>
      <c r="N308" s="120" t="n">
        <f aca="false">VLOOKUP(E308,Q:R,2,FALSE())</f>
        <v>5.69705882352941</v>
      </c>
    </row>
    <row r="309" customFormat="false" ht="14.25" hidden="false" customHeight="true" outlineLevel="0" collapsed="false">
      <c r="A309" s="0" t="n">
        <v>308</v>
      </c>
      <c r="B309" s="0" t="n">
        <v>10</v>
      </c>
      <c r="C309" s="0" t="s">
        <v>716</v>
      </c>
      <c r="D309" s="0" t="s">
        <v>496</v>
      </c>
      <c r="E309" s="0" t="s">
        <v>456</v>
      </c>
      <c r="F309" s="0" t="n">
        <v>7</v>
      </c>
      <c r="G309" s="0" t="s">
        <v>1033</v>
      </c>
      <c r="H309" s="0" t="s">
        <v>1036</v>
      </c>
      <c r="I309" s="0" t="s">
        <v>1032</v>
      </c>
      <c r="J309" s="0" t="s">
        <v>1038</v>
      </c>
      <c r="K309" s="0" t="n">
        <v>308</v>
      </c>
      <c r="L309" s="0" t="str">
        <f aca="false">C309</f>
        <v>Jerome Ford</v>
      </c>
      <c r="M309" s="121" t="n">
        <f aca="false">IFERROR(VLOOKUP(E309,RISK!A:B,2,FALSE()),"")</f>
        <v>4</v>
      </c>
      <c r="N309" s="120" t="n">
        <f aca="false">VLOOKUP(E309,Q:R,2,FALSE())</f>
        <v>0</v>
      </c>
    </row>
    <row r="310" customFormat="false" ht="14.25" hidden="false" customHeight="true" outlineLevel="0" collapsed="false">
      <c r="A310" s="0" t="n">
        <v>309</v>
      </c>
      <c r="B310" s="0" t="n">
        <v>10</v>
      </c>
      <c r="C310" s="0" t="s">
        <v>718</v>
      </c>
      <c r="D310" s="0" t="s">
        <v>546</v>
      </c>
      <c r="E310" s="0" t="s">
        <v>459</v>
      </c>
      <c r="F310" s="0" t="n">
        <v>14</v>
      </c>
      <c r="G310" s="0" t="s">
        <v>1029</v>
      </c>
      <c r="H310" s="0" t="s">
        <v>1028</v>
      </c>
      <c r="I310" s="0" t="s">
        <v>1031</v>
      </c>
      <c r="J310" s="0" t="n">
        <v>1</v>
      </c>
      <c r="K310" s="0" t="n">
        <v>309</v>
      </c>
      <c r="L310" s="0" t="str">
        <f aca="false">C310</f>
        <v>Trey Benson</v>
      </c>
      <c r="M310" s="121" t="n">
        <f aca="false">IFERROR(VLOOKUP(E310,RISK!A:B,2,FALSE()),"")</f>
        <v>4</v>
      </c>
      <c r="N310" s="120" t="n">
        <f aca="false">VLOOKUP(E310,Q:R,2,FALSE())</f>
        <v>0</v>
      </c>
    </row>
    <row r="311" customFormat="false" ht="14.25" hidden="false" customHeight="true" outlineLevel="0" collapsed="false">
      <c r="A311" s="0" t="n">
        <v>310</v>
      </c>
      <c r="B311" s="0" t="n">
        <v>10</v>
      </c>
      <c r="C311" s="0" t="s">
        <v>687</v>
      </c>
      <c r="D311" s="0" t="s">
        <v>526</v>
      </c>
      <c r="E311" s="0" t="s">
        <v>462</v>
      </c>
      <c r="F311" s="0" t="n">
        <v>8</v>
      </c>
      <c r="G311" s="0" t="s">
        <v>1038</v>
      </c>
      <c r="H311" s="0" t="s">
        <v>1038</v>
      </c>
      <c r="I311" s="0" t="s">
        <v>1035</v>
      </c>
      <c r="J311" s="0" t="s">
        <v>1038</v>
      </c>
      <c r="K311" s="0" t="n">
        <v>310</v>
      </c>
      <c r="L311" s="0" t="str">
        <f aca="false">C311</f>
        <v>Audric Estime</v>
      </c>
      <c r="M311" s="121" t="n">
        <f aca="false">IFERROR(VLOOKUP(E311,RISK!A:B,2,FALSE()),"")</f>
        <v>4</v>
      </c>
      <c r="N311" s="120" t="n">
        <f aca="false">VLOOKUP(E311,Q:R,2,FALSE())</f>
        <v>0</v>
      </c>
    </row>
    <row r="312" customFormat="false" ht="14.25" hidden="false" customHeight="true" outlineLevel="0" collapsed="false">
      <c r="A312" s="0" t="n">
        <v>311</v>
      </c>
      <c r="B312" s="0" t="n">
        <v>10</v>
      </c>
      <c r="C312" s="0" t="s">
        <v>926</v>
      </c>
      <c r="D312" s="0" t="s">
        <v>540</v>
      </c>
      <c r="E312" s="0" t="s">
        <v>279</v>
      </c>
      <c r="F312" s="0" t="n">
        <v>5</v>
      </c>
      <c r="G312" s="0" t="s">
        <v>1038</v>
      </c>
      <c r="H312" s="0" t="s">
        <v>1038</v>
      </c>
      <c r="I312" s="0" t="s">
        <v>1031</v>
      </c>
      <c r="J312" s="0" t="n">
        <v>-11</v>
      </c>
      <c r="K312" s="0" t="n">
        <v>311</v>
      </c>
      <c r="L312" s="0" t="str">
        <f aca="false">C312</f>
        <v>Darren Waller</v>
      </c>
      <c r="M312" s="121" t="n">
        <f aca="false">IFERROR(VLOOKUP(E312,RISK!A:B,2,FALSE()),"")</f>
        <v>3</v>
      </c>
      <c r="N312" s="120" t="n">
        <f aca="false">VLOOKUP(E312,Q:R,2,FALSE())</f>
        <v>49.4688235294118</v>
      </c>
    </row>
    <row r="313" customFormat="false" ht="14.25" hidden="false" customHeight="true" outlineLevel="0" collapsed="false">
      <c r="A313" s="0" t="n">
        <v>312</v>
      </c>
      <c r="B313" s="0" t="n">
        <v>10</v>
      </c>
      <c r="C313" s="0" t="s">
        <v>688</v>
      </c>
      <c r="D313" s="0" t="s">
        <v>500</v>
      </c>
      <c r="E313" s="0" t="s">
        <v>465</v>
      </c>
      <c r="F313" s="0" t="n">
        <v>10</v>
      </c>
      <c r="G313" s="0" t="s">
        <v>1038</v>
      </c>
      <c r="H313" s="0" t="s">
        <v>1038</v>
      </c>
      <c r="I313" s="0" t="s">
        <v>1032</v>
      </c>
      <c r="J313" s="0" t="s">
        <v>1038</v>
      </c>
      <c r="K313" s="0" t="n">
        <v>312</v>
      </c>
      <c r="L313" s="0" t="str">
        <f aca="false">C313</f>
        <v>Will Shipley</v>
      </c>
      <c r="M313" s="121" t="n">
        <f aca="false">IFERROR(VLOOKUP(E313,RISK!A:B,2,FALSE()),"")</f>
        <v>4</v>
      </c>
      <c r="N313" s="120" t="n">
        <f aca="false">VLOOKUP(E313,Q:R,2,FALSE())</f>
        <v>0</v>
      </c>
    </row>
    <row r="314" customFormat="false" ht="14.25" hidden="false" customHeight="true" outlineLevel="0" collapsed="false">
      <c r="A314" s="0" t="n">
        <v>313</v>
      </c>
      <c r="B314" s="0" t="n">
        <v>10</v>
      </c>
      <c r="C314" s="0" t="s">
        <v>815</v>
      </c>
      <c r="D314" s="0" t="s">
        <v>502</v>
      </c>
      <c r="E314" s="0" t="s">
        <v>1124</v>
      </c>
      <c r="F314" s="0" t="n">
        <v>6</v>
      </c>
      <c r="G314" s="0" t="s">
        <v>1038</v>
      </c>
      <c r="H314" s="0" t="s">
        <v>1038</v>
      </c>
      <c r="I314" s="0" t="s">
        <v>1032</v>
      </c>
      <c r="J314" s="0" t="s">
        <v>1038</v>
      </c>
      <c r="K314" s="0" t="n">
        <v>313</v>
      </c>
      <c r="L314" s="0" t="str">
        <f aca="false">C314</f>
        <v>Andrei Iosivas</v>
      </c>
      <c r="M314" s="121" t="n">
        <f aca="false">IFERROR(VLOOKUP(E314,RISK!A:B,2,FALSE()),"")</f>
        <v>3.84810126582278</v>
      </c>
      <c r="N314" s="120" t="e">
        <f aca="false">VLOOKUP(E314,Q:R,2,FALSE())</f>
        <v>#N/A</v>
      </c>
    </row>
    <row r="315" customFormat="false" ht="14.25" hidden="false" customHeight="true" outlineLevel="0" collapsed="false">
      <c r="A315" s="0" t="n">
        <v>314</v>
      </c>
      <c r="B315" s="0" t="n">
        <v>10</v>
      </c>
      <c r="C315" s="0" t="s">
        <v>820</v>
      </c>
      <c r="D315" s="0" t="s">
        <v>498</v>
      </c>
      <c r="E315" s="0" t="s">
        <v>1125</v>
      </c>
      <c r="F315" s="0" t="n">
        <v>11</v>
      </c>
      <c r="G315" s="0" t="s">
        <v>1038</v>
      </c>
      <c r="H315" s="0" t="s">
        <v>1038</v>
      </c>
      <c r="I315" s="0" t="s">
        <v>1031</v>
      </c>
      <c r="J315" s="0" t="n">
        <v>6</v>
      </c>
      <c r="K315" s="0" t="n">
        <v>314</v>
      </c>
      <c r="L315" s="0" t="str">
        <f aca="false">C315</f>
        <v>DeMario Douglas</v>
      </c>
      <c r="M315" s="121" t="n">
        <f aca="false">IFERROR(VLOOKUP(E315,RISK!A:B,2,FALSE()),"")</f>
        <v>3.84810126582278</v>
      </c>
      <c r="N315" s="120" t="e">
        <f aca="false">VLOOKUP(E315,Q:R,2,FALSE())</f>
        <v>#N/A</v>
      </c>
    </row>
    <row r="316" customFormat="false" ht="14.25" hidden="false" customHeight="true" outlineLevel="0" collapsed="false">
      <c r="A316" s="0" t="n">
        <v>315</v>
      </c>
      <c r="B316" s="0" t="n">
        <v>10</v>
      </c>
      <c r="C316" s="0" t="s">
        <v>1126</v>
      </c>
      <c r="D316" s="0" t="s">
        <v>508</v>
      </c>
      <c r="E316" s="0" t="s">
        <v>1127</v>
      </c>
      <c r="F316" s="0" t="n">
        <v>8</v>
      </c>
      <c r="G316" s="0" t="s">
        <v>1033</v>
      </c>
      <c r="H316" s="0" t="s">
        <v>1028</v>
      </c>
      <c r="I316" s="0" t="s">
        <v>1031</v>
      </c>
      <c r="J316" s="0" t="n">
        <v>4</v>
      </c>
      <c r="K316" s="0" t="n">
        <v>315</v>
      </c>
      <c r="L316" s="0" t="str">
        <f aca="false">C316</f>
        <v>Brandon Aiyuk</v>
      </c>
      <c r="M316" s="121" t="n">
        <f aca="false">IFERROR(VLOOKUP(E316,RISK!A:B,2,FALSE()),"")</f>
        <v>3.84810126582278</v>
      </c>
      <c r="N316" s="120" t="e">
        <f aca="false">VLOOKUP(E316,Q:R,2,FALSE())</f>
        <v>#N/A</v>
      </c>
    </row>
    <row r="317" customFormat="false" ht="14.25" hidden="false" customHeight="true" outlineLevel="0" collapsed="false">
      <c r="A317" s="0" t="n">
        <v>316</v>
      </c>
      <c r="B317" s="0" t="n">
        <v>10</v>
      </c>
      <c r="C317" s="0" t="s">
        <v>1128</v>
      </c>
      <c r="D317" s="0" t="s">
        <v>1121</v>
      </c>
      <c r="E317" s="0" t="s">
        <v>468</v>
      </c>
      <c r="F317" s="0" t="s">
        <v>1038</v>
      </c>
      <c r="G317" s="0" t="s">
        <v>1038</v>
      </c>
      <c r="H317" s="0" t="s">
        <v>1038</v>
      </c>
      <c r="I317" s="0" t="s">
        <v>1038</v>
      </c>
      <c r="J317" s="0" t="s">
        <v>1038</v>
      </c>
      <c r="K317" s="0" t="n">
        <v>316</v>
      </c>
      <c r="L317" s="0" t="str">
        <f aca="false">C317</f>
        <v>Jarquez Hunter</v>
      </c>
      <c r="M317" s="121" t="n">
        <f aca="false">IFERROR(VLOOKUP(E317,RISK!A:B,2,FALSE()),"")</f>
        <v>4</v>
      </c>
      <c r="N317" s="120" t="n">
        <f aca="false">VLOOKUP(E317,Q:R,2,FALSE())</f>
        <v>0</v>
      </c>
    </row>
    <row r="318" customFormat="false" ht="14.25" hidden="false" customHeight="true" outlineLevel="0" collapsed="false">
      <c r="A318" s="0" t="n">
        <v>317</v>
      </c>
      <c r="B318" s="0" t="n">
        <v>10</v>
      </c>
      <c r="C318" s="0" t="s">
        <v>1129</v>
      </c>
      <c r="D318" s="0" t="s">
        <v>554</v>
      </c>
      <c r="E318" s="0" t="s">
        <v>471</v>
      </c>
      <c r="F318" s="0" t="n">
        <v>11</v>
      </c>
      <c r="G318" s="0" t="s">
        <v>1038</v>
      </c>
      <c r="H318" s="0" t="s">
        <v>1038</v>
      </c>
      <c r="I318" s="0" t="s">
        <v>1035</v>
      </c>
      <c r="J318" s="0" t="s">
        <v>1038</v>
      </c>
      <c r="K318" s="0" t="n">
        <v>317</v>
      </c>
      <c r="L318" s="0" t="str">
        <f aca="false">C318</f>
        <v>Jaleel McLaughlin</v>
      </c>
      <c r="M318" s="121" t="n">
        <f aca="false">IFERROR(VLOOKUP(E318,RISK!A:B,2,FALSE()),"")</f>
        <v>4</v>
      </c>
      <c r="N318" s="120" t="n">
        <f aca="false">VLOOKUP(E318,Q:R,2,FALSE())</f>
        <v>0</v>
      </c>
    </row>
    <row r="319" customFormat="false" ht="14.25" hidden="false" customHeight="true" outlineLevel="0" collapsed="false">
      <c r="A319" s="0" t="n">
        <v>318</v>
      </c>
      <c r="B319" s="0" t="n">
        <v>10</v>
      </c>
      <c r="C319" s="0" t="s">
        <v>963</v>
      </c>
      <c r="D319" s="0" t="s">
        <v>508</v>
      </c>
      <c r="E319" s="0" t="s">
        <v>283</v>
      </c>
      <c r="F319" s="0" t="n">
        <v>8</v>
      </c>
      <c r="G319" s="0" t="s">
        <v>1038</v>
      </c>
      <c r="H319" s="0" t="s">
        <v>1038</v>
      </c>
      <c r="I319" s="0" t="s">
        <v>1035</v>
      </c>
      <c r="J319" s="0" t="n">
        <v>-32</v>
      </c>
      <c r="K319" s="0" t="n">
        <v>318</v>
      </c>
      <c r="L319" s="0" t="str">
        <f aca="false">C319</f>
        <v>Jake Tonges</v>
      </c>
      <c r="M319" s="121" t="n">
        <f aca="false">IFERROR(VLOOKUP(E319,RISK!A:B,2,FALSE()),"")</f>
        <v>3</v>
      </c>
      <c r="N319" s="120" t="n">
        <f aca="false">VLOOKUP(E319,Q:R,2,FALSE())</f>
        <v>47.8552941176471</v>
      </c>
    </row>
    <row r="320" customFormat="false" ht="14.25" hidden="false" customHeight="true" outlineLevel="0" collapsed="false">
      <c r="A320" s="0" t="n">
        <v>319</v>
      </c>
      <c r="B320" s="0" t="n">
        <v>10</v>
      </c>
      <c r="C320" s="0" t="s">
        <v>1130</v>
      </c>
      <c r="D320" s="0" t="s">
        <v>514</v>
      </c>
      <c r="E320" s="0" t="s">
        <v>1131</v>
      </c>
      <c r="F320" s="0" t="n">
        <v>10</v>
      </c>
      <c r="G320" s="0" t="s">
        <v>1038</v>
      </c>
      <c r="H320" s="0" t="s">
        <v>1038</v>
      </c>
      <c r="I320" s="0" t="s">
        <v>1031</v>
      </c>
      <c r="J320" s="0" t="n">
        <v>-108</v>
      </c>
      <c r="K320" s="0" t="n">
        <v>319</v>
      </c>
      <c r="L320" s="0" t="str">
        <f aca="false">C320</f>
        <v>Chicago Bears</v>
      </c>
      <c r="M320" s="121" t="str">
        <f aca="false">IFERROR(VLOOKUP(E320,RISK!A:B,2,FALSE()),"")</f>
        <v/>
      </c>
      <c r="N320" s="120" t="e">
        <f aca="false">VLOOKUP(E320,Q:R,2,FALSE())</f>
        <v>#N/A</v>
      </c>
    </row>
    <row r="321" customFormat="false" ht="14.25" hidden="false" customHeight="true" outlineLevel="0" collapsed="false">
      <c r="A321" s="0" t="n">
        <v>320</v>
      </c>
      <c r="B321" s="0" t="n">
        <v>10</v>
      </c>
      <c r="C321" s="0" t="s">
        <v>937</v>
      </c>
      <c r="D321" s="0" t="s">
        <v>548</v>
      </c>
      <c r="E321" s="0" t="s">
        <v>287</v>
      </c>
      <c r="F321" s="0" t="n">
        <v>9</v>
      </c>
      <c r="G321" s="0" t="s">
        <v>1038</v>
      </c>
      <c r="H321" s="0" t="s">
        <v>1038</v>
      </c>
      <c r="I321" s="0" t="s">
        <v>1031</v>
      </c>
      <c r="J321" s="0" t="s">
        <v>1038</v>
      </c>
      <c r="K321" s="0" t="n">
        <v>320</v>
      </c>
      <c r="L321" s="0" t="str">
        <f aca="false">C321</f>
        <v>Darnell Washington</v>
      </c>
      <c r="M321" s="121" t="n">
        <f aca="false">IFERROR(VLOOKUP(E321,RISK!A:B,2,FALSE()),"")</f>
        <v>3</v>
      </c>
      <c r="N321" s="120" t="n">
        <f aca="false">VLOOKUP(E321,Q:R,2,FALSE())</f>
        <v>45.1558823529412</v>
      </c>
    </row>
    <row r="322" customFormat="false" ht="14.25" hidden="false" customHeight="true" outlineLevel="0" collapsed="false">
      <c r="A322" s="0" t="n">
        <v>321</v>
      </c>
      <c r="B322" s="0" t="n">
        <v>10</v>
      </c>
      <c r="C322" s="0" t="s">
        <v>1132</v>
      </c>
      <c r="D322" s="0" t="s">
        <v>1121</v>
      </c>
      <c r="E322" s="0" t="s">
        <v>474</v>
      </c>
      <c r="F322" s="0" t="s">
        <v>1038</v>
      </c>
      <c r="G322" s="0" t="s">
        <v>1038</v>
      </c>
      <c r="H322" s="0" t="s">
        <v>1038</v>
      </c>
      <c r="I322" s="0" t="s">
        <v>1038</v>
      </c>
      <c r="J322" s="0" t="s">
        <v>1038</v>
      </c>
      <c r="K322" s="0" t="n">
        <v>321</v>
      </c>
      <c r="L322" s="0" t="str">
        <f aca="false">C322</f>
        <v>Kareem Hunt</v>
      </c>
      <c r="M322" s="121" t="n">
        <f aca="false">IFERROR(VLOOKUP(E322,RISK!A:B,2,FALSE()),"")</f>
        <v>4</v>
      </c>
      <c r="N322" s="120" t="n">
        <f aca="false">VLOOKUP(E322,Q:R,2,FALSE())</f>
        <v>0</v>
      </c>
    </row>
    <row r="323" customFormat="false" ht="14.25" hidden="false" customHeight="true" outlineLevel="0" collapsed="false">
      <c r="A323" s="0" t="n">
        <v>322</v>
      </c>
      <c r="B323" s="0" t="n">
        <v>10</v>
      </c>
      <c r="C323" s="0" t="s">
        <v>943</v>
      </c>
      <c r="D323" s="0" t="s">
        <v>516</v>
      </c>
      <c r="E323" s="0" t="s">
        <v>291</v>
      </c>
      <c r="F323" s="0" t="n">
        <v>7</v>
      </c>
      <c r="G323" s="0" t="s">
        <v>1038</v>
      </c>
      <c r="H323" s="0" t="s">
        <v>1038</v>
      </c>
      <c r="I323" s="0" t="s">
        <v>1032</v>
      </c>
      <c r="J323" s="0" t="s">
        <v>1038</v>
      </c>
      <c r="K323" s="0" t="n">
        <v>322</v>
      </c>
      <c r="L323" s="0" t="str">
        <f aca="false">C323</f>
        <v>Charlie Kolar</v>
      </c>
      <c r="M323" s="121" t="n">
        <f aca="false">IFERROR(VLOOKUP(E323,RISK!A:B,2,FALSE()),"")</f>
        <v>3</v>
      </c>
      <c r="N323" s="120" t="n">
        <f aca="false">VLOOKUP(E323,Q:R,2,FALSE())</f>
        <v>44.2</v>
      </c>
    </row>
    <row r="324" customFormat="false" ht="14.25" hidden="false" customHeight="true" outlineLevel="0" collapsed="false">
      <c r="A324" s="0" t="n">
        <v>323</v>
      </c>
      <c r="B324" s="0" t="n">
        <v>10</v>
      </c>
      <c r="C324" s="0" t="s">
        <v>934</v>
      </c>
      <c r="D324" s="0" t="s">
        <v>550</v>
      </c>
      <c r="E324" s="0" t="s">
        <v>295</v>
      </c>
      <c r="F324" s="0" t="n">
        <v>13</v>
      </c>
      <c r="G324" s="0" t="s">
        <v>1038</v>
      </c>
      <c r="H324" s="0" t="s">
        <v>1038</v>
      </c>
      <c r="I324" s="0" t="s">
        <v>1035</v>
      </c>
      <c r="J324" s="0" t="s">
        <v>1038</v>
      </c>
      <c r="K324" s="0" t="n">
        <v>323</v>
      </c>
      <c r="L324" s="0" t="str">
        <f aca="false">C324</f>
        <v>Michael Mayer</v>
      </c>
      <c r="M324" s="121" t="n">
        <f aca="false">IFERROR(VLOOKUP(E324,RISK!A:B,2,FALSE()),"")</f>
        <v>3</v>
      </c>
      <c r="N324" s="120" t="n">
        <f aca="false">VLOOKUP(E324,Q:R,2,FALSE())</f>
        <v>43.2976470588235</v>
      </c>
    </row>
    <row r="325" customFormat="false" ht="14.25" hidden="false" customHeight="true" outlineLevel="0" collapsed="false">
      <c r="A325" s="0" t="n">
        <v>324</v>
      </c>
      <c r="B325" s="0" t="n">
        <v>10</v>
      </c>
      <c r="C325" s="0" t="s">
        <v>980</v>
      </c>
      <c r="D325" s="0" t="s">
        <v>526</v>
      </c>
      <c r="E325" s="0" t="s">
        <v>299</v>
      </c>
      <c r="F325" s="0" t="n">
        <v>8</v>
      </c>
      <c r="G325" s="0" t="s">
        <v>1036</v>
      </c>
      <c r="H325" s="0" t="s">
        <v>1036</v>
      </c>
      <c r="I325" s="0" t="s">
        <v>1031</v>
      </c>
      <c r="J325" s="0" t="s">
        <v>1038</v>
      </c>
      <c r="K325" s="0" t="n">
        <v>324</v>
      </c>
      <c r="L325" s="0" t="str">
        <f aca="false">C325</f>
        <v>Oscar Delp</v>
      </c>
      <c r="M325" s="121" t="n">
        <f aca="false">IFERROR(VLOOKUP(E325,RISK!A:B,2,FALSE()),"")</f>
        <v>3</v>
      </c>
      <c r="N325" s="120" t="n">
        <f aca="false">VLOOKUP(E325,Q:R,2,FALSE())</f>
        <v>40.9729411764706</v>
      </c>
    </row>
    <row r="326" customFormat="false" ht="14.25" hidden="false" customHeight="true" outlineLevel="0" collapsed="false">
      <c r="A326" s="0" t="n">
        <v>325</v>
      </c>
      <c r="B326" s="0" t="n">
        <v>10</v>
      </c>
      <c r="C326" s="0" t="s">
        <v>1133</v>
      </c>
      <c r="D326" s="0" t="s">
        <v>1121</v>
      </c>
      <c r="E326" s="0" t="s">
        <v>1134</v>
      </c>
      <c r="F326" s="0" t="s">
        <v>1038</v>
      </c>
      <c r="G326" s="0" t="s">
        <v>1029</v>
      </c>
      <c r="H326" s="0" t="s">
        <v>1028</v>
      </c>
      <c r="I326" s="0" t="s">
        <v>1038</v>
      </c>
      <c r="J326" s="0" t="n">
        <v>-120</v>
      </c>
      <c r="K326" s="0" t="n">
        <v>325</v>
      </c>
      <c r="L326" s="0" t="str">
        <f aca="false">C326</f>
        <v>Tyreek Hill</v>
      </c>
      <c r="M326" s="121" t="n">
        <f aca="false">IFERROR(VLOOKUP(E326,RISK!A:B,2,FALSE()),"")</f>
        <v>3.84810126582278</v>
      </c>
      <c r="N326" s="120" t="e">
        <f aca="false">VLOOKUP(E326,Q:R,2,FALSE())</f>
        <v>#N/A</v>
      </c>
    </row>
    <row r="327" customFormat="false" ht="14.25" hidden="false" customHeight="true" outlineLevel="0" collapsed="false">
      <c r="A327" s="0" t="n">
        <v>326</v>
      </c>
      <c r="B327" s="0" t="n">
        <v>10</v>
      </c>
      <c r="C327" s="0" t="s">
        <v>808</v>
      </c>
      <c r="D327" s="0" t="s">
        <v>552</v>
      </c>
      <c r="E327" s="0" t="s">
        <v>1135</v>
      </c>
      <c r="F327" s="0" t="n">
        <v>11</v>
      </c>
      <c r="G327" s="0" t="s">
        <v>1038</v>
      </c>
      <c r="H327" s="0" t="s">
        <v>1038</v>
      </c>
      <c r="I327" s="0" t="s">
        <v>1035</v>
      </c>
      <c r="J327" s="0" t="n">
        <v>-21</v>
      </c>
      <c r="K327" s="0" t="n">
        <v>326</v>
      </c>
      <c r="L327" s="0" t="str">
        <f aca="false">C327</f>
        <v>Jahan Dotson</v>
      </c>
      <c r="M327" s="121" t="n">
        <f aca="false">IFERROR(VLOOKUP(E327,RISK!A:B,2,FALSE()),"")</f>
        <v>3.84810126582278</v>
      </c>
      <c r="N327" s="120" t="e">
        <f aca="false">VLOOKUP(E327,Q:R,2,FALSE())</f>
        <v>#N/A</v>
      </c>
    </row>
    <row r="328" customFormat="false" ht="14.25" hidden="false" customHeight="true" outlineLevel="0" collapsed="false">
      <c r="A328" s="0" t="n">
        <v>327</v>
      </c>
      <c r="B328" s="0" t="n">
        <v>10</v>
      </c>
      <c r="C328" s="0" t="s">
        <v>1136</v>
      </c>
      <c r="D328" s="0" t="s">
        <v>526</v>
      </c>
      <c r="E328" s="0" t="s">
        <v>1137</v>
      </c>
      <c r="F328" s="0" t="n">
        <v>8</v>
      </c>
      <c r="G328" s="0" t="s">
        <v>1038</v>
      </c>
      <c r="H328" s="0" t="s">
        <v>1038</v>
      </c>
      <c r="I328" s="0" t="s">
        <v>1030</v>
      </c>
      <c r="J328" s="0" t="s">
        <v>1038</v>
      </c>
      <c r="K328" s="0" t="n">
        <v>327</v>
      </c>
      <c r="L328" s="0" t="str">
        <f aca="false">C328</f>
        <v>Charlie Smyth</v>
      </c>
      <c r="M328" s="121" t="str">
        <f aca="false">IFERROR(VLOOKUP(E328,RISK!A:B,2,FALSE()),"")</f>
        <v/>
      </c>
      <c r="N328" s="120" t="e">
        <f aca="false">VLOOKUP(E328,Q:R,2,FALSE())</f>
        <v>#N/A</v>
      </c>
    </row>
    <row r="329" customFormat="false" ht="14.25" hidden="false" customHeight="true" outlineLevel="0" collapsed="false">
      <c r="A329" s="0" t="n">
        <v>328</v>
      </c>
      <c r="B329" s="0" t="n">
        <v>10</v>
      </c>
      <c r="C329" s="0" t="s">
        <v>801</v>
      </c>
      <c r="D329" s="0" t="s">
        <v>538</v>
      </c>
      <c r="E329" s="0" t="s">
        <v>1138</v>
      </c>
      <c r="F329" s="0" t="n">
        <v>8</v>
      </c>
      <c r="G329" s="0" t="s">
        <v>1038</v>
      </c>
      <c r="H329" s="0" t="s">
        <v>1038</v>
      </c>
      <c r="I329" s="0" t="s">
        <v>1035</v>
      </c>
      <c r="J329" s="0" t="s">
        <v>1038</v>
      </c>
      <c r="K329" s="0" t="n">
        <v>328</v>
      </c>
      <c r="L329" s="0" t="str">
        <f aca="false">C329</f>
        <v>Xavier Hutchinson</v>
      </c>
      <c r="M329" s="121" t="n">
        <f aca="false">IFERROR(VLOOKUP(E329,RISK!A:B,2,FALSE()),"")</f>
        <v>3.84810126582278</v>
      </c>
      <c r="N329" s="120" t="e">
        <f aca="false">VLOOKUP(E329,Q:R,2,FALSE())</f>
        <v>#N/A</v>
      </c>
    </row>
    <row r="330" customFormat="false" ht="14.25" hidden="false" customHeight="true" outlineLevel="0" collapsed="false">
      <c r="A330" s="0" t="n">
        <v>329</v>
      </c>
      <c r="B330" s="0" t="n">
        <v>10</v>
      </c>
      <c r="C330" s="0" t="s">
        <v>809</v>
      </c>
      <c r="D330" s="0" t="s">
        <v>526</v>
      </c>
      <c r="E330" s="0" t="s">
        <v>1139</v>
      </c>
      <c r="F330" s="0" t="n">
        <v>8</v>
      </c>
      <c r="G330" s="0" t="s">
        <v>1038</v>
      </c>
      <c r="H330" s="0" t="s">
        <v>1038</v>
      </c>
      <c r="I330" s="0" t="s">
        <v>1035</v>
      </c>
      <c r="J330" s="0" t="s">
        <v>1038</v>
      </c>
      <c r="K330" s="0" t="n">
        <v>329</v>
      </c>
      <c r="L330" s="0" t="str">
        <f aca="false">C330</f>
        <v>Bryce Lance</v>
      </c>
      <c r="M330" s="121" t="n">
        <f aca="false">IFERROR(VLOOKUP(E330,RISK!A:B,2,FALSE()),"")</f>
        <v>3.84810126582278</v>
      </c>
      <c r="N330" s="120" t="e">
        <f aca="false">VLOOKUP(E330,Q:R,2,FALSE())</f>
        <v>#N/A</v>
      </c>
    </row>
    <row r="331" customFormat="false" ht="14.25" hidden="false" customHeight="true" outlineLevel="0" collapsed="false">
      <c r="A331" s="0" t="n">
        <v>330</v>
      </c>
      <c r="B331" s="0" t="n">
        <v>10</v>
      </c>
      <c r="C331" s="0" t="s">
        <v>558</v>
      </c>
      <c r="D331" s="0" t="s">
        <v>546</v>
      </c>
      <c r="E331" s="0" t="s">
        <v>272</v>
      </c>
      <c r="F331" s="0" t="n">
        <v>14</v>
      </c>
      <c r="G331" s="0" t="s">
        <v>1038</v>
      </c>
      <c r="H331" s="0" t="s">
        <v>1038</v>
      </c>
      <c r="I331" s="0" t="s">
        <v>1031</v>
      </c>
      <c r="J331" s="0" t="s">
        <v>1038</v>
      </c>
      <c r="K331" s="0" t="n">
        <v>330</v>
      </c>
      <c r="L331" s="0" t="str">
        <f aca="false">C331</f>
        <v>Carson Beck</v>
      </c>
      <c r="M331" s="121" t="n">
        <f aca="false">IFERROR(VLOOKUP(E331,RISK!A:B,2,FALSE()),"")</f>
        <v>3.2</v>
      </c>
      <c r="N331" s="120" t="n">
        <f aca="false">VLOOKUP(E331,Q:R,2,FALSE())</f>
        <v>24.0785647058824</v>
      </c>
    </row>
    <row r="332" customFormat="false" ht="14.25" hidden="false" customHeight="true" outlineLevel="0" collapsed="false">
      <c r="A332" s="0" t="n">
        <v>331</v>
      </c>
      <c r="B332" s="0" t="n">
        <v>10</v>
      </c>
      <c r="C332" s="0" t="s">
        <v>954</v>
      </c>
      <c r="D332" s="0" t="s">
        <v>536</v>
      </c>
      <c r="E332" s="0" t="s">
        <v>303</v>
      </c>
      <c r="F332" s="0" t="n">
        <v>11</v>
      </c>
      <c r="G332" s="0" t="s">
        <v>1038</v>
      </c>
      <c r="H332" s="0" t="s">
        <v>1038</v>
      </c>
      <c r="I332" s="0" t="s">
        <v>1035</v>
      </c>
      <c r="J332" s="0" t="s">
        <v>1038</v>
      </c>
      <c r="K332" s="0" t="n">
        <v>331</v>
      </c>
      <c r="L332" s="0" t="str">
        <f aca="false">C332</f>
        <v>Elijah Arroyo</v>
      </c>
      <c r="M332" s="121" t="n">
        <f aca="false">IFERROR(VLOOKUP(E332,RISK!A:B,2,FALSE()),"")</f>
        <v>3</v>
      </c>
      <c r="N332" s="120" t="n">
        <f aca="false">VLOOKUP(E332,Q:R,2,FALSE())</f>
        <v>35.8876470588235</v>
      </c>
    </row>
    <row r="333" customFormat="false" ht="14.25" hidden="false" customHeight="true" outlineLevel="0" collapsed="false">
      <c r="A333" s="0" t="n">
        <v>332</v>
      </c>
      <c r="B333" s="0" t="n">
        <v>10</v>
      </c>
      <c r="C333" s="0" t="s">
        <v>813</v>
      </c>
      <c r="D333" s="0" t="s">
        <v>534</v>
      </c>
      <c r="E333" s="0" t="s">
        <v>1140</v>
      </c>
      <c r="F333" s="0" t="n">
        <v>6</v>
      </c>
      <c r="G333" s="0" t="s">
        <v>1038</v>
      </c>
      <c r="H333" s="0" t="s">
        <v>1038</v>
      </c>
      <c r="I333" s="0" t="s">
        <v>1035</v>
      </c>
      <c r="J333" s="0" t="n">
        <v>-24</v>
      </c>
      <c r="K333" s="0" t="n">
        <v>332</v>
      </c>
      <c r="L333" s="0" t="str">
        <f aca="false">C333</f>
        <v>Jalen Tolbert</v>
      </c>
      <c r="M333" s="121" t="n">
        <f aca="false">IFERROR(VLOOKUP(E333,RISK!A:B,2,FALSE()),"")</f>
        <v>3.84810126582278</v>
      </c>
      <c r="N333" s="120" t="e">
        <f aca="false">VLOOKUP(E333,Q:R,2,FALSE())</f>
        <v>#N/A</v>
      </c>
    </row>
    <row r="334" customFormat="false" ht="14.25" hidden="false" customHeight="true" outlineLevel="0" collapsed="false">
      <c r="A334" s="0" t="n">
        <v>333</v>
      </c>
      <c r="B334" s="0" t="n">
        <v>10</v>
      </c>
      <c r="C334" s="0" t="s">
        <v>950</v>
      </c>
      <c r="D334" s="0" t="s">
        <v>498</v>
      </c>
      <c r="E334" s="0" t="s">
        <v>307</v>
      </c>
      <c r="F334" s="0" t="n">
        <v>11</v>
      </c>
      <c r="G334" s="0" t="s">
        <v>1038</v>
      </c>
      <c r="H334" s="0" t="s">
        <v>1038</v>
      </c>
      <c r="I334" s="0" t="s">
        <v>1032</v>
      </c>
      <c r="J334" s="0" t="s">
        <v>1038</v>
      </c>
      <c r="K334" s="0" t="n">
        <v>333</v>
      </c>
      <c r="L334" s="0" t="str">
        <f aca="false">C334</f>
        <v>Eli Raridon</v>
      </c>
      <c r="M334" s="121" t="n">
        <f aca="false">IFERROR(VLOOKUP(E334,RISK!A:B,2,FALSE()),"")</f>
        <v>3</v>
      </c>
      <c r="N334" s="120" t="n">
        <f aca="false">VLOOKUP(E334,Q:R,2,FALSE())</f>
        <v>31.2458823529412</v>
      </c>
    </row>
    <row r="335" customFormat="false" ht="14.25" hidden="false" customHeight="true" outlineLevel="0" collapsed="false">
      <c r="A335" s="0" t="n">
        <v>334</v>
      </c>
      <c r="B335" s="0" t="n">
        <v>10</v>
      </c>
      <c r="C335" s="0" t="s">
        <v>935</v>
      </c>
      <c r="D335" s="0" t="s">
        <v>490</v>
      </c>
      <c r="E335" s="0" t="s">
        <v>311</v>
      </c>
      <c r="F335" s="0" t="n">
        <v>7</v>
      </c>
      <c r="G335" s="0" t="s">
        <v>1038</v>
      </c>
      <c r="H335" s="0" t="s">
        <v>1038</v>
      </c>
      <c r="I335" s="0" t="s">
        <v>1035</v>
      </c>
      <c r="J335" s="0" t="s">
        <v>1038</v>
      </c>
      <c r="K335" s="0" t="n">
        <v>334</v>
      </c>
      <c r="L335" s="0" t="str">
        <f aca="false">C335</f>
        <v>Dawson Knox</v>
      </c>
      <c r="M335" s="121" t="n">
        <f aca="false">IFERROR(VLOOKUP(E335,RISK!A:B,2,FALSE()),"")</f>
        <v>3</v>
      </c>
      <c r="N335" s="120" t="n">
        <f aca="false">VLOOKUP(E335,Q:R,2,FALSE())</f>
        <v>30.9247058823529</v>
      </c>
    </row>
    <row r="336" customFormat="false" ht="14.25" hidden="false" customHeight="true" outlineLevel="0" collapsed="false">
      <c r="A336" s="0" t="n">
        <v>335</v>
      </c>
      <c r="B336" s="0" t="n">
        <v>10</v>
      </c>
      <c r="C336" s="0" t="s">
        <v>705</v>
      </c>
      <c r="D336" s="0" t="s">
        <v>546</v>
      </c>
      <c r="E336" s="0" t="s">
        <v>477</v>
      </c>
      <c r="F336" s="0" t="n">
        <v>14</v>
      </c>
      <c r="G336" s="0" t="s">
        <v>1038</v>
      </c>
      <c r="H336" s="0" t="s">
        <v>1038</v>
      </c>
      <c r="I336" s="0" t="s">
        <v>1031</v>
      </c>
      <c r="J336" s="0" t="s">
        <v>1038</v>
      </c>
      <c r="K336" s="0" t="n">
        <v>335</v>
      </c>
      <c r="L336" s="0" t="str">
        <f aca="false">C336</f>
        <v>Bam Knight</v>
      </c>
      <c r="M336" s="121" t="n">
        <f aca="false">IFERROR(VLOOKUP(E336,RISK!A:B,2,FALSE()),"")</f>
        <v>4</v>
      </c>
      <c r="N336" s="120" t="n">
        <f aca="false">VLOOKUP(E336,Q:R,2,FALSE())</f>
        <v>0</v>
      </c>
    </row>
    <row r="337" customFormat="false" ht="14.25" hidden="false" customHeight="true" outlineLevel="0" collapsed="false">
      <c r="A337" s="0" t="n">
        <v>336</v>
      </c>
      <c r="B337" s="0" t="n">
        <v>10</v>
      </c>
      <c r="C337" s="0" t="s">
        <v>938</v>
      </c>
      <c r="D337" s="0" t="s">
        <v>502</v>
      </c>
      <c r="E337" s="0" t="s">
        <v>315</v>
      </c>
      <c r="F337" s="0" t="n">
        <v>6</v>
      </c>
      <c r="G337" s="0" t="s">
        <v>1038</v>
      </c>
      <c r="H337" s="0" t="s">
        <v>1038</v>
      </c>
      <c r="I337" s="0" t="s">
        <v>1035</v>
      </c>
      <c r="J337" s="0" t="s">
        <v>1038</v>
      </c>
      <c r="K337" s="0" t="n">
        <v>336</v>
      </c>
      <c r="L337" s="0" t="str">
        <f aca="false">C337</f>
        <v>Erick All Jr.</v>
      </c>
      <c r="M337" s="121" t="n">
        <f aca="false">IFERROR(VLOOKUP(E337,RISK!A:B,2,FALSE()),"")</f>
        <v>3</v>
      </c>
      <c r="N337" s="120" t="n">
        <f aca="false">VLOOKUP(E337,Q:R,2,FALSE())</f>
        <v>29.9305882352941</v>
      </c>
    </row>
    <row r="338" customFormat="false" ht="14.25" hidden="false" customHeight="true" outlineLevel="0" collapsed="false">
      <c r="A338" s="0" t="n">
        <v>337</v>
      </c>
      <c r="B338" s="0" t="n">
        <v>10</v>
      </c>
      <c r="C338" s="0" t="s">
        <v>842</v>
      </c>
      <c r="D338" s="0" t="s">
        <v>546</v>
      </c>
      <c r="E338" s="0" t="s">
        <v>1141</v>
      </c>
      <c r="F338" s="0" t="n">
        <v>14</v>
      </c>
      <c r="G338" s="0" t="s">
        <v>1038</v>
      </c>
      <c r="H338" s="0" t="s">
        <v>1038</v>
      </c>
      <c r="I338" s="0" t="s">
        <v>1031</v>
      </c>
      <c r="J338" s="0" t="s">
        <v>1038</v>
      </c>
      <c r="K338" s="0" t="n">
        <v>337</v>
      </c>
      <c r="L338" s="0" t="str">
        <f aca="false">C338</f>
        <v>Kendrick Bourne</v>
      </c>
      <c r="M338" s="121" t="n">
        <f aca="false">IFERROR(VLOOKUP(E338,RISK!A:B,2,FALSE()),"")</f>
        <v>3.84810126582278</v>
      </c>
      <c r="N338" s="120" t="e">
        <f aca="false">VLOOKUP(E338,Q:R,2,FALSE())</f>
        <v>#N/A</v>
      </c>
    </row>
    <row r="339" customFormat="false" ht="14.25" hidden="false" customHeight="true" outlineLevel="0" collapsed="false">
      <c r="A339" s="0" t="n">
        <v>338</v>
      </c>
      <c r="B339" s="0" t="n">
        <v>10</v>
      </c>
      <c r="C339" s="0" t="s">
        <v>859</v>
      </c>
      <c r="D339" s="0" t="s">
        <v>528</v>
      </c>
      <c r="E339" s="0" t="s">
        <v>1142</v>
      </c>
      <c r="F339" s="0" t="n">
        <v>10</v>
      </c>
      <c r="G339" s="0" t="s">
        <v>1038</v>
      </c>
      <c r="H339" s="0" t="s">
        <v>1038</v>
      </c>
      <c r="I339" s="0" t="s">
        <v>1032</v>
      </c>
      <c r="J339" s="0" t="s">
        <v>1038</v>
      </c>
      <c r="K339" s="0" t="n">
        <v>338</v>
      </c>
      <c r="L339" s="0" t="str">
        <f aca="false">C339</f>
        <v>Tez Johnson</v>
      </c>
      <c r="M339" s="121" t="n">
        <f aca="false">IFERROR(VLOOKUP(E339,RISK!A:B,2,FALSE()),"")</f>
        <v>3.84810126582278</v>
      </c>
      <c r="N339" s="120" t="e">
        <f aca="false">VLOOKUP(E339,Q:R,2,FALSE())</f>
        <v>#N/A</v>
      </c>
    </row>
    <row r="340" customFormat="false" ht="14.25" hidden="false" customHeight="true" outlineLevel="0" collapsed="false">
      <c r="A340" s="0" t="n">
        <v>339</v>
      </c>
      <c r="B340" s="0" t="n">
        <v>10</v>
      </c>
      <c r="C340" s="0" t="s">
        <v>940</v>
      </c>
      <c r="D340" s="0" t="s">
        <v>514</v>
      </c>
      <c r="E340" s="0" t="s">
        <v>319</v>
      </c>
      <c r="F340" s="0" t="n">
        <v>10</v>
      </c>
      <c r="G340" s="0" t="s">
        <v>1038</v>
      </c>
      <c r="H340" s="0" t="s">
        <v>1038</v>
      </c>
      <c r="I340" s="0" t="s">
        <v>1031</v>
      </c>
      <c r="J340" s="0" t="s">
        <v>1038</v>
      </c>
      <c r="K340" s="0" t="n">
        <v>339</v>
      </c>
      <c r="L340" s="0" t="str">
        <f aca="false">C340</f>
        <v>Cole Kmet</v>
      </c>
      <c r="M340" s="121" t="n">
        <f aca="false">IFERROR(VLOOKUP(E340,RISK!A:B,2,FALSE()),"")</f>
        <v>3</v>
      </c>
      <c r="N340" s="120" t="n">
        <f aca="false">VLOOKUP(E340,Q:R,2,FALSE())</f>
        <v>29.6247058823529</v>
      </c>
    </row>
    <row r="341" customFormat="false" ht="14.25" hidden="false" customHeight="true" outlineLevel="0" collapsed="false">
      <c r="A341" s="0" t="n">
        <v>340</v>
      </c>
      <c r="B341" s="0" t="n">
        <v>10</v>
      </c>
      <c r="C341" s="0" t="s">
        <v>1143</v>
      </c>
      <c r="D341" s="0" t="s">
        <v>1121</v>
      </c>
      <c r="E341" s="0" t="s">
        <v>1144</v>
      </c>
      <c r="F341" s="0" t="s">
        <v>1038</v>
      </c>
      <c r="G341" s="0" t="s">
        <v>1038</v>
      </c>
      <c r="H341" s="0" t="s">
        <v>1038</v>
      </c>
      <c r="I341" s="0" t="s">
        <v>1038</v>
      </c>
      <c r="J341" s="0" t="s">
        <v>1038</v>
      </c>
      <c r="K341" s="0" t="n">
        <v>340</v>
      </c>
      <c r="L341" s="0" t="str">
        <f aca="false">C341</f>
        <v>Joe Mixon</v>
      </c>
      <c r="M341" s="121" t="n">
        <f aca="false">IFERROR(VLOOKUP(E341,RISK!A:B,2,FALSE()),"")</f>
        <v>4</v>
      </c>
      <c r="N341" s="120" t="e">
        <f aca="false">VLOOKUP(E341,Q:R,2,FALSE())</f>
        <v>#N/A</v>
      </c>
    </row>
    <row r="342" customFormat="false" ht="14.25" hidden="false" customHeight="true" outlineLevel="0" collapsed="false">
      <c r="A342" s="0" t="n">
        <v>341</v>
      </c>
      <c r="B342" s="0" t="n">
        <v>10</v>
      </c>
      <c r="C342" s="0" t="s">
        <v>1145</v>
      </c>
      <c r="D342" s="0" t="s">
        <v>510</v>
      </c>
      <c r="E342" s="0" t="s">
        <v>1146</v>
      </c>
      <c r="F342" s="0" t="n">
        <v>14</v>
      </c>
      <c r="G342" s="0" t="s">
        <v>1038</v>
      </c>
      <c r="H342" s="0" t="s">
        <v>1038</v>
      </c>
      <c r="I342" s="0" t="s">
        <v>1034</v>
      </c>
      <c r="J342" s="0" t="n">
        <v>-138</v>
      </c>
      <c r="K342" s="0" t="n">
        <v>341</v>
      </c>
      <c r="L342" s="0" t="str">
        <f aca="false">C342</f>
        <v>Dallas Cowboys</v>
      </c>
      <c r="M342" s="121" t="str">
        <f aca="false">IFERROR(VLOOKUP(E342,RISK!A:B,2,FALSE()),"")</f>
        <v/>
      </c>
      <c r="N342" s="120" t="e">
        <f aca="false">VLOOKUP(E342,Q:R,2,FALSE())</f>
        <v>#N/A</v>
      </c>
    </row>
    <row r="343" customFormat="false" ht="14.25" hidden="false" customHeight="true" outlineLevel="0" collapsed="false">
      <c r="A343" s="0" t="n">
        <v>342</v>
      </c>
      <c r="B343" s="0" t="n">
        <v>10</v>
      </c>
      <c r="C343" s="0" t="s">
        <v>854</v>
      </c>
      <c r="D343" s="0" t="s">
        <v>516</v>
      </c>
      <c r="E343" s="0" t="s">
        <v>1147</v>
      </c>
      <c r="F343" s="0" t="n">
        <v>7</v>
      </c>
      <c r="G343" s="0" t="s">
        <v>1038</v>
      </c>
      <c r="H343" s="0" t="s">
        <v>1038</v>
      </c>
      <c r="I343" s="0" t="s">
        <v>1031</v>
      </c>
      <c r="J343" s="0" t="s">
        <v>1038</v>
      </c>
      <c r="K343" s="0" t="n">
        <v>342</v>
      </c>
      <c r="L343" s="0" t="str">
        <f aca="false">C343</f>
        <v>Brenen Thompson</v>
      </c>
      <c r="M343" s="121" t="n">
        <f aca="false">IFERROR(VLOOKUP(E343,RISK!A:B,2,FALSE()),"")</f>
        <v>3.84810126582278</v>
      </c>
      <c r="N343" s="120" t="e">
        <f aca="false">VLOOKUP(E343,Q:R,2,FALSE())</f>
        <v>#N/A</v>
      </c>
    </row>
    <row r="344" customFormat="false" ht="14.25" hidden="false" customHeight="true" outlineLevel="0" collapsed="false">
      <c r="A344" s="0" t="n">
        <v>343</v>
      </c>
      <c r="B344" s="0" t="n">
        <v>10</v>
      </c>
      <c r="C344" s="0" t="s">
        <v>939</v>
      </c>
      <c r="D344" s="0" t="s">
        <v>520</v>
      </c>
      <c r="E344" s="0" t="s">
        <v>323</v>
      </c>
      <c r="F344" s="0" t="n">
        <v>11</v>
      </c>
      <c r="G344" s="0" t="s">
        <v>1038</v>
      </c>
      <c r="H344" s="0" t="s">
        <v>1038</v>
      </c>
      <c r="I344" s="0" t="s">
        <v>1032</v>
      </c>
      <c r="J344" s="0" t="s">
        <v>1038</v>
      </c>
      <c r="K344" s="0" t="n">
        <v>343</v>
      </c>
      <c r="L344" s="0" t="str">
        <f aca="false">C344</f>
        <v>Tyler Higbee</v>
      </c>
      <c r="M344" s="121" t="n">
        <f aca="false">IFERROR(VLOOKUP(E344,RISK!A:B,2,FALSE()),"")</f>
        <v>3</v>
      </c>
      <c r="N344" s="120" t="n">
        <f aca="false">VLOOKUP(E344,Q:R,2,FALSE())</f>
        <v>22.7423529411765</v>
      </c>
    </row>
    <row r="345" customFormat="false" ht="14.25" hidden="false" customHeight="true" outlineLevel="0" collapsed="false">
      <c r="A345" s="0" t="n">
        <v>344</v>
      </c>
      <c r="B345" s="0" t="n">
        <v>10</v>
      </c>
      <c r="C345" s="0" t="s">
        <v>677</v>
      </c>
      <c r="D345" s="0" t="s">
        <v>524</v>
      </c>
      <c r="E345" s="0" t="s">
        <v>1148</v>
      </c>
      <c r="F345" s="0" t="n">
        <v>6</v>
      </c>
      <c r="G345" s="0" t="s">
        <v>1038</v>
      </c>
      <c r="H345" s="0" t="s">
        <v>1038</v>
      </c>
      <c r="I345" s="0" t="s">
        <v>1030</v>
      </c>
      <c r="J345" s="0" t="n">
        <v>-42</v>
      </c>
      <c r="K345" s="0" t="n">
        <v>344</v>
      </c>
      <c r="L345" s="0" t="str">
        <f aca="false">C345</f>
        <v>Jacob Saylors</v>
      </c>
      <c r="M345" s="121" t="n">
        <f aca="false">IFERROR(VLOOKUP(E345,RISK!A:B,2,FALSE()),"")</f>
        <v>4</v>
      </c>
      <c r="N345" s="120" t="e">
        <f aca="false">VLOOKUP(E345,Q:R,2,FALSE())</f>
        <v>#N/A</v>
      </c>
    </row>
    <row r="346" customFormat="false" ht="14.25" hidden="false" customHeight="true" outlineLevel="0" collapsed="false">
      <c r="A346" s="0" t="n">
        <v>345</v>
      </c>
      <c r="B346" s="0" t="n">
        <v>10</v>
      </c>
      <c r="C346" s="0" t="s">
        <v>952</v>
      </c>
      <c r="D346" s="0" t="s">
        <v>512</v>
      </c>
      <c r="E346" s="0" t="s">
        <v>326</v>
      </c>
      <c r="F346" s="0" t="n">
        <v>5</v>
      </c>
      <c r="G346" s="0" t="s">
        <v>1038</v>
      </c>
      <c r="H346" s="0" t="s">
        <v>1038</v>
      </c>
      <c r="I346" s="0" t="s">
        <v>1032</v>
      </c>
      <c r="J346" s="0" t="s">
        <v>1038</v>
      </c>
      <c r="K346" s="0" t="n">
        <v>345</v>
      </c>
      <c r="L346" s="0" t="str">
        <f aca="false">C346</f>
        <v>Noah Gray</v>
      </c>
      <c r="M346" s="121" t="n">
        <f aca="false">IFERROR(VLOOKUP(E346,RISK!A:B,2,FALSE()),"")</f>
        <v>3</v>
      </c>
      <c r="N346" s="120" t="n">
        <f aca="false">VLOOKUP(E346,Q:R,2,FALSE())</f>
        <v>14.0323529411765</v>
      </c>
    </row>
    <row r="347" customFormat="false" ht="14.25" hidden="false" customHeight="true" outlineLevel="0" collapsed="false">
      <c r="A347" s="0" t="n">
        <v>346</v>
      </c>
      <c r="B347" s="0" t="n">
        <v>10</v>
      </c>
      <c r="C347" s="0" t="s">
        <v>1149</v>
      </c>
      <c r="D347" s="0" t="s">
        <v>500</v>
      </c>
      <c r="E347" s="0" t="s">
        <v>1150</v>
      </c>
      <c r="F347" s="0" t="n">
        <v>10</v>
      </c>
      <c r="G347" s="0" t="s">
        <v>1038</v>
      </c>
      <c r="H347" s="0" t="s">
        <v>1038</v>
      </c>
      <c r="I347" s="0" t="s">
        <v>1030</v>
      </c>
      <c r="J347" s="0" t="n">
        <v>-106</v>
      </c>
      <c r="K347" s="0" t="n">
        <v>346</v>
      </c>
      <c r="L347" s="0" t="str">
        <f aca="false">C347</f>
        <v>Jake Elliott</v>
      </c>
      <c r="M347" s="121" t="str">
        <f aca="false">IFERROR(VLOOKUP(E347,RISK!A:B,2,FALSE()),"")</f>
        <v/>
      </c>
      <c r="N347" s="120" t="e">
        <f aca="false">VLOOKUP(E347,Q:R,2,FALSE())</f>
        <v>#N/A</v>
      </c>
    </row>
    <row r="348" customFormat="false" ht="14.25" hidden="false" customHeight="true" outlineLevel="0" collapsed="false">
      <c r="A348" s="0" t="n">
        <v>347</v>
      </c>
      <c r="B348" s="0" t="n">
        <v>10</v>
      </c>
      <c r="C348" s="0" t="s">
        <v>824</v>
      </c>
      <c r="D348" s="0" t="s">
        <v>490</v>
      </c>
      <c r="E348" s="0" t="s">
        <v>1151</v>
      </c>
      <c r="F348" s="0" t="n">
        <v>7</v>
      </c>
      <c r="G348" s="0" t="s">
        <v>1038</v>
      </c>
      <c r="H348" s="0" t="s">
        <v>1038</v>
      </c>
      <c r="I348" s="0" t="s">
        <v>1032</v>
      </c>
      <c r="J348" s="0" t="s">
        <v>1038</v>
      </c>
      <c r="K348" s="0" t="n">
        <v>347</v>
      </c>
      <c r="L348" s="0" t="str">
        <f aca="false">C348</f>
        <v>Joshua Palmer</v>
      </c>
      <c r="M348" s="121" t="n">
        <f aca="false">IFERROR(VLOOKUP(E348,RISK!A:B,2,FALSE()),"")</f>
        <v>3.84810126582278</v>
      </c>
      <c r="N348" s="120" t="e">
        <f aca="false">VLOOKUP(E348,Q:R,2,FALSE())</f>
        <v>#N/A</v>
      </c>
    </row>
    <row r="349" customFormat="false" ht="14.25" hidden="false" customHeight="true" outlineLevel="0" collapsed="false">
      <c r="A349" s="0" t="n">
        <v>348</v>
      </c>
      <c r="B349" s="0" t="n">
        <v>10</v>
      </c>
      <c r="C349" s="0" t="s">
        <v>864</v>
      </c>
      <c r="D349" s="0" t="s">
        <v>512</v>
      </c>
      <c r="E349" s="0" t="s">
        <v>1152</v>
      </c>
      <c r="F349" s="0" t="n">
        <v>5</v>
      </c>
      <c r="G349" s="0" t="s">
        <v>1038</v>
      </c>
      <c r="H349" s="0" t="s">
        <v>1038</v>
      </c>
      <c r="I349" s="0" t="s">
        <v>1031</v>
      </c>
      <c r="J349" s="0" t="s">
        <v>1038</v>
      </c>
      <c r="K349" s="0" t="n">
        <v>348</v>
      </c>
      <c r="L349" s="0" t="str">
        <f aca="false">C349</f>
        <v>Jalen Royals</v>
      </c>
      <c r="M349" s="121" t="n">
        <f aca="false">IFERROR(VLOOKUP(E349,RISK!A:B,2,FALSE()),"")</f>
        <v>3.84810126582278</v>
      </c>
      <c r="N349" s="120" t="e">
        <f aca="false">VLOOKUP(E349,Q:R,2,FALSE())</f>
        <v>#N/A</v>
      </c>
    </row>
    <row r="350" customFormat="false" ht="14.25" hidden="false" customHeight="true" outlineLevel="0" collapsed="false">
      <c r="A350" s="0" t="n">
        <v>349</v>
      </c>
      <c r="B350" s="0" t="n">
        <v>10</v>
      </c>
      <c r="C350" s="0" t="s">
        <v>839</v>
      </c>
      <c r="D350" s="0" t="s">
        <v>496</v>
      </c>
      <c r="E350" s="0" t="s">
        <v>1153</v>
      </c>
      <c r="F350" s="0" t="n">
        <v>7</v>
      </c>
      <c r="G350" s="0" t="s">
        <v>1038</v>
      </c>
      <c r="H350" s="0" t="s">
        <v>1038</v>
      </c>
      <c r="I350" s="0" t="s">
        <v>1031</v>
      </c>
      <c r="J350" s="0" t="s">
        <v>1038</v>
      </c>
      <c r="K350" s="0" t="n">
        <v>349</v>
      </c>
      <c r="L350" s="0" t="str">
        <f aca="false">C350</f>
        <v>Luke McCaffrey</v>
      </c>
      <c r="M350" s="121" t="n">
        <f aca="false">IFERROR(VLOOKUP(E350,RISK!A:B,2,FALSE()),"")</f>
        <v>3.84810126582278</v>
      </c>
      <c r="N350" s="120" t="e">
        <f aca="false">VLOOKUP(E350,Q:R,2,FALSE())</f>
        <v>#N/A</v>
      </c>
    </row>
    <row r="351" customFormat="false" ht="14.25" hidden="false" customHeight="true" outlineLevel="0" collapsed="false">
      <c r="A351" s="0" t="n">
        <v>350</v>
      </c>
      <c r="B351" s="0" t="n">
        <v>11</v>
      </c>
      <c r="C351" s="0" t="s">
        <v>574</v>
      </c>
      <c r="D351" s="0" t="s">
        <v>508</v>
      </c>
      <c r="E351" s="0" t="s">
        <v>276</v>
      </c>
      <c r="F351" s="0" t="n">
        <v>8</v>
      </c>
      <c r="G351" s="0" t="s">
        <v>1038</v>
      </c>
      <c r="H351" s="0" t="s">
        <v>1038</v>
      </c>
      <c r="I351" s="0" t="s">
        <v>1034</v>
      </c>
      <c r="J351" s="0" t="n">
        <v>-68</v>
      </c>
      <c r="K351" s="0" t="n">
        <v>350</v>
      </c>
      <c r="L351" s="0" t="str">
        <f aca="false">C351</f>
        <v>Mac Jones</v>
      </c>
      <c r="M351" s="121" t="n">
        <f aca="false">IFERROR(VLOOKUP(E351,RISK!A:B,2,FALSE()),"")</f>
        <v>3.2</v>
      </c>
      <c r="N351" s="120" t="n">
        <f aca="false">VLOOKUP(E351,Q:R,2,FALSE())</f>
        <v>15.2628</v>
      </c>
    </row>
    <row r="352" customFormat="false" ht="14.25" hidden="false" customHeight="true" outlineLevel="0" collapsed="false">
      <c r="A352" s="0" t="n">
        <v>351</v>
      </c>
      <c r="B352" s="0" t="n">
        <v>11</v>
      </c>
      <c r="C352" s="0" t="s">
        <v>816</v>
      </c>
      <c r="D352" s="0" t="s">
        <v>550</v>
      </c>
      <c r="E352" s="0" t="s">
        <v>1154</v>
      </c>
      <c r="F352" s="0" t="n">
        <v>13</v>
      </c>
      <c r="G352" s="0" t="s">
        <v>1038</v>
      </c>
      <c r="H352" s="0" t="s">
        <v>1038</v>
      </c>
      <c r="I352" s="0" t="s">
        <v>1031</v>
      </c>
      <c r="J352" s="0" t="s">
        <v>1038</v>
      </c>
      <c r="K352" s="0" t="n">
        <v>351</v>
      </c>
      <c r="L352" s="0" t="str">
        <f aca="false">C352</f>
        <v>Malik Benson</v>
      </c>
      <c r="M352" s="121" t="n">
        <f aca="false">IFERROR(VLOOKUP(E352,RISK!A:B,2,FALSE()),"")</f>
        <v>3.84810126582278</v>
      </c>
      <c r="N352" s="120" t="e">
        <f aca="false">VLOOKUP(E352,Q:R,2,FALSE())</f>
        <v>#N/A</v>
      </c>
    </row>
    <row r="353" customFormat="false" ht="14.25" hidden="false" customHeight="true" outlineLevel="0" collapsed="false">
      <c r="A353" s="0" t="n">
        <v>352</v>
      </c>
      <c r="B353" s="0" t="n">
        <v>11</v>
      </c>
      <c r="C353" s="0" t="s">
        <v>984</v>
      </c>
      <c r="D353" s="0" t="s">
        <v>520</v>
      </c>
      <c r="E353" s="0" t="s">
        <v>329</v>
      </c>
      <c r="F353" s="0" t="n">
        <v>11</v>
      </c>
      <c r="G353" s="0" t="s">
        <v>1038</v>
      </c>
      <c r="H353" s="0" t="s">
        <v>1038</v>
      </c>
      <c r="I353" s="0" t="s">
        <v>1032</v>
      </c>
      <c r="J353" s="0" t="s">
        <v>1038</v>
      </c>
      <c r="K353" s="0" t="n">
        <v>352</v>
      </c>
      <c r="L353" s="0" t="str">
        <f aca="false">C353</f>
        <v>Max Klare</v>
      </c>
      <c r="M353" s="121" t="n">
        <f aca="false">IFERROR(VLOOKUP(E353,RISK!A:B,2,FALSE()),"")</f>
        <v>3</v>
      </c>
      <c r="N353" s="120" t="n">
        <f aca="false">VLOOKUP(E353,Q:R,2,FALSE())</f>
        <v>12.3882352941176</v>
      </c>
    </row>
    <row r="354" customFormat="false" ht="14.25" hidden="false" customHeight="true" outlineLevel="0" collapsed="false">
      <c r="A354" s="0" t="n">
        <v>353</v>
      </c>
      <c r="B354" s="0" t="n">
        <v>11</v>
      </c>
      <c r="C354" s="0" t="s">
        <v>862</v>
      </c>
      <c r="D354" s="0" t="s">
        <v>520</v>
      </c>
      <c r="E354" s="0" t="s">
        <v>1155</v>
      </c>
      <c r="F354" s="0" t="n">
        <v>11</v>
      </c>
      <c r="G354" s="0" t="s">
        <v>1038</v>
      </c>
      <c r="H354" s="0" t="s">
        <v>1038</v>
      </c>
      <c r="I354" s="0" t="s">
        <v>1034</v>
      </c>
      <c r="J354" s="0" t="s">
        <v>1038</v>
      </c>
      <c r="K354" s="0" t="n">
        <v>353</v>
      </c>
      <c r="L354" s="0" t="str">
        <f aca="false">C354</f>
        <v>Konata Mumpfield</v>
      </c>
      <c r="M354" s="121" t="n">
        <f aca="false">IFERROR(VLOOKUP(E354,RISK!A:B,2,FALSE()),"")</f>
        <v>3.84810126582278</v>
      </c>
      <c r="N354" s="120" t="e">
        <f aca="false">VLOOKUP(E354,Q:R,2,FALSE())</f>
        <v>#N/A</v>
      </c>
    </row>
    <row r="355" customFormat="false" ht="14.25" hidden="false" customHeight="true" outlineLevel="0" collapsed="false">
      <c r="A355" s="0" t="n">
        <v>354</v>
      </c>
      <c r="B355" s="0" t="n">
        <v>11</v>
      </c>
      <c r="C355" s="0" t="s">
        <v>563</v>
      </c>
      <c r="D355" s="0" t="s">
        <v>522</v>
      </c>
      <c r="E355" s="0" t="s">
        <v>280</v>
      </c>
      <c r="F355" s="0" t="n">
        <v>6</v>
      </c>
      <c r="G355" s="0" t="s">
        <v>1038</v>
      </c>
      <c r="H355" s="0" t="s">
        <v>1038</v>
      </c>
      <c r="I355" s="0" t="s">
        <v>1030</v>
      </c>
      <c r="J355" s="0" t="s">
        <v>1038</v>
      </c>
      <c r="K355" s="0" t="n">
        <v>354</v>
      </c>
      <c r="L355" s="0" t="str">
        <f aca="false">C355</f>
        <v>J.J. McCarthy</v>
      </c>
      <c r="M355" s="121" t="n">
        <f aca="false">IFERROR(VLOOKUP(E355,RISK!A:B,2,FALSE()),"")</f>
        <v>3.2</v>
      </c>
      <c r="N355" s="120" t="n">
        <f aca="false">VLOOKUP(E355,Q:R,2,FALSE())</f>
        <v>14.5679294117647</v>
      </c>
    </row>
    <row r="356" customFormat="false" ht="14.25" hidden="false" customHeight="true" outlineLevel="0" collapsed="false">
      <c r="A356" s="0" t="n">
        <v>355</v>
      </c>
      <c r="B356" s="0" t="n">
        <v>11</v>
      </c>
      <c r="C356" s="0" t="s">
        <v>956</v>
      </c>
      <c r="D356" s="0" t="s">
        <v>540</v>
      </c>
      <c r="E356" s="0" t="s">
        <v>332</v>
      </c>
      <c r="F356" s="0" t="n">
        <v>5</v>
      </c>
      <c r="G356" s="0" t="s">
        <v>1038</v>
      </c>
      <c r="H356" s="0" t="s">
        <v>1038</v>
      </c>
      <c r="I356" s="0" t="s">
        <v>1031</v>
      </c>
      <c r="J356" s="0" t="s">
        <v>1038</v>
      </c>
      <c r="K356" s="0" t="n">
        <v>355</v>
      </c>
      <c r="L356" s="0" t="str">
        <f aca="false">C356</f>
        <v>Ja'Tavion Sanders</v>
      </c>
      <c r="M356" s="121" t="n">
        <f aca="false">IFERROR(VLOOKUP(E356,RISK!A:B,2,FALSE()),"")</f>
        <v>2.2011</v>
      </c>
      <c r="N356" s="120" t="e">
        <f aca="false">VLOOKUP(E356,Q:R,2,FALSE())</f>
        <v>#N/A</v>
      </c>
    </row>
    <row r="357" customFormat="false" ht="14.25" hidden="false" customHeight="true" outlineLevel="0" collapsed="false">
      <c r="A357" s="0" t="n">
        <v>356</v>
      </c>
      <c r="B357" s="0" t="n">
        <v>11</v>
      </c>
      <c r="C357" s="0" t="s">
        <v>851</v>
      </c>
      <c r="D357" s="0" t="s">
        <v>552</v>
      </c>
      <c r="E357" s="0" t="s">
        <v>1156</v>
      </c>
      <c r="F357" s="0" t="n">
        <v>11</v>
      </c>
      <c r="G357" s="0" t="s">
        <v>1038</v>
      </c>
      <c r="H357" s="0" t="s">
        <v>1038</v>
      </c>
      <c r="I357" s="0" t="s">
        <v>1035</v>
      </c>
      <c r="J357" s="0" t="s">
        <v>1038</v>
      </c>
      <c r="K357" s="0" t="n">
        <v>356</v>
      </c>
      <c r="L357" s="0" t="str">
        <f aca="false">C357</f>
        <v>Olamide Zaccheaus</v>
      </c>
      <c r="M357" s="121" t="n">
        <f aca="false">IFERROR(VLOOKUP(E357,RISK!A:B,2,FALSE()),"")</f>
        <v>3.84810126582278</v>
      </c>
      <c r="N357" s="120" t="e">
        <f aca="false">VLOOKUP(E357,Q:R,2,FALSE())</f>
        <v>#N/A</v>
      </c>
    </row>
    <row r="358" customFormat="false" ht="14.25" hidden="false" customHeight="true" outlineLevel="0" collapsed="false">
      <c r="A358" s="0" t="n">
        <v>357</v>
      </c>
      <c r="B358" s="0" t="n">
        <v>11</v>
      </c>
      <c r="C358" s="0" t="s">
        <v>564</v>
      </c>
      <c r="D358" s="0" t="s">
        <v>512</v>
      </c>
      <c r="E358" s="0" t="s">
        <v>284</v>
      </c>
      <c r="F358" s="0" t="n">
        <v>5</v>
      </c>
      <c r="G358" s="0" t="s">
        <v>1038</v>
      </c>
      <c r="H358" s="0" t="s">
        <v>1038</v>
      </c>
      <c r="I358" s="0" t="s">
        <v>1031</v>
      </c>
      <c r="J358" s="0" t="s">
        <v>1038</v>
      </c>
      <c r="K358" s="0" t="n">
        <v>357</v>
      </c>
      <c r="L358" s="0" t="str">
        <f aca="false">C358</f>
        <v>Justin Fields</v>
      </c>
      <c r="M358" s="121" t="n">
        <f aca="false">IFERROR(VLOOKUP(E358,RISK!A:B,2,FALSE()),"")</f>
        <v>3.2</v>
      </c>
      <c r="N358" s="120" t="n">
        <f aca="false">VLOOKUP(E358,Q:R,2,FALSE())</f>
        <v>10.1048470588235</v>
      </c>
    </row>
    <row r="359" customFormat="false" ht="14.25" hidden="false" customHeight="true" outlineLevel="0" collapsed="false">
      <c r="A359" s="0" t="n">
        <v>358</v>
      </c>
      <c r="B359" s="0" t="n">
        <v>11</v>
      </c>
      <c r="C359" s="0" t="s">
        <v>848</v>
      </c>
      <c r="D359" s="0" t="s">
        <v>514</v>
      </c>
      <c r="E359" s="0" t="s">
        <v>1157</v>
      </c>
      <c r="F359" s="0" t="n">
        <v>10</v>
      </c>
      <c r="G359" s="0" t="s">
        <v>1038</v>
      </c>
      <c r="H359" s="0" t="s">
        <v>1038</v>
      </c>
      <c r="I359" s="0" t="s">
        <v>1035</v>
      </c>
      <c r="J359" s="0" t="n">
        <v>-83</v>
      </c>
      <c r="K359" s="0" t="n">
        <v>358</v>
      </c>
      <c r="L359" s="0" t="str">
        <f aca="false">C359</f>
        <v>Zavion Thomas</v>
      </c>
      <c r="M359" s="121" t="n">
        <f aca="false">IFERROR(VLOOKUP(E359,RISK!A:B,2,FALSE()),"")</f>
        <v>3.84810126582278</v>
      </c>
      <c r="N359" s="120" t="e">
        <f aca="false">VLOOKUP(E359,Q:R,2,FALSE())</f>
        <v>#N/A</v>
      </c>
    </row>
    <row r="360" customFormat="false" ht="14.25" hidden="false" customHeight="true" outlineLevel="0" collapsed="false">
      <c r="A360" s="0" t="n">
        <v>359</v>
      </c>
      <c r="B360" s="0" t="n">
        <v>11</v>
      </c>
      <c r="C360" s="0" t="s">
        <v>844</v>
      </c>
      <c r="D360" s="0" t="s">
        <v>496</v>
      </c>
      <c r="E360" s="0" t="s">
        <v>1158</v>
      </c>
      <c r="F360" s="0" t="n">
        <v>7</v>
      </c>
      <c r="G360" s="0" t="s">
        <v>1038</v>
      </c>
      <c r="H360" s="0" t="s">
        <v>1038</v>
      </c>
      <c r="I360" s="0" t="s">
        <v>1031</v>
      </c>
      <c r="J360" s="0" t="s">
        <v>1038</v>
      </c>
      <c r="K360" s="0" t="n">
        <v>359</v>
      </c>
      <c r="L360" s="0" t="str">
        <f aca="false">C360</f>
        <v>Treylon Burks</v>
      </c>
      <c r="M360" s="121" t="n">
        <f aca="false">IFERROR(VLOOKUP(E360,RISK!A:B,2,FALSE()),"")</f>
        <v>3.84810126582278</v>
      </c>
      <c r="N360" s="120" t="e">
        <f aca="false">VLOOKUP(E360,Q:R,2,FALSE())</f>
        <v>#N/A</v>
      </c>
    </row>
    <row r="361" customFormat="false" ht="14.25" hidden="false" customHeight="true" outlineLevel="0" collapsed="false">
      <c r="A361" s="0" t="n">
        <v>360</v>
      </c>
      <c r="B361" s="0" t="n">
        <v>11</v>
      </c>
      <c r="C361" s="0" t="s">
        <v>853</v>
      </c>
      <c r="D361" s="0" t="s">
        <v>548</v>
      </c>
      <c r="E361" s="0" t="s">
        <v>1159</v>
      </c>
      <c r="F361" s="0" t="n">
        <v>9</v>
      </c>
      <c r="G361" s="0" t="s">
        <v>1038</v>
      </c>
      <c r="H361" s="0" t="s">
        <v>1038</v>
      </c>
      <c r="I361" s="0" t="s">
        <v>1035</v>
      </c>
      <c r="J361" s="0" t="s">
        <v>1038</v>
      </c>
      <c r="K361" s="0" t="n">
        <v>360</v>
      </c>
      <c r="L361" s="0" t="str">
        <f aca="false">C361</f>
        <v>Roman Wilson</v>
      </c>
      <c r="M361" s="121" t="n">
        <f aca="false">IFERROR(VLOOKUP(E361,RISK!A:B,2,FALSE()),"")</f>
        <v>3.84810126582278</v>
      </c>
      <c r="N361" s="120" t="e">
        <f aca="false">VLOOKUP(E361,Q:R,2,FALSE())</f>
        <v>#N/A</v>
      </c>
    </row>
    <row r="362" customFormat="false" ht="14.25" hidden="false" customHeight="true" outlineLevel="0" collapsed="false">
      <c r="A362" s="0" t="n">
        <v>361</v>
      </c>
      <c r="B362" s="0" t="n">
        <v>11</v>
      </c>
      <c r="C362" s="0" t="s">
        <v>678</v>
      </c>
      <c r="D362" s="0" t="s">
        <v>514</v>
      </c>
      <c r="E362" s="0" t="s">
        <v>1160</v>
      </c>
      <c r="F362" s="0" t="n">
        <v>10</v>
      </c>
      <c r="G362" s="0" t="s">
        <v>1038</v>
      </c>
      <c r="H362" s="0" t="s">
        <v>1038</v>
      </c>
      <c r="I362" s="0" t="s">
        <v>1031</v>
      </c>
      <c r="J362" s="0" t="s">
        <v>1038</v>
      </c>
      <c r="K362" s="0" t="n">
        <v>361</v>
      </c>
      <c r="L362" s="0" t="str">
        <f aca="false">C362</f>
        <v>Roschon Johnson</v>
      </c>
      <c r="M362" s="121" t="n">
        <f aca="false">IFERROR(VLOOKUP(E362,RISK!A:B,2,FALSE()),"")</f>
        <v>4</v>
      </c>
      <c r="N362" s="120" t="e">
        <f aca="false">VLOOKUP(E362,Q:R,2,FALSE())</f>
        <v>#N/A</v>
      </c>
    </row>
    <row r="363" customFormat="false" ht="14.25" hidden="false" customHeight="true" outlineLevel="0" collapsed="false">
      <c r="A363" s="0" t="n">
        <v>362</v>
      </c>
      <c r="B363" s="0" t="n">
        <v>11</v>
      </c>
      <c r="C363" s="0" t="s">
        <v>689</v>
      </c>
      <c r="D363" s="0" t="s">
        <v>548</v>
      </c>
      <c r="E363" s="0" t="s">
        <v>1161</v>
      </c>
      <c r="F363" s="0" t="n">
        <v>9</v>
      </c>
      <c r="G363" s="0" t="s">
        <v>1038</v>
      </c>
      <c r="H363" s="0" t="s">
        <v>1038</v>
      </c>
      <c r="I363" s="0" t="s">
        <v>1031</v>
      </c>
      <c r="J363" s="0" t="s">
        <v>1038</v>
      </c>
      <c r="K363" s="0" t="n">
        <v>362</v>
      </c>
      <c r="L363" s="0" t="str">
        <f aca="false">C363</f>
        <v>Eli Heidenreich</v>
      </c>
      <c r="M363" s="121" t="n">
        <f aca="false">IFERROR(VLOOKUP(E363,RISK!A:B,2,FALSE()),"")</f>
        <v>4</v>
      </c>
      <c r="N363" s="120" t="e">
        <f aca="false">VLOOKUP(E363,Q:R,2,FALSE())</f>
        <v>#N/A</v>
      </c>
    </row>
    <row r="364" customFormat="false" ht="14.25" hidden="false" customHeight="true" outlineLevel="0" collapsed="false">
      <c r="A364" s="0" t="n">
        <v>363</v>
      </c>
      <c r="B364" s="0" t="n">
        <v>11</v>
      </c>
      <c r="C364" s="0" t="s">
        <v>559</v>
      </c>
      <c r="D364" s="0" t="s">
        <v>520</v>
      </c>
      <c r="E364" s="0" t="s">
        <v>288</v>
      </c>
      <c r="F364" s="0" t="n">
        <v>11</v>
      </c>
      <c r="G364" s="0" t="s">
        <v>1038</v>
      </c>
      <c r="H364" s="0" t="s">
        <v>1038</v>
      </c>
      <c r="I364" s="0" t="s">
        <v>1035</v>
      </c>
      <c r="J364" s="0" t="s">
        <v>1038</v>
      </c>
      <c r="K364" s="0" t="n">
        <v>363</v>
      </c>
      <c r="L364" s="0" t="str">
        <f aca="false">C364</f>
        <v>Ty Simpson</v>
      </c>
      <c r="M364" s="121" t="n">
        <f aca="false">IFERROR(VLOOKUP(E364,RISK!A:B,2,FALSE()),"")</f>
        <v>3.2</v>
      </c>
      <c r="N364" s="120" t="n">
        <f aca="false">VLOOKUP(E364,Q:R,2,FALSE())</f>
        <v>10.0983529411765</v>
      </c>
    </row>
    <row r="365" customFormat="false" ht="14.25" hidden="false" customHeight="true" outlineLevel="0" collapsed="false">
      <c r="A365" s="0" t="n">
        <v>364</v>
      </c>
      <c r="B365" s="0" t="n">
        <v>11</v>
      </c>
      <c r="C365" s="0" t="s">
        <v>845</v>
      </c>
      <c r="D365" s="0" t="s">
        <v>514</v>
      </c>
      <c r="E365" s="0" t="s">
        <v>1162</v>
      </c>
      <c r="F365" s="0" t="n">
        <v>10</v>
      </c>
      <c r="G365" s="0" t="s">
        <v>1038</v>
      </c>
      <c r="H365" s="0" t="s">
        <v>1038</v>
      </c>
      <c r="I365" s="0" t="s">
        <v>1035</v>
      </c>
      <c r="J365" s="0" t="s">
        <v>1038</v>
      </c>
      <c r="K365" s="0" t="n">
        <v>364</v>
      </c>
      <c r="L365" s="0" t="str">
        <f aca="false">C365</f>
        <v>Kalif Raymond</v>
      </c>
      <c r="M365" s="121" t="n">
        <f aca="false">IFERROR(VLOOKUP(E365,RISK!A:B,2,FALSE()),"")</f>
        <v>3.84810126582278</v>
      </c>
      <c r="N365" s="120" t="e">
        <f aca="false">VLOOKUP(E365,Q:R,2,FALSE())</f>
        <v>#N/A</v>
      </c>
    </row>
    <row r="366" customFormat="false" ht="14.25" hidden="false" customHeight="true" outlineLevel="0" collapsed="false">
      <c r="A366" s="0" t="n">
        <v>365</v>
      </c>
      <c r="B366" s="0" t="n">
        <v>11</v>
      </c>
      <c r="C366" s="0" t="s">
        <v>1163</v>
      </c>
      <c r="D366" s="0" t="s">
        <v>490</v>
      </c>
      <c r="E366" s="0" t="s">
        <v>1164</v>
      </c>
      <c r="F366" s="0" t="n">
        <v>7</v>
      </c>
      <c r="G366" s="0" t="s">
        <v>1038</v>
      </c>
      <c r="H366" s="0" t="s">
        <v>1038</v>
      </c>
      <c r="I366" s="0" t="s">
        <v>1031</v>
      </c>
      <c r="J366" s="0" t="n">
        <v>-120</v>
      </c>
      <c r="K366" s="0" t="n">
        <v>365</v>
      </c>
      <c r="L366" s="0" t="str">
        <f aca="false">C366</f>
        <v>Tyler Bass</v>
      </c>
      <c r="M366" s="121" t="str">
        <f aca="false">IFERROR(VLOOKUP(E366,RISK!A:B,2,FALSE()),"")</f>
        <v/>
      </c>
      <c r="N366" s="120" t="e">
        <f aca="false">VLOOKUP(E366,Q:R,2,FALSE())</f>
        <v>#N/A</v>
      </c>
    </row>
    <row r="367" customFormat="false" ht="14.25" hidden="false" customHeight="true" outlineLevel="0" collapsed="false">
      <c r="A367" s="0" t="n">
        <v>366</v>
      </c>
      <c r="B367" s="0" t="n">
        <v>11</v>
      </c>
      <c r="C367" s="0" t="s">
        <v>1165</v>
      </c>
      <c r="D367" s="0" t="s">
        <v>526</v>
      </c>
      <c r="E367" s="0" t="s">
        <v>1166</v>
      </c>
      <c r="F367" s="0" t="n">
        <v>8</v>
      </c>
      <c r="G367" s="0" t="s">
        <v>1038</v>
      </c>
      <c r="H367" s="0" t="s">
        <v>1038</v>
      </c>
      <c r="I367" s="0" t="s">
        <v>1035</v>
      </c>
      <c r="J367" s="0" t="s">
        <v>1038</v>
      </c>
      <c r="K367" s="0" t="n">
        <v>366</v>
      </c>
      <c r="L367" s="0" t="str">
        <f aca="false">C367</f>
        <v>Cedric Tillman</v>
      </c>
      <c r="M367" s="121" t="n">
        <f aca="false">IFERROR(VLOOKUP(E367,RISK!A:B,2,FALSE()),"")</f>
        <v>3.84810126582278</v>
      </c>
      <c r="N367" s="120" t="e">
        <f aca="false">VLOOKUP(E367,Q:R,2,FALSE())</f>
        <v>#N/A</v>
      </c>
    </row>
    <row r="368" customFormat="false" ht="14.25" hidden="false" customHeight="true" outlineLevel="0" collapsed="false">
      <c r="A368" s="0" t="n">
        <v>367</v>
      </c>
      <c r="B368" s="0" t="n">
        <v>11</v>
      </c>
      <c r="C368" s="0" t="s">
        <v>828</v>
      </c>
      <c r="D368" s="0" t="s">
        <v>510</v>
      </c>
      <c r="E368" s="0" t="s">
        <v>1167</v>
      </c>
      <c r="F368" s="0" t="n">
        <v>14</v>
      </c>
      <c r="G368" s="0" t="s">
        <v>1038</v>
      </c>
      <c r="H368" s="0" t="s">
        <v>1038</v>
      </c>
      <c r="I368" s="0" t="s">
        <v>1031</v>
      </c>
      <c r="J368" s="0" t="s">
        <v>1038</v>
      </c>
      <c r="K368" s="0" t="n">
        <v>367</v>
      </c>
      <c r="L368" s="0" t="str">
        <f aca="false">C368</f>
        <v>KaVontae Turpin</v>
      </c>
      <c r="M368" s="121" t="n">
        <f aca="false">IFERROR(VLOOKUP(E368,RISK!A:B,2,FALSE()),"")</f>
        <v>3.84810126582278</v>
      </c>
      <c r="N368" s="120" t="e">
        <f aca="false">VLOOKUP(E368,Q:R,2,FALSE())</f>
        <v>#N/A</v>
      </c>
    </row>
    <row r="369" customFormat="false" ht="14.25" hidden="false" customHeight="true" outlineLevel="0" collapsed="false">
      <c r="A369" s="0" t="n">
        <v>368</v>
      </c>
      <c r="B369" s="0" t="n">
        <v>11</v>
      </c>
      <c r="C369" s="0" t="s">
        <v>1168</v>
      </c>
      <c r="D369" s="0" t="s">
        <v>504</v>
      </c>
      <c r="E369" s="0" t="s">
        <v>1169</v>
      </c>
      <c r="F369" s="0" t="n">
        <v>8</v>
      </c>
      <c r="G369" s="0" t="s">
        <v>1038</v>
      </c>
      <c r="H369" s="0" t="s">
        <v>1038</v>
      </c>
      <c r="I369" s="0" t="s">
        <v>1034</v>
      </c>
      <c r="J369" s="0" t="n">
        <v>-137</v>
      </c>
      <c r="K369" s="0" t="n">
        <v>368</v>
      </c>
      <c r="L369" s="0" t="str">
        <f aca="false">C369</f>
        <v>New York Giants</v>
      </c>
      <c r="M369" s="121" t="str">
        <f aca="false">IFERROR(VLOOKUP(E369,RISK!A:B,2,FALSE()),"")</f>
        <v/>
      </c>
      <c r="N369" s="120" t="e">
        <f aca="false">VLOOKUP(E369,Q:R,2,FALSE())</f>
        <v>#N/A</v>
      </c>
    </row>
    <row r="370" customFormat="false" ht="14.25" hidden="false" customHeight="true" outlineLevel="0" collapsed="false">
      <c r="A370" s="0" t="n">
        <v>369</v>
      </c>
      <c r="B370" s="0" t="n">
        <v>11</v>
      </c>
      <c r="C370" s="0" t="s">
        <v>1170</v>
      </c>
      <c r="D370" s="0" t="s">
        <v>540</v>
      </c>
      <c r="E370" s="0" t="s">
        <v>1171</v>
      </c>
      <c r="F370" s="0" t="n">
        <v>5</v>
      </c>
      <c r="G370" s="0" t="s">
        <v>1038</v>
      </c>
      <c r="H370" s="0" t="s">
        <v>1038</v>
      </c>
      <c r="I370" s="0" t="s">
        <v>1031</v>
      </c>
      <c r="J370" s="0" t="s">
        <v>1038</v>
      </c>
      <c r="K370" s="0" t="n">
        <v>369</v>
      </c>
      <c r="L370" s="0" t="str">
        <f aca="false">C370</f>
        <v>Chris Brazzell II</v>
      </c>
      <c r="M370" s="121" t="n">
        <f aca="false">IFERROR(VLOOKUP(E370,RISK!A:B,2,FALSE()),"")</f>
        <v>3.84810126582278</v>
      </c>
      <c r="N370" s="120" t="e">
        <f aca="false">VLOOKUP(E370,Q:R,2,FALSE())</f>
        <v>#N/A</v>
      </c>
    </row>
    <row r="371" customFormat="false" ht="14.25" hidden="false" customHeight="true" outlineLevel="0" collapsed="false">
      <c r="A371" s="0" t="n">
        <v>370</v>
      </c>
      <c r="B371" s="0" t="n">
        <v>11</v>
      </c>
      <c r="C371" s="0" t="s">
        <v>692</v>
      </c>
      <c r="D371" s="0" t="s">
        <v>554</v>
      </c>
      <c r="E371" s="0" t="s">
        <v>1172</v>
      </c>
      <c r="F371" s="0" t="n">
        <v>11</v>
      </c>
      <c r="G371" s="0" t="s">
        <v>1038</v>
      </c>
      <c r="H371" s="0" t="s">
        <v>1038</v>
      </c>
      <c r="I371" s="0" t="s">
        <v>1035</v>
      </c>
      <c r="J371" s="0" t="s">
        <v>1038</v>
      </c>
      <c r="K371" s="0" t="n">
        <v>370</v>
      </c>
      <c r="L371" s="0" t="str">
        <f aca="false">C371</f>
        <v>Raheim Sanders</v>
      </c>
      <c r="M371" s="121" t="n">
        <f aca="false">IFERROR(VLOOKUP(E371,RISK!A:B,2,FALSE()),"")</f>
        <v>4</v>
      </c>
      <c r="N371" s="120" t="e">
        <f aca="false">VLOOKUP(E371,Q:R,2,FALSE())</f>
        <v>#N/A</v>
      </c>
    </row>
    <row r="372" customFormat="false" ht="14.25" hidden="false" customHeight="true" outlineLevel="0" collapsed="false">
      <c r="A372" s="0" t="n">
        <v>371</v>
      </c>
      <c r="B372" s="0" t="n">
        <v>11</v>
      </c>
      <c r="C372" s="0" t="s">
        <v>1173</v>
      </c>
      <c r="D372" s="0" t="s">
        <v>540</v>
      </c>
      <c r="E372" s="0" t="s">
        <v>1174</v>
      </c>
      <c r="F372" s="0" t="n">
        <v>5</v>
      </c>
      <c r="G372" s="0" t="s">
        <v>1038</v>
      </c>
      <c r="H372" s="0" t="s">
        <v>1038</v>
      </c>
      <c r="I372" s="0" t="s">
        <v>1035</v>
      </c>
      <c r="J372" s="0" t="s">
        <v>1038</v>
      </c>
      <c r="K372" s="0" t="n">
        <v>371</v>
      </c>
      <c r="L372" s="0" t="str">
        <f aca="false">C372</f>
        <v>Carolina Panthers</v>
      </c>
      <c r="M372" s="121" t="str">
        <f aca="false">IFERROR(VLOOKUP(E372,RISK!A:B,2,FALSE()),"")</f>
        <v/>
      </c>
      <c r="N372" s="120" t="e">
        <f aca="false">VLOOKUP(E372,Q:R,2,FALSE())</f>
        <v>#N/A</v>
      </c>
    </row>
    <row r="373" customFormat="false" ht="14.25" hidden="false" customHeight="true" outlineLevel="0" collapsed="false">
      <c r="A373" s="0" t="n">
        <v>372</v>
      </c>
      <c r="B373" s="0" t="n">
        <v>11</v>
      </c>
      <c r="C373" s="0" t="s">
        <v>834</v>
      </c>
      <c r="D373" s="0" t="s">
        <v>508</v>
      </c>
      <c r="E373" s="0" t="s">
        <v>1175</v>
      </c>
      <c r="F373" s="0" t="n">
        <v>8</v>
      </c>
      <c r="G373" s="0" t="s">
        <v>1038</v>
      </c>
      <c r="H373" s="0" t="s">
        <v>1038</v>
      </c>
      <c r="I373" s="0" t="s">
        <v>1031</v>
      </c>
      <c r="J373" s="0" t="s">
        <v>1038</v>
      </c>
      <c r="K373" s="0" t="n">
        <v>372</v>
      </c>
      <c r="L373" s="0" t="str">
        <f aca="false">C373</f>
        <v>Demarcus Robinson</v>
      </c>
      <c r="M373" s="121" t="n">
        <f aca="false">IFERROR(VLOOKUP(E373,RISK!A:B,2,FALSE()),"")</f>
        <v>3.84810126582278</v>
      </c>
      <c r="N373" s="120" t="e">
        <f aca="false">VLOOKUP(E373,Q:R,2,FALSE())</f>
        <v>#N/A</v>
      </c>
    </row>
    <row r="374" customFormat="false" ht="14.25" hidden="false" customHeight="true" outlineLevel="0" collapsed="false">
      <c r="A374" s="0" t="n">
        <v>373</v>
      </c>
      <c r="B374" s="0" t="n">
        <v>11</v>
      </c>
      <c r="C374" s="0" t="s">
        <v>1176</v>
      </c>
      <c r="D374" s="0" t="s">
        <v>544</v>
      </c>
      <c r="E374" s="0" t="s">
        <v>1177</v>
      </c>
      <c r="F374" s="0" t="n">
        <v>9</v>
      </c>
      <c r="G374" s="0" t="s">
        <v>1038</v>
      </c>
      <c r="H374" s="0" t="s">
        <v>1038</v>
      </c>
      <c r="I374" s="0" t="s">
        <v>1035</v>
      </c>
      <c r="J374" s="0" t="s">
        <v>1038</v>
      </c>
      <c r="K374" s="0" t="n">
        <v>373</v>
      </c>
      <c r="L374" s="0" t="str">
        <f aca="false">C374</f>
        <v>Michael Carter</v>
      </c>
      <c r="M374" s="121" t="n">
        <f aca="false">IFERROR(VLOOKUP(E374,RISK!A:B,2,FALSE()),"")</f>
        <v>4</v>
      </c>
      <c r="N374" s="120" t="e">
        <f aca="false">VLOOKUP(E374,Q:R,2,FALSE())</f>
        <v>#N/A</v>
      </c>
    </row>
    <row r="375" customFormat="false" ht="14.25" hidden="false" customHeight="true" outlineLevel="0" collapsed="false">
      <c r="A375" s="0" t="n">
        <v>374</v>
      </c>
      <c r="B375" s="0" t="n">
        <v>11</v>
      </c>
      <c r="C375" s="0" t="s">
        <v>852</v>
      </c>
      <c r="D375" s="0" t="s">
        <v>502</v>
      </c>
      <c r="E375" s="0" t="s">
        <v>1178</v>
      </c>
      <c r="F375" s="0" t="n">
        <v>6</v>
      </c>
      <c r="G375" s="0" t="s">
        <v>1038</v>
      </c>
      <c r="H375" s="0" t="s">
        <v>1038</v>
      </c>
      <c r="I375" s="0" t="s">
        <v>1032</v>
      </c>
      <c r="J375" s="0" t="s">
        <v>1038</v>
      </c>
      <c r="K375" s="0" t="n">
        <v>374</v>
      </c>
      <c r="L375" s="0" t="str">
        <f aca="false">C375</f>
        <v>Colbie Young</v>
      </c>
      <c r="M375" s="121" t="n">
        <f aca="false">IFERROR(VLOOKUP(E375,RISK!A:B,2,FALSE()),"")</f>
        <v>3.84810126582278</v>
      </c>
      <c r="N375" s="120" t="e">
        <f aca="false">VLOOKUP(E375,Q:R,2,FALSE())</f>
        <v>#N/A</v>
      </c>
    </row>
    <row r="376" customFormat="false" ht="14.25" hidden="false" customHeight="true" outlineLevel="0" collapsed="false">
      <c r="A376" s="0" t="n">
        <v>375</v>
      </c>
      <c r="B376" s="0" t="n">
        <v>11</v>
      </c>
      <c r="C376" s="0" t="s">
        <v>562</v>
      </c>
      <c r="D376" s="0" t="s">
        <v>532</v>
      </c>
      <c r="E376" s="0" t="s">
        <v>292</v>
      </c>
      <c r="F376" s="0" t="n">
        <v>13</v>
      </c>
      <c r="G376" s="0" t="s">
        <v>1038</v>
      </c>
      <c r="H376" s="0" t="s">
        <v>1038</v>
      </c>
      <c r="I376" s="0" t="s">
        <v>1032</v>
      </c>
      <c r="J376" s="0" t="s">
        <v>1038</v>
      </c>
      <c r="K376" s="0" t="n">
        <v>375</v>
      </c>
      <c r="L376" s="0" t="str">
        <f aca="false">C376</f>
        <v>Anthony Richardson Sr.</v>
      </c>
      <c r="M376" s="121" t="n">
        <f aca="false">IFERROR(VLOOKUP(E376,RISK!A:B,2,FALSE()),"")</f>
        <v>3.2</v>
      </c>
      <c r="N376" s="120" t="n">
        <f aca="false">VLOOKUP(E376,Q:R,2,FALSE())</f>
        <v>9.88729411764706</v>
      </c>
    </row>
    <row r="377" customFormat="false" ht="14.25" hidden="false" customHeight="true" outlineLevel="0" collapsed="false">
      <c r="A377" s="0" t="n">
        <v>376</v>
      </c>
      <c r="B377" s="0" t="n">
        <v>11</v>
      </c>
      <c r="C377" s="0" t="s">
        <v>829</v>
      </c>
      <c r="D377" s="0" t="s">
        <v>534</v>
      </c>
      <c r="E377" s="0" t="s">
        <v>1179</v>
      </c>
      <c r="F377" s="0" t="n">
        <v>6</v>
      </c>
      <c r="G377" s="0" t="s">
        <v>1038</v>
      </c>
      <c r="H377" s="0" t="s">
        <v>1038</v>
      </c>
      <c r="I377" s="0" t="s">
        <v>1035</v>
      </c>
      <c r="J377" s="0" t="s">
        <v>1038</v>
      </c>
      <c r="K377" s="0" t="n">
        <v>376</v>
      </c>
      <c r="L377" s="0" t="str">
        <f aca="false">C377</f>
        <v>Kevin Coleman Jr.</v>
      </c>
      <c r="M377" s="121" t="n">
        <f aca="false">IFERROR(VLOOKUP(E377,RISK!A:B,2,FALSE()),"")</f>
        <v>3.84810126582278</v>
      </c>
      <c r="N377" s="120" t="e">
        <f aca="false">VLOOKUP(E377,Q:R,2,FALSE())</f>
        <v>#N/A</v>
      </c>
    </row>
    <row r="378" customFormat="false" ht="14.25" hidden="false" customHeight="true" outlineLevel="0" collapsed="false">
      <c r="A378" s="0" t="n">
        <v>377</v>
      </c>
      <c r="B378" s="0" t="n">
        <v>11</v>
      </c>
      <c r="C378" s="0" t="s">
        <v>1180</v>
      </c>
      <c r="D378" s="0" t="s">
        <v>530</v>
      </c>
      <c r="E378" s="0" t="s">
        <v>1181</v>
      </c>
      <c r="F378" s="0" t="n">
        <v>11</v>
      </c>
      <c r="G378" s="0" t="s">
        <v>1038</v>
      </c>
      <c r="H378" s="0" t="s">
        <v>1038</v>
      </c>
      <c r="I378" s="0" t="s">
        <v>1032</v>
      </c>
      <c r="J378" s="0" t="n">
        <v>-173</v>
      </c>
      <c r="K378" s="0" t="n">
        <v>377</v>
      </c>
      <c r="L378" s="0" t="str">
        <f aca="false">C378</f>
        <v>Trey Smack</v>
      </c>
      <c r="M378" s="121" t="str">
        <f aca="false">IFERROR(VLOOKUP(E378,RISK!A:B,2,FALSE()),"")</f>
        <v/>
      </c>
      <c r="N378" s="120" t="e">
        <f aca="false">VLOOKUP(E378,Q:R,2,FALSE())</f>
        <v>#N/A</v>
      </c>
    </row>
    <row r="379" customFormat="false" ht="14.25" hidden="false" customHeight="true" outlineLevel="0" collapsed="false">
      <c r="A379" s="0" t="n">
        <v>378</v>
      </c>
      <c r="B379" s="0" t="n">
        <v>11</v>
      </c>
      <c r="C379" s="0" t="s">
        <v>846</v>
      </c>
      <c r="D379" s="0" t="s">
        <v>530</v>
      </c>
      <c r="E379" s="0" t="s">
        <v>1182</v>
      </c>
      <c r="F379" s="0" t="n">
        <v>11</v>
      </c>
      <c r="G379" s="0" t="s">
        <v>1038</v>
      </c>
      <c r="H379" s="0" t="s">
        <v>1038</v>
      </c>
      <c r="I379" s="0" t="s">
        <v>1030</v>
      </c>
      <c r="J379" s="0" t="s">
        <v>1038</v>
      </c>
      <c r="K379" s="0" t="n">
        <v>378</v>
      </c>
      <c r="L379" s="0" t="str">
        <f aca="false">C379</f>
        <v>Savion Williams</v>
      </c>
      <c r="M379" s="121" t="n">
        <f aca="false">IFERROR(VLOOKUP(E379,RISK!A:B,2,FALSE()),"")</f>
        <v>3.84810126582278</v>
      </c>
      <c r="N379" s="120" t="e">
        <f aca="false">VLOOKUP(E379,Q:R,2,FALSE())</f>
        <v>#N/A</v>
      </c>
    </row>
    <row r="380" customFormat="false" ht="14.25" hidden="false" customHeight="true" outlineLevel="0" collapsed="false">
      <c r="A380" s="0" t="n">
        <v>379</v>
      </c>
      <c r="B380" s="0" t="n">
        <v>11</v>
      </c>
      <c r="C380" s="0" t="s">
        <v>1183</v>
      </c>
      <c r="D380" s="0" t="s">
        <v>528</v>
      </c>
      <c r="E380" s="0" t="s">
        <v>1184</v>
      </c>
      <c r="F380" s="0" t="n">
        <v>10</v>
      </c>
      <c r="G380" s="0" t="s">
        <v>1038</v>
      </c>
      <c r="H380" s="0" t="s">
        <v>1038</v>
      </c>
      <c r="I380" s="0" t="s">
        <v>1032</v>
      </c>
      <c r="J380" s="0" t="s">
        <v>1038</v>
      </c>
      <c r="K380" s="0" t="n">
        <v>379</v>
      </c>
      <c r="L380" s="0" t="str">
        <f aca="false">C380</f>
        <v>Tampa Bay Buccaneers</v>
      </c>
      <c r="M380" s="121" t="str">
        <f aca="false">IFERROR(VLOOKUP(E380,RISK!A:B,2,FALSE()),"")</f>
        <v/>
      </c>
      <c r="N380" s="120" t="e">
        <f aca="false">VLOOKUP(E380,Q:R,2,FALSE())</f>
        <v>#N/A</v>
      </c>
    </row>
    <row r="381" customFormat="false" ht="14.25" hidden="false" customHeight="true" outlineLevel="0" collapsed="false">
      <c r="A381" s="0" t="n">
        <v>380</v>
      </c>
      <c r="B381" s="0" t="n">
        <v>11</v>
      </c>
      <c r="C381" s="0" t="s">
        <v>895</v>
      </c>
      <c r="D381" s="0" t="s">
        <v>550</v>
      </c>
      <c r="E381" s="0" t="s">
        <v>1185</v>
      </c>
      <c r="F381" s="0" t="n">
        <v>13</v>
      </c>
      <c r="G381" s="0" t="s">
        <v>1038</v>
      </c>
      <c r="H381" s="0" t="s">
        <v>1038</v>
      </c>
      <c r="I381" s="0" t="s">
        <v>1031</v>
      </c>
      <c r="J381" s="0" t="s">
        <v>1038</v>
      </c>
      <c r="K381" s="0" t="n">
        <v>380</v>
      </c>
      <c r="L381" s="0" t="str">
        <f aca="false">C381</f>
        <v>Dont'e Thornton Jr.</v>
      </c>
      <c r="M381" s="121" t="n">
        <f aca="false">IFERROR(VLOOKUP(E381,RISK!A:B,2,FALSE()),"")</f>
        <v>3.84810126582278</v>
      </c>
      <c r="N381" s="120" t="e">
        <f aca="false">VLOOKUP(E381,Q:R,2,FALSE())</f>
        <v>#N/A</v>
      </c>
    </row>
    <row r="382" customFormat="false" ht="14.25" hidden="false" customHeight="true" outlineLevel="0" collapsed="false">
      <c r="A382" s="0" t="n">
        <v>381</v>
      </c>
      <c r="B382" s="0" t="n">
        <v>11</v>
      </c>
      <c r="C382" s="0" t="s">
        <v>697</v>
      </c>
      <c r="D382" s="0" t="s">
        <v>494</v>
      </c>
      <c r="E382" s="0" t="s">
        <v>1186</v>
      </c>
      <c r="F382" s="0" t="n">
        <v>13</v>
      </c>
      <c r="G382" s="0" t="s">
        <v>1038</v>
      </c>
      <c r="H382" s="0" t="s">
        <v>1038</v>
      </c>
      <c r="I382" s="0" t="s">
        <v>1035</v>
      </c>
      <c r="J382" s="0" t="s">
        <v>1038</v>
      </c>
      <c r="K382" s="0" t="n">
        <v>381</v>
      </c>
      <c r="L382" s="0" t="str">
        <f aca="false">C382</f>
        <v>Rasheen Ali</v>
      </c>
      <c r="M382" s="121" t="n">
        <f aca="false">IFERROR(VLOOKUP(E382,RISK!A:B,2,FALSE()),"")</f>
        <v>4</v>
      </c>
      <c r="N382" s="120" t="e">
        <f aca="false">VLOOKUP(E382,Q:R,2,FALSE())</f>
        <v>#N/A</v>
      </c>
    </row>
    <row r="383" customFormat="false" ht="14.25" hidden="false" customHeight="true" outlineLevel="0" collapsed="false">
      <c r="A383" s="0" t="n">
        <v>382</v>
      </c>
      <c r="B383" s="0" t="n">
        <v>11</v>
      </c>
      <c r="C383" s="0" t="s">
        <v>941</v>
      </c>
      <c r="D383" s="0" t="s">
        <v>526</v>
      </c>
      <c r="E383" s="0" t="s">
        <v>335</v>
      </c>
      <c r="F383" s="0" t="n">
        <v>8</v>
      </c>
      <c r="G383" s="0" t="s">
        <v>1038</v>
      </c>
      <c r="H383" s="0" t="s">
        <v>1038</v>
      </c>
      <c r="I383" s="0" t="s">
        <v>1031</v>
      </c>
      <c r="J383" s="0" t="s">
        <v>1038</v>
      </c>
      <c r="K383" s="0" t="n">
        <v>382</v>
      </c>
      <c r="L383" s="0" t="str">
        <f aca="false">C383</f>
        <v>Noah Fant</v>
      </c>
      <c r="M383" s="121" t="n">
        <f aca="false">IFERROR(VLOOKUP(E383,RISK!A:B,2,FALSE()),"")</f>
        <v>2.2011</v>
      </c>
      <c r="N383" s="120" t="e">
        <f aca="false">VLOOKUP(E383,Q:R,2,FALSE())</f>
        <v>#N/A</v>
      </c>
    </row>
    <row r="384" customFormat="false" ht="14.25" hidden="false" customHeight="true" outlineLevel="0" collapsed="false">
      <c r="A384" s="0" t="n">
        <v>383</v>
      </c>
      <c r="B384" s="0" t="n">
        <v>11</v>
      </c>
      <c r="C384" s="0" t="s">
        <v>850</v>
      </c>
      <c r="D384" s="0" t="s">
        <v>520</v>
      </c>
      <c r="E384" s="0" t="s">
        <v>1187</v>
      </c>
      <c r="F384" s="0" t="n">
        <v>11</v>
      </c>
      <c r="G384" s="0" t="s">
        <v>1038</v>
      </c>
      <c r="H384" s="0" t="s">
        <v>1038</v>
      </c>
      <c r="I384" s="0" t="s">
        <v>1034</v>
      </c>
      <c r="J384" s="0" t="s">
        <v>1038</v>
      </c>
      <c r="K384" s="0" t="n">
        <v>383</v>
      </c>
      <c r="L384" s="0" t="str">
        <f aca="false">C384</f>
        <v>Tutu Atwell</v>
      </c>
      <c r="M384" s="121" t="n">
        <f aca="false">IFERROR(VLOOKUP(E384,RISK!A:B,2,FALSE()),"")</f>
        <v>3.84810126582278</v>
      </c>
      <c r="N384" s="120" t="e">
        <f aca="false">VLOOKUP(E384,Q:R,2,FALSE())</f>
        <v>#N/A</v>
      </c>
    </row>
    <row r="385" customFormat="false" ht="14.25" hidden="false" customHeight="true" outlineLevel="0" collapsed="false">
      <c r="A385" s="0" t="n">
        <v>384</v>
      </c>
      <c r="B385" s="0" t="n">
        <v>11</v>
      </c>
      <c r="C385" s="0" t="s">
        <v>712</v>
      </c>
      <c r="D385" s="0" t="s">
        <v>524</v>
      </c>
      <c r="E385" s="0" t="s">
        <v>1188</v>
      </c>
      <c r="F385" s="0" t="n">
        <v>6</v>
      </c>
      <c r="G385" s="0" t="s">
        <v>1038</v>
      </c>
      <c r="H385" s="0" t="s">
        <v>1038</v>
      </c>
      <c r="I385" s="0" t="s">
        <v>1030</v>
      </c>
      <c r="J385" s="0" t="s">
        <v>1038</v>
      </c>
      <c r="K385" s="0" t="n">
        <v>384</v>
      </c>
      <c r="L385" s="0" t="str">
        <f aca="false">C385</f>
        <v>Sione Vaki</v>
      </c>
      <c r="M385" s="121" t="n">
        <f aca="false">IFERROR(VLOOKUP(E385,RISK!A:B,2,FALSE()),"")</f>
        <v>4</v>
      </c>
      <c r="N385" s="120" t="e">
        <f aca="false">VLOOKUP(E385,Q:R,2,FALSE())</f>
        <v>#N/A</v>
      </c>
    </row>
    <row r="386" customFormat="false" ht="14.25" hidden="false" customHeight="true" outlineLevel="0" collapsed="false">
      <c r="A386" s="0" t="n">
        <v>385</v>
      </c>
      <c r="B386" s="0" t="n">
        <v>11</v>
      </c>
      <c r="C386" s="0" t="s">
        <v>858</v>
      </c>
      <c r="D386" s="0" t="s">
        <v>504</v>
      </c>
      <c r="E386" s="0" t="s">
        <v>1189</v>
      </c>
      <c r="F386" s="0" t="n">
        <v>8</v>
      </c>
      <c r="G386" s="0" t="s">
        <v>1038</v>
      </c>
      <c r="H386" s="0" t="s">
        <v>1038</v>
      </c>
      <c r="I386" s="0" t="s">
        <v>1032</v>
      </c>
      <c r="J386" s="0" t="n">
        <v>-113</v>
      </c>
      <c r="K386" s="0" t="n">
        <v>385</v>
      </c>
      <c r="L386" s="0" t="str">
        <f aca="false">C386</f>
        <v>Odell Beckham Jr.</v>
      </c>
      <c r="M386" s="121" t="n">
        <f aca="false">IFERROR(VLOOKUP(E386,RISK!A:B,2,FALSE()),"")</f>
        <v>3.84810126582278</v>
      </c>
      <c r="N386" s="120" t="e">
        <f aca="false">VLOOKUP(E386,Q:R,2,FALSE())</f>
        <v>#N/A</v>
      </c>
    </row>
    <row r="387" customFormat="false" ht="14.25" hidden="false" customHeight="true" outlineLevel="0" collapsed="false">
      <c r="A387" s="0" t="n">
        <v>386</v>
      </c>
      <c r="B387" s="0" t="n">
        <v>11</v>
      </c>
      <c r="C387" s="0" t="s">
        <v>951</v>
      </c>
      <c r="D387" s="0" t="s">
        <v>540</v>
      </c>
      <c r="E387" s="0" t="s">
        <v>338</v>
      </c>
      <c r="F387" s="0" t="n">
        <v>5</v>
      </c>
      <c r="G387" s="0" t="s">
        <v>1038</v>
      </c>
      <c r="H387" s="0" t="s">
        <v>1038</v>
      </c>
      <c r="I387" s="0" t="s">
        <v>1031</v>
      </c>
      <c r="J387" s="0" t="s">
        <v>1038</v>
      </c>
      <c r="K387" s="0" t="n">
        <v>386</v>
      </c>
      <c r="L387" s="0" t="str">
        <f aca="false">C387</f>
        <v>Tommy Tremble</v>
      </c>
      <c r="M387" s="121" t="n">
        <f aca="false">IFERROR(VLOOKUP(E387,RISK!A:B,2,FALSE()),"")</f>
        <v>2.2011</v>
      </c>
      <c r="N387" s="120" t="e">
        <f aca="false">VLOOKUP(E387,Q:R,2,FALSE())</f>
        <v>#N/A</v>
      </c>
    </row>
    <row r="388" customFormat="false" ht="14.25" hidden="false" customHeight="true" outlineLevel="0" collapsed="false">
      <c r="A388" s="0" t="n">
        <v>387</v>
      </c>
      <c r="B388" s="0" t="n">
        <v>11</v>
      </c>
      <c r="C388" s="0" t="s">
        <v>967</v>
      </c>
      <c r="D388" s="0" t="s">
        <v>496</v>
      </c>
      <c r="E388" s="0" t="s">
        <v>341</v>
      </c>
      <c r="F388" s="0" t="n">
        <v>7</v>
      </c>
      <c r="G388" s="0" t="s">
        <v>1038</v>
      </c>
      <c r="H388" s="0" t="s">
        <v>1038</v>
      </c>
      <c r="I388" s="0" t="s">
        <v>1034</v>
      </c>
      <c r="J388" s="0" t="s">
        <v>1038</v>
      </c>
      <c r="K388" s="0" t="n">
        <v>387</v>
      </c>
      <c r="L388" s="0" t="str">
        <f aca="false">C388</f>
        <v>Ben Sinnott</v>
      </c>
      <c r="M388" s="121" t="n">
        <f aca="false">IFERROR(VLOOKUP(E388,RISK!A:B,2,FALSE()),"")</f>
        <v>2.2011</v>
      </c>
      <c r="N388" s="120" t="e">
        <f aca="false">VLOOKUP(E388,Q:R,2,FALSE())</f>
        <v>#N/A</v>
      </c>
    </row>
    <row r="389" customFormat="false" ht="14.25" hidden="false" customHeight="true" outlineLevel="0" collapsed="false">
      <c r="A389" s="0" t="n">
        <v>388</v>
      </c>
      <c r="B389" s="0" t="n">
        <v>11</v>
      </c>
      <c r="C389" s="0" t="s">
        <v>577</v>
      </c>
      <c r="D389" s="0" t="s">
        <v>502</v>
      </c>
      <c r="E389" s="0" t="s">
        <v>296</v>
      </c>
      <c r="F389" s="0" t="n">
        <v>6</v>
      </c>
      <c r="G389" s="0" t="s">
        <v>1038</v>
      </c>
      <c r="H389" s="0" t="s">
        <v>1038</v>
      </c>
      <c r="I389" s="0" t="s">
        <v>1035</v>
      </c>
      <c r="J389" s="0" t="s">
        <v>1038</v>
      </c>
      <c r="K389" s="0" t="n">
        <v>388</v>
      </c>
      <c r="L389" s="0" t="str">
        <f aca="false">C389</f>
        <v>Joe Flacco</v>
      </c>
      <c r="M389" s="121" t="n">
        <f aca="false">IFERROR(VLOOKUP(E389,RISK!A:B,2,FALSE()),"")</f>
        <v>3.2</v>
      </c>
      <c r="N389" s="120" t="n">
        <f aca="false">VLOOKUP(E389,Q:R,2,FALSE())</f>
        <v>9.38562352941177</v>
      </c>
    </row>
    <row r="390" customFormat="false" ht="14.25" hidden="false" customHeight="true" outlineLevel="0" collapsed="false">
      <c r="A390" s="0" t="n">
        <v>389</v>
      </c>
      <c r="B390" s="0" t="n">
        <v>11</v>
      </c>
      <c r="C390" s="0" t="s">
        <v>1190</v>
      </c>
      <c r="D390" s="0" t="s">
        <v>506</v>
      </c>
      <c r="E390" s="0" t="s">
        <v>1191</v>
      </c>
      <c r="F390" s="0" t="n">
        <v>7</v>
      </c>
      <c r="G390" s="0" t="s">
        <v>1038</v>
      </c>
      <c r="H390" s="0" t="s">
        <v>1038</v>
      </c>
      <c r="I390" s="0" t="s">
        <v>1032</v>
      </c>
      <c r="J390" s="0" t="s">
        <v>1038</v>
      </c>
      <c r="K390" s="0" t="n">
        <v>389</v>
      </c>
      <c r="L390" s="0" t="str">
        <f aca="false">C390</f>
        <v>J'Mari Taylor</v>
      </c>
      <c r="M390" s="121" t="n">
        <f aca="false">IFERROR(VLOOKUP(E390,RISK!A:B,2,FALSE()),"")</f>
        <v>4</v>
      </c>
      <c r="N390" s="120" t="e">
        <f aca="false">VLOOKUP(E390,Q:R,2,FALSE())</f>
        <v>#N/A</v>
      </c>
    </row>
    <row r="391" customFormat="false" ht="14.25" hidden="false" customHeight="true" outlineLevel="0" collapsed="false">
      <c r="A391" s="0" t="n">
        <v>390</v>
      </c>
      <c r="B391" s="0" t="n">
        <v>11</v>
      </c>
      <c r="C391" s="0" t="s">
        <v>856</v>
      </c>
      <c r="D391" s="0" t="s">
        <v>496</v>
      </c>
      <c r="E391" s="0" t="s">
        <v>1192</v>
      </c>
      <c r="F391" s="0" t="n">
        <v>7</v>
      </c>
      <c r="G391" s="0" t="s">
        <v>1038</v>
      </c>
      <c r="H391" s="0" t="s">
        <v>1038</v>
      </c>
      <c r="I391" s="0" t="s">
        <v>1031</v>
      </c>
      <c r="J391" s="0" t="s">
        <v>1038</v>
      </c>
      <c r="K391" s="0" t="n">
        <v>390</v>
      </c>
      <c r="L391" s="0" t="str">
        <f aca="false">C391</f>
        <v>Jaylin Lane</v>
      </c>
      <c r="M391" s="121" t="n">
        <f aca="false">IFERROR(VLOOKUP(E391,RISK!A:B,2,FALSE()),"")</f>
        <v>3.84810126582278</v>
      </c>
      <c r="N391" s="120" t="e">
        <f aca="false">VLOOKUP(E391,Q:R,2,FALSE())</f>
        <v>#N/A</v>
      </c>
    </row>
    <row r="392" customFormat="false" ht="14.25" hidden="false" customHeight="true" outlineLevel="0" collapsed="false">
      <c r="A392" s="0" t="n">
        <v>391</v>
      </c>
      <c r="B392" s="0" t="n">
        <v>11</v>
      </c>
      <c r="C392" s="0" t="s">
        <v>1193</v>
      </c>
      <c r="D392" s="0" t="s">
        <v>520</v>
      </c>
      <c r="E392" s="0" t="s">
        <v>1194</v>
      </c>
      <c r="F392" s="0" t="n">
        <v>11</v>
      </c>
      <c r="G392" s="0" t="s">
        <v>1038</v>
      </c>
      <c r="H392" s="0" t="s">
        <v>1038</v>
      </c>
      <c r="I392" s="0" t="s">
        <v>1034</v>
      </c>
      <c r="J392" s="0" t="s">
        <v>1038</v>
      </c>
      <c r="K392" s="0" t="n">
        <v>391</v>
      </c>
      <c r="L392" s="0" t="str">
        <f aca="false">C392</f>
        <v>CJ Daniels</v>
      </c>
      <c r="M392" s="121" t="n">
        <f aca="false">IFERROR(VLOOKUP(E392,RISK!A:B,2,FALSE()),"")</f>
        <v>3.84810126582278</v>
      </c>
      <c r="N392" s="120" t="e">
        <f aca="false">VLOOKUP(E392,Q:R,2,FALSE())</f>
        <v>#N/A</v>
      </c>
    </row>
    <row r="393" customFormat="false" ht="14.25" hidden="false" customHeight="true" outlineLevel="0" collapsed="false">
      <c r="A393" s="0" t="n">
        <v>392</v>
      </c>
      <c r="B393" s="0" t="n">
        <v>11</v>
      </c>
      <c r="C393" s="0" t="s">
        <v>1195</v>
      </c>
      <c r="D393" s="0" t="s">
        <v>540</v>
      </c>
      <c r="E393" s="0" t="s">
        <v>1196</v>
      </c>
      <c r="F393" s="0" t="n">
        <v>5</v>
      </c>
      <c r="G393" s="0" t="s">
        <v>1038</v>
      </c>
      <c r="H393" s="0" t="s">
        <v>1038</v>
      </c>
      <c r="I393" s="0" t="s">
        <v>1031</v>
      </c>
      <c r="J393" s="0" t="s">
        <v>1038</v>
      </c>
      <c r="K393" s="0" t="n">
        <v>392</v>
      </c>
      <c r="L393" s="0" t="str">
        <f aca="false">C393</f>
        <v>John Metchie III</v>
      </c>
      <c r="M393" s="121" t="n">
        <f aca="false">IFERROR(VLOOKUP(E393,RISK!A:B,2,FALSE()),"")</f>
        <v>3.84810126582278</v>
      </c>
      <c r="N393" s="120" t="e">
        <f aca="false">VLOOKUP(E393,Q:R,2,FALSE())</f>
        <v>#N/A</v>
      </c>
    </row>
    <row r="394" customFormat="false" ht="14.25" hidden="false" customHeight="true" outlineLevel="0" collapsed="false">
      <c r="A394" s="0" t="n">
        <v>393</v>
      </c>
      <c r="B394" s="0" t="n">
        <v>11</v>
      </c>
      <c r="C394" s="0" t="s">
        <v>1197</v>
      </c>
      <c r="D394" s="0" t="s">
        <v>538</v>
      </c>
      <c r="E394" s="0" t="s">
        <v>1198</v>
      </c>
      <c r="F394" s="0" t="n">
        <v>8</v>
      </c>
      <c r="G394" s="0" t="s">
        <v>1038</v>
      </c>
      <c r="H394" s="0" t="s">
        <v>1038</v>
      </c>
      <c r="I394" s="0" t="s">
        <v>1032</v>
      </c>
      <c r="J394" s="0" t="s">
        <v>1038</v>
      </c>
      <c r="K394" s="0" t="n">
        <v>393</v>
      </c>
      <c r="L394" s="0" t="str">
        <f aca="false">C394</f>
        <v>Jawhar Jordan</v>
      </c>
      <c r="M394" s="121" t="n">
        <f aca="false">IFERROR(VLOOKUP(E394,RISK!A:B,2,FALSE()),"")</f>
        <v>4</v>
      </c>
      <c r="N394" s="120" t="e">
        <f aca="false">VLOOKUP(E394,Q:R,2,FALSE())</f>
        <v>#N/A</v>
      </c>
    </row>
    <row r="395" customFormat="false" ht="14.25" hidden="false" customHeight="true" outlineLevel="0" collapsed="false">
      <c r="A395" s="0" t="n">
        <v>394</v>
      </c>
      <c r="B395" s="0" t="n">
        <v>11</v>
      </c>
      <c r="C395" s="0" t="s">
        <v>671</v>
      </c>
      <c r="D395" s="0" t="s">
        <v>508</v>
      </c>
      <c r="E395" s="0" t="s">
        <v>1199</v>
      </c>
      <c r="F395" s="0" t="n">
        <v>8</v>
      </c>
      <c r="G395" s="0" t="s">
        <v>1038</v>
      </c>
      <c r="H395" s="0" t="s">
        <v>1038</v>
      </c>
      <c r="I395" s="0" t="s">
        <v>1031</v>
      </c>
      <c r="J395" s="0" t="s">
        <v>1038</v>
      </c>
      <c r="K395" s="0" t="n">
        <v>394</v>
      </c>
      <c r="L395" s="0" t="str">
        <f aca="false">C395</f>
        <v>Kyle Juszczyk</v>
      </c>
      <c r="M395" s="121" t="n">
        <f aca="false">IFERROR(VLOOKUP(E395,RISK!A:B,2,FALSE()),"")</f>
        <v>4</v>
      </c>
      <c r="N395" s="120" t="e">
        <f aca="false">VLOOKUP(E395,Q:R,2,FALSE())</f>
        <v>#N/A</v>
      </c>
    </row>
    <row r="396" customFormat="false" ht="14.25" hidden="false" customHeight="true" outlineLevel="0" collapsed="false">
      <c r="A396" s="0" t="n">
        <v>395</v>
      </c>
      <c r="B396" s="0" t="n">
        <v>11</v>
      </c>
      <c r="C396" s="0" t="s">
        <v>982</v>
      </c>
      <c r="D396" s="0" t="s">
        <v>540</v>
      </c>
      <c r="E396" s="0" t="s">
        <v>344</v>
      </c>
      <c r="F396" s="0" t="n">
        <v>5</v>
      </c>
      <c r="G396" s="0" t="s">
        <v>1038</v>
      </c>
      <c r="H396" s="0" t="s">
        <v>1038</v>
      </c>
      <c r="I396" s="0" t="s">
        <v>1031</v>
      </c>
      <c r="J396" s="0" t="s">
        <v>1038</v>
      </c>
      <c r="K396" s="0" t="n">
        <v>395</v>
      </c>
      <c r="L396" s="0" t="str">
        <f aca="false">C396</f>
        <v>Mitchell Evans</v>
      </c>
      <c r="M396" s="121" t="n">
        <f aca="false">IFERROR(VLOOKUP(E396,RISK!A:B,2,FALSE()),"")</f>
        <v>2.2011</v>
      </c>
      <c r="N396" s="120" t="e">
        <f aca="false">VLOOKUP(E396,Q:R,2,FALSE())</f>
        <v>#N/A</v>
      </c>
    </row>
    <row r="397" customFormat="false" ht="14.25" hidden="false" customHeight="true" outlineLevel="0" collapsed="false">
      <c r="A397" s="0" t="n">
        <v>396</v>
      </c>
      <c r="B397" s="0" t="n">
        <v>11</v>
      </c>
      <c r="C397" s="0" t="s">
        <v>947</v>
      </c>
      <c r="D397" s="0" t="s">
        <v>544</v>
      </c>
      <c r="E397" s="0" t="s">
        <v>347</v>
      </c>
      <c r="F397" s="0" t="n">
        <v>9</v>
      </c>
      <c r="G397" s="0" t="s">
        <v>1038</v>
      </c>
      <c r="H397" s="0" t="s">
        <v>1038</v>
      </c>
      <c r="I397" s="0" t="s">
        <v>1035</v>
      </c>
      <c r="J397" s="0" t="s">
        <v>1038</v>
      </c>
      <c r="K397" s="0" t="n">
        <v>396</v>
      </c>
      <c r="L397" s="0" t="str">
        <f aca="false">C397</f>
        <v>Daniel Bellinger</v>
      </c>
      <c r="M397" s="121" t="n">
        <f aca="false">IFERROR(VLOOKUP(E397,RISK!A:B,2,FALSE()),"")</f>
        <v>2.2011</v>
      </c>
      <c r="N397" s="120" t="e">
        <f aca="false">VLOOKUP(E397,Q:R,2,FALSE())</f>
        <v>#N/A</v>
      </c>
    </row>
    <row r="398" customFormat="false" ht="14.25" hidden="false" customHeight="true" outlineLevel="0" collapsed="false">
      <c r="A398" s="0" t="n">
        <v>397</v>
      </c>
      <c r="B398" s="0" t="n">
        <v>11</v>
      </c>
      <c r="C398" s="0" t="s">
        <v>944</v>
      </c>
      <c r="D398" s="0" t="s">
        <v>530</v>
      </c>
      <c r="E398" s="0" t="s">
        <v>350</v>
      </c>
      <c r="F398" s="0" t="n">
        <v>11</v>
      </c>
      <c r="G398" s="0" t="s">
        <v>1038</v>
      </c>
      <c r="H398" s="0" t="s">
        <v>1038</v>
      </c>
      <c r="I398" s="0" t="s">
        <v>1031</v>
      </c>
      <c r="J398" s="0" t="s">
        <v>1038</v>
      </c>
      <c r="K398" s="0" t="n">
        <v>397</v>
      </c>
      <c r="L398" s="0" t="str">
        <f aca="false">C398</f>
        <v>Jonnu Smith</v>
      </c>
      <c r="M398" s="121" t="n">
        <f aca="false">IFERROR(VLOOKUP(E398,RISK!A:B,2,FALSE()),"")</f>
        <v>2.2011</v>
      </c>
      <c r="N398" s="120" t="e">
        <f aca="false">VLOOKUP(E398,Q:R,2,FALSE())</f>
        <v>#N/A</v>
      </c>
    </row>
    <row r="399" customFormat="false" ht="14.25" hidden="false" customHeight="true" outlineLevel="0" collapsed="false">
      <c r="A399" s="0" t="n">
        <v>398</v>
      </c>
      <c r="B399" s="0" t="n">
        <v>11</v>
      </c>
      <c r="C399" s="0" t="s">
        <v>560</v>
      </c>
      <c r="D399" s="0" t="s">
        <v>496</v>
      </c>
      <c r="E399" s="0" t="s">
        <v>300</v>
      </c>
      <c r="F399" s="0" t="n">
        <v>7</v>
      </c>
      <c r="G399" s="0" t="s">
        <v>1038</v>
      </c>
      <c r="H399" s="0" t="s">
        <v>1038</v>
      </c>
      <c r="I399" s="0" t="s">
        <v>1031</v>
      </c>
      <c r="J399" s="0" t="s">
        <v>1038</v>
      </c>
      <c r="K399" s="0" t="n">
        <v>398</v>
      </c>
      <c r="L399" s="0" t="str">
        <f aca="false">C399</f>
        <v>Marcus Mariota</v>
      </c>
      <c r="M399" s="121" t="n">
        <f aca="false">IFERROR(VLOOKUP(E399,RISK!A:B,2,FALSE()),"")</f>
        <v>3.2</v>
      </c>
      <c r="N399" s="120" t="n">
        <f aca="false">VLOOKUP(E399,Q:R,2,FALSE())</f>
        <v>8.56249411764706</v>
      </c>
    </row>
    <row r="400" customFormat="false" ht="14.25" hidden="false" customHeight="true" outlineLevel="0" collapsed="false">
      <c r="A400" s="0" t="n">
        <v>399</v>
      </c>
      <c r="B400" s="0" t="n">
        <v>11</v>
      </c>
      <c r="C400" s="0" t="s">
        <v>565</v>
      </c>
      <c r="D400" s="0" t="s">
        <v>504</v>
      </c>
      <c r="E400" s="0" t="s">
        <v>304</v>
      </c>
      <c r="F400" s="0" t="n">
        <v>8</v>
      </c>
      <c r="G400" s="0" t="s">
        <v>1038</v>
      </c>
      <c r="H400" s="0" t="s">
        <v>1038</v>
      </c>
      <c r="I400" s="0" t="s">
        <v>1032</v>
      </c>
      <c r="J400" s="0" t="s">
        <v>1038</v>
      </c>
      <c r="K400" s="0" t="n">
        <v>399</v>
      </c>
      <c r="L400" s="0" t="str">
        <f aca="false">C400</f>
        <v>Jameis Winston</v>
      </c>
      <c r="M400" s="121" t="n">
        <f aca="false">IFERROR(VLOOKUP(E400,RISK!A:B,2,FALSE()),"")</f>
        <v>3.2</v>
      </c>
      <c r="N400" s="120" t="n">
        <f aca="false">VLOOKUP(E400,Q:R,2,FALSE())</f>
        <v>8.54950588235294</v>
      </c>
    </row>
    <row r="401" customFormat="false" ht="14.25" hidden="false" customHeight="true" outlineLevel="0" collapsed="false">
      <c r="A401" s="0" t="n">
        <v>400</v>
      </c>
      <c r="B401" s="0" t="n">
        <v>11</v>
      </c>
      <c r="C401" s="0" t="s">
        <v>998</v>
      </c>
      <c r="D401" s="0" t="s">
        <v>534</v>
      </c>
      <c r="E401" s="0" t="s">
        <v>353</v>
      </c>
      <c r="F401" s="0" t="n">
        <v>6</v>
      </c>
      <c r="G401" s="0" t="s">
        <v>1038</v>
      </c>
      <c r="H401" s="0" t="s">
        <v>1038</v>
      </c>
      <c r="I401" s="0" t="s">
        <v>1030</v>
      </c>
      <c r="J401" s="0" t="s">
        <v>1038</v>
      </c>
      <c r="K401" s="0" t="n">
        <v>400</v>
      </c>
      <c r="L401" s="0" t="str">
        <f aca="false">C401</f>
        <v>Justin Joly</v>
      </c>
      <c r="M401" s="121" t="n">
        <f aca="false">IFERROR(VLOOKUP(E401,RISK!A:B,2,FALSE()),"")</f>
        <v>2.2011</v>
      </c>
      <c r="N401" s="120" t="e">
        <f aca="false">VLOOKUP(E401,Q:R,2,FALSE())</f>
        <v>#N/A</v>
      </c>
    </row>
    <row r="402" customFormat="false" ht="14.25" hidden="false" customHeight="true" outlineLevel="0" collapsed="false">
      <c r="A402" s="0" t="n">
        <v>401</v>
      </c>
      <c r="B402" s="0" t="n">
        <v>11</v>
      </c>
      <c r="C402" s="0" t="s">
        <v>720</v>
      </c>
      <c r="D402" s="0" t="s">
        <v>550</v>
      </c>
      <c r="E402" s="0" t="s">
        <v>1200</v>
      </c>
      <c r="F402" s="0" t="n">
        <v>13</v>
      </c>
      <c r="G402" s="0" t="s">
        <v>1038</v>
      </c>
      <c r="H402" s="0" t="s">
        <v>1038</v>
      </c>
      <c r="I402" s="0" t="s">
        <v>1031</v>
      </c>
      <c r="J402" s="0" t="s">
        <v>1038</v>
      </c>
      <c r="K402" s="0" t="n">
        <v>401</v>
      </c>
      <c r="L402" s="0" t="str">
        <f aca="false">C402</f>
        <v>Dylan Laube</v>
      </c>
      <c r="M402" s="121" t="n">
        <f aca="false">IFERROR(VLOOKUP(E402,RISK!A:B,2,FALSE()),"")</f>
        <v>4</v>
      </c>
      <c r="N402" s="120" t="e">
        <f aca="false">VLOOKUP(E402,Q:R,2,FALSE())</f>
        <v>#N/A</v>
      </c>
    </row>
    <row r="403" customFormat="false" ht="14.25" hidden="false" customHeight="true" outlineLevel="0" collapsed="false">
      <c r="A403" s="0" t="n">
        <v>402</v>
      </c>
      <c r="B403" s="0" t="n">
        <v>11</v>
      </c>
      <c r="C403" s="0" t="s">
        <v>863</v>
      </c>
      <c r="D403" s="0" t="s">
        <v>526</v>
      </c>
      <c r="E403" s="0" t="s">
        <v>1201</v>
      </c>
      <c r="F403" s="0" t="n">
        <v>8</v>
      </c>
      <c r="G403" s="0" t="s">
        <v>1038</v>
      </c>
      <c r="H403" s="0" t="s">
        <v>1038</v>
      </c>
      <c r="I403" s="0" t="s">
        <v>1035</v>
      </c>
      <c r="J403" s="0" t="s">
        <v>1038</v>
      </c>
      <c r="K403" s="0" t="n">
        <v>402</v>
      </c>
      <c r="L403" s="0" t="str">
        <f aca="false">C403</f>
        <v>Barion Brown</v>
      </c>
      <c r="M403" s="121" t="n">
        <f aca="false">IFERROR(VLOOKUP(E403,RISK!A:B,2,FALSE()),"")</f>
        <v>3.84810126582278</v>
      </c>
      <c r="N403" s="120" t="e">
        <f aca="false">VLOOKUP(E403,Q:R,2,FALSE())</f>
        <v>#N/A</v>
      </c>
    </row>
    <row r="404" customFormat="false" ht="14.25" hidden="false" customHeight="true" outlineLevel="0" collapsed="false">
      <c r="A404" s="0" t="n">
        <v>403</v>
      </c>
      <c r="B404" s="0" t="n">
        <v>11</v>
      </c>
      <c r="C404" s="0" t="s">
        <v>586</v>
      </c>
      <c r="D404" s="0" t="s">
        <v>542</v>
      </c>
      <c r="E404" s="0" t="s">
        <v>308</v>
      </c>
      <c r="F404" s="0" t="n">
        <v>13</v>
      </c>
      <c r="G404" s="0" t="s">
        <v>1038</v>
      </c>
      <c r="H404" s="0" t="s">
        <v>1038</v>
      </c>
      <c r="I404" s="0" t="s">
        <v>1032</v>
      </c>
      <c r="J404" s="0" t="s">
        <v>1038</v>
      </c>
      <c r="K404" s="0" t="n">
        <v>403</v>
      </c>
      <c r="L404" s="0" t="str">
        <f aca="false">C404</f>
        <v>Cade Klubnik</v>
      </c>
      <c r="M404" s="121" t="n">
        <f aca="false">IFERROR(VLOOKUP(E404,RISK!A:B,2,FALSE()),"")</f>
        <v>3.2</v>
      </c>
      <c r="N404" s="120" t="n">
        <f aca="false">VLOOKUP(E404,Q:R,2,FALSE())</f>
        <v>8.47157647058824</v>
      </c>
    </row>
    <row r="405" customFormat="false" ht="14.25" hidden="false" customHeight="true" outlineLevel="0" collapsed="false">
      <c r="A405" s="0" t="n">
        <v>404</v>
      </c>
      <c r="B405" s="0" t="n">
        <v>11</v>
      </c>
      <c r="C405" s="0" t="s">
        <v>1202</v>
      </c>
      <c r="D405" s="0" t="s">
        <v>1121</v>
      </c>
      <c r="E405" s="0" t="s">
        <v>1203</v>
      </c>
      <c r="F405" s="0" t="s">
        <v>1038</v>
      </c>
      <c r="G405" s="0" t="s">
        <v>1038</v>
      </c>
      <c r="H405" s="0" t="s">
        <v>1038</v>
      </c>
      <c r="I405" s="0" t="s">
        <v>1038</v>
      </c>
      <c r="J405" s="0" t="n">
        <v>-152</v>
      </c>
      <c r="K405" s="0" t="n">
        <v>404</v>
      </c>
      <c r="L405" s="0" t="str">
        <f aca="false">C405</f>
        <v>Austin Ekeler</v>
      </c>
      <c r="M405" s="121" t="n">
        <f aca="false">IFERROR(VLOOKUP(E405,RISK!A:B,2,FALSE()),"")</f>
        <v>4</v>
      </c>
      <c r="N405" s="120" t="e">
        <f aca="false">VLOOKUP(E405,Q:R,2,FALSE())</f>
        <v>#N/A</v>
      </c>
    </row>
    <row r="406" customFormat="false" ht="14.25" hidden="false" customHeight="true" outlineLevel="0" collapsed="false">
      <c r="A406" s="0" t="n">
        <v>405</v>
      </c>
      <c r="B406" s="0" t="n">
        <v>11</v>
      </c>
      <c r="C406" s="0" t="s">
        <v>949</v>
      </c>
      <c r="D406" s="0" t="s">
        <v>552</v>
      </c>
      <c r="E406" s="0" t="s">
        <v>356</v>
      </c>
      <c r="F406" s="0" t="n">
        <v>11</v>
      </c>
      <c r="G406" s="0" t="s">
        <v>1038</v>
      </c>
      <c r="H406" s="0" t="s">
        <v>1038</v>
      </c>
      <c r="I406" s="0" t="s">
        <v>1035</v>
      </c>
      <c r="J406" s="0" t="s">
        <v>1038</v>
      </c>
      <c r="K406" s="0" t="n">
        <v>405</v>
      </c>
      <c r="L406" s="0" t="str">
        <f aca="false">C406</f>
        <v>Austin Hooper</v>
      </c>
      <c r="M406" s="121" t="n">
        <f aca="false">IFERROR(VLOOKUP(E406,RISK!A:B,2,FALSE()),"")</f>
        <v>2.2011</v>
      </c>
      <c r="N406" s="120" t="e">
        <f aca="false">VLOOKUP(E406,Q:R,2,FALSE())</f>
        <v>#N/A</v>
      </c>
    </row>
    <row r="407" customFormat="false" ht="14.25" hidden="false" customHeight="true" outlineLevel="0" collapsed="false">
      <c r="A407" s="0" t="n">
        <v>406</v>
      </c>
      <c r="B407" s="0" t="n">
        <v>11</v>
      </c>
      <c r="C407" s="0" t="s">
        <v>861</v>
      </c>
      <c r="D407" s="0" t="s">
        <v>520</v>
      </c>
      <c r="E407" s="0" t="s">
        <v>1204</v>
      </c>
      <c r="F407" s="0" t="n">
        <v>11</v>
      </c>
      <c r="G407" s="0" t="s">
        <v>1038</v>
      </c>
      <c r="H407" s="0" t="s">
        <v>1038</v>
      </c>
      <c r="I407" s="0" t="s">
        <v>1034</v>
      </c>
      <c r="J407" s="0" t="s">
        <v>1038</v>
      </c>
      <c r="K407" s="0" t="n">
        <v>406</v>
      </c>
      <c r="L407" s="0" t="str">
        <f aca="false">C407</f>
        <v>Jordan Whittington</v>
      </c>
      <c r="M407" s="121" t="n">
        <f aca="false">IFERROR(VLOOKUP(E407,RISK!A:B,2,FALSE()),"")</f>
        <v>3.84810126582278</v>
      </c>
      <c r="N407" s="120" t="e">
        <f aca="false">VLOOKUP(E407,Q:R,2,FALSE())</f>
        <v>#N/A</v>
      </c>
    </row>
    <row r="408" customFormat="false" ht="14.25" hidden="false" customHeight="true" outlineLevel="0" collapsed="false">
      <c r="A408" s="0" t="n">
        <v>407</v>
      </c>
      <c r="B408" s="0" t="n">
        <v>11</v>
      </c>
      <c r="C408" s="0" t="s">
        <v>826</v>
      </c>
      <c r="D408" s="0" t="s">
        <v>532</v>
      </c>
      <c r="E408" s="0" t="s">
        <v>1205</v>
      </c>
      <c r="F408" s="0" t="n">
        <v>13</v>
      </c>
      <c r="G408" s="0" t="s">
        <v>1038</v>
      </c>
      <c r="H408" s="0" t="s">
        <v>1038</v>
      </c>
      <c r="I408" s="0" t="s">
        <v>1032</v>
      </c>
      <c r="J408" s="0" t="s">
        <v>1038</v>
      </c>
      <c r="K408" s="0" t="n">
        <v>407</v>
      </c>
      <c r="L408" s="0" t="str">
        <f aca="false">C408</f>
        <v>Ashton Dulin</v>
      </c>
      <c r="M408" s="121" t="n">
        <f aca="false">IFERROR(VLOOKUP(E408,RISK!A:B,2,FALSE()),"")</f>
        <v>3.84810126582278</v>
      </c>
      <c r="N408" s="120" t="e">
        <f aca="false">VLOOKUP(E408,Q:R,2,FALSE())</f>
        <v>#N/A</v>
      </c>
    </row>
    <row r="409" customFormat="false" ht="14.25" hidden="false" customHeight="true" outlineLevel="0" collapsed="false">
      <c r="A409" s="0" t="n">
        <v>408</v>
      </c>
      <c r="B409" s="0" t="n">
        <v>11</v>
      </c>
      <c r="C409" s="0" t="s">
        <v>958</v>
      </c>
      <c r="D409" s="0" t="s">
        <v>538</v>
      </c>
      <c r="E409" s="0" t="s">
        <v>359</v>
      </c>
      <c r="F409" s="0" t="n">
        <v>8</v>
      </c>
      <c r="G409" s="0" t="s">
        <v>1038</v>
      </c>
      <c r="H409" s="0" t="s">
        <v>1038</v>
      </c>
      <c r="I409" s="0" t="s">
        <v>1032</v>
      </c>
      <c r="J409" s="0" t="s">
        <v>1038</v>
      </c>
      <c r="K409" s="0" t="n">
        <v>408</v>
      </c>
      <c r="L409" s="0" t="str">
        <f aca="false">C409</f>
        <v>Marlin Klein</v>
      </c>
      <c r="M409" s="121" t="n">
        <f aca="false">IFERROR(VLOOKUP(E409,RISK!A:B,2,FALSE()),"")</f>
        <v>2.2011</v>
      </c>
      <c r="N409" s="120" t="e">
        <f aca="false">VLOOKUP(E409,Q:R,2,FALSE())</f>
        <v>#N/A</v>
      </c>
    </row>
    <row r="410" customFormat="false" ht="14.25" hidden="false" customHeight="true" outlineLevel="0" collapsed="false">
      <c r="A410" s="0" t="n">
        <v>409</v>
      </c>
      <c r="B410" s="0" t="n">
        <v>11</v>
      </c>
      <c r="C410" s="0" t="s">
        <v>957</v>
      </c>
      <c r="D410" s="0" t="s">
        <v>546</v>
      </c>
      <c r="E410" s="0" t="s">
        <v>362</v>
      </c>
      <c r="F410" s="0" t="n">
        <v>14</v>
      </c>
      <c r="G410" s="0" t="s">
        <v>1038</v>
      </c>
      <c r="H410" s="0" t="s">
        <v>1038</v>
      </c>
      <c r="I410" s="0" t="s">
        <v>1031</v>
      </c>
      <c r="J410" s="0" t="s">
        <v>1038</v>
      </c>
      <c r="K410" s="0" t="n">
        <v>409</v>
      </c>
      <c r="L410" s="0" t="str">
        <f aca="false">C410</f>
        <v>Elijah Higgins</v>
      </c>
      <c r="M410" s="121" t="n">
        <f aca="false">IFERROR(VLOOKUP(E410,RISK!A:B,2,FALSE()),"")</f>
        <v>2.2011</v>
      </c>
      <c r="N410" s="120" t="e">
        <f aca="false">VLOOKUP(E410,Q:R,2,FALSE())</f>
        <v>#N/A</v>
      </c>
    </row>
    <row r="411" customFormat="false" ht="14.25" hidden="false" customHeight="true" outlineLevel="0" collapsed="false">
      <c r="A411" s="0" t="n">
        <v>410</v>
      </c>
      <c r="B411" s="0" t="n">
        <v>11</v>
      </c>
      <c r="C411" s="0" t="s">
        <v>1206</v>
      </c>
      <c r="D411" s="0" t="s">
        <v>532</v>
      </c>
      <c r="E411" s="0" t="s">
        <v>1207</v>
      </c>
      <c r="F411" s="0" t="n">
        <v>13</v>
      </c>
      <c r="G411" s="0" t="s">
        <v>1038</v>
      </c>
      <c r="H411" s="0" t="s">
        <v>1038</v>
      </c>
      <c r="I411" s="0" t="s">
        <v>1032</v>
      </c>
      <c r="J411" s="0" t="n">
        <v>-96</v>
      </c>
      <c r="K411" s="0" t="n">
        <v>410</v>
      </c>
      <c r="L411" s="0" t="str">
        <f aca="false">C411</f>
        <v>Spencer Shrader</v>
      </c>
      <c r="M411" s="121" t="str">
        <f aca="false">IFERROR(VLOOKUP(E411,RISK!A:B,2,FALSE()),"")</f>
        <v/>
      </c>
      <c r="N411" s="120" t="e">
        <f aca="false">VLOOKUP(E411,Q:R,2,FALSE())</f>
        <v>#N/A</v>
      </c>
    </row>
    <row r="412" customFormat="false" ht="14.25" hidden="false" customHeight="true" outlineLevel="0" collapsed="false">
      <c r="A412" s="0" t="n">
        <v>411</v>
      </c>
      <c r="B412" s="0" t="n">
        <v>11</v>
      </c>
      <c r="C412" s="0" t="s">
        <v>1208</v>
      </c>
      <c r="D412" s="0" t="s">
        <v>526</v>
      </c>
      <c r="E412" s="0" t="s">
        <v>1209</v>
      </c>
      <c r="F412" s="0" t="n">
        <v>8</v>
      </c>
      <c r="G412" s="0" t="s">
        <v>1038</v>
      </c>
      <c r="H412" s="0" t="s">
        <v>1038</v>
      </c>
      <c r="I412" s="0" t="s">
        <v>1030</v>
      </c>
      <c r="J412" s="0" t="s">
        <v>1038</v>
      </c>
      <c r="K412" s="0" t="n">
        <v>411</v>
      </c>
      <c r="L412" s="0" t="str">
        <f aca="false">C412</f>
        <v>Daniel Carlson</v>
      </c>
      <c r="M412" s="121" t="str">
        <f aca="false">IFERROR(VLOOKUP(E412,RISK!A:B,2,FALSE()),"")</f>
        <v/>
      </c>
      <c r="N412" s="120" t="e">
        <f aca="false">VLOOKUP(E412,Q:R,2,FALSE())</f>
        <v>#N/A</v>
      </c>
    </row>
    <row r="413" customFormat="false" ht="14.25" hidden="false" customHeight="true" outlineLevel="0" collapsed="false">
      <c r="A413" s="0" t="n">
        <v>412</v>
      </c>
      <c r="B413" s="0" t="n">
        <v>11</v>
      </c>
      <c r="C413" s="0" t="s">
        <v>1210</v>
      </c>
      <c r="D413" s="0" t="s">
        <v>496</v>
      </c>
      <c r="E413" s="0" t="s">
        <v>1211</v>
      </c>
      <c r="F413" s="0" t="n">
        <v>7</v>
      </c>
      <c r="G413" s="0" t="s">
        <v>1038</v>
      </c>
      <c r="H413" s="0" t="s">
        <v>1038</v>
      </c>
      <c r="I413" s="0" t="s">
        <v>1032</v>
      </c>
      <c r="J413" s="0" t="s">
        <v>1038</v>
      </c>
      <c r="K413" s="0" t="n">
        <v>412</v>
      </c>
      <c r="L413" s="0" t="str">
        <f aca="false">C413</f>
        <v>Jeremy McNichols</v>
      </c>
      <c r="M413" s="121" t="n">
        <f aca="false">IFERROR(VLOOKUP(E413,RISK!A:B,2,FALSE()),"")</f>
        <v>4</v>
      </c>
      <c r="N413" s="120" t="e">
        <f aca="false">VLOOKUP(E413,Q:R,2,FALSE())</f>
        <v>#N/A</v>
      </c>
    </row>
    <row r="414" customFormat="false" ht="14.25" hidden="false" customHeight="true" outlineLevel="0" collapsed="false">
      <c r="A414" s="0" t="n">
        <v>413</v>
      </c>
      <c r="B414" s="0" t="n">
        <v>11</v>
      </c>
      <c r="C414" s="0" t="s">
        <v>1212</v>
      </c>
      <c r="D414" s="0" t="s">
        <v>494</v>
      </c>
      <c r="E414" s="0" t="s">
        <v>365</v>
      </c>
      <c r="F414" s="0" t="n">
        <v>13</v>
      </c>
      <c r="G414" s="0" t="s">
        <v>1038</v>
      </c>
      <c r="H414" s="0" t="s">
        <v>1038</v>
      </c>
      <c r="I414" s="0" t="s">
        <v>1032</v>
      </c>
      <c r="J414" s="0" t="s">
        <v>1038</v>
      </c>
      <c r="K414" s="0" t="n">
        <v>413</v>
      </c>
      <c r="L414" s="0" t="str">
        <f aca="false">C414</f>
        <v>Matt Hibner</v>
      </c>
      <c r="M414" s="121" t="n">
        <f aca="false">IFERROR(VLOOKUP(E414,RISK!A:B,2,FALSE()),"")</f>
        <v>2.2011</v>
      </c>
      <c r="N414" s="120" t="e">
        <f aca="false">VLOOKUP(E414,Q:R,2,FALSE())</f>
        <v>#N/A</v>
      </c>
    </row>
    <row r="415" customFormat="false" ht="14.25" hidden="false" customHeight="true" outlineLevel="0" collapsed="false">
      <c r="A415" s="0" t="n">
        <v>414</v>
      </c>
      <c r="B415" s="0" t="n">
        <v>11</v>
      </c>
      <c r="C415" s="0" t="s">
        <v>1213</v>
      </c>
      <c r="D415" s="0" t="s">
        <v>1121</v>
      </c>
      <c r="E415" s="0" t="s">
        <v>1214</v>
      </c>
      <c r="F415" s="0" t="s">
        <v>1038</v>
      </c>
      <c r="G415" s="0" t="s">
        <v>1038</v>
      </c>
      <c r="H415" s="0" t="s">
        <v>1038</v>
      </c>
      <c r="I415" s="0" t="s">
        <v>1038</v>
      </c>
      <c r="J415" s="0" t="s">
        <v>1038</v>
      </c>
      <c r="K415" s="0" t="n">
        <v>414</v>
      </c>
      <c r="L415" s="0" t="str">
        <f aca="false">C415</f>
        <v>Jam Miller</v>
      </c>
      <c r="M415" s="121" t="n">
        <f aca="false">IFERROR(VLOOKUP(E415,RISK!A:B,2,FALSE()),"")</f>
        <v>4</v>
      </c>
      <c r="N415" s="120" t="e">
        <f aca="false">VLOOKUP(E415,Q:R,2,FALSE())</f>
        <v>#N/A</v>
      </c>
    </row>
    <row r="416" customFormat="false" ht="14.25" hidden="false" customHeight="true" outlineLevel="0" collapsed="false">
      <c r="A416" s="0" t="n">
        <v>415</v>
      </c>
      <c r="B416" s="0" t="n">
        <v>11</v>
      </c>
      <c r="C416" s="0" t="s">
        <v>1215</v>
      </c>
      <c r="D416" s="0" t="s">
        <v>544</v>
      </c>
      <c r="E416" s="0" t="s">
        <v>1216</v>
      </c>
      <c r="F416" s="0" t="n">
        <v>9</v>
      </c>
      <c r="G416" s="0" t="s">
        <v>1038</v>
      </c>
      <c r="H416" s="0" t="s">
        <v>1038</v>
      </c>
      <c r="I416" s="0" t="s">
        <v>1031</v>
      </c>
      <c r="J416" s="0" t="s">
        <v>1038</v>
      </c>
      <c r="K416" s="0" t="n">
        <v>415</v>
      </c>
      <c r="L416" s="0" t="str">
        <f aca="false">C416</f>
        <v>Tennessee Titans</v>
      </c>
      <c r="M416" s="121" t="str">
        <f aca="false">IFERROR(VLOOKUP(E416,RISK!A:B,2,FALSE()),"")</f>
        <v/>
      </c>
      <c r="N416" s="120" t="e">
        <f aca="false">VLOOKUP(E416,Q:R,2,FALSE())</f>
        <v>#N/A</v>
      </c>
    </row>
    <row r="417" customFormat="false" ht="14.25" hidden="false" customHeight="true" outlineLevel="0" collapsed="false">
      <c r="A417" s="0" t="n">
        <v>416</v>
      </c>
      <c r="B417" s="0" t="n">
        <v>11</v>
      </c>
      <c r="C417" s="0" t="s">
        <v>970</v>
      </c>
      <c r="D417" s="0" t="s">
        <v>530</v>
      </c>
      <c r="E417" s="0" t="s">
        <v>368</v>
      </c>
      <c r="F417" s="0" t="n">
        <v>11</v>
      </c>
      <c r="G417" s="0" t="s">
        <v>1038</v>
      </c>
      <c r="H417" s="0" t="s">
        <v>1038</v>
      </c>
      <c r="I417" s="0" t="s">
        <v>1031</v>
      </c>
      <c r="J417" s="0" t="s">
        <v>1038</v>
      </c>
      <c r="K417" s="0" t="n">
        <v>416</v>
      </c>
      <c r="L417" s="0" t="str">
        <f aca="false">C417</f>
        <v>Luke Musgrave</v>
      </c>
      <c r="M417" s="121" t="n">
        <f aca="false">IFERROR(VLOOKUP(E417,RISK!A:B,2,FALSE()),"")</f>
        <v>2.2011</v>
      </c>
      <c r="N417" s="120" t="e">
        <f aca="false">VLOOKUP(E417,Q:R,2,FALSE())</f>
        <v>#N/A</v>
      </c>
    </row>
    <row r="418" customFormat="false" ht="14.25" hidden="false" customHeight="true" outlineLevel="0" collapsed="false">
      <c r="A418" s="0" t="n">
        <v>417</v>
      </c>
      <c r="B418" s="0" t="n">
        <v>11</v>
      </c>
      <c r="C418" s="0" t="s">
        <v>876</v>
      </c>
      <c r="D418" s="0" t="s">
        <v>522</v>
      </c>
      <c r="E418" s="0" t="s">
        <v>1217</v>
      </c>
      <c r="F418" s="0" t="n">
        <v>6</v>
      </c>
      <c r="G418" s="0" t="s">
        <v>1038</v>
      </c>
      <c r="H418" s="0" t="s">
        <v>1038</v>
      </c>
      <c r="I418" s="0" t="s">
        <v>1030</v>
      </c>
      <c r="J418" s="0" t="s">
        <v>1038</v>
      </c>
      <c r="K418" s="0" t="n">
        <v>417</v>
      </c>
      <c r="L418" s="0" t="str">
        <f aca="false">C418</f>
        <v>Tai Felton</v>
      </c>
      <c r="M418" s="121" t="n">
        <f aca="false">IFERROR(VLOOKUP(E418,RISK!A:B,2,FALSE()),"")</f>
        <v>3.84810126582278</v>
      </c>
      <c r="N418" s="120" t="e">
        <f aca="false">VLOOKUP(E418,Q:R,2,FALSE())</f>
        <v>#N/A</v>
      </c>
    </row>
    <row r="419" customFormat="false" ht="14.25" hidden="false" customHeight="true" outlineLevel="0" collapsed="false">
      <c r="A419" s="0" t="n">
        <v>418</v>
      </c>
      <c r="B419" s="0" t="n">
        <v>11</v>
      </c>
      <c r="C419" s="0" t="s">
        <v>684</v>
      </c>
      <c r="D419" s="0" t="s">
        <v>498</v>
      </c>
      <c r="E419" s="0" t="s">
        <v>1218</v>
      </c>
      <c r="F419" s="0" t="n">
        <v>11</v>
      </c>
      <c r="G419" s="0" t="s">
        <v>1038</v>
      </c>
      <c r="H419" s="0" t="s">
        <v>1038</v>
      </c>
      <c r="I419" s="0" t="s">
        <v>1031</v>
      </c>
      <c r="J419" s="0" t="s">
        <v>1038</v>
      </c>
      <c r="K419" s="0" t="n">
        <v>418</v>
      </c>
      <c r="L419" s="0" t="str">
        <f aca="false">C419</f>
        <v>Corey Kiner</v>
      </c>
      <c r="M419" s="121" t="n">
        <f aca="false">IFERROR(VLOOKUP(E419,RISK!A:B,2,FALSE()),"")</f>
        <v>4</v>
      </c>
      <c r="N419" s="120" t="e">
        <f aca="false">VLOOKUP(E419,Q:R,2,FALSE())</f>
        <v>#N/A</v>
      </c>
    </row>
    <row r="420" customFormat="false" ht="14.25" hidden="false" customHeight="true" outlineLevel="0" collapsed="false">
      <c r="A420" s="0" t="n">
        <v>419</v>
      </c>
      <c r="B420" s="0" t="n">
        <v>11</v>
      </c>
      <c r="C420" s="0" t="s">
        <v>1219</v>
      </c>
      <c r="D420" s="0" t="s">
        <v>1121</v>
      </c>
      <c r="E420" s="0" t="s">
        <v>1220</v>
      </c>
      <c r="F420" s="0" t="s">
        <v>1038</v>
      </c>
      <c r="G420" s="0" t="s">
        <v>1038</v>
      </c>
      <c r="H420" s="0" t="s">
        <v>1038</v>
      </c>
      <c r="I420" s="0" t="s">
        <v>1038</v>
      </c>
      <c r="J420" s="0" t="s">
        <v>1038</v>
      </c>
      <c r="K420" s="0" t="n">
        <v>419</v>
      </c>
      <c r="L420" s="0" t="str">
        <f aca="false">C420</f>
        <v>Zane Gonzalez</v>
      </c>
      <c r="M420" s="121" t="str">
        <f aca="false">IFERROR(VLOOKUP(E420,RISK!A:B,2,FALSE()),"")</f>
        <v/>
      </c>
      <c r="N420" s="120" t="e">
        <f aca="false">VLOOKUP(E420,Q:R,2,FALSE())</f>
        <v>#N/A</v>
      </c>
    </row>
    <row r="421" customFormat="false" ht="14.25" hidden="false" customHeight="true" outlineLevel="0" collapsed="false">
      <c r="A421" s="0" t="n">
        <v>420</v>
      </c>
      <c r="B421" s="0" t="n">
        <v>11</v>
      </c>
      <c r="C421" s="0" t="s">
        <v>690</v>
      </c>
      <c r="D421" s="0" t="s">
        <v>510</v>
      </c>
      <c r="E421" s="0" t="s">
        <v>1221</v>
      </c>
      <c r="F421" s="0" t="n">
        <v>14</v>
      </c>
      <c r="G421" s="0" t="s">
        <v>1038</v>
      </c>
      <c r="H421" s="0" t="s">
        <v>1038</v>
      </c>
      <c r="I421" s="0" t="s">
        <v>1032</v>
      </c>
      <c r="J421" s="0" t="s">
        <v>1038</v>
      </c>
      <c r="K421" s="0" t="n">
        <v>420</v>
      </c>
      <c r="L421" s="0" t="str">
        <f aca="false">C421</f>
        <v>Hunter Luepke</v>
      </c>
      <c r="M421" s="121" t="n">
        <f aca="false">IFERROR(VLOOKUP(E421,RISK!A:B,2,FALSE()),"")</f>
        <v>4</v>
      </c>
      <c r="N421" s="120" t="e">
        <f aca="false">VLOOKUP(E421,Q:R,2,FALSE())</f>
        <v>#N/A</v>
      </c>
    </row>
    <row r="422" customFormat="false" ht="14.25" hidden="false" customHeight="true" outlineLevel="0" collapsed="false">
      <c r="A422" s="0" t="n">
        <v>421</v>
      </c>
      <c r="B422" s="0" t="n">
        <v>11</v>
      </c>
      <c r="C422" s="0" t="s">
        <v>948</v>
      </c>
      <c r="D422" s="0" t="s">
        <v>518</v>
      </c>
      <c r="E422" s="0" t="s">
        <v>371</v>
      </c>
      <c r="F422" s="0" t="n">
        <v>10</v>
      </c>
      <c r="G422" s="0" t="s">
        <v>1038</v>
      </c>
      <c r="H422" s="0" t="s">
        <v>1038</v>
      </c>
      <c r="I422" s="0" t="s">
        <v>1032</v>
      </c>
      <c r="J422" s="0" t="s">
        <v>1038</v>
      </c>
      <c r="K422" s="0" t="n">
        <v>421</v>
      </c>
      <c r="L422" s="0" t="str">
        <f aca="false">C422</f>
        <v>Adam Trautman</v>
      </c>
      <c r="M422" s="121" t="n">
        <f aca="false">IFERROR(VLOOKUP(E422,RISK!A:B,2,FALSE()),"")</f>
        <v>2.2011</v>
      </c>
      <c r="N422" s="120" t="e">
        <f aca="false">VLOOKUP(E422,Q:R,2,FALSE())</f>
        <v>#N/A</v>
      </c>
    </row>
    <row r="423" customFormat="false" ht="14.25" hidden="false" customHeight="true" outlineLevel="0" collapsed="false">
      <c r="A423" s="0" t="n">
        <v>422</v>
      </c>
      <c r="B423" s="0" t="n">
        <v>11</v>
      </c>
      <c r="C423" s="0" t="s">
        <v>830</v>
      </c>
      <c r="D423" s="0" t="s">
        <v>494</v>
      </c>
      <c r="E423" s="0" t="s">
        <v>1222</v>
      </c>
      <c r="F423" s="0" t="n">
        <v>13</v>
      </c>
      <c r="G423" s="0" t="s">
        <v>1038</v>
      </c>
      <c r="H423" s="0" t="s">
        <v>1038</v>
      </c>
      <c r="I423" s="0" t="s">
        <v>1032</v>
      </c>
      <c r="J423" s="0" t="s">
        <v>1038</v>
      </c>
      <c r="K423" s="0" t="n">
        <v>422</v>
      </c>
      <c r="L423" s="0" t="str">
        <f aca="false">C423</f>
        <v>Devontez Walker</v>
      </c>
      <c r="M423" s="121" t="n">
        <f aca="false">IFERROR(VLOOKUP(E423,RISK!A:B,2,FALSE()),"")</f>
        <v>3.84810126582278</v>
      </c>
      <c r="N423" s="120" t="e">
        <f aca="false">VLOOKUP(E423,Q:R,2,FALSE())</f>
        <v>#N/A</v>
      </c>
    </row>
    <row r="424" customFormat="false" ht="14.25" hidden="false" customHeight="true" outlineLevel="0" collapsed="false">
      <c r="A424" s="0" t="n">
        <v>423</v>
      </c>
      <c r="B424" s="0" t="n">
        <v>11</v>
      </c>
      <c r="C424" s="0" t="s">
        <v>1223</v>
      </c>
      <c r="D424" s="0" t="s">
        <v>1121</v>
      </c>
      <c r="E424" s="0" t="s">
        <v>1224</v>
      </c>
      <c r="F424" s="0" t="s">
        <v>1038</v>
      </c>
      <c r="G424" s="0" t="s">
        <v>1038</v>
      </c>
      <c r="H424" s="0" t="s">
        <v>1038</v>
      </c>
      <c r="I424" s="0" t="s">
        <v>1038</v>
      </c>
      <c r="J424" s="0" t="s">
        <v>1038</v>
      </c>
      <c r="K424" s="0" t="n">
        <v>423</v>
      </c>
      <c r="L424" s="0" t="str">
        <f aca="false">C424</f>
        <v>Phil Mafah</v>
      </c>
      <c r="M424" s="121" t="n">
        <f aca="false">IFERROR(VLOOKUP(E424,RISK!A:B,2,FALSE()),"")</f>
        <v>4</v>
      </c>
      <c r="N424" s="120" t="e">
        <f aca="false">VLOOKUP(E424,Q:R,2,FALSE())</f>
        <v>#N/A</v>
      </c>
    </row>
    <row r="425" customFormat="false" ht="14.25" hidden="false" customHeight="true" outlineLevel="0" collapsed="false">
      <c r="A425" s="0" t="n">
        <v>424</v>
      </c>
      <c r="B425" s="0" t="n">
        <v>11</v>
      </c>
      <c r="C425" s="0" t="s">
        <v>1225</v>
      </c>
      <c r="D425" s="0" t="s">
        <v>532</v>
      </c>
      <c r="E425" s="0" t="s">
        <v>1226</v>
      </c>
      <c r="F425" s="0" t="n">
        <v>13</v>
      </c>
      <c r="G425" s="0" t="s">
        <v>1038</v>
      </c>
      <c r="H425" s="0" t="s">
        <v>1038</v>
      </c>
      <c r="I425" s="0" t="s">
        <v>1032</v>
      </c>
      <c r="J425" s="0" t="s">
        <v>1038</v>
      </c>
      <c r="K425" s="0" t="n">
        <v>424</v>
      </c>
      <c r="L425" s="0" t="str">
        <f aca="false">C425</f>
        <v>Deion Burks</v>
      </c>
      <c r="M425" s="121" t="n">
        <f aca="false">IFERROR(VLOOKUP(E425,RISK!A:B,2,FALSE()),"")</f>
        <v>3.84810126582278</v>
      </c>
      <c r="N425" s="120" t="e">
        <f aca="false">VLOOKUP(E425,Q:R,2,FALSE())</f>
        <v>#N/A</v>
      </c>
    </row>
    <row r="426" customFormat="false" ht="14.25" hidden="false" customHeight="true" outlineLevel="0" collapsed="false">
      <c r="A426" s="0" t="n">
        <v>425</v>
      </c>
      <c r="B426" s="0" t="n">
        <v>11</v>
      </c>
      <c r="C426" s="0" t="s">
        <v>1227</v>
      </c>
      <c r="D426" s="0" t="s">
        <v>520</v>
      </c>
      <c r="E426" s="0" t="s">
        <v>1228</v>
      </c>
      <c r="F426" s="0" t="n">
        <v>11</v>
      </c>
      <c r="G426" s="0" t="s">
        <v>1038</v>
      </c>
      <c r="H426" s="0" t="s">
        <v>1038</v>
      </c>
      <c r="I426" s="0" t="s">
        <v>1030</v>
      </c>
      <c r="J426" s="0" t="s">
        <v>1038</v>
      </c>
      <c r="K426" s="0" t="n">
        <v>425</v>
      </c>
      <c r="L426" s="0" t="str">
        <f aca="false">C426</f>
        <v>Ronnie Rivers</v>
      </c>
      <c r="M426" s="121" t="n">
        <f aca="false">IFERROR(VLOOKUP(E426,RISK!A:B,2,FALSE()),"")</f>
        <v>4</v>
      </c>
      <c r="N426" s="120" t="e">
        <f aca="false">VLOOKUP(E426,Q:R,2,FALSE())</f>
        <v>#N/A</v>
      </c>
    </row>
    <row r="427" customFormat="false" ht="14.25" hidden="false" customHeight="true" outlineLevel="0" collapsed="false">
      <c r="A427" s="0" t="n">
        <v>426</v>
      </c>
      <c r="B427" s="0" t="n">
        <v>12</v>
      </c>
      <c r="C427" s="0" t="s">
        <v>1229</v>
      </c>
      <c r="D427" s="0" t="s">
        <v>502</v>
      </c>
      <c r="E427" s="0" t="s">
        <v>1230</v>
      </c>
      <c r="F427" s="0" t="n">
        <v>6</v>
      </c>
      <c r="G427" s="0" t="s">
        <v>1038</v>
      </c>
      <c r="H427" s="0" t="s">
        <v>1038</v>
      </c>
      <c r="I427" s="0" t="s">
        <v>1032</v>
      </c>
      <c r="J427" s="0" t="s">
        <v>1038</v>
      </c>
      <c r="K427" s="0" t="n">
        <v>426</v>
      </c>
      <c r="L427" s="0" t="str">
        <f aca="false">C427</f>
        <v>Cincinnati Bengals</v>
      </c>
      <c r="M427" s="121" t="str">
        <f aca="false">IFERROR(VLOOKUP(E427,RISK!A:B,2,FALSE()),"")</f>
        <v/>
      </c>
      <c r="N427" s="120" t="e">
        <f aca="false">VLOOKUP(E427,Q:R,2,FALSE())</f>
        <v>#N/A</v>
      </c>
    </row>
    <row r="428" customFormat="false" ht="14.25" hidden="false" customHeight="true" outlineLevel="0" collapsed="false">
      <c r="A428" s="0" t="n">
        <v>427</v>
      </c>
      <c r="B428" s="0" t="n">
        <v>12</v>
      </c>
      <c r="C428" s="0" t="s">
        <v>1231</v>
      </c>
      <c r="D428" s="0" t="s">
        <v>1121</v>
      </c>
      <c r="E428" s="0" t="s">
        <v>1232</v>
      </c>
      <c r="F428" s="0" t="s">
        <v>1038</v>
      </c>
      <c r="G428" s="0" t="s">
        <v>1038</v>
      </c>
      <c r="H428" s="0" t="s">
        <v>1038</v>
      </c>
      <c r="I428" s="0" t="s">
        <v>1038</v>
      </c>
      <c r="J428" s="0" t="s">
        <v>1038</v>
      </c>
      <c r="K428" s="0" t="n">
        <v>427</v>
      </c>
      <c r="L428" s="0" t="str">
        <f aca="false">C428</f>
        <v>Nick Westbrook-Ikhine</v>
      </c>
      <c r="M428" s="121" t="n">
        <f aca="false">IFERROR(VLOOKUP(E428,RISK!A:B,2,FALSE()),"")</f>
        <v>3.84810126582278</v>
      </c>
      <c r="N428" s="120" t="e">
        <f aca="false">VLOOKUP(E428,Q:R,2,FALSE())</f>
        <v>#N/A</v>
      </c>
    </row>
    <row r="429" customFormat="false" ht="14.25" hidden="false" customHeight="true" outlineLevel="0" collapsed="false">
      <c r="A429" s="0" t="n">
        <v>428</v>
      </c>
      <c r="B429" s="0" t="n">
        <v>12</v>
      </c>
      <c r="C429" s="0" t="s">
        <v>843</v>
      </c>
      <c r="D429" s="0" t="s">
        <v>496</v>
      </c>
      <c r="E429" s="0" t="s">
        <v>1233</v>
      </c>
      <c r="F429" s="0" t="n">
        <v>7</v>
      </c>
      <c r="G429" s="0" t="s">
        <v>1038</v>
      </c>
      <c r="H429" s="0" t="s">
        <v>1038</v>
      </c>
      <c r="I429" s="0" t="s">
        <v>1031</v>
      </c>
      <c r="J429" s="0" t="s">
        <v>1038</v>
      </c>
      <c r="K429" s="0" t="n">
        <v>428</v>
      </c>
      <c r="L429" s="0" t="str">
        <f aca="false">C429</f>
        <v>Dyami Brown</v>
      </c>
      <c r="M429" s="121" t="n">
        <f aca="false">IFERROR(VLOOKUP(E429,RISK!A:B,2,FALSE()),"")</f>
        <v>3.84810126582278</v>
      </c>
      <c r="N429" s="120" t="e">
        <f aca="false">VLOOKUP(E429,Q:R,2,FALSE())</f>
        <v>#N/A</v>
      </c>
    </row>
    <row r="430" customFormat="false" ht="14.25" hidden="false" customHeight="true" outlineLevel="0" collapsed="false">
      <c r="A430" s="0" t="n">
        <v>429</v>
      </c>
      <c r="B430" s="0" t="n">
        <v>12</v>
      </c>
      <c r="C430" s="0" t="s">
        <v>651</v>
      </c>
      <c r="D430" s="0" t="s">
        <v>540</v>
      </c>
      <c r="E430" s="0" t="s">
        <v>1234</v>
      </c>
      <c r="F430" s="0" t="n">
        <v>5</v>
      </c>
      <c r="G430" s="0" t="s">
        <v>1038</v>
      </c>
      <c r="H430" s="0" t="s">
        <v>1038</v>
      </c>
      <c r="I430" s="0" t="s">
        <v>1034</v>
      </c>
      <c r="J430" s="0" t="s">
        <v>1038</v>
      </c>
      <c r="K430" s="0" t="n">
        <v>429</v>
      </c>
      <c r="L430" s="0" t="str">
        <f aca="false">C430</f>
        <v>AJ Dillon</v>
      </c>
      <c r="M430" s="121" t="n">
        <f aca="false">IFERROR(VLOOKUP(E430,RISK!A:B,2,FALSE()),"")</f>
        <v>4</v>
      </c>
      <c r="N430" s="120" t="e">
        <f aca="false">VLOOKUP(E430,Q:R,2,FALSE())</f>
        <v>#N/A</v>
      </c>
    </row>
    <row r="431" customFormat="false" ht="14.25" hidden="false" customHeight="true" outlineLevel="0" collapsed="false">
      <c r="A431" s="0" t="n">
        <v>430</v>
      </c>
      <c r="B431" s="0" t="n">
        <v>12</v>
      </c>
      <c r="C431" s="0" t="s">
        <v>1235</v>
      </c>
      <c r="D431" s="0" t="s">
        <v>550</v>
      </c>
      <c r="E431" s="0" t="s">
        <v>1236</v>
      </c>
      <c r="F431" s="0" t="n">
        <v>13</v>
      </c>
      <c r="G431" s="0" t="s">
        <v>1038</v>
      </c>
      <c r="H431" s="0" t="s">
        <v>1038</v>
      </c>
      <c r="I431" s="0" t="s">
        <v>1032</v>
      </c>
      <c r="J431" s="0" t="s">
        <v>1038</v>
      </c>
      <c r="K431" s="0" t="n">
        <v>430</v>
      </c>
      <c r="L431" s="0" t="str">
        <f aca="false">C431</f>
        <v>Las Vegas Raiders</v>
      </c>
      <c r="M431" s="121" t="str">
        <f aca="false">IFERROR(VLOOKUP(E431,RISK!A:B,2,FALSE()),"")</f>
        <v/>
      </c>
      <c r="N431" s="120" t="e">
        <f aca="false">VLOOKUP(E431,Q:R,2,FALSE())</f>
        <v>#N/A</v>
      </c>
    </row>
    <row r="432" customFormat="false" ht="14.25" hidden="false" customHeight="true" outlineLevel="0" collapsed="false">
      <c r="A432" s="0" t="n">
        <v>431</v>
      </c>
      <c r="B432" s="0" t="n">
        <v>12</v>
      </c>
      <c r="C432" s="0" t="s">
        <v>946</v>
      </c>
      <c r="D432" s="0" t="s">
        <v>522</v>
      </c>
      <c r="E432" s="0" t="s">
        <v>374</v>
      </c>
      <c r="F432" s="0" t="n">
        <v>6</v>
      </c>
      <c r="G432" s="0" t="s">
        <v>1038</v>
      </c>
      <c r="H432" s="0" t="s">
        <v>1038</v>
      </c>
      <c r="I432" s="0" t="s">
        <v>1032</v>
      </c>
      <c r="J432" s="0" t="s">
        <v>1038</v>
      </c>
      <c r="K432" s="0" t="n">
        <v>431</v>
      </c>
      <c r="L432" s="0" t="str">
        <f aca="false">C432</f>
        <v>Josh Oliver</v>
      </c>
      <c r="M432" s="121" t="n">
        <f aca="false">IFERROR(VLOOKUP(E432,RISK!A:B,2,FALSE()),"")</f>
        <v>2.2011</v>
      </c>
      <c r="N432" s="120" t="e">
        <f aca="false">VLOOKUP(E432,Q:R,2,FALSE())</f>
        <v>#N/A</v>
      </c>
    </row>
    <row r="433" customFormat="false" ht="14.25" hidden="false" customHeight="true" outlineLevel="0" collapsed="false">
      <c r="A433" s="0" t="n">
        <v>432</v>
      </c>
      <c r="B433" s="0" t="n">
        <v>12</v>
      </c>
      <c r="C433" s="0" t="s">
        <v>1237</v>
      </c>
      <c r="D433" s="0" t="s">
        <v>534</v>
      </c>
      <c r="E433" s="0" t="s">
        <v>1238</v>
      </c>
      <c r="F433" s="0" t="n">
        <v>6</v>
      </c>
      <c r="G433" s="0" t="s">
        <v>1038</v>
      </c>
      <c r="H433" s="0" t="s">
        <v>1038</v>
      </c>
      <c r="I433" s="0" t="s">
        <v>1035</v>
      </c>
      <c r="J433" s="0" t="s">
        <v>1038</v>
      </c>
      <c r="K433" s="0" t="n">
        <v>432</v>
      </c>
      <c r="L433" s="0" t="str">
        <f aca="false">C433</f>
        <v>Miami Dolphins</v>
      </c>
      <c r="M433" s="121" t="str">
        <f aca="false">IFERROR(VLOOKUP(E433,RISK!A:B,2,FALSE()),"")</f>
        <v/>
      </c>
      <c r="N433" s="120" t="e">
        <f aca="false">VLOOKUP(E433,Q:R,2,FALSE())</f>
        <v>#N/A</v>
      </c>
    </row>
    <row r="434" customFormat="false" ht="14.25" hidden="false" customHeight="true" outlineLevel="0" collapsed="false">
      <c r="A434" s="0" t="n">
        <v>433</v>
      </c>
      <c r="B434" s="0" t="n">
        <v>12</v>
      </c>
      <c r="C434" s="0" t="s">
        <v>1239</v>
      </c>
      <c r="D434" s="0" t="s">
        <v>542</v>
      </c>
      <c r="E434" s="0" t="s">
        <v>1240</v>
      </c>
      <c r="F434" s="0" t="n">
        <v>13</v>
      </c>
      <c r="G434" s="0" t="s">
        <v>1038</v>
      </c>
      <c r="H434" s="0" t="s">
        <v>1038</v>
      </c>
      <c r="I434" s="0" t="s">
        <v>1031</v>
      </c>
      <c r="J434" s="0" t="s">
        <v>1038</v>
      </c>
      <c r="K434" s="0" t="n">
        <v>433</v>
      </c>
      <c r="L434" s="0" t="str">
        <f aca="false">C434</f>
        <v>Blake Grupe</v>
      </c>
      <c r="M434" s="121" t="str">
        <f aca="false">IFERROR(VLOOKUP(E434,RISK!A:B,2,FALSE()),"")</f>
        <v/>
      </c>
      <c r="N434" s="120" t="e">
        <f aca="false">VLOOKUP(E434,Q:R,2,FALSE())</f>
        <v>#N/A</v>
      </c>
    </row>
    <row r="435" customFormat="false" ht="14.25" hidden="false" customHeight="true" outlineLevel="0" collapsed="false">
      <c r="A435" s="0" t="n">
        <v>434</v>
      </c>
      <c r="B435" s="0" t="n">
        <v>12</v>
      </c>
      <c r="C435" s="0" t="s">
        <v>1241</v>
      </c>
      <c r="D435" s="0" t="s">
        <v>500</v>
      </c>
      <c r="E435" s="0" t="s">
        <v>1242</v>
      </c>
      <c r="F435" s="0" t="n">
        <v>10</v>
      </c>
      <c r="G435" s="0" t="s">
        <v>1038</v>
      </c>
      <c r="H435" s="0" t="s">
        <v>1038</v>
      </c>
      <c r="I435" s="0" t="s">
        <v>1032</v>
      </c>
      <c r="J435" s="0" t="s">
        <v>1038</v>
      </c>
      <c r="K435" s="0" t="n">
        <v>434</v>
      </c>
      <c r="L435" s="0" t="str">
        <f aca="false">C435</f>
        <v>Dameon Pierce</v>
      </c>
      <c r="M435" s="121" t="n">
        <f aca="false">IFERROR(VLOOKUP(E435,RISK!A:B,2,FALSE()),"")</f>
        <v>4</v>
      </c>
      <c r="N435" s="120" t="e">
        <f aca="false">VLOOKUP(E435,Q:R,2,FALSE())</f>
        <v>#N/A</v>
      </c>
    </row>
    <row r="436" customFormat="false" ht="14.25" hidden="false" customHeight="true" outlineLevel="0" collapsed="false">
      <c r="A436" s="0" t="n">
        <v>435</v>
      </c>
      <c r="B436" s="0" t="n">
        <v>12</v>
      </c>
      <c r="C436" s="0" t="s">
        <v>860</v>
      </c>
      <c r="D436" s="0" t="s">
        <v>540</v>
      </c>
      <c r="E436" s="0" t="s">
        <v>1243</v>
      </c>
      <c r="F436" s="0" t="n">
        <v>5</v>
      </c>
      <c r="G436" s="0" t="s">
        <v>1038</v>
      </c>
      <c r="H436" s="0" t="s">
        <v>1038</v>
      </c>
      <c r="I436" s="0" t="s">
        <v>1031</v>
      </c>
      <c r="J436" s="0" t="s">
        <v>1038</v>
      </c>
      <c r="K436" s="0" t="n">
        <v>435</v>
      </c>
      <c r="L436" s="0" t="str">
        <f aca="false">C436</f>
        <v>Jimmy Horn Jr.</v>
      </c>
      <c r="M436" s="121" t="n">
        <f aca="false">IFERROR(VLOOKUP(E436,RISK!A:B,2,FALSE()),"")</f>
        <v>3.84810126582278</v>
      </c>
      <c r="N436" s="120" t="e">
        <f aca="false">VLOOKUP(E436,Q:R,2,FALSE())</f>
        <v>#N/A</v>
      </c>
    </row>
    <row r="437" customFormat="false" ht="14.25" hidden="false" customHeight="true" outlineLevel="0" collapsed="false">
      <c r="A437" s="0" t="n">
        <v>436</v>
      </c>
      <c r="B437" s="0" t="n">
        <v>12</v>
      </c>
      <c r="C437" s="0" t="s">
        <v>701</v>
      </c>
      <c r="D437" s="0" t="s">
        <v>506</v>
      </c>
      <c r="E437" s="0" t="s">
        <v>1244</v>
      </c>
      <c r="F437" s="0" t="n">
        <v>7</v>
      </c>
      <c r="G437" s="0" t="s">
        <v>1038</v>
      </c>
      <c r="H437" s="0" t="s">
        <v>1038</v>
      </c>
      <c r="I437" s="0" t="s">
        <v>1032</v>
      </c>
      <c r="J437" s="0" t="s">
        <v>1038</v>
      </c>
      <c r="K437" s="0" t="n">
        <v>436</v>
      </c>
      <c r="L437" s="0" t="str">
        <f aca="false">C437</f>
        <v>Ameer Abdullah</v>
      </c>
      <c r="M437" s="121" t="n">
        <f aca="false">IFERROR(VLOOKUP(E437,RISK!A:B,2,FALSE()),"")</f>
        <v>4</v>
      </c>
      <c r="N437" s="120" t="e">
        <f aca="false">VLOOKUP(E437,Q:R,2,FALSE())</f>
        <v>#N/A</v>
      </c>
    </row>
    <row r="438" customFormat="false" ht="14.25" hidden="false" customHeight="true" outlineLevel="0" collapsed="false">
      <c r="A438" s="0" t="n">
        <v>437</v>
      </c>
      <c r="B438" s="0" t="n">
        <v>12</v>
      </c>
      <c r="C438" s="0" t="s">
        <v>833</v>
      </c>
      <c r="D438" s="0" t="s">
        <v>514</v>
      </c>
      <c r="E438" s="0" t="s">
        <v>1245</v>
      </c>
      <c r="F438" s="0" t="n">
        <v>10</v>
      </c>
      <c r="G438" s="0" t="s">
        <v>1038</v>
      </c>
      <c r="H438" s="0" t="s">
        <v>1038</v>
      </c>
      <c r="I438" s="0" t="s">
        <v>1035</v>
      </c>
      <c r="J438" s="0" t="s">
        <v>1038</v>
      </c>
      <c r="K438" s="0" t="n">
        <v>437</v>
      </c>
      <c r="L438" s="0" t="str">
        <f aca="false">C438</f>
        <v>Jahdae Walker</v>
      </c>
      <c r="M438" s="121" t="n">
        <f aca="false">IFERROR(VLOOKUP(E438,RISK!A:B,2,FALSE()),"")</f>
        <v>3.84810126582278</v>
      </c>
      <c r="N438" s="120" t="e">
        <f aca="false">VLOOKUP(E438,Q:R,2,FALSE())</f>
        <v>#N/A</v>
      </c>
    </row>
    <row r="439" customFormat="false" ht="14.25" hidden="false" customHeight="true" outlineLevel="0" collapsed="false">
      <c r="A439" s="0" t="n">
        <v>438</v>
      </c>
      <c r="B439" s="0" t="n">
        <v>12</v>
      </c>
      <c r="C439" s="0" t="s">
        <v>966</v>
      </c>
      <c r="D439" s="0" t="s">
        <v>490</v>
      </c>
      <c r="E439" s="0" t="s">
        <v>377</v>
      </c>
      <c r="F439" s="0" t="n">
        <v>7</v>
      </c>
      <c r="G439" s="0" t="s">
        <v>1038</v>
      </c>
      <c r="H439" s="0" t="s">
        <v>1038</v>
      </c>
      <c r="I439" s="0" t="s">
        <v>1035</v>
      </c>
      <c r="J439" s="0" t="s">
        <v>1038</v>
      </c>
      <c r="K439" s="0" t="n">
        <v>438</v>
      </c>
      <c r="L439" s="0" t="str">
        <f aca="false">C439</f>
        <v>Jackson Hawes</v>
      </c>
      <c r="M439" s="121" t="n">
        <f aca="false">IFERROR(VLOOKUP(E439,RISK!A:B,2,FALSE()),"")</f>
        <v>2.2011</v>
      </c>
      <c r="N439" s="120" t="e">
        <f aca="false">VLOOKUP(E439,Q:R,2,FALSE())</f>
        <v>#N/A</v>
      </c>
    </row>
    <row r="440" customFormat="false" ht="14.25" hidden="false" customHeight="true" outlineLevel="0" collapsed="false">
      <c r="A440" s="0" t="n">
        <v>439</v>
      </c>
      <c r="B440" s="0" t="n">
        <v>12</v>
      </c>
      <c r="C440" s="0" t="s">
        <v>988</v>
      </c>
      <c r="D440" s="0" t="s">
        <v>506</v>
      </c>
      <c r="E440" s="0" t="s">
        <v>380</v>
      </c>
      <c r="F440" s="0" t="n">
        <v>7</v>
      </c>
      <c r="G440" s="0" t="s">
        <v>1038</v>
      </c>
      <c r="H440" s="0" t="s">
        <v>1038</v>
      </c>
      <c r="I440" s="0" t="s">
        <v>1035</v>
      </c>
      <c r="J440" s="0" t="s">
        <v>1038</v>
      </c>
      <c r="K440" s="0" t="n">
        <v>439</v>
      </c>
      <c r="L440" s="0" t="str">
        <f aca="false">C440</f>
        <v>Tanner Koziol</v>
      </c>
      <c r="M440" s="121" t="n">
        <f aca="false">IFERROR(VLOOKUP(E440,RISK!A:B,2,FALSE()),"")</f>
        <v>2.2011</v>
      </c>
      <c r="N440" s="120" t="e">
        <f aca="false">VLOOKUP(E440,Q:R,2,FALSE())</f>
        <v>#N/A</v>
      </c>
    </row>
    <row r="441" customFormat="false" ht="14.25" hidden="false" customHeight="true" outlineLevel="0" collapsed="false">
      <c r="A441" s="0" t="n">
        <v>440</v>
      </c>
      <c r="B441" s="0" t="n">
        <v>12</v>
      </c>
      <c r="C441" s="0" t="s">
        <v>717</v>
      </c>
      <c r="D441" s="0" t="s">
        <v>518</v>
      </c>
      <c r="E441" s="0" t="s">
        <v>1246</v>
      </c>
      <c r="F441" s="0" t="n">
        <v>10</v>
      </c>
      <c r="G441" s="0" t="s">
        <v>1038</v>
      </c>
      <c r="H441" s="0" t="s">
        <v>1038</v>
      </c>
      <c r="I441" s="0" t="s">
        <v>1031</v>
      </c>
      <c r="J441" s="0" t="s">
        <v>1038</v>
      </c>
      <c r="K441" s="0" t="n">
        <v>440</v>
      </c>
      <c r="L441" s="0" t="str">
        <f aca="false">C441</f>
        <v>Tyler Badie</v>
      </c>
      <c r="M441" s="121" t="n">
        <f aca="false">IFERROR(VLOOKUP(E441,RISK!A:B,2,FALSE()),"")</f>
        <v>4</v>
      </c>
      <c r="N441" s="120" t="e">
        <f aca="false">VLOOKUP(E441,Q:R,2,FALSE())</f>
        <v>#N/A</v>
      </c>
    </row>
    <row r="442" customFormat="false" ht="14.25" hidden="false" customHeight="true" outlineLevel="0" collapsed="false">
      <c r="A442" s="0" t="n">
        <v>441</v>
      </c>
      <c r="B442" s="0" t="n">
        <v>12</v>
      </c>
      <c r="C442" s="0" t="s">
        <v>959</v>
      </c>
      <c r="D442" s="0" t="s">
        <v>496</v>
      </c>
      <c r="E442" s="0" t="s">
        <v>383</v>
      </c>
      <c r="F442" s="0" t="n">
        <v>7</v>
      </c>
      <c r="G442" s="0" t="s">
        <v>1038</v>
      </c>
      <c r="H442" s="0" t="s">
        <v>1038</v>
      </c>
      <c r="I442" s="0" t="s">
        <v>1034</v>
      </c>
      <c r="J442" s="0" t="s">
        <v>1038</v>
      </c>
      <c r="K442" s="0" t="n">
        <v>441</v>
      </c>
      <c r="L442" s="0" t="str">
        <f aca="false">C442</f>
        <v>John Bates</v>
      </c>
      <c r="M442" s="121" t="n">
        <f aca="false">IFERROR(VLOOKUP(E442,RISK!A:B,2,FALSE()),"")</f>
        <v>2.2011</v>
      </c>
      <c r="N442" s="120" t="e">
        <f aca="false">VLOOKUP(E442,Q:R,2,FALSE())</f>
        <v>#N/A</v>
      </c>
    </row>
    <row r="443" customFormat="false" ht="14.25" hidden="false" customHeight="true" outlineLevel="0" collapsed="false">
      <c r="A443" s="0" t="n">
        <v>442</v>
      </c>
      <c r="B443" s="0" t="n">
        <v>12</v>
      </c>
      <c r="C443" s="0" t="s">
        <v>711</v>
      </c>
      <c r="D443" s="0" t="s">
        <v>498</v>
      </c>
      <c r="E443" s="0" t="s">
        <v>1247</v>
      </c>
      <c r="F443" s="0" t="n">
        <v>11</v>
      </c>
      <c r="G443" s="0" t="s">
        <v>1038</v>
      </c>
      <c r="H443" s="0" t="s">
        <v>1038</v>
      </c>
      <c r="I443" s="0" t="s">
        <v>1031</v>
      </c>
      <c r="J443" s="0" t="s">
        <v>1038</v>
      </c>
      <c r="K443" s="0" t="n">
        <v>442</v>
      </c>
      <c r="L443" s="0" t="str">
        <f aca="false">C443</f>
        <v>Reggie Gilliam</v>
      </c>
      <c r="M443" s="121" t="n">
        <f aca="false">IFERROR(VLOOKUP(E443,RISK!A:B,2,FALSE()),"")</f>
        <v>4</v>
      </c>
      <c r="N443" s="120" t="e">
        <f aca="false">VLOOKUP(E443,Q:R,2,FALSE())</f>
        <v>#N/A</v>
      </c>
    </row>
    <row r="444" customFormat="false" ht="14.25" hidden="false" customHeight="true" outlineLevel="0" collapsed="false">
      <c r="A444" s="0" t="n">
        <v>443</v>
      </c>
      <c r="B444" s="0" t="n">
        <v>12</v>
      </c>
      <c r="C444" s="0" t="s">
        <v>592</v>
      </c>
      <c r="D444" s="0" t="s">
        <v>510</v>
      </c>
      <c r="E444" s="0" t="s">
        <v>312</v>
      </c>
      <c r="F444" s="0" t="n">
        <v>14</v>
      </c>
      <c r="G444" s="0" t="s">
        <v>1038</v>
      </c>
      <c r="H444" s="0" t="s">
        <v>1038</v>
      </c>
      <c r="I444" s="0" t="s">
        <v>1031</v>
      </c>
      <c r="J444" s="0" t="s">
        <v>1038</v>
      </c>
      <c r="K444" s="0" t="n">
        <v>443</v>
      </c>
      <c r="L444" s="0" t="str">
        <f aca="false">C444</f>
        <v>Joe Milton III</v>
      </c>
      <c r="M444" s="121" t="n">
        <f aca="false">IFERROR(VLOOKUP(E444,RISK!A:B,2,FALSE()),"")</f>
        <v>3.2</v>
      </c>
      <c r="N444" s="120" t="n">
        <f aca="false">VLOOKUP(E444,Q:R,2,FALSE())</f>
        <v>7.38381176470589</v>
      </c>
    </row>
    <row r="445" customFormat="false" ht="14.25" hidden="false" customHeight="true" outlineLevel="0" collapsed="false">
      <c r="A445" s="0" t="n">
        <v>444</v>
      </c>
      <c r="B445" s="0" t="n">
        <v>12</v>
      </c>
      <c r="C445" s="0" t="s">
        <v>797</v>
      </c>
      <c r="D445" s="0" t="s">
        <v>1121</v>
      </c>
      <c r="E445" s="0" t="s">
        <v>1248</v>
      </c>
      <c r="F445" s="0" t="s">
        <v>1038</v>
      </c>
      <c r="G445" s="0" t="s">
        <v>1038</v>
      </c>
      <c r="H445" s="0" t="s">
        <v>1038</v>
      </c>
      <c r="I445" s="0" t="s">
        <v>1038</v>
      </c>
      <c r="J445" s="0" t="s">
        <v>1038</v>
      </c>
      <c r="K445" s="0" t="n">
        <v>444</v>
      </c>
      <c r="L445" s="0" t="str">
        <f aca="false">C445</f>
        <v>Antonio Williams</v>
      </c>
      <c r="M445" s="121" t="n">
        <f aca="false">IFERROR(VLOOKUP(E445,RISK!A:B,2,FALSE()),"")</f>
        <v>4</v>
      </c>
      <c r="N445" s="120" t="e">
        <f aca="false">VLOOKUP(E445,Q:R,2,FALSE())</f>
        <v>#N/A</v>
      </c>
    </row>
    <row r="446" customFormat="false" ht="14.25" hidden="false" customHeight="true" outlineLevel="0" collapsed="false">
      <c r="A446" s="0" t="n">
        <v>445</v>
      </c>
      <c r="B446" s="0" t="n">
        <v>12</v>
      </c>
      <c r="C446" s="0" t="s">
        <v>1004</v>
      </c>
      <c r="D446" s="0" t="s">
        <v>502</v>
      </c>
      <c r="E446" s="0" t="s">
        <v>386</v>
      </c>
      <c r="F446" s="0" t="n">
        <v>6</v>
      </c>
      <c r="G446" s="0" t="s">
        <v>1038</v>
      </c>
      <c r="H446" s="0" t="s">
        <v>1038</v>
      </c>
      <c r="I446" s="0" t="s">
        <v>1035</v>
      </c>
      <c r="J446" s="0" t="s">
        <v>1038</v>
      </c>
      <c r="K446" s="0" t="n">
        <v>445</v>
      </c>
      <c r="L446" s="0" t="str">
        <f aca="false">C446</f>
        <v>Tanner Hudson</v>
      </c>
      <c r="M446" s="121" t="n">
        <f aca="false">IFERROR(VLOOKUP(E446,RISK!A:B,2,FALSE()),"")</f>
        <v>2.2011</v>
      </c>
      <c r="N446" s="120" t="e">
        <f aca="false">VLOOKUP(E446,Q:R,2,FALSE())</f>
        <v>#N/A</v>
      </c>
    </row>
    <row r="447" customFormat="false" ht="14.25" hidden="false" customHeight="true" outlineLevel="0" collapsed="false">
      <c r="A447" s="0" t="n">
        <v>446</v>
      </c>
      <c r="B447" s="0" t="n">
        <v>12</v>
      </c>
      <c r="C447" s="0" t="s">
        <v>1249</v>
      </c>
      <c r="D447" s="0" t="s">
        <v>1121</v>
      </c>
      <c r="E447" s="0" t="s">
        <v>389</v>
      </c>
      <c r="F447" s="0" t="s">
        <v>1038</v>
      </c>
      <c r="G447" s="0" t="s">
        <v>1038</v>
      </c>
      <c r="H447" s="0" t="s">
        <v>1038</v>
      </c>
      <c r="I447" s="0" t="s">
        <v>1038</v>
      </c>
      <c r="J447" s="0" t="s">
        <v>1038</v>
      </c>
      <c r="K447" s="0" t="n">
        <v>446</v>
      </c>
      <c r="L447" s="0" t="str">
        <f aca="false">C447</f>
        <v>Zach Ertz</v>
      </c>
      <c r="M447" s="121" t="n">
        <f aca="false">IFERROR(VLOOKUP(E447,RISK!A:B,2,FALSE()),"")</f>
        <v>2.2011</v>
      </c>
      <c r="N447" s="120" t="e">
        <f aca="false">VLOOKUP(E447,Q:R,2,FALSE())</f>
        <v>#N/A</v>
      </c>
    </row>
    <row r="448" customFormat="false" ht="14.25" hidden="false" customHeight="true" outlineLevel="0" collapsed="false">
      <c r="A448" s="0" t="n">
        <v>447</v>
      </c>
      <c r="B448" s="0" t="n">
        <v>12</v>
      </c>
      <c r="C448" s="0" t="s">
        <v>1250</v>
      </c>
      <c r="D448" s="0" t="s">
        <v>542</v>
      </c>
      <c r="E448" s="0" t="s">
        <v>1251</v>
      </c>
      <c r="F448" s="0" t="n">
        <v>13</v>
      </c>
      <c r="G448" s="0" t="s">
        <v>1038</v>
      </c>
      <c r="H448" s="0" t="s">
        <v>1038</v>
      </c>
      <c r="I448" s="0" t="s">
        <v>1032</v>
      </c>
      <c r="J448" s="0" t="s">
        <v>1038</v>
      </c>
      <c r="K448" s="0" t="n">
        <v>447</v>
      </c>
      <c r="L448" s="0" t="str">
        <f aca="false">C448</f>
        <v>Tim Patrick</v>
      </c>
      <c r="M448" s="121" t="n">
        <f aca="false">IFERROR(VLOOKUP(E448,RISK!A:B,2,FALSE()),"")</f>
        <v>3.84810126582278</v>
      </c>
      <c r="N448" s="120" t="e">
        <f aca="false">VLOOKUP(E448,Q:R,2,FALSE())</f>
        <v>#N/A</v>
      </c>
    </row>
    <row r="449" customFormat="false" ht="14.25" hidden="false" customHeight="true" outlineLevel="0" collapsed="false">
      <c r="A449" s="0" t="n">
        <v>448</v>
      </c>
      <c r="B449" s="0" t="n">
        <v>12</v>
      </c>
      <c r="C449" s="0" t="s">
        <v>855</v>
      </c>
      <c r="D449" s="0" t="s">
        <v>542</v>
      </c>
      <c r="E449" s="0" t="s">
        <v>1252</v>
      </c>
      <c r="F449" s="0" t="n">
        <v>13</v>
      </c>
      <c r="G449" s="0" t="s">
        <v>1038</v>
      </c>
      <c r="H449" s="0" t="s">
        <v>1038</v>
      </c>
      <c r="I449" s="0" t="s">
        <v>1032</v>
      </c>
      <c r="J449" s="0" t="s">
        <v>1038</v>
      </c>
      <c r="K449" s="0" t="n">
        <v>448</v>
      </c>
      <c r="L449" s="0" t="str">
        <f aca="false">C449</f>
        <v>Isaiah Williams</v>
      </c>
      <c r="M449" s="121" t="n">
        <f aca="false">IFERROR(VLOOKUP(E449,RISK!A:B,2,FALSE()),"")</f>
        <v>3.84810126582278</v>
      </c>
      <c r="N449" s="120" t="e">
        <f aca="false">VLOOKUP(E449,Q:R,2,FALSE())</f>
        <v>#N/A</v>
      </c>
    </row>
    <row r="450" customFormat="false" ht="14.25" hidden="false" customHeight="true" outlineLevel="0" collapsed="false">
      <c r="A450" s="0" t="n">
        <v>449</v>
      </c>
      <c r="B450" s="0" t="n">
        <v>12</v>
      </c>
      <c r="C450" s="0" t="s">
        <v>1253</v>
      </c>
      <c r="D450" s="0" t="s">
        <v>1121</v>
      </c>
      <c r="E450" s="0" t="s">
        <v>1254</v>
      </c>
      <c r="F450" s="0" t="s">
        <v>1038</v>
      </c>
      <c r="G450" s="0" t="s">
        <v>1038</v>
      </c>
      <c r="H450" s="0" t="s">
        <v>1038</v>
      </c>
      <c r="I450" s="0" t="s">
        <v>1038</v>
      </c>
      <c r="J450" s="0" t="s">
        <v>1038</v>
      </c>
      <c r="K450" s="0" t="n">
        <v>449</v>
      </c>
      <c r="L450" s="0" t="str">
        <f aca="false">C450</f>
        <v>Khalil Herbert</v>
      </c>
      <c r="M450" s="121" t="n">
        <f aca="false">IFERROR(VLOOKUP(E450,RISK!A:B,2,FALSE()),"")</f>
        <v>4</v>
      </c>
      <c r="N450" s="120" t="e">
        <f aca="false">VLOOKUP(E450,Q:R,2,FALSE())</f>
        <v>#N/A</v>
      </c>
    </row>
    <row r="451" customFormat="false" ht="14.25" hidden="false" customHeight="true" outlineLevel="0" collapsed="false">
      <c r="A451" s="0" t="n">
        <v>450</v>
      </c>
      <c r="B451" s="0" t="n">
        <v>12</v>
      </c>
      <c r="C451" s="0" t="s">
        <v>708</v>
      </c>
      <c r="D451" s="0" t="s">
        <v>522</v>
      </c>
      <c r="E451" s="0" t="s">
        <v>1255</v>
      </c>
      <c r="F451" s="0" t="n">
        <v>6</v>
      </c>
      <c r="G451" s="0" t="s">
        <v>1038</v>
      </c>
      <c r="H451" s="0" t="s">
        <v>1038</v>
      </c>
      <c r="I451" s="0" t="s">
        <v>1032</v>
      </c>
      <c r="J451" s="0" t="s">
        <v>1038</v>
      </c>
      <c r="K451" s="0" t="n">
        <v>450</v>
      </c>
      <c r="L451" s="0" t="str">
        <f aca="false">C451</f>
        <v>Max Bredeson</v>
      </c>
      <c r="M451" s="121" t="n">
        <f aca="false">IFERROR(VLOOKUP(E451,RISK!A:B,2,FALSE()),"")</f>
        <v>4</v>
      </c>
      <c r="N451" s="120" t="e">
        <f aca="false">VLOOKUP(E451,Q:R,2,FALSE())</f>
        <v>#N/A</v>
      </c>
    </row>
    <row r="452" customFormat="false" ht="14.25" hidden="false" customHeight="true" outlineLevel="0" collapsed="false">
      <c r="A452" s="0" t="n">
        <v>451</v>
      </c>
      <c r="B452" s="0" t="n">
        <v>12</v>
      </c>
      <c r="C452" s="0" t="s">
        <v>871</v>
      </c>
      <c r="D452" s="0" t="s">
        <v>502</v>
      </c>
      <c r="E452" s="0" t="s">
        <v>1256</v>
      </c>
      <c r="F452" s="0" t="n">
        <v>6</v>
      </c>
      <c r="G452" s="0" t="s">
        <v>1038</v>
      </c>
      <c r="H452" s="0" t="s">
        <v>1038</v>
      </c>
      <c r="I452" s="0" t="s">
        <v>1032</v>
      </c>
      <c r="J452" s="0" t="s">
        <v>1038</v>
      </c>
      <c r="K452" s="0" t="n">
        <v>451</v>
      </c>
      <c r="L452" s="0" t="str">
        <f aca="false">C452</f>
        <v>Dohnte Meyers</v>
      </c>
      <c r="M452" s="121" t="n">
        <f aca="false">IFERROR(VLOOKUP(E452,RISK!A:B,2,FALSE()),"")</f>
        <v>3.84810126582278</v>
      </c>
      <c r="N452" s="120" t="e">
        <f aca="false">VLOOKUP(E452,Q:R,2,FALSE())</f>
        <v>#N/A</v>
      </c>
    </row>
    <row r="453" customFormat="false" ht="14.25" hidden="false" customHeight="true" outlineLevel="0" collapsed="false">
      <c r="A453" s="0" t="n">
        <v>452</v>
      </c>
      <c r="B453" s="0" t="n">
        <v>12</v>
      </c>
      <c r="C453" s="0" t="s">
        <v>1257</v>
      </c>
      <c r="D453" s="0" t="s">
        <v>546</v>
      </c>
      <c r="E453" s="0" t="s">
        <v>1258</v>
      </c>
      <c r="F453" s="0" t="n">
        <v>14</v>
      </c>
      <c r="G453" s="0" t="s">
        <v>1038</v>
      </c>
      <c r="H453" s="0" t="s">
        <v>1038</v>
      </c>
      <c r="I453" s="0" t="s">
        <v>1031</v>
      </c>
      <c r="J453" s="0" t="s">
        <v>1038</v>
      </c>
      <c r="K453" s="0" t="n">
        <v>452</v>
      </c>
      <c r="L453" s="0" t="str">
        <f aca="false">C453</f>
        <v>Chad Ryland</v>
      </c>
      <c r="M453" s="121" t="str">
        <f aca="false">IFERROR(VLOOKUP(E453,RISK!A:B,2,FALSE()),"")</f>
        <v/>
      </c>
      <c r="N453" s="120" t="e">
        <f aca="false">VLOOKUP(E453,Q:R,2,FALSE())</f>
        <v>#N/A</v>
      </c>
    </row>
    <row r="454" customFormat="false" ht="14.25" hidden="false" customHeight="true" outlineLevel="0" collapsed="false">
      <c r="A454" s="0" t="n">
        <v>453</v>
      </c>
      <c r="B454" s="0" t="n">
        <v>12</v>
      </c>
      <c r="C454" s="0" t="s">
        <v>1259</v>
      </c>
      <c r="D454" s="0" t="s">
        <v>544</v>
      </c>
      <c r="E454" s="0" t="s">
        <v>1260</v>
      </c>
      <c r="F454" s="0" t="n">
        <v>9</v>
      </c>
      <c r="G454" s="0" t="s">
        <v>1038</v>
      </c>
      <c r="H454" s="0" t="s">
        <v>1038</v>
      </c>
      <c r="I454" s="0" t="s">
        <v>1035</v>
      </c>
      <c r="J454" s="0" t="s">
        <v>1038</v>
      </c>
      <c r="K454" s="0" t="n">
        <v>453</v>
      </c>
      <c r="L454" s="0" t="str">
        <f aca="false">C454</f>
        <v>Julius Chestnut</v>
      </c>
      <c r="M454" s="121" t="n">
        <f aca="false">IFERROR(VLOOKUP(E454,RISK!A:B,2,FALSE()),"")</f>
        <v>4</v>
      </c>
      <c r="N454" s="120" t="e">
        <f aca="false">VLOOKUP(E454,Q:R,2,FALSE())</f>
        <v>#N/A</v>
      </c>
    </row>
    <row r="455" customFormat="false" ht="14.25" hidden="false" customHeight="true" outlineLevel="0" collapsed="false">
      <c r="A455" s="0" t="n">
        <v>454</v>
      </c>
      <c r="B455" s="0" t="n">
        <v>12</v>
      </c>
      <c r="C455" s="0" t="s">
        <v>962</v>
      </c>
      <c r="D455" s="0" t="s">
        <v>506</v>
      </c>
      <c r="E455" s="0" t="s">
        <v>392</v>
      </c>
      <c r="F455" s="0" t="n">
        <v>7</v>
      </c>
      <c r="G455" s="0" t="s">
        <v>1038</v>
      </c>
      <c r="H455" s="0" t="s">
        <v>1038</v>
      </c>
      <c r="I455" s="0" t="s">
        <v>1035</v>
      </c>
      <c r="J455" s="0" t="s">
        <v>1038</v>
      </c>
      <c r="K455" s="0" t="n">
        <v>454</v>
      </c>
      <c r="L455" s="0" t="str">
        <f aca="false">C455</f>
        <v>Nate Boerkircher</v>
      </c>
      <c r="M455" s="121" t="n">
        <f aca="false">IFERROR(VLOOKUP(E455,RISK!A:B,2,FALSE()),"")</f>
        <v>2.2011</v>
      </c>
      <c r="N455" s="120" t="e">
        <f aca="false">VLOOKUP(E455,Q:R,2,FALSE())</f>
        <v>#N/A</v>
      </c>
    </row>
    <row r="456" customFormat="false" ht="14.25" hidden="false" customHeight="true" outlineLevel="0" collapsed="false">
      <c r="A456" s="0" t="n">
        <v>455</v>
      </c>
      <c r="B456" s="0" t="n">
        <v>12</v>
      </c>
      <c r="C456" s="0" t="s">
        <v>1261</v>
      </c>
      <c r="D456" s="0" t="s">
        <v>500</v>
      </c>
      <c r="E456" s="0" t="s">
        <v>1262</v>
      </c>
      <c r="F456" s="0" t="n">
        <v>10</v>
      </c>
      <c r="G456" s="0" t="s">
        <v>1038</v>
      </c>
      <c r="H456" s="0" t="s">
        <v>1038</v>
      </c>
      <c r="I456" s="0" t="s">
        <v>1032</v>
      </c>
      <c r="J456" s="0" t="s">
        <v>1038</v>
      </c>
      <c r="K456" s="0" t="n">
        <v>455</v>
      </c>
      <c r="L456" s="0" t="str">
        <f aca="false">C456</f>
        <v>Elijah Moore</v>
      </c>
      <c r="M456" s="121" t="n">
        <f aca="false">IFERROR(VLOOKUP(E456,RISK!A:B,2,FALSE()),"")</f>
        <v>3.84810126582278</v>
      </c>
      <c r="N456" s="120" t="e">
        <f aca="false">VLOOKUP(E456,Q:R,2,FALSE())</f>
        <v>#N/A</v>
      </c>
    </row>
    <row r="457" customFormat="false" ht="14.25" hidden="false" customHeight="true" outlineLevel="0" collapsed="false">
      <c r="A457" s="0" t="n">
        <v>456</v>
      </c>
      <c r="B457" s="0" t="n">
        <v>12</v>
      </c>
      <c r="C457" s="0" t="s">
        <v>945</v>
      </c>
      <c r="D457" s="0" t="s">
        <v>524</v>
      </c>
      <c r="E457" s="0" t="s">
        <v>395</v>
      </c>
      <c r="F457" s="0" t="n">
        <v>6</v>
      </c>
      <c r="G457" s="0" t="s">
        <v>1038</v>
      </c>
      <c r="H457" s="0" t="s">
        <v>1038</v>
      </c>
      <c r="I457" s="0" t="s">
        <v>1035</v>
      </c>
      <c r="J457" s="0" t="s">
        <v>1038</v>
      </c>
      <c r="K457" s="0" t="n">
        <v>456</v>
      </c>
      <c r="L457" s="0" t="str">
        <f aca="false">C457</f>
        <v>Brock Wright</v>
      </c>
      <c r="M457" s="121" t="n">
        <f aca="false">IFERROR(VLOOKUP(E457,RISK!A:B,2,FALSE()),"")</f>
        <v>2.2011</v>
      </c>
      <c r="N457" s="120" t="e">
        <f aca="false">VLOOKUP(E457,Q:R,2,FALSE())</f>
        <v>#N/A</v>
      </c>
    </row>
    <row r="458" customFormat="false" ht="14.25" hidden="false" customHeight="true" outlineLevel="0" collapsed="false">
      <c r="A458" s="0" t="n">
        <v>457</v>
      </c>
      <c r="B458" s="0" t="n">
        <v>12</v>
      </c>
      <c r="C458" s="0" t="s">
        <v>1263</v>
      </c>
      <c r="D458" s="0" t="s">
        <v>1121</v>
      </c>
      <c r="E458" s="0" t="s">
        <v>1264</v>
      </c>
      <c r="F458" s="0" t="s">
        <v>1038</v>
      </c>
      <c r="G458" s="0" t="s">
        <v>1038</v>
      </c>
      <c r="H458" s="0" t="s">
        <v>1038</v>
      </c>
      <c r="I458" s="0" t="s">
        <v>1038</v>
      </c>
      <c r="J458" s="0" t="s">
        <v>1038</v>
      </c>
      <c r="K458" s="0" t="n">
        <v>457</v>
      </c>
      <c r="L458" s="0" t="str">
        <f aca="false">C458</f>
        <v>Brandon McManus</v>
      </c>
      <c r="M458" s="121" t="str">
        <f aca="false">IFERROR(VLOOKUP(E458,RISK!A:B,2,FALSE()),"")</f>
        <v/>
      </c>
      <c r="N458" s="120" t="e">
        <f aca="false">VLOOKUP(E458,Q:R,2,FALSE())</f>
        <v>#N/A</v>
      </c>
    </row>
    <row r="459" customFormat="false" ht="14.25" hidden="false" customHeight="true" outlineLevel="0" collapsed="false">
      <c r="A459" s="0" t="n">
        <v>458</v>
      </c>
      <c r="B459" s="0" t="n">
        <v>12</v>
      </c>
      <c r="C459" s="0" t="s">
        <v>1265</v>
      </c>
      <c r="D459" s="0" t="s">
        <v>1121</v>
      </c>
      <c r="E459" s="0" t="s">
        <v>1266</v>
      </c>
      <c r="F459" s="0" t="s">
        <v>1038</v>
      </c>
      <c r="G459" s="0" t="s">
        <v>1038</v>
      </c>
      <c r="H459" s="0" t="s">
        <v>1038</v>
      </c>
      <c r="I459" s="0" t="s">
        <v>1038</v>
      </c>
      <c r="J459" s="0" t="s">
        <v>1038</v>
      </c>
      <c r="K459" s="0" t="n">
        <v>458</v>
      </c>
      <c r="L459" s="0" t="str">
        <f aca="false">C459</f>
        <v>Antonio Gibson</v>
      </c>
      <c r="M459" s="121" t="n">
        <f aca="false">IFERROR(VLOOKUP(E459,RISK!A:B,2,FALSE()),"")</f>
        <v>4</v>
      </c>
      <c r="N459" s="120" t="e">
        <f aca="false">VLOOKUP(E459,Q:R,2,FALSE())</f>
        <v>#N/A</v>
      </c>
    </row>
    <row r="460" customFormat="false" ht="14.25" hidden="false" customHeight="true" outlineLevel="0" collapsed="false">
      <c r="A460" s="0" t="n">
        <v>459</v>
      </c>
      <c r="B460" s="0" t="n">
        <v>12</v>
      </c>
      <c r="C460" s="0" t="s">
        <v>1267</v>
      </c>
      <c r="D460" s="0" t="s">
        <v>544</v>
      </c>
      <c r="E460" s="0" t="s">
        <v>1268</v>
      </c>
      <c r="F460" s="0" t="n">
        <v>9</v>
      </c>
      <c r="G460" s="0" t="s">
        <v>1038</v>
      </c>
      <c r="H460" s="0" t="s">
        <v>1038</v>
      </c>
      <c r="I460" s="0" t="s">
        <v>1032</v>
      </c>
      <c r="J460" s="0" t="s">
        <v>1038</v>
      </c>
      <c r="K460" s="0" t="n">
        <v>459</v>
      </c>
      <c r="L460" s="0" t="str">
        <f aca="false">C460</f>
        <v>Joey Slye</v>
      </c>
      <c r="M460" s="121" t="str">
        <f aca="false">IFERROR(VLOOKUP(E460,RISK!A:B,2,FALSE()),"")</f>
        <v/>
      </c>
      <c r="N460" s="120" t="e">
        <f aca="false">VLOOKUP(E460,Q:R,2,FALSE())</f>
        <v>#N/A</v>
      </c>
    </row>
    <row r="461" customFormat="false" ht="14.25" hidden="false" customHeight="true" outlineLevel="0" collapsed="false">
      <c r="A461" s="0" t="n">
        <v>460</v>
      </c>
      <c r="B461" s="0" t="n">
        <v>12</v>
      </c>
      <c r="C461" s="0" t="s">
        <v>1269</v>
      </c>
      <c r="D461" s="0" t="s">
        <v>552</v>
      </c>
      <c r="E461" s="0" t="s">
        <v>1270</v>
      </c>
      <c r="F461" s="0" t="n">
        <v>11</v>
      </c>
      <c r="G461" s="0" t="s">
        <v>1038</v>
      </c>
      <c r="H461" s="0" t="s">
        <v>1038</v>
      </c>
      <c r="I461" s="0" t="s">
        <v>1049</v>
      </c>
      <c r="J461" s="0" t="n">
        <v>-219</v>
      </c>
      <c r="K461" s="0" t="n">
        <v>460</v>
      </c>
      <c r="L461" s="0" t="str">
        <f aca="false">C461</f>
        <v>Nick Folk</v>
      </c>
      <c r="M461" s="121" t="str">
        <f aca="false">IFERROR(VLOOKUP(E461,RISK!A:B,2,FALSE()),"")</f>
        <v/>
      </c>
      <c r="N461" s="120" t="e">
        <f aca="false">VLOOKUP(E461,Q:R,2,FALSE())</f>
        <v>#N/A</v>
      </c>
    </row>
    <row r="462" customFormat="false" ht="14.25" hidden="false" customHeight="true" outlineLevel="0" collapsed="false">
      <c r="A462" s="0" t="n">
        <v>461</v>
      </c>
      <c r="B462" s="0" t="n">
        <v>12</v>
      </c>
      <c r="C462" s="0" t="s">
        <v>1271</v>
      </c>
      <c r="D462" s="0" t="s">
        <v>546</v>
      </c>
      <c r="E462" s="0" t="s">
        <v>1272</v>
      </c>
      <c r="F462" s="0" t="n">
        <v>14</v>
      </c>
      <c r="G462" s="0" t="s">
        <v>1038</v>
      </c>
      <c r="H462" s="0" t="s">
        <v>1038</v>
      </c>
      <c r="I462" s="0" t="s">
        <v>1031</v>
      </c>
      <c r="J462" s="0" t="s">
        <v>1038</v>
      </c>
      <c r="K462" s="0" t="n">
        <v>461</v>
      </c>
      <c r="L462" s="0" t="str">
        <f aca="false">C462</f>
        <v>Arizona Cardinals</v>
      </c>
      <c r="M462" s="121" t="str">
        <f aca="false">IFERROR(VLOOKUP(E462,RISK!A:B,2,FALSE()),"")</f>
        <v/>
      </c>
      <c r="N462" s="120" t="e">
        <f aca="false">VLOOKUP(E462,Q:R,2,FALSE())</f>
        <v>#N/A</v>
      </c>
    </row>
    <row r="463" customFormat="false" ht="14.25" hidden="false" customHeight="true" outlineLevel="0" collapsed="false">
      <c r="A463" s="0" t="n">
        <v>462</v>
      </c>
      <c r="B463" s="0" t="n">
        <v>12</v>
      </c>
      <c r="C463" s="0" t="s">
        <v>1273</v>
      </c>
      <c r="D463" s="0" t="s">
        <v>540</v>
      </c>
      <c r="E463" s="0" t="s">
        <v>1274</v>
      </c>
      <c r="F463" s="0" t="n">
        <v>5</v>
      </c>
      <c r="G463" s="0" t="s">
        <v>1038</v>
      </c>
      <c r="H463" s="0" t="s">
        <v>1038</v>
      </c>
      <c r="I463" s="0" t="s">
        <v>1049</v>
      </c>
      <c r="J463" s="0" t="s">
        <v>1038</v>
      </c>
      <c r="K463" s="0" t="n">
        <v>462</v>
      </c>
      <c r="L463" s="0" t="str">
        <f aca="false">C463</f>
        <v>Ryan Fitzgerald</v>
      </c>
      <c r="M463" s="121" t="str">
        <f aca="false">IFERROR(VLOOKUP(E463,RISK!A:B,2,FALSE()),"")</f>
        <v/>
      </c>
      <c r="N463" s="120" t="e">
        <f aca="false">VLOOKUP(E463,Q:R,2,FALSE())</f>
        <v>#N/A</v>
      </c>
    </row>
    <row r="464" customFormat="false" ht="14.25" hidden="false" customHeight="true" outlineLevel="0" collapsed="false">
      <c r="A464" s="0" t="n">
        <v>463</v>
      </c>
      <c r="B464" s="0" t="n">
        <v>12</v>
      </c>
      <c r="C464" s="0" t="s">
        <v>969</v>
      </c>
      <c r="D464" s="0" t="s">
        <v>510</v>
      </c>
      <c r="E464" s="0" t="s">
        <v>398</v>
      </c>
      <c r="F464" s="0" t="n">
        <v>14</v>
      </c>
      <c r="G464" s="0" t="s">
        <v>1038</v>
      </c>
      <c r="H464" s="0" t="s">
        <v>1038</v>
      </c>
      <c r="I464" s="0" t="s">
        <v>1031</v>
      </c>
      <c r="J464" s="0" t="s">
        <v>1038</v>
      </c>
      <c r="K464" s="0" t="n">
        <v>463</v>
      </c>
      <c r="L464" s="0" t="str">
        <f aca="false">C464</f>
        <v>Luke Schoonmaker</v>
      </c>
      <c r="M464" s="121" t="n">
        <f aca="false">IFERROR(VLOOKUP(E464,RISK!A:B,2,FALSE()),"")</f>
        <v>2.2011</v>
      </c>
      <c r="N464" s="120" t="e">
        <f aca="false">VLOOKUP(E464,Q:R,2,FALSE())</f>
        <v>#N/A</v>
      </c>
    </row>
    <row r="465" customFormat="false" ht="14.25" hidden="false" customHeight="true" outlineLevel="0" collapsed="false">
      <c r="A465" s="0" t="n">
        <v>464</v>
      </c>
      <c r="B465" s="0" t="n">
        <v>12</v>
      </c>
      <c r="C465" s="0" t="s">
        <v>1275</v>
      </c>
      <c r="D465" s="0" t="s">
        <v>528</v>
      </c>
      <c r="E465" s="0" t="s">
        <v>1276</v>
      </c>
      <c r="F465" s="0" t="n">
        <v>10</v>
      </c>
      <c r="G465" s="0" t="s">
        <v>1038</v>
      </c>
      <c r="H465" s="0" t="s">
        <v>1038</v>
      </c>
      <c r="I465" s="0" t="s">
        <v>1031</v>
      </c>
      <c r="J465" s="0" t="s">
        <v>1038</v>
      </c>
      <c r="K465" s="0" t="n">
        <v>464</v>
      </c>
      <c r="L465" s="0" t="str">
        <f aca="false">C465</f>
        <v>Josh Williams</v>
      </c>
      <c r="M465" s="121" t="n">
        <f aca="false">IFERROR(VLOOKUP(E465,RISK!A:B,2,FALSE()),"")</f>
        <v>4</v>
      </c>
      <c r="N465" s="120" t="e">
        <f aca="false">VLOOKUP(E465,Q:R,2,FALSE())</f>
        <v>#N/A</v>
      </c>
    </row>
    <row r="466" customFormat="false" ht="14.25" hidden="false" customHeight="true" outlineLevel="0" collapsed="false">
      <c r="A466" s="0" t="n">
        <v>465</v>
      </c>
      <c r="B466" s="0" t="n">
        <v>12</v>
      </c>
      <c r="C466" s="0" t="s">
        <v>1277</v>
      </c>
      <c r="D466" s="0" t="s">
        <v>1121</v>
      </c>
      <c r="E466" s="0" t="s">
        <v>1278</v>
      </c>
      <c r="F466" s="0" t="s">
        <v>1038</v>
      </c>
      <c r="G466" s="0" t="s">
        <v>1038</v>
      </c>
      <c r="H466" s="0" t="s">
        <v>1038</v>
      </c>
      <c r="I466" s="0" t="s">
        <v>1038</v>
      </c>
      <c r="J466" s="0" t="s">
        <v>1038</v>
      </c>
      <c r="K466" s="0" t="n">
        <v>465</v>
      </c>
      <c r="L466" s="0" t="str">
        <f aca="false">C466</f>
        <v>Damien Martinez</v>
      </c>
      <c r="M466" s="121" t="n">
        <f aca="false">IFERROR(VLOOKUP(E466,RISK!A:B,2,FALSE()),"")</f>
        <v>4</v>
      </c>
      <c r="N466" s="120" t="e">
        <f aca="false">VLOOKUP(E466,Q:R,2,FALSE())</f>
        <v>#N/A</v>
      </c>
    </row>
    <row r="467" customFormat="false" ht="14.25" hidden="false" customHeight="true" outlineLevel="0" collapsed="false">
      <c r="A467" s="0" t="n">
        <v>466</v>
      </c>
      <c r="B467" s="0" t="n">
        <v>12</v>
      </c>
      <c r="C467" s="0" t="s">
        <v>1279</v>
      </c>
      <c r="D467" s="0" t="s">
        <v>552</v>
      </c>
      <c r="E467" s="0" t="s">
        <v>1280</v>
      </c>
      <c r="F467" s="0" t="n">
        <v>11</v>
      </c>
      <c r="G467" s="0" t="s">
        <v>1038</v>
      </c>
      <c r="H467" s="0" t="s">
        <v>1038</v>
      </c>
      <c r="I467" s="0" t="s">
        <v>1031</v>
      </c>
      <c r="J467" s="0" t="s">
        <v>1038</v>
      </c>
      <c r="K467" s="0" t="n">
        <v>466</v>
      </c>
      <c r="L467" s="0" t="str">
        <f aca="false">C467</f>
        <v>Tyler Goodson</v>
      </c>
      <c r="M467" s="121" t="n">
        <f aca="false">IFERROR(VLOOKUP(E467,RISK!A:B,2,FALSE()),"")</f>
        <v>4</v>
      </c>
      <c r="N467" s="120" t="e">
        <f aca="false">VLOOKUP(E467,Q:R,2,FALSE())</f>
        <v>#N/A</v>
      </c>
    </row>
    <row r="468" customFormat="false" ht="14.25" hidden="false" customHeight="true" outlineLevel="0" collapsed="false">
      <c r="A468" s="0" t="n">
        <v>467</v>
      </c>
      <c r="B468" s="0" t="n">
        <v>12</v>
      </c>
      <c r="C468" s="0" t="s">
        <v>1281</v>
      </c>
      <c r="D468" s="0" t="s">
        <v>552</v>
      </c>
      <c r="E468" s="0" t="s">
        <v>1282</v>
      </c>
      <c r="F468" s="0" t="n">
        <v>11</v>
      </c>
      <c r="G468" s="0" t="s">
        <v>1038</v>
      </c>
      <c r="H468" s="0" t="s">
        <v>1038</v>
      </c>
      <c r="I468" s="0" t="s">
        <v>1035</v>
      </c>
      <c r="J468" s="0" t="s">
        <v>1038</v>
      </c>
      <c r="K468" s="0" t="n">
        <v>467</v>
      </c>
      <c r="L468" s="0" t="str">
        <f aca="false">C468</f>
        <v>Chris Blair</v>
      </c>
      <c r="M468" s="121" t="n">
        <f aca="false">IFERROR(VLOOKUP(E468,RISK!A:B,2,FALSE()),"")</f>
        <v>3.84810126582278</v>
      </c>
      <c r="N468" s="120" t="e">
        <f aca="false">VLOOKUP(E468,Q:R,2,FALSE())</f>
        <v>#N/A</v>
      </c>
    </row>
    <row r="469" customFormat="false" ht="14.25" hidden="false" customHeight="true" outlineLevel="0" collapsed="false">
      <c r="A469" s="0" t="n">
        <v>468</v>
      </c>
      <c r="B469" s="0" t="n">
        <v>12</v>
      </c>
      <c r="C469" s="0" t="s">
        <v>1283</v>
      </c>
      <c r="D469" s="0" t="s">
        <v>496</v>
      </c>
      <c r="E469" s="0" t="s">
        <v>1284</v>
      </c>
      <c r="F469" s="0" t="n">
        <v>7</v>
      </c>
      <c r="G469" s="0" t="s">
        <v>1038</v>
      </c>
      <c r="H469" s="0" t="s">
        <v>1038</v>
      </c>
      <c r="I469" s="0" t="s">
        <v>1032</v>
      </c>
      <c r="J469" s="0" t="s">
        <v>1038</v>
      </c>
      <c r="K469" s="0" t="n">
        <v>468</v>
      </c>
      <c r="L469" s="0" t="str">
        <f aca="false">C469</f>
        <v>Robert Henry Jr.</v>
      </c>
      <c r="M469" s="121" t="n">
        <f aca="false">IFERROR(VLOOKUP(E469,RISK!A:B,2,FALSE()),"")</f>
        <v>4</v>
      </c>
      <c r="N469" s="120" t="e">
        <f aca="false">VLOOKUP(E469,Q:R,2,FALSE())</f>
        <v>#N/A</v>
      </c>
    </row>
    <row r="470" customFormat="false" ht="14.25" hidden="false" customHeight="true" outlineLevel="0" collapsed="false">
      <c r="A470" s="0" t="n">
        <v>469</v>
      </c>
      <c r="B470" s="0" t="n">
        <v>12</v>
      </c>
      <c r="C470" s="0" t="s">
        <v>1285</v>
      </c>
      <c r="D470" s="0" t="s">
        <v>496</v>
      </c>
      <c r="E470" s="0" t="s">
        <v>1286</v>
      </c>
      <c r="F470" s="0" t="n">
        <v>7</v>
      </c>
      <c r="G470" s="0" t="s">
        <v>1038</v>
      </c>
      <c r="H470" s="0" t="s">
        <v>1038</v>
      </c>
      <c r="I470" s="0" t="s">
        <v>1031</v>
      </c>
      <c r="J470" s="0" t="s">
        <v>1038</v>
      </c>
      <c r="K470" s="0" t="n">
        <v>469</v>
      </c>
      <c r="L470" s="0" t="str">
        <f aca="false">C470</f>
        <v>Washington Commanders</v>
      </c>
      <c r="M470" s="121" t="str">
        <f aca="false">IFERROR(VLOOKUP(E470,RISK!A:B,2,FALSE()),"")</f>
        <v/>
      </c>
      <c r="N470" s="120" t="e">
        <f aca="false">VLOOKUP(E470,Q:R,2,FALSE())</f>
        <v>#N/A</v>
      </c>
    </row>
    <row r="471" customFormat="false" ht="14.25" hidden="false" customHeight="true" outlineLevel="0" collapsed="false">
      <c r="A471" s="0" t="n">
        <v>470</v>
      </c>
      <c r="B471" s="0" t="n">
        <v>12</v>
      </c>
      <c r="C471" s="0" t="s">
        <v>1287</v>
      </c>
      <c r="D471" s="0" t="s">
        <v>542</v>
      </c>
      <c r="E471" s="0" t="s">
        <v>1288</v>
      </c>
      <c r="F471" s="0" t="n">
        <v>13</v>
      </c>
      <c r="G471" s="0" t="s">
        <v>1038</v>
      </c>
      <c r="H471" s="0" t="s">
        <v>1038</v>
      </c>
      <c r="I471" s="0" t="s">
        <v>1032</v>
      </c>
      <c r="J471" s="0" t="s">
        <v>1038</v>
      </c>
      <c r="K471" s="0" t="n">
        <v>470</v>
      </c>
      <c r="L471" s="0" t="str">
        <f aca="false">C471</f>
        <v>New York Jets</v>
      </c>
      <c r="M471" s="121" t="str">
        <f aca="false">IFERROR(VLOOKUP(E471,RISK!A:B,2,FALSE()),"")</f>
        <v/>
      </c>
      <c r="N471" s="120" t="e">
        <f aca="false">VLOOKUP(E471,Q:R,2,FALSE())</f>
        <v>#N/A</v>
      </c>
    </row>
    <row r="472" customFormat="false" ht="14.25" hidden="false" customHeight="true" outlineLevel="0" collapsed="false">
      <c r="A472" s="0" t="n">
        <v>471</v>
      </c>
      <c r="B472" s="0" t="n">
        <v>12</v>
      </c>
      <c r="C472" s="0" t="s">
        <v>875</v>
      </c>
      <c r="D472" s="0" t="s">
        <v>506</v>
      </c>
      <c r="E472" s="0" t="s">
        <v>1289</v>
      </c>
      <c r="F472" s="0" t="n">
        <v>7</v>
      </c>
      <c r="G472" s="0" t="s">
        <v>1038</v>
      </c>
      <c r="H472" s="0" t="s">
        <v>1038</v>
      </c>
      <c r="I472" s="0" t="s">
        <v>1032</v>
      </c>
      <c r="J472" s="0" t="s">
        <v>1038</v>
      </c>
      <c r="K472" s="0" t="n">
        <v>471</v>
      </c>
      <c r="L472" s="0" t="str">
        <f aca="false">C472</f>
        <v>Josh Cameron</v>
      </c>
      <c r="M472" s="121" t="n">
        <f aca="false">IFERROR(VLOOKUP(E472,RISK!A:B,2,FALSE()),"")</f>
        <v>3.84810126582278</v>
      </c>
      <c r="N472" s="120" t="e">
        <f aca="false">VLOOKUP(E472,Q:R,2,FALSE())</f>
        <v>#N/A</v>
      </c>
    </row>
    <row r="473" customFormat="false" ht="14.25" hidden="false" customHeight="true" outlineLevel="0" collapsed="false">
      <c r="A473" s="0" t="n">
        <v>472</v>
      </c>
      <c r="B473" s="0" t="n">
        <v>12</v>
      </c>
      <c r="C473" s="0" t="s">
        <v>1290</v>
      </c>
      <c r="D473" s="0" t="s">
        <v>1121</v>
      </c>
      <c r="E473" s="0" t="s">
        <v>401</v>
      </c>
      <c r="F473" s="0" t="s">
        <v>1038</v>
      </c>
      <c r="G473" s="0" t="s">
        <v>1038</v>
      </c>
      <c r="H473" s="0" t="s">
        <v>1038</v>
      </c>
      <c r="I473" s="0" t="s">
        <v>1038</v>
      </c>
      <c r="J473" s="0" t="s">
        <v>1038</v>
      </c>
      <c r="K473" s="0" t="n">
        <v>472</v>
      </c>
      <c r="L473" s="0" t="str">
        <f aca="false">C473</f>
        <v>Tommy Myers</v>
      </c>
      <c r="M473" s="121" t="n">
        <f aca="false">IFERROR(VLOOKUP(E473,RISK!A:B,2,FALSE()),"")</f>
        <v>2.2011</v>
      </c>
      <c r="N473" s="120" t="e">
        <f aca="false">VLOOKUP(E473,Q:R,2,FALSE())</f>
        <v>#N/A</v>
      </c>
    </row>
    <row r="474" customFormat="false" ht="14.25" hidden="false" customHeight="true" outlineLevel="0" collapsed="false">
      <c r="A474" s="0" t="n">
        <v>473</v>
      </c>
      <c r="B474" s="0" t="n">
        <v>12</v>
      </c>
      <c r="C474" s="0" t="s">
        <v>1291</v>
      </c>
      <c r="D474" s="0" t="s">
        <v>514</v>
      </c>
      <c r="E474" s="0" t="s">
        <v>1292</v>
      </c>
      <c r="F474" s="0" t="n">
        <v>10</v>
      </c>
      <c r="G474" s="0" t="s">
        <v>1038</v>
      </c>
      <c r="H474" s="0" t="s">
        <v>1038</v>
      </c>
      <c r="I474" s="0" t="s">
        <v>1031</v>
      </c>
      <c r="J474" s="0" t="s">
        <v>1038</v>
      </c>
      <c r="K474" s="0" t="n">
        <v>473</v>
      </c>
      <c r="L474" s="0" t="str">
        <f aca="false">C474</f>
        <v>Brittain Brown</v>
      </c>
      <c r="M474" s="121" t="n">
        <f aca="false">IFERROR(VLOOKUP(E474,RISK!A:B,2,FALSE()),"")</f>
        <v>4</v>
      </c>
      <c r="N474" s="120" t="e">
        <f aca="false">VLOOKUP(E474,Q:R,2,FALSE())</f>
        <v>#N/A</v>
      </c>
    </row>
    <row r="475" customFormat="false" ht="14.25" hidden="false" customHeight="true" outlineLevel="0" collapsed="false">
      <c r="A475" s="0" t="n">
        <v>474</v>
      </c>
      <c r="B475" s="0" t="n">
        <v>12</v>
      </c>
      <c r="C475" s="0" t="s">
        <v>868</v>
      </c>
      <c r="D475" s="0" t="s">
        <v>524</v>
      </c>
      <c r="E475" s="0" t="s">
        <v>1293</v>
      </c>
      <c r="F475" s="0" t="n">
        <v>6</v>
      </c>
      <c r="G475" s="0" t="s">
        <v>1038</v>
      </c>
      <c r="H475" s="0" t="s">
        <v>1038</v>
      </c>
      <c r="I475" s="0" t="s">
        <v>1032</v>
      </c>
      <c r="J475" s="0" t="s">
        <v>1038</v>
      </c>
      <c r="K475" s="0" t="n">
        <v>474</v>
      </c>
      <c r="L475" s="0" t="str">
        <f aca="false">C475</f>
        <v>Tay Martin</v>
      </c>
      <c r="M475" s="121" t="n">
        <f aca="false">IFERROR(VLOOKUP(E475,RISK!A:B,2,FALSE()),"")</f>
        <v>3.84810126582278</v>
      </c>
      <c r="N475" s="120" t="e">
        <f aca="false">VLOOKUP(E475,Q:R,2,FALSE())</f>
        <v>#N/A</v>
      </c>
    </row>
    <row r="476" customFormat="false" ht="14.25" hidden="false" customHeight="true" outlineLevel="0" collapsed="false">
      <c r="A476" s="0" t="n">
        <v>475</v>
      </c>
      <c r="B476" s="0" t="n">
        <v>12</v>
      </c>
      <c r="C476" s="0" t="s">
        <v>1294</v>
      </c>
      <c r="D476" s="0" t="s">
        <v>550</v>
      </c>
      <c r="E476" s="0" t="s">
        <v>1295</v>
      </c>
      <c r="F476" s="0" t="n">
        <v>13</v>
      </c>
      <c r="G476" s="0" t="s">
        <v>1038</v>
      </c>
      <c r="H476" s="0" t="s">
        <v>1038</v>
      </c>
      <c r="I476" s="0" t="s">
        <v>1031</v>
      </c>
      <c r="J476" s="0" t="s">
        <v>1038</v>
      </c>
      <c r="K476" s="0" t="n">
        <v>475</v>
      </c>
      <c r="L476" s="0" t="str">
        <f aca="false">C476</f>
        <v>Tyler Lockett</v>
      </c>
      <c r="M476" s="121" t="n">
        <f aca="false">IFERROR(VLOOKUP(E476,RISK!A:B,2,FALSE()),"")</f>
        <v>3.84810126582278</v>
      </c>
      <c r="N476" s="120" t="e">
        <f aca="false">VLOOKUP(E476,Q:R,2,FALSE())</f>
        <v>#N/A</v>
      </c>
    </row>
    <row r="477" customFormat="false" ht="14.25" hidden="false" customHeight="true" outlineLevel="0" collapsed="false">
      <c r="A477" s="0" t="n">
        <v>476</v>
      </c>
      <c r="B477" s="0" t="n">
        <v>12</v>
      </c>
      <c r="C477" s="0" t="s">
        <v>942</v>
      </c>
      <c r="D477" s="0" t="s">
        <v>534</v>
      </c>
      <c r="E477" s="0" t="s">
        <v>404</v>
      </c>
      <c r="F477" s="0" t="n">
        <v>6</v>
      </c>
      <c r="G477" s="0" t="s">
        <v>1038</v>
      </c>
      <c r="H477" s="0" t="s">
        <v>1038</v>
      </c>
      <c r="I477" s="0" t="s">
        <v>1030</v>
      </c>
      <c r="J477" s="0" t="s">
        <v>1038</v>
      </c>
      <c r="K477" s="0" t="n">
        <v>476</v>
      </c>
      <c r="L477" s="0" t="str">
        <f aca="false">C477</f>
        <v>Will Kacmarek</v>
      </c>
      <c r="M477" s="121" t="n">
        <f aca="false">IFERROR(VLOOKUP(E477,RISK!A:B,2,FALSE()),"")</f>
        <v>2.2011</v>
      </c>
      <c r="N477" s="120" t="e">
        <f aca="false">VLOOKUP(E477,Q:R,2,FALSE())</f>
        <v>#N/A</v>
      </c>
    </row>
    <row r="478" customFormat="false" ht="14.25" hidden="false" customHeight="true" outlineLevel="0" collapsed="false">
      <c r="A478" s="0" t="n">
        <v>477</v>
      </c>
      <c r="B478" s="0" t="n">
        <v>12</v>
      </c>
      <c r="C478" s="0" t="s">
        <v>1007</v>
      </c>
      <c r="D478" s="0" t="s">
        <v>542</v>
      </c>
      <c r="E478" s="0" t="s">
        <v>407</v>
      </c>
      <c r="F478" s="0" t="n">
        <v>13</v>
      </c>
      <c r="G478" s="0" t="s">
        <v>1038</v>
      </c>
      <c r="H478" s="0" t="s">
        <v>1038</v>
      </c>
      <c r="I478" s="0" t="s">
        <v>1032</v>
      </c>
      <c r="J478" s="0" t="s">
        <v>1038</v>
      </c>
      <c r="K478" s="0" t="n">
        <v>477</v>
      </c>
      <c r="L478" s="0" t="str">
        <f aca="false">C478</f>
        <v>Jelani Woods</v>
      </c>
      <c r="M478" s="121" t="n">
        <f aca="false">IFERROR(VLOOKUP(E478,RISK!A:B,2,FALSE()),"")</f>
        <v>2.2011</v>
      </c>
      <c r="N478" s="120" t="e">
        <f aca="false">VLOOKUP(E478,Q:R,2,FALSE())</f>
        <v>#N/A</v>
      </c>
    </row>
    <row r="479" customFormat="false" ht="14.25" hidden="false" customHeight="true" outlineLevel="0" collapsed="false">
      <c r="A479" s="0" t="n">
        <v>478</v>
      </c>
      <c r="B479" s="0" t="n">
        <v>12</v>
      </c>
      <c r="C479" s="0" t="s">
        <v>879</v>
      </c>
      <c r="D479" s="0" t="s">
        <v>546</v>
      </c>
      <c r="E479" s="0" t="s">
        <v>1296</v>
      </c>
      <c r="F479" s="0" t="n">
        <v>14</v>
      </c>
      <c r="G479" s="0" t="s">
        <v>1038</v>
      </c>
      <c r="H479" s="0" t="s">
        <v>1038</v>
      </c>
      <c r="I479" s="0" t="s">
        <v>1031</v>
      </c>
      <c r="J479" s="0" t="s">
        <v>1038</v>
      </c>
      <c r="K479" s="0" t="n">
        <v>478</v>
      </c>
      <c r="L479" s="0" t="str">
        <f aca="false">C479</f>
        <v>Reggie Virgil</v>
      </c>
      <c r="M479" s="121" t="n">
        <f aca="false">IFERROR(VLOOKUP(E479,RISK!A:B,2,FALSE()),"")</f>
        <v>3.84810126582278</v>
      </c>
      <c r="N479" s="120" t="e">
        <f aca="false">VLOOKUP(E479,Q:R,2,FALSE())</f>
        <v>#N/A</v>
      </c>
    </row>
    <row r="480" customFormat="false" ht="14.25" hidden="false" customHeight="true" outlineLevel="0" collapsed="false">
      <c r="A480" s="0" t="n">
        <v>479</v>
      </c>
      <c r="B480" s="0" t="n">
        <v>12</v>
      </c>
      <c r="C480" s="0" t="s">
        <v>704</v>
      </c>
      <c r="D480" s="0" t="s">
        <v>542</v>
      </c>
      <c r="E480" s="0" t="s">
        <v>1297</v>
      </c>
      <c r="F480" s="0" t="n">
        <v>13</v>
      </c>
      <c r="G480" s="0" t="s">
        <v>1038</v>
      </c>
      <c r="H480" s="0" t="s">
        <v>1038</v>
      </c>
      <c r="I480" s="0" t="s">
        <v>1035</v>
      </c>
      <c r="J480" s="0" t="s">
        <v>1038</v>
      </c>
      <c r="K480" s="0" t="n">
        <v>479</v>
      </c>
      <c r="L480" s="0" t="str">
        <f aca="false">C480</f>
        <v>Kene Nwangwu</v>
      </c>
      <c r="M480" s="121" t="n">
        <f aca="false">IFERROR(VLOOKUP(E480,RISK!A:B,2,FALSE()),"")</f>
        <v>4</v>
      </c>
      <c r="N480" s="120" t="e">
        <f aca="false">VLOOKUP(E480,Q:R,2,FALSE())</f>
        <v>#N/A</v>
      </c>
    </row>
    <row r="481" customFormat="false" ht="14.25" hidden="false" customHeight="true" outlineLevel="0" collapsed="false">
      <c r="A481" s="0" t="n">
        <v>480</v>
      </c>
      <c r="B481" s="0" t="n">
        <v>12</v>
      </c>
      <c r="C481" s="0" t="s">
        <v>1298</v>
      </c>
      <c r="D481" s="0" t="s">
        <v>490</v>
      </c>
      <c r="E481" s="0" t="s">
        <v>1299</v>
      </c>
      <c r="F481" s="0" t="n">
        <v>7</v>
      </c>
      <c r="G481" s="0" t="s">
        <v>1038</v>
      </c>
      <c r="H481" s="0" t="s">
        <v>1038</v>
      </c>
      <c r="I481" s="0" t="s">
        <v>1032</v>
      </c>
      <c r="J481" s="0" t="s">
        <v>1038</v>
      </c>
      <c r="K481" s="0" t="n">
        <v>480</v>
      </c>
      <c r="L481" s="0" t="str">
        <f aca="false">C481</f>
        <v>Greg Dortch</v>
      </c>
      <c r="M481" s="121" t="n">
        <f aca="false">IFERROR(VLOOKUP(E481,RISK!A:B,2,FALSE()),"")</f>
        <v>3.84810126582278</v>
      </c>
      <c r="N481" s="120" t="e">
        <f aca="false">VLOOKUP(E481,Q:R,2,FALSE())</f>
        <v>#N/A</v>
      </c>
    </row>
    <row r="482" customFormat="false" ht="14.25" hidden="false" customHeight="true" outlineLevel="0" collapsed="false">
      <c r="A482" s="0" t="n">
        <v>481</v>
      </c>
      <c r="B482" s="0" t="n">
        <v>12</v>
      </c>
      <c r="C482" s="0" t="s">
        <v>1300</v>
      </c>
      <c r="D482" s="0" t="s">
        <v>1121</v>
      </c>
      <c r="E482" s="0" t="s">
        <v>1301</v>
      </c>
      <c r="F482" s="0" t="s">
        <v>1038</v>
      </c>
      <c r="G482" s="0" t="s">
        <v>1038</v>
      </c>
      <c r="H482" s="0" t="s">
        <v>1038</v>
      </c>
      <c r="I482" s="0" t="s">
        <v>1038</v>
      </c>
      <c r="J482" s="0" t="s">
        <v>1038</v>
      </c>
      <c r="K482" s="0" t="n">
        <v>481</v>
      </c>
      <c r="L482" s="0" t="str">
        <f aca="false">C482</f>
        <v>Marquez Valdes-Scantling</v>
      </c>
      <c r="M482" s="121" t="n">
        <f aca="false">IFERROR(VLOOKUP(E482,RISK!A:B,2,FALSE()),"")</f>
        <v>3.84810126582278</v>
      </c>
      <c r="N482" s="120" t="e">
        <f aca="false">VLOOKUP(E482,Q:R,2,FALSE())</f>
        <v>#N/A</v>
      </c>
    </row>
    <row r="483" customFormat="false" ht="14.25" hidden="false" customHeight="true" outlineLevel="0" collapsed="false">
      <c r="A483" s="0" t="n">
        <v>482</v>
      </c>
      <c r="B483" s="0" t="n">
        <v>12</v>
      </c>
      <c r="C483" s="0" t="s">
        <v>1302</v>
      </c>
      <c r="D483" s="0" t="s">
        <v>554</v>
      </c>
      <c r="E483" s="0" t="s">
        <v>316</v>
      </c>
      <c r="F483" s="0" t="n">
        <v>11</v>
      </c>
      <c r="G483" s="0" t="s">
        <v>1038</v>
      </c>
      <c r="H483" s="0" t="s">
        <v>1038</v>
      </c>
      <c r="I483" s="0" t="s">
        <v>1032</v>
      </c>
      <c r="J483" s="0" t="s">
        <v>1038</v>
      </c>
      <c r="K483" s="0" t="n">
        <v>482</v>
      </c>
      <c r="L483" s="0" t="str">
        <f aca="false">C483</f>
        <v>Taylen Green</v>
      </c>
      <c r="M483" s="121" t="n">
        <f aca="false">IFERROR(VLOOKUP(E483,RISK!A:B,2,FALSE()),"")</f>
        <v>3.2</v>
      </c>
      <c r="N483" s="120" t="n">
        <f aca="false">VLOOKUP(E483,Q:R,2,FALSE())</f>
        <v>4.98423529411765</v>
      </c>
    </row>
    <row r="484" customFormat="false" ht="14.25" hidden="false" customHeight="true" outlineLevel="0" collapsed="false">
      <c r="A484" s="0" t="n">
        <v>483</v>
      </c>
      <c r="B484" s="0" t="n">
        <v>12</v>
      </c>
      <c r="C484" s="0" t="s">
        <v>570</v>
      </c>
      <c r="D484" s="0" t="s">
        <v>530</v>
      </c>
      <c r="E484" s="0" t="s">
        <v>320</v>
      </c>
      <c r="F484" s="0" t="n">
        <v>11</v>
      </c>
      <c r="G484" s="0" t="s">
        <v>1038</v>
      </c>
      <c r="H484" s="0" t="s">
        <v>1038</v>
      </c>
      <c r="I484" s="0" t="s">
        <v>1032</v>
      </c>
      <c r="J484" s="0" t="s">
        <v>1038</v>
      </c>
      <c r="K484" s="0" t="n">
        <v>483</v>
      </c>
      <c r="L484" s="0" t="str">
        <f aca="false">C484</f>
        <v>Tyrod Taylor</v>
      </c>
      <c r="M484" s="121" t="n">
        <f aca="false">IFERROR(VLOOKUP(E484,RISK!A:B,2,FALSE()),"")</f>
        <v>3.2</v>
      </c>
      <c r="N484" s="120" t="n">
        <f aca="false">VLOOKUP(E484,Q:R,2,FALSE())</f>
        <v>0</v>
      </c>
    </row>
    <row r="485" customFormat="false" ht="14.25" hidden="false" customHeight="true" outlineLevel="0" collapsed="false">
      <c r="A485" s="0" t="n">
        <v>484</v>
      </c>
      <c r="B485" s="0" t="n">
        <v>12</v>
      </c>
      <c r="C485" s="0" t="s">
        <v>1303</v>
      </c>
      <c r="D485" s="0" t="s">
        <v>518</v>
      </c>
      <c r="E485" s="0" t="s">
        <v>1304</v>
      </c>
      <c r="F485" s="0" t="n">
        <v>10</v>
      </c>
      <c r="G485" s="0" t="s">
        <v>1038</v>
      </c>
      <c r="H485" s="0" t="s">
        <v>1038</v>
      </c>
      <c r="I485" s="0" t="s">
        <v>1031</v>
      </c>
      <c r="J485" s="0" t="s">
        <v>1038</v>
      </c>
      <c r="K485" s="0" t="n">
        <v>484</v>
      </c>
      <c r="L485" s="0" t="str">
        <f aca="false">C485</f>
        <v>Lil'Jordan Humphrey</v>
      </c>
      <c r="M485" s="121" t="n">
        <f aca="false">IFERROR(VLOOKUP(E485,RISK!A:B,2,FALSE()),"")</f>
        <v>3.84810126582278</v>
      </c>
      <c r="N485" s="120" t="e">
        <f aca="false">VLOOKUP(E485,Q:R,2,FALSE())</f>
        <v>#N/A</v>
      </c>
    </row>
    <row r="486" customFormat="false" ht="14.25" hidden="false" customHeight="true" outlineLevel="0" collapsed="false">
      <c r="A486" s="0" t="n">
        <v>485</v>
      </c>
      <c r="B486" s="0" t="n">
        <v>12</v>
      </c>
      <c r="C486" s="0" t="s">
        <v>961</v>
      </c>
      <c r="D486" s="0" t="s">
        <v>502</v>
      </c>
      <c r="E486" s="0" t="s">
        <v>410</v>
      </c>
      <c r="F486" s="0" t="n">
        <v>6</v>
      </c>
      <c r="G486" s="0" t="s">
        <v>1038</v>
      </c>
      <c r="H486" s="0" t="s">
        <v>1038</v>
      </c>
      <c r="I486" s="0" t="s">
        <v>1035</v>
      </c>
      <c r="J486" s="0" t="s">
        <v>1038</v>
      </c>
      <c r="K486" s="0" t="n">
        <v>485</v>
      </c>
      <c r="L486" s="0" t="str">
        <f aca="false">C486</f>
        <v>Drew Sample</v>
      </c>
      <c r="M486" s="121" t="n">
        <f aca="false">IFERROR(VLOOKUP(E486,RISK!A:B,2,FALSE()),"")</f>
        <v>2.2011</v>
      </c>
      <c r="N486" s="120" t="e">
        <f aca="false">VLOOKUP(E486,Q:R,2,FALSE())</f>
        <v>#N/A</v>
      </c>
    </row>
    <row r="487" customFormat="false" ht="14.25" hidden="false" customHeight="true" outlineLevel="0" collapsed="false">
      <c r="A487" s="0" t="n">
        <v>486</v>
      </c>
      <c r="B487" s="0" t="n">
        <v>12</v>
      </c>
      <c r="C487" s="0" t="s">
        <v>989</v>
      </c>
      <c r="D487" s="0" t="s">
        <v>514</v>
      </c>
      <c r="E487" s="0" t="s">
        <v>413</v>
      </c>
      <c r="F487" s="0" t="n">
        <v>10</v>
      </c>
      <c r="G487" s="0" t="s">
        <v>1038</v>
      </c>
      <c r="H487" s="0" t="s">
        <v>1038</v>
      </c>
      <c r="I487" s="0" t="s">
        <v>1031</v>
      </c>
      <c r="J487" s="0" t="s">
        <v>1038</v>
      </c>
      <c r="K487" s="0" t="n">
        <v>486</v>
      </c>
      <c r="L487" s="0" t="str">
        <f aca="false">C487</f>
        <v>Sam Roush</v>
      </c>
      <c r="M487" s="121" t="n">
        <f aca="false">IFERROR(VLOOKUP(E487,RISK!A:B,2,FALSE()),"")</f>
        <v>2.2011</v>
      </c>
      <c r="N487" s="120" t="e">
        <f aca="false">VLOOKUP(E487,Q:R,2,FALSE())</f>
        <v>#N/A</v>
      </c>
    </row>
    <row r="488" customFormat="false" ht="14.25" hidden="false" customHeight="true" outlineLevel="0" collapsed="false">
      <c r="A488" s="0" t="n">
        <v>487</v>
      </c>
      <c r="B488" s="0" t="n">
        <v>12</v>
      </c>
      <c r="C488" s="0" t="s">
        <v>974</v>
      </c>
      <c r="D488" s="0" t="s">
        <v>532</v>
      </c>
      <c r="E488" s="0" t="s">
        <v>416</v>
      </c>
      <c r="F488" s="0" t="n">
        <v>13</v>
      </c>
      <c r="G488" s="0" t="s">
        <v>1038</v>
      </c>
      <c r="H488" s="0" t="s">
        <v>1038</v>
      </c>
      <c r="I488" s="0" t="s">
        <v>1035</v>
      </c>
      <c r="J488" s="0" t="s">
        <v>1038</v>
      </c>
      <c r="K488" s="0" t="n">
        <v>487</v>
      </c>
      <c r="L488" s="0" t="str">
        <f aca="false">C488</f>
        <v>Mo Alie-Cox</v>
      </c>
      <c r="M488" s="121" t="n">
        <f aca="false">IFERROR(VLOOKUP(E488,RISK!A:B,2,FALSE()),"")</f>
        <v>2.2011</v>
      </c>
      <c r="N488" s="120" t="e">
        <f aca="false">VLOOKUP(E488,Q:R,2,FALSE())</f>
        <v>#N/A</v>
      </c>
    </row>
    <row r="489" customFormat="false" ht="14.25" hidden="false" customHeight="true" outlineLevel="0" collapsed="false">
      <c r="A489" s="0" t="n">
        <v>488</v>
      </c>
      <c r="B489" s="0" t="n">
        <v>12</v>
      </c>
      <c r="C489" s="0" t="s">
        <v>1305</v>
      </c>
      <c r="D489" s="0" t="s">
        <v>526</v>
      </c>
      <c r="E489" s="0" t="s">
        <v>1306</v>
      </c>
      <c r="F489" s="0" t="n">
        <v>8</v>
      </c>
      <c r="G489" s="0" t="s">
        <v>1038</v>
      </c>
      <c r="H489" s="0" t="s">
        <v>1038</v>
      </c>
      <c r="I489" s="0" t="s">
        <v>1035</v>
      </c>
      <c r="J489" s="0" t="s">
        <v>1038</v>
      </c>
      <c r="K489" s="0" t="n">
        <v>488</v>
      </c>
      <c r="L489" s="0" t="str">
        <f aca="false">C489</f>
        <v>Kevin Austin Jr.</v>
      </c>
      <c r="M489" s="121" t="n">
        <f aca="false">IFERROR(VLOOKUP(E489,RISK!A:B,2,FALSE()),"")</f>
        <v>3.84810126582278</v>
      </c>
      <c r="N489" s="120" t="e">
        <f aca="false">VLOOKUP(E489,Q:R,2,FALSE())</f>
        <v>#N/A</v>
      </c>
    </row>
    <row r="490" customFormat="false" ht="14.25" hidden="false" customHeight="true" outlineLevel="0" collapsed="false">
      <c r="A490" s="0" t="n">
        <v>489</v>
      </c>
      <c r="B490" s="0" t="n">
        <v>12</v>
      </c>
      <c r="C490" s="0" t="s">
        <v>992</v>
      </c>
      <c r="D490" s="0" t="s">
        <v>494</v>
      </c>
      <c r="E490" s="0" t="s">
        <v>419</v>
      </c>
      <c r="F490" s="0" t="n">
        <v>13</v>
      </c>
      <c r="G490" s="0" t="s">
        <v>1038</v>
      </c>
      <c r="H490" s="0" t="s">
        <v>1038</v>
      </c>
      <c r="I490" s="0" t="s">
        <v>1032</v>
      </c>
      <c r="J490" s="0" t="s">
        <v>1038</v>
      </c>
      <c r="K490" s="0" t="n">
        <v>489</v>
      </c>
      <c r="L490" s="0" t="str">
        <f aca="false">C490</f>
        <v>Josh Cuevas</v>
      </c>
      <c r="M490" s="121" t="n">
        <f aca="false">IFERROR(VLOOKUP(E490,RISK!A:B,2,FALSE()),"")</f>
        <v>2.2011</v>
      </c>
      <c r="N490" s="120" t="e">
        <f aca="false">VLOOKUP(E490,Q:R,2,FALSE())</f>
        <v>#N/A</v>
      </c>
    </row>
    <row r="491" customFormat="false" ht="14.25" hidden="false" customHeight="true" outlineLevel="0" collapsed="false">
      <c r="A491" s="0" t="n">
        <v>490</v>
      </c>
      <c r="B491" s="0" t="n">
        <v>12</v>
      </c>
      <c r="C491" s="0" t="s">
        <v>986</v>
      </c>
      <c r="D491" s="0" t="s">
        <v>534</v>
      </c>
      <c r="E491" s="0" t="s">
        <v>422</v>
      </c>
      <c r="F491" s="0" t="n">
        <v>6</v>
      </c>
      <c r="G491" s="0" t="s">
        <v>1038</v>
      </c>
      <c r="H491" s="0" t="s">
        <v>1038</v>
      </c>
      <c r="I491" s="0" t="s">
        <v>1030</v>
      </c>
      <c r="J491" s="0" t="s">
        <v>1038</v>
      </c>
      <c r="K491" s="0" t="n">
        <v>490</v>
      </c>
      <c r="L491" s="0" t="str">
        <f aca="false">C491</f>
        <v>Seydou Traore</v>
      </c>
      <c r="M491" s="121" t="n">
        <f aca="false">IFERROR(VLOOKUP(E491,RISK!A:B,2,FALSE()),"")</f>
        <v>2.2011</v>
      </c>
      <c r="N491" s="120" t="e">
        <f aca="false">VLOOKUP(E491,Q:R,2,FALSE())</f>
        <v>#N/A</v>
      </c>
    </row>
    <row r="492" customFormat="false" ht="14.25" hidden="false" customHeight="true" outlineLevel="0" collapsed="false">
      <c r="A492" s="0" t="n">
        <v>491</v>
      </c>
      <c r="B492" s="0" t="n">
        <v>12</v>
      </c>
      <c r="C492" s="0" t="s">
        <v>1307</v>
      </c>
      <c r="D492" s="0" t="s">
        <v>514</v>
      </c>
      <c r="E492" s="0" t="s">
        <v>1308</v>
      </c>
      <c r="F492" s="0" t="n">
        <v>10</v>
      </c>
      <c r="G492" s="0" t="s">
        <v>1038</v>
      </c>
      <c r="H492" s="0" t="s">
        <v>1038</v>
      </c>
      <c r="I492" s="0" t="s">
        <v>1031</v>
      </c>
      <c r="J492" s="0" t="s">
        <v>1038</v>
      </c>
      <c r="K492" s="0" t="n">
        <v>491</v>
      </c>
      <c r="L492" s="0" t="str">
        <f aca="false">C492</f>
        <v>Zavier Scott</v>
      </c>
      <c r="M492" s="121" t="n">
        <f aca="false">IFERROR(VLOOKUP(E492,RISK!A:B,2,FALSE()),"")</f>
        <v>4</v>
      </c>
      <c r="N492" s="120" t="e">
        <f aca="false">VLOOKUP(E492,Q:R,2,FALSE())</f>
        <v>#N/A</v>
      </c>
    </row>
    <row r="493" customFormat="false" ht="14.25" hidden="false" customHeight="true" outlineLevel="0" collapsed="false">
      <c r="A493" s="0" t="n">
        <v>492</v>
      </c>
      <c r="B493" s="0" t="n">
        <v>12</v>
      </c>
      <c r="C493" s="0" t="s">
        <v>855</v>
      </c>
      <c r="D493" s="0" t="s">
        <v>1121</v>
      </c>
      <c r="E493" s="0" t="s">
        <v>1309</v>
      </c>
      <c r="F493" s="0" t="s">
        <v>1038</v>
      </c>
      <c r="G493" s="0" t="s">
        <v>1038</v>
      </c>
      <c r="H493" s="0" t="s">
        <v>1038</v>
      </c>
      <c r="I493" s="0" t="s">
        <v>1038</v>
      </c>
      <c r="J493" s="0" t="s">
        <v>1038</v>
      </c>
      <c r="K493" s="0" t="n">
        <v>492</v>
      </c>
      <c r="L493" s="0" t="str">
        <f aca="false">C493</f>
        <v>Isaiah Williams</v>
      </c>
      <c r="M493" s="121" t="n">
        <f aca="false">IFERROR(VLOOKUP(E493,RISK!A:B,2,FALSE()),"")</f>
        <v>3.84810126582278</v>
      </c>
      <c r="N493" s="120" t="e">
        <f aca="false">VLOOKUP(E493,Q:R,2,FALSE())</f>
        <v>#N/A</v>
      </c>
    </row>
    <row r="494" customFormat="false" ht="14.25" hidden="false" customHeight="true" outlineLevel="0" collapsed="false">
      <c r="A494" s="0" t="n">
        <v>493</v>
      </c>
      <c r="B494" s="0" t="n">
        <v>12</v>
      </c>
      <c r="C494" s="0" t="s">
        <v>877</v>
      </c>
      <c r="D494" s="0" t="s">
        <v>510</v>
      </c>
      <c r="E494" s="0" t="s">
        <v>1310</v>
      </c>
      <c r="F494" s="0" t="n">
        <v>14</v>
      </c>
      <c r="G494" s="0" t="s">
        <v>1038</v>
      </c>
      <c r="H494" s="0" t="s">
        <v>1038</v>
      </c>
      <c r="I494" s="0" t="s">
        <v>1031</v>
      </c>
      <c r="J494" s="0" t="s">
        <v>1038</v>
      </c>
      <c r="K494" s="0" t="n">
        <v>493</v>
      </c>
      <c r="L494" s="0" t="str">
        <f aca="false">C494</f>
        <v>Jonathan Mingo</v>
      </c>
      <c r="M494" s="121" t="n">
        <f aca="false">IFERROR(VLOOKUP(E494,RISK!A:B,2,FALSE()),"")</f>
        <v>3.84810126582278</v>
      </c>
      <c r="N494" s="120" t="e">
        <f aca="false">VLOOKUP(E494,Q:R,2,FALSE())</f>
        <v>#N/A</v>
      </c>
    </row>
    <row r="495" customFormat="false" ht="14.25" hidden="false" customHeight="true" outlineLevel="0" collapsed="false">
      <c r="A495" s="0" t="n">
        <v>494</v>
      </c>
      <c r="B495" s="0" t="n">
        <v>12</v>
      </c>
      <c r="C495" s="0" t="s">
        <v>1311</v>
      </c>
      <c r="D495" s="0" t="s">
        <v>510</v>
      </c>
      <c r="E495" s="0" t="s">
        <v>425</v>
      </c>
      <c r="F495" s="0" t="n">
        <v>14</v>
      </c>
      <c r="G495" s="0" t="s">
        <v>1038</v>
      </c>
      <c r="H495" s="0" t="s">
        <v>1038</v>
      </c>
      <c r="I495" s="0" t="s">
        <v>1031</v>
      </c>
      <c r="J495" s="0" t="s">
        <v>1038</v>
      </c>
      <c r="K495" s="0" t="n">
        <v>494</v>
      </c>
      <c r="L495" s="0" t="str">
        <f aca="false">C495</f>
        <v>Michael Trigg</v>
      </c>
      <c r="M495" s="121" t="n">
        <f aca="false">IFERROR(VLOOKUP(E495,RISK!A:B,2,FALSE()),"")</f>
        <v>2.2011</v>
      </c>
      <c r="N495" s="120" t="e">
        <f aca="false">VLOOKUP(E495,Q:R,2,FALSE())</f>
        <v>#N/A</v>
      </c>
    </row>
    <row r="496" customFormat="false" ht="14.25" hidden="false" customHeight="true" outlineLevel="0" collapsed="false">
      <c r="A496" s="0" t="n">
        <v>495</v>
      </c>
      <c r="B496" s="0" t="n">
        <v>12</v>
      </c>
      <c r="C496" s="0" t="s">
        <v>1312</v>
      </c>
      <c r="D496" s="0" t="s">
        <v>536</v>
      </c>
      <c r="E496" s="0" t="s">
        <v>1313</v>
      </c>
      <c r="F496" s="0" t="n">
        <v>11</v>
      </c>
      <c r="G496" s="0" t="s">
        <v>1038</v>
      </c>
      <c r="H496" s="0" t="s">
        <v>1038</v>
      </c>
      <c r="I496" s="0" t="s">
        <v>1035</v>
      </c>
      <c r="J496" s="0" t="s">
        <v>1038</v>
      </c>
      <c r="K496" s="0" t="n">
        <v>495</v>
      </c>
      <c r="L496" s="0" t="str">
        <f aca="false">C496</f>
        <v>Jake Bobo</v>
      </c>
      <c r="M496" s="121" t="n">
        <f aca="false">IFERROR(VLOOKUP(E496,RISK!A:B,2,FALSE()),"")</f>
        <v>3.84810126582278</v>
      </c>
      <c r="N496" s="120" t="e">
        <f aca="false">VLOOKUP(E496,Q:R,2,FALSE())</f>
        <v>#N/A</v>
      </c>
    </row>
    <row r="497" customFormat="false" ht="14.25" hidden="false" customHeight="true" outlineLevel="0" collapsed="false">
      <c r="A497" s="0" t="n">
        <v>496</v>
      </c>
      <c r="B497" s="0" t="n">
        <v>12</v>
      </c>
      <c r="C497" s="0" t="s">
        <v>885</v>
      </c>
      <c r="D497" s="0" t="s">
        <v>548</v>
      </c>
      <c r="E497" s="0" t="s">
        <v>1314</v>
      </c>
      <c r="F497" s="0" t="n">
        <v>9</v>
      </c>
      <c r="G497" s="0" t="s">
        <v>1038</v>
      </c>
      <c r="H497" s="0" t="s">
        <v>1038</v>
      </c>
      <c r="I497" s="0" t="s">
        <v>1035</v>
      </c>
      <c r="J497" s="0" t="s">
        <v>1038</v>
      </c>
      <c r="K497" s="0" t="n">
        <v>496</v>
      </c>
      <c r="L497" s="0" t="str">
        <f aca="false">C497</f>
        <v>Kaden Wetjen</v>
      </c>
      <c r="M497" s="121" t="n">
        <f aca="false">IFERROR(VLOOKUP(E497,RISK!A:B,2,FALSE()),"")</f>
        <v>3.84810126582278</v>
      </c>
      <c r="N497" s="120" t="e">
        <f aca="false">VLOOKUP(E497,Q:R,2,FALSE())</f>
        <v>#N/A</v>
      </c>
    </row>
    <row r="498" customFormat="false" ht="14.25" hidden="false" customHeight="true" outlineLevel="0" collapsed="false">
      <c r="A498" s="0" t="n">
        <v>497</v>
      </c>
      <c r="B498" s="0" t="n">
        <v>12</v>
      </c>
      <c r="C498" s="0" t="s">
        <v>1315</v>
      </c>
      <c r="D498" s="0" t="s">
        <v>552</v>
      </c>
      <c r="E498" s="0" t="s">
        <v>1316</v>
      </c>
      <c r="F498" s="0" t="n">
        <v>11</v>
      </c>
      <c r="G498" s="0" t="s">
        <v>1038</v>
      </c>
      <c r="H498" s="0" t="s">
        <v>1038</v>
      </c>
      <c r="I498" s="0" t="s">
        <v>1031</v>
      </c>
      <c r="J498" s="0" t="s">
        <v>1038</v>
      </c>
      <c r="K498" s="0" t="n">
        <v>497</v>
      </c>
      <c r="L498" s="0" t="str">
        <f aca="false">C498</f>
        <v>Trey Sermon</v>
      </c>
      <c r="M498" s="121" t="n">
        <f aca="false">IFERROR(VLOOKUP(E498,RISK!A:B,2,FALSE()),"")</f>
        <v>4</v>
      </c>
      <c r="N498" s="120" t="e">
        <f aca="false">VLOOKUP(E498,Q:R,2,FALSE())</f>
        <v>#N/A</v>
      </c>
    </row>
    <row r="499" customFormat="false" ht="14.25" hidden="false" customHeight="true" outlineLevel="0" collapsed="false">
      <c r="A499" s="0" t="n">
        <v>498</v>
      </c>
      <c r="B499" s="0" t="n">
        <v>12</v>
      </c>
      <c r="C499" s="0" t="s">
        <v>1317</v>
      </c>
      <c r="D499" s="0" t="s">
        <v>1121</v>
      </c>
      <c r="E499" s="0" t="s">
        <v>1318</v>
      </c>
      <c r="F499" s="0" t="s">
        <v>1038</v>
      </c>
      <c r="G499" s="0" t="s">
        <v>1038</v>
      </c>
      <c r="H499" s="0" t="s">
        <v>1038</v>
      </c>
      <c r="I499" s="0" t="s">
        <v>1038</v>
      </c>
      <c r="J499" s="0" t="s">
        <v>1038</v>
      </c>
      <c r="K499" s="0" t="n">
        <v>498</v>
      </c>
      <c r="L499" s="0" t="str">
        <f aca="false">C499</f>
        <v>Terrell Jennings</v>
      </c>
      <c r="M499" s="121" t="n">
        <f aca="false">IFERROR(VLOOKUP(E499,RISK!A:B,2,FALSE()),"")</f>
        <v>4</v>
      </c>
      <c r="N499" s="120" t="e">
        <f aca="false">VLOOKUP(E499,Q:R,2,FALSE())</f>
        <v>#N/A</v>
      </c>
    </row>
    <row r="500" customFormat="false" ht="14.25" hidden="false" customHeight="true" outlineLevel="0" collapsed="false">
      <c r="A500" s="0" t="n">
        <v>499</v>
      </c>
      <c r="B500" s="0" t="n">
        <v>12</v>
      </c>
      <c r="C500" s="0" t="s">
        <v>872</v>
      </c>
      <c r="D500" s="0" t="s">
        <v>520</v>
      </c>
      <c r="E500" s="0" t="s">
        <v>1319</v>
      </c>
      <c r="F500" s="0" t="n">
        <v>11</v>
      </c>
      <c r="G500" s="0" t="s">
        <v>1038</v>
      </c>
      <c r="H500" s="0" t="s">
        <v>1038</v>
      </c>
      <c r="I500" s="0" t="s">
        <v>1034</v>
      </c>
      <c r="J500" s="0" t="s">
        <v>1038</v>
      </c>
      <c r="K500" s="0" t="n">
        <v>499</v>
      </c>
      <c r="L500" s="0" t="str">
        <f aca="false">C500</f>
        <v>Xavier Smith</v>
      </c>
      <c r="M500" s="121" t="n">
        <f aca="false">IFERROR(VLOOKUP(E500,RISK!A:B,2,FALSE()),"")</f>
        <v>3.84810126582278</v>
      </c>
      <c r="N500" s="120" t="e">
        <f aca="false">VLOOKUP(E500,Q:R,2,FALSE())</f>
        <v>#N/A</v>
      </c>
    </row>
    <row r="501" customFormat="false" ht="14.25" hidden="false" customHeight="true" outlineLevel="0" collapsed="false">
      <c r="A501" s="0" t="n">
        <v>500</v>
      </c>
      <c r="B501" s="0" t="n">
        <v>12</v>
      </c>
      <c r="C501" s="0" t="s">
        <v>1013</v>
      </c>
      <c r="D501" s="0" t="s">
        <v>554</v>
      </c>
      <c r="E501" s="0" t="s">
        <v>428</v>
      </c>
      <c r="F501" s="0" t="n">
        <v>11</v>
      </c>
      <c r="G501" s="0" t="s">
        <v>1038</v>
      </c>
      <c r="H501" s="0" t="s">
        <v>1038</v>
      </c>
      <c r="I501" s="0" t="s">
        <v>1035</v>
      </c>
      <c r="J501" s="0" t="s">
        <v>1038</v>
      </c>
      <c r="K501" s="0" t="n">
        <v>500</v>
      </c>
      <c r="L501" s="0" t="str">
        <f aca="false">C501</f>
        <v>Joe Royer</v>
      </c>
      <c r="M501" s="121" t="n">
        <f aca="false">IFERROR(VLOOKUP(E501,RISK!A:B,2,FALSE()),"")</f>
        <v>2.2011</v>
      </c>
      <c r="N501" s="120" t="e">
        <f aca="false">VLOOKUP(E501,Q:R,2,FALSE())</f>
        <v>#N/A</v>
      </c>
    </row>
    <row r="502" customFormat="false" ht="14.25" hidden="false" customHeight="true" outlineLevel="0" collapsed="false">
      <c r="A502" s="0" t="n">
        <v>501</v>
      </c>
      <c r="B502" s="0" t="n">
        <v>12</v>
      </c>
      <c r="C502" s="0" t="s">
        <v>1320</v>
      </c>
      <c r="D502" s="0" t="s">
        <v>508</v>
      </c>
      <c r="E502" s="0" t="s">
        <v>1321</v>
      </c>
      <c r="F502" s="0" t="n">
        <v>8</v>
      </c>
      <c r="G502" s="0" t="s">
        <v>1038</v>
      </c>
      <c r="H502" s="0" t="s">
        <v>1038</v>
      </c>
      <c r="I502" s="0" t="s">
        <v>1031</v>
      </c>
      <c r="J502" s="0" t="s">
        <v>1038</v>
      </c>
      <c r="K502" s="0" t="n">
        <v>501</v>
      </c>
      <c r="L502" s="0" t="str">
        <f aca="false">C502</f>
        <v>Jordan Watkins</v>
      </c>
      <c r="M502" s="121" t="n">
        <f aca="false">IFERROR(VLOOKUP(E502,RISK!A:B,2,FALSE()),"")</f>
        <v>3.84810126582278</v>
      </c>
      <c r="N502" s="120" t="e">
        <f aca="false">VLOOKUP(E502,Q:R,2,FALSE())</f>
        <v>#N/A</v>
      </c>
    </row>
    <row r="503" customFormat="false" ht="14.25" hidden="false" customHeight="true" outlineLevel="0" collapsed="false">
      <c r="A503" s="0" t="n">
        <v>502</v>
      </c>
      <c r="B503" s="0" t="n">
        <v>12</v>
      </c>
      <c r="C503" s="0" t="s">
        <v>1322</v>
      </c>
      <c r="D503" s="0" t="s">
        <v>1121</v>
      </c>
      <c r="E503" s="0" t="s">
        <v>1323</v>
      </c>
      <c r="F503" s="0" t="s">
        <v>1038</v>
      </c>
      <c r="G503" s="0" t="s">
        <v>1038</v>
      </c>
      <c r="H503" s="0" t="s">
        <v>1038</v>
      </c>
      <c r="I503" s="0" t="s">
        <v>1038</v>
      </c>
      <c r="J503" s="0" t="s">
        <v>1038</v>
      </c>
      <c r="K503" s="0" t="n">
        <v>502</v>
      </c>
      <c r="L503" s="0" t="str">
        <f aca="false">C503</f>
        <v>Miles Sanders</v>
      </c>
      <c r="M503" s="121" t="n">
        <f aca="false">IFERROR(VLOOKUP(E503,RISK!A:B,2,FALSE()),"")</f>
        <v>4</v>
      </c>
      <c r="N503" s="120" t="e">
        <f aca="false">VLOOKUP(E503,Q:R,2,FALSE())</f>
        <v>#N/A</v>
      </c>
    </row>
    <row r="504" customFormat="false" ht="14.25" hidden="false" customHeight="true" outlineLevel="0" collapsed="false">
      <c r="A504" s="0" t="n">
        <v>503</v>
      </c>
      <c r="B504" s="0" t="n">
        <v>12</v>
      </c>
      <c r="C504" s="0" t="s">
        <v>965</v>
      </c>
      <c r="D504" s="0" t="s">
        <v>538</v>
      </c>
      <c r="E504" s="0" t="s">
        <v>431</v>
      </c>
      <c r="F504" s="0" t="n">
        <v>8</v>
      </c>
      <c r="G504" s="0" t="s">
        <v>1038</v>
      </c>
      <c r="H504" s="0" t="s">
        <v>1038</v>
      </c>
      <c r="I504" s="0" t="s">
        <v>1032</v>
      </c>
      <c r="J504" s="0" t="s">
        <v>1038</v>
      </c>
      <c r="K504" s="0" t="n">
        <v>503</v>
      </c>
      <c r="L504" s="0" t="str">
        <f aca="false">C504</f>
        <v>Cade Stover</v>
      </c>
      <c r="M504" s="121" t="n">
        <f aca="false">IFERROR(VLOOKUP(E504,RISK!A:B,2,FALSE()),"")</f>
        <v>2.2011</v>
      </c>
      <c r="N504" s="120" t="e">
        <f aca="false">VLOOKUP(E504,Q:R,2,FALSE())</f>
        <v>#N/A</v>
      </c>
    </row>
    <row r="505" customFormat="false" ht="14.25" hidden="false" customHeight="true" outlineLevel="0" collapsed="false">
      <c r="A505" s="0" t="n">
        <v>504</v>
      </c>
      <c r="B505" s="0" t="n">
        <v>12</v>
      </c>
      <c r="C505" s="0" t="s">
        <v>700</v>
      </c>
      <c r="D505" s="0" t="s">
        <v>516</v>
      </c>
      <c r="E505" s="0" t="s">
        <v>1324</v>
      </c>
      <c r="F505" s="0" t="n">
        <v>7</v>
      </c>
      <c r="G505" s="0" t="s">
        <v>1038</v>
      </c>
      <c r="H505" s="0" t="s">
        <v>1038</v>
      </c>
      <c r="I505" s="0" t="s">
        <v>1035</v>
      </c>
      <c r="J505" s="0" t="s">
        <v>1038</v>
      </c>
      <c r="K505" s="0" t="n">
        <v>504</v>
      </c>
      <c r="L505" s="0" t="str">
        <f aca="false">C505</f>
        <v>Alec Ingold</v>
      </c>
      <c r="M505" s="121" t="n">
        <f aca="false">IFERROR(VLOOKUP(E505,RISK!A:B,2,FALSE()),"")</f>
        <v>4</v>
      </c>
      <c r="N505" s="120" t="e">
        <f aca="false">VLOOKUP(E505,Q:R,2,FALSE())</f>
        <v>#N/A</v>
      </c>
    </row>
    <row r="506" customFormat="false" ht="14.25" hidden="false" customHeight="true" outlineLevel="0" collapsed="false">
      <c r="A506" s="0" t="n">
        <v>505</v>
      </c>
      <c r="B506" s="0" t="n">
        <v>12</v>
      </c>
      <c r="C506" s="0" t="s">
        <v>971</v>
      </c>
      <c r="D506" s="0" t="s">
        <v>538</v>
      </c>
      <c r="E506" s="0" t="s">
        <v>434</v>
      </c>
      <c r="F506" s="0" t="n">
        <v>8</v>
      </c>
      <c r="G506" s="0" t="s">
        <v>1038</v>
      </c>
      <c r="H506" s="0" t="s">
        <v>1038</v>
      </c>
      <c r="I506" s="0" t="s">
        <v>1032</v>
      </c>
      <c r="J506" s="0" t="s">
        <v>1038</v>
      </c>
      <c r="K506" s="0" t="n">
        <v>505</v>
      </c>
      <c r="L506" s="0" t="str">
        <f aca="false">C506</f>
        <v>Foster Moreau</v>
      </c>
      <c r="M506" s="121" t="n">
        <f aca="false">IFERROR(VLOOKUP(E506,RISK!A:B,2,FALSE()),"")</f>
        <v>2.2011</v>
      </c>
      <c r="N506" s="120" t="e">
        <f aca="false">VLOOKUP(E506,Q:R,2,FALSE())</f>
        <v>#N/A</v>
      </c>
    </row>
    <row r="507" customFormat="false" ht="14.25" hidden="false" customHeight="true" outlineLevel="0" collapsed="false">
      <c r="A507" s="0" t="n">
        <v>506</v>
      </c>
      <c r="B507" s="0" t="n">
        <v>12</v>
      </c>
      <c r="C507" s="0" t="s">
        <v>1325</v>
      </c>
      <c r="D507" s="0" t="s">
        <v>526</v>
      </c>
      <c r="E507" s="0" t="s">
        <v>1326</v>
      </c>
      <c r="F507" s="0" t="n">
        <v>8</v>
      </c>
      <c r="G507" s="0" t="s">
        <v>1038</v>
      </c>
      <c r="H507" s="0" t="s">
        <v>1038</v>
      </c>
      <c r="I507" s="0" t="s">
        <v>1035</v>
      </c>
      <c r="J507" s="0" t="s">
        <v>1038</v>
      </c>
      <c r="K507" s="0" t="n">
        <v>506</v>
      </c>
      <c r="L507" s="0" t="str">
        <f aca="false">C507</f>
        <v>Zamir White</v>
      </c>
      <c r="M507" s="121" t="n">
        <f aca="false">IFERROR(VLOOKUP(E507,RISK!A:B,2,FALSE()),"")</f>
        <v>4</v>
      </c>
      <c r="N507" s="120" t="e">
        <f aca="false">VLOOKUP(E507,Q:R,2,FALSE())</f>
        <v>#N/A</v>
      </c>
    </row>
    <row r="508" customFormat="false" ht="14.25" hidden="false" customHeight="true" outlineLevel="0" collapsed="false">
      <c r="A508" s="0" t="n">
        <v>507</v>
      </c>
      <c r="B508" s="0" t="n">
        <v>12</v>
      </c>
      <c r="C508" s="0" t="s">
        <v>1327</v>
      </c>
      <c r="D508" s="0" t="s">
        <v>494</v>
      </c>
      <c r="E508" s="0" t="s">
        <v>1328</v>
      </c>
      <c r="F508" s="0" t="n">
        <v>13</v>
      </c>
      <c r="G508" s="0" t="s">
        <v>1038</v>
      </c>
      <c r="H508" s="0" t="s">
        <v>1038</v>
      </c>
      <c r="I508" s="0" t="s">
        <v>1032</v>
      </c>
      <c r="J508" s="0" t="s">
        <v>1038</v>
      </c>
      <c r="K508" s="0" t="n">
        <v>507</v>
      </c>
      <c r="L508" s="0" t="str">
        <f aca="false">C508</f>
        <v>DeAndre Hopkins</v>
      </c>
      <c r="M508" s="121" t="n">
        <f aca="false">IFERROR(VLOOKUP(E508,RISK!A:B,2,FALSE()),"")</f>
        <v>3.84810126582278</v>
      </c>
      <c r="N508" s="120" t="e">
        <f aca="false">VLOOKUP(E508,Q:R,2,FALSE())</f>
        <v>#N/A</v>
      </c>
    </row>
    <row r="509" customFormat="false" ht="14.25" hidden="false" customHeight="true" outlineLevel="0" collapsed="false">
      <c r="A509" s="0" t="n">
        <v>508</v>
      </c>
      <c r="B509" s="0" t="n">
        <v>12</v>
      </c>
      <c r="C509" s="0" t="s">
        <v>1000</v>
      </c>
      <c r="D509" s="0" t="s">
        <v>508</v>
      </c>
      <c r="E509" s="0" t="s">
        <v>437</v>
      </c>
      <c r="F509" s="0" t="n">
        <v>8</v>
      </c>
      <c r="G509" s="0" t="s">
        <v>1038</v>
      </c>
      <c r="H509" s="0" t="s">
        <v>1038</v>
      </c>
      <c r="I509" s="0" t="s">
        <v>1035</v>
      </c>
      <c r="J509" s="0" t="s">
        <v>1038</v>
      </c>
      <c r="K509" s="0" t="n">
        <v>508</v>
      </c>
      <c r="L509" s="0" t="str">
        <f aca="false">C509</f>
        <v>Luke Farrell</v>
      </c>
      <c r="M509" s="121" t="n">
        <f aca="false">IFERROR(VLOOKUP(E509,RISK!A:B,2,FALSE()),"")</f>
        <v>2.2011</v>
      </c>
      <c r="N509" s="120" t="e">
        <f aca="false">VLOOKUP(E509,Q:R,2,FALSE())</f>
        <v>#N/A</v>
      </c>
    </row>
    <row r="510" customFormat="false" ht="14.25" hidden="false" customHeight="true" outlineLevel="0" collapsed="false">
      <c r="A510" s="0" t="n">
        <v>509</v>
      </c>
      <c r="B510" s="0" t="n">
        <v>12</v>
      </c>
      <c r="C510" s="0" t="s">
        <v>964</v>
      </c>
      <c r="D510" s="0" t="s">
        <v>518</v>
      </c>
      <c r="E510" s="0" t="s">
        <v>440</v>
      </c>
      <c r="F510" s="0" t="n">
        <v>10</v>
      </c>
      <c r="G510" s="0" t="s">
        <v>1038</v>
      </c>
      <c r="H510" s="0" t="s">
        <v>1038</v>
      </c>
      <c r="I510" s="0" t="s">
        <v>1032</v>
      </c>
      <c r="J510" s="0" t="s">
        <v>1038</v>
      </c>
      <c r="K510" s="0" t="n">
        <v>509</v>
      </c>
      <c r="L510" s="0" t="str">
        <f aca="false">C510</f>
        <v>Nate Adkins</v>
      </c>
      <c r="M510" s="121" t="n">
        <f aca="false">IFERROR(VLOOKUP(E510,RISK!A:B,2,FALSE()),"")</f>
        <v>2.2011</v>
      </c>
      <c r="N510" s="120" t="e">
        <f aca="false">VLOOKUP(E510,Q:R,2,FALSE())</f>
        <v>#N/A</v>
      </c>
    </row>
    <row r="511" customFormat="false" ht="14.25" hidden="false" customHeight="true" outlineLevel="0" collapsed="false">
      <c r="A511" s="0" t="n">
        <v>510</v>
      </c>
      <c r="B511" s="0" t="n">
        <v>12</v>
      </c>
      <c r="C511" s="0" t="s">
        <v>1329</v>
      </c>
      <c r="D511" s="0" t="s">
        <v>544</v>
      </c>
      <c r="E511" s="0" t="s">
        <v>1330</v>
      </c>
      <c r="F511" s="0" t="n">
        <v>9</v>
      </c>
      <c r="G511" s="0" t="s">
        <v>1038</v>
      </c>
      <c r="H511" s="0" t="s">
        <v>1038</v>
      </c>
      <c r="I511" s="0" t="s">
        <v>1035</v>
      </c>
      <c r="J511" s="0" t="s">
        <v>1038</v>
      </c>
      <c r="K511" s="0" t="n">
        <v>510</v>
      </c>
      <c r="L511" s="0" t="str">
        <f aca="false">C511</f>
        <v>Xavier Restrepo</v>
      </c>
      <c r="M511" s="121" t="n">
        <f aca="false">IFERROR(VLOOKUP(E511,RISK!A:B,2,FALSE()),"")</f>
        <v>3.84810126582278</v>
      </c>
      <c r="N511" s="120" t="e">
        <f aca="false">VLOOKUP(E511,Q:R,2,FALSE())</f>
        <v>#N/A</v>
      </c>
    </row>
    <row r="512" customFormat="false" ht="14.25" hidden="false" customHeight="true" outlineLevel="0" collapsed="false">
      <c r="A512" s="0" t="n">
        <v>511</v>
      </c>
      <c r="B512" s="0" t="n">
        <v>12</v>
      </c>
      <c r="C512" s="0" t="s">
        <v>713</v>
      </c>
      <c r="D512" s="0" t="s">
        <v>504</v>
      </c>
      <c r="E512" s="0" t="s">
        <v>1331</v>
      </c>
      <c r="F512" s="0" t="n">
        <v>8</v>
      </c>
      <c r="G512" s="0" t="s">
        <v>1038</v>
      </c>
      <c r="H512" s="0" t="s">
        <v>1038</v>
      </c>
      <c r="I512" s="0" t="s">
        <v>1032</v>
      </c>
      <c r="J512" s="0" t="s">
        <v>1038</v>
      </c>
      <c r="K512" s="0" t="n">
        <v>511</v>
      </c>
      <c r="L512" s="0" t="str">
        <f aca="false">C512</f>
        <v>Patrick Ricard</v>
      </c>
      <c r="M512" s="121" t="n">
        <f aca="false">IFERROR(VLOOKUP(E512,RISK!A:B,2,FALSE()),"")</f>
        <v>4</v>
      </c>
      <c r="N512" s="120" t="e">
        <f aca="false">VLOOKUP(E512,Q:R,2,FALSE())</f>
        <v>#N/A</v>
      </c>
    </row>
    <row r="513" customFormat="false" ht="14.25" hidden="false" customHeight="true" outlineLevel="0" collapsed="false">
      <c r="A513" s="0" t="n">
        <v>512</v>
      </c>
      <c r="B513" s="0" t="n">
        <v>12</v>
      </c>
      <c r="C513" s="0" t="s">
        <v>873</v>
      </c>
      <c r="D513" s="0" t="s">
        <v>498</v>
      </c>
      <c r="E513" s="0" t="s">
        <v>1332</v>
      </c>
      <c r="F513" s="0" t="n">
        <v>11</v>
      </c>
      <c r="G513" s="0" t="s">
        <v>1038</v>
      </c>
      <c r="H513" s="0" t="s">
        <v>1038</v>
      </c>
      <c r="I513" s="0" t="s">
        <v>1031</v>
      </c>
      <c r="J513" s="0" t="s">
        <v>1038</v>
      </c>
      <c r="K513" s="0" t="n">
        <v>512</v>
      </c>
      <c r="L513" s="0" t="str">
        <f aca="false">C513</f>
        <v>Efton Chism III</v>
      </c>
      <c r="M513" s="121" t="n">
        <f aca="false">IFERROR(VLOOKUP(E513,RISK!A:B,2,FALSE()),"")</f>
        <v>3.84810126582278</v>
      </c>
      <c r="N513" s="120" t="e">
        <f aca="false">VLOOKUP(E513,Q:R,2,FALSE())</f>
        <v>#N/A</v>
      </c>
    </row>
    <row r="514" customFormat="false" ht="14.25" hidden="false" customHeight="true" outlineLevel="0" collapsed="false">
      <c r="A514" s="0" t="n">
        <v>513</v>
      </c>
      <c r="B514" s="0" t="n">
        <v>12</v>
      </c>
      <c r="C514" s="0" t="s">
        <v>1333</v>
      </c>
      <c r="D514" s="0" t="s">
        <v>512</v>
      </c>
      <c r="E514" s="0" t="s">
        <v>1334</v>
      </c>
      <c r="F514" s="0" t="n">
        <v>5</v>
      </c>
      <c r="G514" s="0" t="s">
        <v>1038</v>
      </c>
      <c r="H514" s="0" t="s">
        <v>1038</v>
      </c>
      <c r="I514" s="0" t="s">
        <v>1035</v>
      </c>
      <c r="J514" s="0" t="s">
        <v>1038</v>
      </c>
      <c r="K514" s="0" t="n">
        <v>513</v>
      </c>
      <c r="L514" s="0" t="str">
        <f aca="false">C514</f>
        <v>Jaydn Ott</v>
      </c>
      <c r="M514" s="121" t="n">
        <f aca="false">IFERROR(VLOOKUP(E514,RISK!A:B,2,FALSE()),"")</f>
        <v>4</v>
      </c>
      <c r="N514" s="120" t="e">
        <f aca="false">VLOOKUP(E514,Q:R,2,FALSE())</f>
        <v>#N/A</v>
      </c>
    </row>
    <row r="515" customFormat="false" ht="14.25" hidden="false" customHeight="true" outlineLevel="0" collapsed="false">
      <c r="A515" s="0" t="n">
        <v>514</v>
      </c>
      <c r="B515" s="0" t="n">
        <v>12</v>
      </c>
      <c r="C515" s="0" t="s">
        <v>960</v>
      </c>
      <c r="D515" s="0" t="s">
        <v>542</v>
      </c>
      <c r="E515" s="0" t="s">
        <v>443</v>
      </c>
      <c r="F515" s="0" t="n">
        <v>13</v>
      </c>
      <c r="G515" s="0" t="s">
        <v>1038</v>
      </c>
      <c r="H515" s="0" t="s">
        <v>1038</v>
      </c>
      <c r="I515" s="0" t="s">
        <v>1032</v>
      </c>
      <c r="J515" s="0" t="s">
        <v>1038</v>
      </c>
      <c r="K515" s="0" t="n">
        <v>514</v>
      </c>
      <c r="L515" s="0" t="str">
        <f aca="false">C515</f>
        <v>Jeremy Ruckert</v>
      </c>
      <c r="M515" s="121" t="n">
        <f aca="false">IFERROR(VLOOKUP(E515,RISK!A:B,2,FALSE()),"")</f>
        <v>2.2011</v>
      </c>
      <c r="N515" s="120" t="e">
        <f aca="false">VLOOKUP(E515,Q:R,2,FALSE())</f>
        <v>#N/A</v>
      </c>
    </row>
    <row r="516" customFormat="false" ht="14.25" hidden="false" customHeight="true" outlineLevel="0" collapsed="false">
      <c r="A516" s="0" t="n">
        <v>515</v>
      </c>
      <c r="B516" s="0" t="n">
        <v>12</v>
      </c>
      <c r="C516" s="0" t="s">
        <v>981</v>
      </c>
      <c r="D516" s="0" t="s">
        <v>494</v>
      </c>
      <c r="E516" s="0" t="s">
        <v>446</v>
      </c>
      <c r="F516" s="0" t="n">
        <v>13</v>
      </c>
      <c r="G516" s="0" t="s">
        <v>1038</v>
      </c>
      <c r="H516" s="0" t="s">
        <v>1038</v>
      </c>
      <c r="I516" s="0" t="s">
        <v>1032</v>
      </c>
      <c r="J516" s="0" t="s">
        <v>1038</v>
      </c>
      <c r="K516" s="0" t="n">
        <v>515</v>
      </c>
      <c r="L516" s="0" t="str">
        <f aca="false">C516</f>
        <v>Durham Smythe</v>
      </c>
      <c r="M516" s="121" t="n">
        <f aca="false">IFERROR(VLOOKUP(E516,RISK!A:B,2,FALSE()),"")</f>
        <v>2.2011</v>
      </c>
      <c r="N516" s="120" t="e">
        <f aca="false">VLOOKUP(E516,Q:R,2,FALSE())</f>
        <v>#N/A</v>
      </c>
    </row>
    <row r="517" customFormat="false" ht="14.25" hidden="false" customHeight="true" outlineLevel="0" collapsed="false">
      <c r="A517" s="0" t="n">
        <v>516</v>
      </c>
      <c r="B517" s="0" t="n">
        <v>12</v>
      </c>
      <c r="C517" s="0" t="s">
        <v>1335</v>
      </c>
      <c r="D517" s="0" t="s">
        <v>504</v>
      </c>
      <c r="E517" s="0" t="s">
        <v>1336</v>
      </c>
      <c r="F517" s="0" t="n">
        <v>8</v>
      </c>
      <c r="G517" s="0" t="s">
        <v>1038</v>
      </c>
      <c r="H517" s="0" t="s">
        <v>1038</v>
      </c>
      <c r="I517" s="0" t="s">
        <v>1031</v>
      </c>
      <c r="J517" s="0" t="s">
        <v>1038</v>
      </c>
      <c r="K517" s="0" t="n">
        <v>516</v>
      </c>
      <c r="L517" s="0" t="str">
        <f aca="false">C517</f>
        <v>Dominic Zvada</v>
      </c>
      <c r="M517" s="121" t="str">
        <f aca="false">IFERROR(VLOOKUP(E517,RISK!A:B,2,FALSE()),"")</f>
        <v/>
      </c>
      <c r="N517" s="120" t="e">
        <f aca="false">VLOOKUP(E517,Q:R,2,FALSE())</f>
        <v>#N/A</v>
      </c>
    </row>
    <row r="518" customFormat="false" ht="14.25" hidden="false" customHeight="true" outlineLevel="0" collapsed="false">
      <c r="A518" s="0" t="n">
        <v>517</v>
      </c>
      <c r="B518" s="0" t="n">
        <v>12</v>
      </c>
      <c r="C518" s="0" t="s">
        <v>891</v>
      </c>
      <c r="D518" s="0" t="s">
        <v>546</v>
      </c>
      <c r="E518" s="0" t="s">
        <v>1337</v>
      </c>
      <c r="F518" s="0" t="n">
        <v>14</v>
      </c>
      <c r="G518" s="0" t="s">
        <v>1038</v>
      </c>
      <c r="H518" s="0" t="s">
        <v>1038</v>
      </c>
      <c r="I518" s="0" t="s">
        <v>1031</v>
      </c>
      <c r="J518" s="0" t="s">
        <v>1038</v>
      </c>
      <c r="K518" s="0" t="n">
        <v>517</v>
      </c>
      <c r="L518" s="0" t="str">
        <f aca="false">C518</f>
        <v>Jalen Brooks</v>
      </c>
      <c r="M518" s="121" t="n">
        <f aca="false">IFERROR(VLOOKUP(E518,RISK!A:B,2,FALSE()),"")</f>
        <v>3.84810126582278</v>
      </c>
      <c r="N518" s="120" t="e">
        <f aca="false">VLOOKUP(E518,Q:R,2,FALSE())</f>
        <v>#N/A</v>
      </c>
    </row>
    <row r="519" customFormat="false" ht="14.25" hidden="false" customHeight="true" outlineLevel="0" collapsed="false">
      <c r="A519" s="0" t="n">
        <v>518</v>
      </c>
      <c r="B519" s="0" t="n">
        <v>12</v>
      </c>
      <c r="C519" s="0" t="s">
        <v>972</v>
      </c>
      <c r="D519" s="0" t="s">
        <v>528</v>
      </c>
      <c r="E519" s="0" t="s">
        <v>449</v>
      </c>
      <c r="F519" s="0" t="n">
        <v>10</v>
      </c>
      <c r="G519" s="0" t="s">
        <v>1038</v>
      </c>
      <c r="H519" s="0" t="s">
        <v>1038</v>
      </c>
      <c r="I519" s="0" t="s">
        <v>1031</v>
      </c>
      <c r="J519" s="0" t="s">
        <v>1038</v>
      </c>
      <c r="K519" s="0" t="n">
        <v>518</v>
      </c>
      <c r="L519" s="0" t="str">
        <f aca="false">C519</f>
        <v>Bauer Sharp</v>
      </c>
      <c r="M519" s="121" t="n">
        <f aca="false">IFERROR(VLOOKUP(E519,RISK!A:B,2,FALSE()),"")</f>
        <v>2.2011</v>
      </c>
      <c r="N519" s="120" t="e">
        <f aca="false">VLOOKUP(E519,Q:R,2,FALSE())</f>
        <v>#N/A</v>
      </c>
    </row>
    <row r="520" customFormat="false" ht="14.25" hidden="false" customHeight="true" outlineLevel="0" collapsed="false">
      <c r="A520" s="0" t="n">
        <v>519</v>
      </c>
      <c r="B520" s="0" t="n">
        <v>12</v>
      </c>
      <c r="C520" s="0" t="s">
        <v>1338</v>
      </c>
      <c r="D520" s="0" t="s">
        <v>544</v>
      </c>
      <c r="E520" s="0" t="s">
        <v>1339</v>
      </c>
      <c r="F520" s="0" t="n">
        <v>9</v>
      </c>
      <c r="G520" s="0" t="s">
        <v>1038</v>
      </c>
      <c r="H520" s="0" t="s">
        <v>1038</v>
      </c>
      <c r="I520" s="0" t="s">
        <v>1035</v>
      </c>
      <c r="J520" s="0" t="s">
        <v>1038</v>
      </c>
      <c r="K520" s="0" t="n">
        <v>519</v>
      </c>
      <c r="L520" s="0" t="str">
        <f aca="false">C520</f>
        <v>Kalel Mullings</v>
      </c>
      <c r="M520" s="121" t="n">
        <f aca="false">IFERROR(VLOOKUP(E520,RISK!A:B,2,FALSE()),"")</f>
        <v>4</v>
      </c>
      <c r="N520" s="120" t="e">
        <f aca="false">VLOOKUP(E520,Q:R,2,FALSE())</f>
        <v>#N/A</v>
      </c>
    </row>
    <row r="521" customFormat="false" ht="14.25" hidden="false" customHeight="true" outlineLevel="0" collapsed="false">
      <c r="A521" s="0" t="n">
        <v>520</v>
      </c>
      <c r="B521" s="0" t="n">
        <v>12</v>
      </c>
      <c r="C521" s="0" t="s">
        <v>1340</v>
      </c>
      <c r="D521" s="0" t="s">
        <v>1121</v>
      </c>
      <c r="E521" s="0" t="s">
        <v>1341</v>
      </c>
      <c r="F521" s="0" t="s">
        <v>1038</v>
      </c>
      <c r="G521" s="0" t="s">
        <v>1038</v>
      </c>
      <c r="H521" s="0" t="s">
        <v>1038</v>
      </c>
      <c r="I521" s="0" t="s">
        <v>1038</v>
      </c>
      <c r="J521" s="0" t="s">
        <v>1038</v>
      </c>
      <c r="K521" s="0" t="n">
        <v>520</v>
      </c>
      <c r="L521" s="0" t="str">
        <f aca="false">C521</f>
        <v>Myles Montgomery</v>
      </c>
      <c r="M521" s="121" t="n">
        <f aca="false">IFERROR(VLOOKUP(E521,RISK!A:B,2,FALSE()),"")</f>
        <v>4</v>
      </c>
      <c r="N521" s="120" t="e">
        <f aca="false">VLOOKUP(E521,Q:R,2,FALSE())</f>
        <v>#N/A</v>
      </c>
    </row>
    <row r="522" customFormat="false" ht="14.25" hidden="false" customHeight="true" outlineLevel="0" collapsed="false">
      <c r="A522" s="0" t="n">
        <v>521</v>
      </c>
      <c r="B522" s="0" t="n">
        <v>12</v>
      </c>
      <c r="C522" s="0" t="s">
        <v>975</v>
      </c>
      <c r="D522" s="0" t="s">
        <v>552</v>
      </c>
      <c r="E522" s="0" t="s">
        <v>452</v>
      </c>
      <c r="F522" s="0" t="n">
        <v>11</v>
      </c>
      <c r="G522" s="0" t="s">
        <v>1038</v>
      </c>
      <c r="H522" s="0" t="s">
        <v>1038</v>
      </c>
      <c r="I522" s="0" t="s">
        <v>1035</v>
      </c>
      <c r="J522" s="0" t="s">
        <v>1038</v>
      </c>
      <c r="K522" s="0" t="n">
        <v>521</v>
      </c>
      <c r="L522" s="0" t="str">
        <f aca="false">C522</f>
        <v>Charlie Woerner</v>
      </c>
      <c r="M522" s="121" t="n">
        <f aca="false">IFERROR(VLOOKUP(E522,RISK!A:B,2,FALSE()),"")</f>
        <v>2.2011</v>
      </c>
      <c r="N522" s="120" t="e">
        <f aca="false">VLOOKUP(E522,Q:R,2,FALSE())</f>
        <v>#N/A</v>
      </c>
    </row>
    <row r="523" customFormat="false" ht="14.25" hidden="false" customHeight="true" outlineLevel="0" collapsed="false">
      <c r="A523" s="0" t="n">
        <v>522</v>
      </c>
      <c r="B523" s="0" t="n">
        <v>12</v>
      </c>
      <c r="C523" s="0" t="s">
        <v>561</v>
      </c>
      <c r="D523" s="0" t="s">
        <v>532</v>
      </c>
      <c r="E523" s="0" t="s">
        <v>1342</v>
      </c>
      <c r="F523" s="0" t="n">
        <v>13</v>
      </c>
      <c r="G523" s="0" t="s">
        <v>1038</v>
      </c>
      <c r="H523" s="0" t="s">
        <v>1038</v>
      </c>
      <c r="I523" s="0" t="s">
        <v>1032</v>
      </c>
      <c r="J523" s="0" t="s">
        <v>1038</v>
      </c>
      <c r="K523" s="0" t="n">
        <v>522</v>
      </c>
      <c r="L523" s="0" t="str">
        <f aca="false">C523</f>
        <v>Riley Leonard</v>
      </c>
      <c r="M523" s="121" t="n">
        <f aca="false">IFERROR(VLOOKUP(E523,RISK!A:B,2,FALSE()),"")</f>
        <v>3.2</v>
      </c>
      <c r="N523" s="120" t="e">
        <f aca="false">VLOOKUP(E523,Q:R,2,FALSE())</f>
        <v>#N/A</v>
      </c>
    </row>
    <row r="524" customFormat="false" ht="14.25" hidden="false" customHeight="true" outlineLevel="0" collapsed="false">
      <c r="A524" s="0" t="n">
        <v>523</v>
      </c>
      <c r="B524" s="0" t="n">
        <v>12</v>
      </c>
      <c r="C524" s="0" t="s">
        <v>985</v>
      </c>
      <c r="D524" s="0" t="s">
        <v>500</v>
      </c>
      <c r="E524" s="0" t="s">
        <v>455</v>
      </c>
      <c r="F524" s="0" t="n">
        <v>10</v>
      </c>
      <c r="G524" s="0" t="s">
        <v>1038</v>
      </c>
      <c r="H524" s="0" t="s">
        <v>1038</v>
      </c>
      <c r="I524" s="0" t="s">
        <v>1032</v>
      </c>
      <c r="J524" s="0" t="s">
        <v>1038</v>
      </c>
      <c r="K524" s="0" t="n">
        <v>523</v>
      </c>
      <c r="L524" s="0" t="str">
        <f aca="false">C524</f>
        <v>Grant Calcaterra</v>
      </c>
      <c r="M524" s="121" t="n">
        <f aca="false">IFERROR(VLOOKUP(E524,RISK!A:B,2,FALSE()),"")</f>
        <v>2.2011</v>
      </c>
      <c r="N524" s="120" t="e">
        <f aca="false">VLOOKUP(E524,Q:R,2,FALSE())</f>
        <v>#N/A</v>
      </c>
    </row>
    <row r="525" customFormat="false" ht="14.25" hidden="false" customHeight="true" outlineLevel="0" collapsed="false">
      <c r="A525" s="0" t="n">
        <v>524</v>
      </c>
      <c r="B525" s="0" t="n">
        <v>12</v>
      </c>
      <c r="C525" s="0" t="s">
        <v>1343</v>
      </c>
      <c r="D525" s="0" t="s">
        <v>496</v>
      </c>
      <c r="E525" s="0" t="s">
        <v>1344</v>
      </c>
      <c r="F525" s="0" t="n">
        <v>7</v>
      </c>
      <c r="G525" s="0" t="s">
        <v>1038</v>
      </c>
      <c r="H525" s="0" t="s">
        <v>1038</v>
      </c>
      <c r="I525" s="0" t="s">
        <v>1030</v>
      </c>
      <c r="J525" s="0" t="s">
        <v>1038</v>
      </c>
      <c r="K525" s="0" t="n">
        <v>524</v>
      </c>
      <c r="L525" s="0" t="str">
        <f aca="false">C525</f>
        <v>Drew Stevens</v>
      </c>
      <c r="M525" s="121" t="str">
        <f aca="false">IFERROR(VLOOKUP(E525,RISK!A:B,2,FALSE()),"")</f>
        <v/>
      </c>
      <c r="N525" s="120" t="e">
        <f aca="false">VLOOKUP(E525,Q:R,2,FALSE())</f>
        <v>#N/A</v>
      </c>
    </row>
    <row r="526" customFormat="false" ht="14.25" hidden="false" customHeight="true" outlineLevel="0" collapsed="false">
      <c r="A526" s="0" t="n">
        <v>525</v>
      </c>
      <c r="B526" s="0" t="n">
        <v>12</v>
      </c>
      <c r="C526" s="0" t="s">
        <v>995</v>
      </c>
      <c r="D526" s="0" t="s">
        <v>532</v>
      </c>
      <c r="E526" s="0" t="s">
        <v>458</v>
      </c>
      <c r="F526" s="0" t="n">
        <v>13</v>
      </c>
      <c r="G526" s="0" t="s">
        <v>1038</v>
      </c>
      <c r="H526" s="0" t="s">
        <v>1038</v>
      </c>
      <c r="I526" s="0" t="s">
        <v>1035</v>
      </c>
      <c r="J526" s="0" t="s">
        <v>1038</v>
      </c>
      <c r="K526" s="0" t="n">
        <v>525</v>
      </c>
      <c r="L526" s="0" t="str">
        <f aca="false">C526</f>
        <v>Drew Ogletree</v>
      </c>
      <c r="M526" s="121" t="n">
        <f aca="false">IFERROR(VLOOKUP(E526,RISK!A:B,2,FALSE()),"")</f>
        <v>2.2011</v>
      </c>
      <c r="N526" s="120" t="e">
        <f aca="false">VLOOKUP(E526,Q:R,2,FALSE())</f>
        <v>#N/A</v>
      </c>
    </row>
    <row r="527" customFormat="false" ht="14.25" hidden="false" customHeight="true" outlineLevel="0" collapsed="false">
      <c r="A527" s="0" t="n">
        <v>526</v>
      </c>
      <c r="B527" s="0" t="n">
        <v>12</v>
      </c>
      <c r="C527" s="0" t="s">
        <v>987</v>
      </c>
      <c r="D527" s="0" t="s">
        <v>510</v>
      </c>
      <c r="E527" s="0" t="s">
        <v>461</v>
      </c>
      <c r="F527" s="0" t="n">
        <v>14</v>
      </c>
      <c r="G527" s="0" t="s">
        <v>1038</v>
      </c>
      <c r="H527" s="0" t="s">
        <v>1038</v>
      </c>
      <c r="I527" s="0" t="s">
        <v>1031</v>
      </c>
      <c r="J527" s="0" t="s">
        <v>1038</v>
      </c>
      <c r="K527" s="0" t="n">
        <v>526</v>
      </c>
      <c r="L527" s="0" t="str">
        <f aca="false">C527</f>
        <v>Brevyn Spann-Ford</v>
      </c>
      <c r="M527" s="121" t="n">
        <f aca="false">IFERROR(VLOOKUP(E527,RISK!A:B,2,FALSE()),"")</f>
        <v>2.2011</v>
      </c>
      <c r="N527" s="120" t="e">
        <f aca="false">VLOOKUP(E527,Q:R,2,FALSE())</f>
        <v>#N/A</v>
      </c>
    </row>
    <row r="528" customFormat="false" ht="14.25" hidden="false" customHeight="true" outlineLevel="0" collapsed="false">
      <c r="A528" s="0" t="n">
        <v>527</v>
      </c>
      <c r="B528" s="0" t="n">
        <v>12</v>
      </c>
      <c r="C528" s="0" t="s">
        <v>955</v>
      </c>
      <c r="D528" s="0" t="s">
        <v>520</v>
      </c>
      <c r="E528" s="0" t="s">
        <v>464</v>
      </c>
      <c r="F528" s="0" t="n">
        <v>11</v>
      </c>
      <c r="G528" s="0" t="s">
        <v>1038</v>
      </c>
      <c r="H528" s="0" t="s">
        <v>1038</v>
      </c>
      <c r="I528" s="0" t="s">
        <v>1032</v>
      </c>
      <c r="J528" s="0" t="s">
        <v>1038</v>
      </c>
      <c r="K528" s="0" t="n">
        <v>527</v>
      </c>
      <c r="L528" s="0" t="str">
        <f aca="false">C528</f>
        <v>Davis Allen</v>
      </c>
      <c r="M528" s="121" t="n">
        <f aca="false">IFERROR(VLOOKUP(E528,RISK!A:B,2,FALSE()),"")</f>
        <v>2.2011</v>
      </c>
      <c r="N528" s="120" t="e">
        <f aca="false">VLOOKUP(E528,Q:R,2,FALSE())</f>
        <v>#N/A</v>
      </c>
    </row>
    <row r="529" customFormat="false" ht="14.25" hidden="false" customHeight="true" outlineLevel="0" collapsed="false">
      <c r="A529" s="0" t="n">
        <v>528</v>
      </c>
      <c r="B529" s="0" t="n">
        <v>12</v>
      </c>
      <c r="C529" s="0" t="s">
        <v>898</v>
      </c>
      <c r="D529" s="0" t="s">
        <v>522</v>
      </c>
      <c r="E529" s="0" t="s">
        <v>1345</v>
      </c>
      <c r="F529" s="0" t="n">
        <v>6</v>
      </c>
      <c r="G529" s="0" t="s">
        <v>1038</v>
      </c>
      <c r="H529" s="0" t="s">
        <v>1038</v>
      </c>
      <c r="I529" s="0" t="s">
        <v>1030</v>
      </c>
      <c r="J529" s="0" t="s">
        <v>1038</v>
      </c>
      <c r="K529" s="0" t="n">
        <v>528</v>
      </c>
      <c r="L529" s="0" t="str">
        <f aca="false">C529</f>
        <v>Myles Price</v>
      </c>
      <c r="M529" s="121" t="n">
        <f aca="false">IFERROR(VLOOKUP(E529,RISK!A:B,2,FALSE()),"")</f>
        <v>3.84810126582278</v>
      </c>
      <c r="N529" s="120" t="e">
        <f aca="false">VLOOKUP(E529,Q:R,2,FALSE())</f>
        <v>#N/A</v>
      </c>
    </row>
    <row r="530" customFormat="false" ht="14.25" hidden="false" customHeight="true" outlineLevel="0" collapsed="false">
      <c r="A530" s="0" t="n">
        <v>529</v>
      </c>
      <c r="B530" s="0" t="n">
        <v>12</v>
      </c>
      <c r="C530" s="0" t="s">
        <v>1009</v>
      </c>
      <c r="D530" s="0" t="s">
        <v>534</v>
      </c>
      <c r="E530" s="0" t="s">
        <v>467</v>
      </c>
      <c r="F530" s="0" t="n">
        <v>6</v>
      </c>
      <c r="G530" s="0" t="s">
        <v>1038</v>
      </c>
      <c r="H530" s="0" t="s">
        <v>1038</v>
      </c>
      <c r="I530" s="0" t="s">
        <v>1030</v>
      </c>
      <c r="J530" s="0" t="s">
        <v>1038</v>
      </c>
      <c r="K530" s="0" t="n">
        <v>529</v>
      </c>
      <c r="L530" s="0" t="str">
        <f aca="false">C530</f>
        <v>Ben Sims</v>
      </c>
      <c r="M530" s="121" t="n">
        <f aca="false">IFERROR(VLOOKUP(E530,RISK!A:B,2,FALSE()),"")</f>
        <v>2.2011</v>
      </c>
      <c r="N530" s="120" t="e">
        <f aca="false">VLOOKUP(E530,Q:R,2,FALSE())</f>
        <v>#N/A</v>
      </c>
    </row>
    <row r="531" customFormat="false" ht="14.25" hidden="false" customHeight="true" outlineLevel="0" collapsed="false">
      <c r="A531" s="0" t="n">
        <v>530</v>
      </c>
      <c r="B531" s="0" t="n">
        <v>12</v>
      </c>
      <c r="C531" s="0" t="s">
        <v>1002</v>
      </c>
      <c r="D531" s="0" t="s">
        <v>500</v>
      </c>
      <c r="E531" s="0" t="s">
        <v>470</v>
      </c>
      <c r="F531" s="0" t="n">
        <v>10</v>
      </c>
      <c r="G531" s="0" t="s">
        <v>1038</v>
      </c>
      <c r="H531" s="0" t="s">
        <v>1038</v>
      </c>
      <c r="I531" s="0" t="s">
        <v>1032</v>
      </c>
      <c r="J531" s="0" t="s">
        <v>1038</v>
      </c>
      <c r="K531" s="0" t="n">
        <v>530</v>
      </c>
      <c r="L531" s="0" t="str">
        <f aca="false">C531</f>
        <v>Johnny Mundt</v>
      </c>
      <c r="M531" s="121" t="n">
        <f aca="false">IFERROR(VLOOKUP(E531,RISK!A:B,2,FALSE()),"")</f>
        <v>2.2011</v>
      </c>
      <c r="N531" s="120" t="e">
        <f aca="false">VLOOKUP(E531,Q:R,2,FALSE())</f>
        <v>#N/A</v>
      </c>
    </row>
    <row r="532" customFormat="false" ht="14.25" hidden="false" customHeight="true" outlineLevel="0" collapsed="false">
      <c r="A532" s="0" t="n">
        <v>531</v>
      </c>
      <c r="B532" s="0" t="n">
        <v>12</v>
      </c>
      <c r="C532" s="0" t="s">
        <v>990</v>
      </c>
      <c r="D532" s="0" t="s">
        <v>530</v>
      </c>
      <c r="E532" s="0" t="s">
        <v>473</v>
      </c>
      <c r="F532" s="0" t="n">
        <v>11</v>
      </c>
      <c r="G532" s="0" t="s">
        <v>1038</v>
      </c>
      <c r="H532" s="0" t="s">
        <v>1038</v>
      </c>
      <c r="I532" s="0" t="s">
        <v>1031</v>
      </c>
      <c r="J532" s="0" t="s">
        <v>1038</v>
      </c>
      <c r="K532" s="0" t="n">
        <v>531</v>
      </c>
      <c r="L532" s="0" t="str">
        <f aca="false">C532</f>
        <v>Josh Whyle</v>
      </c>
      <c r="M532" s="121" t="n">
        <f aca="false">IFERROR(VLOOKUP(E532,RISK!A:B,2,FALSE()),"")</f>
        <v>2.2011</v>
      </c>
      <c r="N532" s="120" t="e">
        <f aca="false">VLOOKUP(E532,Q:R,2,FALSE())</f>
        <v>#N/A</v>
      </c>
    </row>
    <row r="533" customFormat="false" ht="14.25" hidden="false" customHeight="true" outlineLevel="0" collapsed="false">
      <c r="A533" s="0" t="n">
        <v>532</v>
      </c>
      <c r="B533" s="0" t="n">
        <v>12</v>
      </c>
      <c r="C533" s="0" t="s">
        <v>1010</v>
      </c>
      <c r="D533" s="0" t="s">
        <v>498</v>
      </c>
      <c r="E533" s="0" t="s">
        <v>476</v>
      </c>
      <c r="F533" s="0" t="n">
        <v>11</v>
      </c>
      <c r="G533" s="0" t="s">
        <v>1038</v>
      </c>
      <c r="H533" s="0" t="s">
        <v>1038</v>
      </c>
      <c r="I533" s="0" t="s">
        <v>1032</v>
      </c>
      <c r="J533" s="0" t="s">
        <v>1038</v>
      </c>
      <c r="K533" s="0" t="n">
        <v>532</v>
      </c>
      <c r="L533" s="0" t="str">
        <f aca="false">C533</f>
        <v>Julian Hill</v>
      </c>
      <c r="M533" s="121" t="n">
        <f aca="false">IFERROR(VLOOKUP(E533,RISK!A:B,2,FALSE()),"")</f>
        <v>2.2011</v>
      </c>
      <c r="N533" s="120" t="e">
        <f aca="false">VLOOKUP(E533,Q:R,2,FALSE())</f>
        <v>#N/A</v>
      </c>
    </row>
    <row r="534" customFormat="false" ht="14.25" hidden="false" customHeight="true" outlineLevel="0" collapsed="false">
      <c r="A534" s="0" t="n">
        <v>533</v>
      </c>
      <c r="B534" s="0" t="n">
        <v>12</v>
      </c>
      <c r="C534" s="0" t="s">
        <v>1346</v>
      </c>
      <c r="D534" s="0" t="s">
        <v>538</v>
      </c>
      <c r="E534" s="0" t="s">
        <v>1347</v>
      </c>
      <c r="F534" s="0" t="n">
        <v>8</v>
      </c>
      <c r="G534" s="0" t="s">
        <v>1038</v>
      </c>
      <c r="H534" s="0" t="s">
        <v>1038</v>
      </c>
      <c r="I534" s="0" t="s">
        <v>1032</v>
      </c>
      <c r="J534" s="0" t="s">
        <v>1038</v>
      </c>
      <c r="K534" s="0" t="n">
        <v>533</v>
      </c>
      <c r="L534" s="0" t="str">
        <f aca="false">C534</f>
        <v>Noah Whittington</v>
      </c>
      <c r="M534" s="121" t="n">
        <f aca="false">IFERROR(VLOOKUP(E534,RISK!A:B,2,FALSE()),"")</f>
        <v>4</v>
      </c>
      <c r="N534" s="120" t="e">
        <f aca="false">VLOOKUP(E534,Q:R,2,FALSE())</f>
        <v>#N/A</v>
      </c>
    </row>
    <row r="535" customFormat="false" ht="14.25" hidden="false" customHeight="true" outlineLevel="0" collapsed="false">
      <c r="A535" s="0" t="n">
        <v>534</v>
      </c>
      <c r="B535" s="0" t="n">
        <v>12</v>
      </c>
      <c r="C535" s="0" t="s">
        <v>999</v>
      </c>
      <c r="D535" s="0" t="s">
        <v>524</v>
      </c>
      <c r="E535" s="0" t="s">
        <v>479</v>
      </c>
      <c r="F535" s="0" t="n">
        <v>6</v>
      </c>
      <c r="G535" s="0" t="s">
        <v>1038</v>
      </c>
      <c r="H535" s="0" t="s">
        <v>1038</v>
      </c>
      <c r="I535" s="0" t="s">
        <v>1035</v>
      </c>
      <c r="J535" s="0" t="s">
        <v>1038</v>
      </c>
      <c r="K535" s="0" t="n">
        <v>534</v>
      </c>
      <c r="L535" s="0" t="str">
        <f aca="false">C535</f>
        <v>Tyler Conklin</v>
      </c>
      <c r="M535" s="121" t="n">
        <f aca="false">IFERROR(VLOOKUP(E535,RISK!A:B,2,FALSE()),"")</f>
        <v>2.2011</v>
      </c>
      <c r="N535" s="120" t="e">
        <f aca="false">VLOOKUP(E535,Q:R,2,FALSE())</f>
        <v>#N/A</v>
      </c>
    </row>
    <row r="536" customFormat="false" ht="14.25" hidden="false" customHeight="true" outlineLevel="0" collapsed="false">
      <c r="A536" s="0" t="n">
        <v>535</v>
      </c>
      <c r="B536" s="0" t="n">
        <v>12</v>
      </c>
      <c r="C536" s="0" t="s">
        <v>977</v>
      </c>
      <c r="D536" s="0" t="s">
        <v>512</v>
      </c>
      <c r="E536" s="0" t="s">
        <v>1348</v>
      </c>
      <c r="F536" s="0" t="n">
        <v>5</v>
      </c>
      <c r="G536" s="0" t="s">
        <v>1038</v>
      </c>
      <c r="H536" s="0" t="s">
        <v>1038</v>
      </c>
      <c r="I536" s="0" t="s">
        <v>1032</v>
      </c>
      <c r="J536" s="0" t="s">
        <v>1038</v>
      </c>
      <c r="K536" s="0" t="n">
        <v>535</v>
      </c>
      <c r="L536" s="0" t="str">
        <f aca="false">C536</f>
        <v>Jared Wiley</v>
      </c>
      <c r="M536" s="121" t="n">
        <f aca="false">IFERROR(VLOOKUP(E536,RISK!A:B,2,FALSE()),"")</f>
        <v>2.2011</v>
      </c>
      <c r="N536" s="120" t="e">
        <f aca="false">VLOOKUP(E536,Q:R,2,FALSE())</f>
        <v>#N/A</v>
      </c>
    </row>
    <row r="537" customFormat="false" ht="14.25" hidden="false" customHeight="true" outlineLevel="0" collapsed="false">
      <c r="A537" s="0" t="n">
        <v>536</v>
      </c>
      <c r="B537" s="0" t="n">
        <v>12</v>
      </c>
      <c r="C537" s="0" t="s">
        <v>1001</v>
      </c>
      <c r="D537" s="0" t="s">
        <v>536</v>
      </c>
      <c r="E537" s="0" t="s">
        <v>1349</v>
      </c>
      <c r="F537" s="0" t="n">
        <v>11</v>
      </c>
      <c r="G537" s="0" t="s">
        <v>1038</v>
      </c>
      <c r="H537" s="0" t="s">
        <v>1038</v>
      </c>
      <c r="I537" s="0" t="s">
        <v>1035</v>
      </c>
      <c r="J537" s="0" t="s">
        <v>1038</v>
      </c>
      <c r="K537" s="0" t="n">
        <v>536</v>
      </c>
      <c r="L537" s="0" t="str">
        <f aca="false">C537</f>
        <v>Eric Saubert</v>
      </c>
      <c r="M537" s="121" t="n">
        <f aca="false">IFERROR(VLOOKUP(E537,RISK!A:B,2,FALSE()),"")</f>
        <v>2.2011</v>
      </c>
      <c r="N537" s="120" t="e">
        <f aca="false">VLOOKUP(E537,Q:R,2,FALSE())</f>
        <v>#N/A</v>
      </c>
    </row>
    <row r="538" customFormat="false" ht="14.25" hidden="false" customHeight="true" outlineLevel="0" collapsed="false">
      <c r="A538" s="0" t="n">
        <v>537</v>
      </c>
      <c r="B538" s="0" t="n">
        <v>12</v>
      </c>
      <c r="C538" s="0" t="s">
        <v>983</v>
      </c>
      <c r="D538" s="0" t="s">
        <v>528</v>
      </c>
      <c r="E538" s="0" t="s">
        <v>1350</v>
      </c>
      <c r="F538" s="0" t="n">
        <v>10</v>
      </c>
      <c r="G538" s="0" t="s">
        <v>1038</v>
      </c>
      <c r="H538" s="0" t="s">
        <v>1038</v>
      </c>
      <c r="I538" s="0" t="s">
        <v>1031</v>
      </c>
      <c r="J538" s="0" t="s">
        <v>1038</v>
      </c>
      <c r="K538" s="0" t="n">
        <v>537</v>
      </c>
      <c r="L538" s="0" t="str">
        <f aca="false">C538</f>
        <v>Payne Durham</v>
      </c>
      <c r="M538" s="121" t="n">
        <f aca="false">IFERROR(VLOOKUP(E538,RISK!A:B,2,FALSE()),"")</f>
        <v>2.2011</v>
      </c>
      <c r="N538" s="120" t="e">
        <f aca="false">VLOOKUP(E538,Q:R,2,FALSE())</f>
        <v>#N/A</v>
      </c>
    </row>
    <row r="539" customFormat="false" ht="14.25" hidden="false" customHeight="true" outlineLevel="0" collapsed="false">
      <c r="A539" s="0" t="n">
        <v>538</v>
      </c>
      <c r="B539" s="0" t="n">
        <v>12</v>
      </c>
      <c r="C539" s="0" t="s">
        <v>1351</v>
      </c>
      <c r="D539" s="0" t="s">
        <v>538</v>
      </c>
      <c r="E539" s="0" t="s">
        <v>1352</v>
      </c>
      <c r="F539" s="0" t="n">
        <v>8</v>
      </c>
      <c r="G539" s="0" t="s">
        <v>1038</v>
      </c>
      <c r="H539" s="0" t="s">
        <v>1038</v>
      </c>
      <c r="I539" s="0" t="s">
        <v>1035</v>
      </c>
      <c r="J539" s="0" t="s">
        <v>1038</v>
      </c>
      <c r="K539" s="0" t="n">
        <v>538</v>
      </c>
      <c r="L539" s="0" t="str">
        <f aca="false">C539</f>
        <v>Jared Wayne</v>
      </c>
      <c r="M539" s="121" t="n">
        <f aca="false">IFERROR(VLOOKUP(E539,RISK!A:B,2,FALSE()),"")</f>
        <v>3.84810126582278</v>
      </c>
      <c r="N539" s="120" t="e">
        <f aca="false">VLOOKUP(E539,Q:R,2,FALSE())</f>
        <v>#N/A</v>
      </c>
    </row>
    <row r="540" customFormat="false" ht="14.25" hidden="false" customHeight="true" outlineLevel="0" collapsed="false">
      <c r="A540" s="0" t="n">
        <v>539</v>
      </c>
      <c r="B540" s="0" t="n">
        <v>12</v>
      </c>
      <c r="C540" s="0" t="s">
        <v>993</v>
      </c>
      <c r="D540" s="0" t="s">
        <v>550</v>
      </c>
      <c r="E540" s="0" t="s">
        <v>1353</v>
      </c>
      <c r="F540" s="0" t="n">
        <v>13</v>
      </c>
      <c r="G540" s="0" t="s">
        <v>1038</v>
      </c>
      <c r="H540" s="0" t="s">
        <v>1038</v>
      </c>
      <c r="I540" s="0" t="s">
        <v>1035</v>
      </c>
      <c r="J540" s="0" t="s">
        <v>1038</v>
      </c>
      <c r="K540" s="0" t="n">
        <v>539</v>
      </c>
      <c r="L540" s="0" t="str">
        <f aca="false">C540</f>
        <v>Ian Thomas</v>
      </c>
      <c r="M540" s="121" t="n">
        <f aca="false">IFERROR(VLOOKUP(E540,RISK!A:B,2,FALSE()),"")</f>
        <v>2.2011</v>
      </c>
      <c r="N540" s="120" t="e">
        <f aca="false">VLOOKUP(E540,Q:R,2,FALSE())</f>
        <v>#N/A</v>
      </c>
    </row>
    <row r="541" customFormat="false" ht="14.25" hidden="false" customHeight="true" outlineLevel="0" collapsed="false">
      <c r="A541" s="0" t="n">
        <v>540</v>
      </c>
      <c r="B541" s="0" t="n">
        <v>12</v>
      </c>
      <c r="C541" s="0" t="s">
        <v>841</v>
      </c>
      <c r="D541" s="0" t="s">
        <v>516</v>
      </c>
      <c r="E541" s="0" t="s">
        <v>1354</v>
      </c>
      <c r="F541" s="0" t="n">
        <v>7</v>
      </c>
      <c r="G541" s="0" t="s">
        <v>1038</v>
      </c>
      <c r="H541" s="0" t="s">
        <v>1038</v>
      </c>
      <c r="I541" s="0" t="s">
        <v>1031</v>
      </c>
      <c r="J541" s="0" t="s">
        <v>1038</v>
      </c>
      <c r="K541" s="0" t="n">
        <v>540</v>
      </c>
      <c r="L541" s="0" t="str">
        <f aca="false">C541</f>
        <v>Theo Wease Jr.</v>
      </c>
      <c r="M541" s="121" t="n">
        <f aca="false">IFERROR(VLOOKUP(E541,RISK!A:B,2,FALSE()),"")</f>
        <v>3.84810126582278</v>
      </c>
      <c r="N541" s="120" t="e">
        <f aca="false">VLOOKUP(E541,Q:R,2,FALSE())</f>
        <v>#N/A</v>
      </c>
    </row>
    <row r="542" customFormat="false" ht="14.25" hidden="false" customHeight="true" outlineLevel="0" collapsed="false">
      <c r="A542" s="0" t="n">
        <v>541</v>
      </c>
      <c r="B542" s="0" t="n">
        <v>12</v>
      </c>
      <c r="C542" s="0" t="s">
        <v>1355</v>
      </c>
      <c r="D542" s="0" t="s">
        <v>490</v>
      </c>
      <c r="E542" s="0" t="s">
        <v>1356</v>
      </c>
      <c r="F542" s="0" t="n">
        <v>7</v>
      </c>
      <c r="G542" s="0" t="s">
        <v>1038</v>
      </c>
      <c r="H542" s="0" t="s">
        <v>1038</v>
      </c>
      <c r="I542" s="0" t="s">
        <v>1031</v>
      </c>
      <c r="J542" s="0" t="s">
        <v>1038</v>
      </c>
      <c r="K542" s="0" t="n">
        <v>541</v>
      </c>
      <c r="L542" s="0" t="str">
        <f aca="false">C542</f>
        <v>Frank Gore Jr.</v>
      </c>
      <c r="M542" s="121" t="n">
        <f aca="false">IFERROR(VLOOKUP(E542,RISK!A:B,2,FALSE()),"")</f>
        <v>4</v>
      </c>
      <c r="N542" s="120" t="e">
        <f aca="false">VLOOKUP(E542,Q:R,2,FALSE())</f>
        <v>#N/A</v>
      </c>
    </row>
    <row r="543" customFormat="false" ht="14.25" hidden="false" customHeight="true" outlineLevel="0" collapsed="false">
      <c r="A543" s="0" t="n">
        <v>542</v>
      </c>
      <c r="B543" s="0" t="n">
        <v>12</v>
      </c>
      <c r="C543" s="0" t="s">
        <v>867</v>
      </c>
      <c r="D543" s="0" t="s">
        <v>530</v>
      </c>
      <c r="E543" s="0" t="s">
        <v>1357</v>
      </c>
      <c r="F543" s="0" t="n">
        <v>11</v>
      </c>
      <c r="G543" s="0" t="s">
        <v>1038</v>
      </c>
      <c r="H543" s="0" t="s">
        <v>1038</v>
      </c>
      <c r="I543" s="0" t="s">
        <v>1030</v>
      </c>
      <c r="J543" s="0" t="s">
        <v>1038</v>
      </c>
      <c r="K543" s="0" t="n">
        <v>542</v>
      </c>
      <c r="L543" s="0" t="str">
        <f aca="false">C543</f>
        <v>Bo Melton</v>
      </c>
      <c r="M543" s="121" t="n">
        <f aca="false">IFERROR(VLOOKUP(E543,RISK!A:B,2,FALSE()),"")</f>
        <v>3.84810126582278</v>
      </c>
      <c r="N543" s="120" t="e">
        <f aca="false">VLOOKUP(E543,Q:R,2,FALSE())</f>
        <v>#N/A</v>
      </c>
    </row>
    <row r="544" customFormat="false" ht="14.25" hidden="false" customHeight="true" outlineLevel="0" collapsed="false">
      <c r="A544" s="0" t="n">
        <v>543</v>
      </c>
      <c r="B544" s="0" t="n">
        <v>12</v>
      </c>
      <c r="C544" s="0" t="s">
        <v>1358</v>
      </c>
      <c r="D544" s="0" t="s">
        <v>526</v>
      </c>
      <c r="E544" s="0" t="s">
        <v>1359</v>
      </c>
      <c r="F544" s="0" t="n">
        <v>8</v>
      </c>
      <c r="G544" s="0" t="s">
        <v>1038</v>
      </c>
      <c r="H544" s="0" t="s">
        <v>1038</v>
      </c>
      <c r="I544" s="0" t="s">
        <v>1031</v>
      </c>
      <c r="J544" s="0" t="s">
        <v>1038</v>
      </c>
      <c r="K544" s="0" t="n">
        <v>543</v>
      </c>
      <c r="L544" s="0" t="str">
        <f aca="false">C544</f>
        <v>Moliki Matavao</v>
      </c>
      <c r="M544" s="121" t="n">
        <f aca="false">IFERROR(VLOOKUP(E544,RISK!A:B,2,FALSE()),"")</f>
        <v>2.2011</v>
      </c>
      <c r="N544" s="120" t="e">
        <f aca="false">VLOOKUP(E544,Q:R,2,FALSE())</f>
        <v>#N/A</v>
      </c>
    </row>
    <row r="545" customFormat="false" ht="14.25" hidden="false" customHeight="true" outlineLevel="0" collapsed="false">
      <c r="A545" s="0" t="n">
        <v>544</v>
      </c>
      <c r="B545" s="0" t="n">
        <v>12</v>
      </c>
      <c r="C545" s="0" t="s">
        <v>978</v>
      </c>
      <c r="D545" s="0" t="s">
        <v>532</v>
      </c>
      <c r="E545" s="0" t="s">
        <v>1360</v>
      </c>
      <c r="F545" s="0" t="n">
        <v>13</v>
      </c>
      <c r="G545" s="0" t="s">
        <v>1038</v>
      </c>
      <c r="H545" s="0" t="s">
        <v>1038</v>
      </c>
      <c r="I545" s="0" t="s">
        <v>1035</v>
      </c>
      <c r="J545" s="0" t="s">
        <v>1038</v>
      </c>
      <c r="K545" s="0" t="n">
        <v>544</v>
      </c>
      <c r="L545" s="0" t="str">
        <f aca="false">C545</f>
        <v>Will Mallory</v>
      </c>
      <c r="M545" s="121" t="n">
        <f aca="false">IFERROR(VLOOKUP(E545,RISK!A:B,2,FALSE()),"")</f>
        <v>2.2011</v>
      </c>
      <c r="N545" s="120" t="e">
        <f aca="false">VLOOKUP(E545,Q:R,2,FALSE())</f>
        <v>#N/A</v>
      </c>
    </row>
    <row r="546" customFormat="false" ht="14.25" hidden="false" customHeight="true" outlineLevel="0" collapsed="false">
      <c r="A546" s="0" t="n">
        <v>545</v>
      </c>
      <c r="B546" s="0" t="n">
        <v>12</v>
      </c>
      <c r="C546" s="0" t="s">
        <v>865</v>
      </c>
      <c r="D546" s="0" t="s">
        <v>516</v>
      </c>
      <c r="E546" s="0" t="s">
        <v>1361</v>
      </c>
      <c r="F546" s="0" t="n">
        <v>7</v>
      </c>
      <c r="G546" s="0" t="s">
        <v>1038</v>
      </c>
      <c r="H546" s="0" t="s">
        <v>1038</v>
      </c>
      <c r="I546" s="0" t="s">
        <v>1031</v>
      </c>
      <c r="J546" s="0" t="s">
        <v>1038</v>
      </c>
      <c r="K546" s="0" t="n">
        <v>545</v>
      </c>
      <c r="L546" s="0" t="str">
        <f aca="false">C546</f>
        <v>KeAndre Lambert-Smith</v>
      </c>
      <c r="M546" s="121" t="n">
        <f aca="false">IFERROR(VLOOKUP(E546,RISK!A:B,2,FALSE()),"")</f>
        <v>3.84810126582278</v>
      </c>
      <c r="N546" s="120" t="e">
        <f aca="false">VLOOKUP(E546,Q:R,2,FALSE())</f>
        <v>#N/A</v>
      </c>
    </row>
    <row r="547" customFormat="false" ht="14.25" hidden="false" customHeight="true" outlineLevel="0" collapsed="false">
      <c r="A547" s="0" t="n">
        <v>546</v>
      </c>
      <c r="B547" s="0" t="n">
        <v>13</v>
      </c>
      <c r="C547" s="0" t="s">
        <v>991</v>
      </c>
      <c r="D547" s="0" t="s">
        <v>546</v>
      </c>
      <c r="E547" s="0" t="s">
        <v>1362</v>
      </c>
      <c r="F547" s="0" t="n">
        <v>14</v>
      </c>
      <c r="G547" s="0" t="s">
        <v>1038</v>
      </c>
      <c r="H547" s="0" t="s">
        <v>1038</v>
      </c>
      <c r="I547" s="0" t="s">
        <v>1031</v>
      </c>
      <c r="J547" s="0" t="s">
        <v>1038</v>
      </c>
      <c r="K547" s="0" t="n">
        <v>546</v>
      </c>
      <c r="L547" s="0" t="str">
        <f aca="false">C547</f>
        <v>Hunter Long</v>
      </c>
      <c r="M547" s="121" t="n">
        <f aca="false">IFERROR(VLOOKUP(E547,RISK!A:B,2,FALSE()),"")</f>
        <v>2.2011</v>
      </c>
      <c r="N547" s="120" t="e">
        <f aca="false">VLOOKUP(E547,Q:R,2,FALSE())</f>
        <v>#N/A</v>
      </c>
    </row>
    <row r="548" customFormat="false" ht="14.25" hidden="false" customHeight="true" outlineLevel="0" collapsed="false">
      <c r="A548" s="0" t="n">
        <v>547</v>
      </c>
      <c r="B548" s="0" t="n">
        <v>13</v>
      </c>
      <c r="C548" s="0" t="s">
        <v>1363</v>
      </c>
      <c r="D548" s="0" t="s">
        <v>538</v>
      </c>
      <c r="E548" s="0" t="s">
        <v>1364</v>
      </c>
      <c r="F548" s="0" t="n">
        <v>8</v>
      </c>
      <c r="G548" s="0" t="s">
        <v>1038</v>
      </c>
      <c r="H548" s="0" t="s">
        <v>1038</v>
      </c>
      <c r="I548" s="0" t="s">
        <v>1035</v>
      </c>
      <c r="J548" s="0" t="s">
        <v>1038</v>
      </c>
      <c r="K548" s="0" t="n">
        <v>547</v>
      </c>
      <c r="L548" s="0" t="str">
        <f aca="false">C548</f>
        <v>Mitch Tinsley</v>
      </c>
      <c r="M548" s="121" t="n">
        <f aca="false">IFERROR(VLOOKUP(E548,RISK!A:B,2,FALSE()),"")</f>
        <v>3.84810126582278</v>
      </c>
      <c r="N548" s="120" t="e">
        <f aca="false">VLOOKUP(E548,Q:R,2,FALSE())</f>
        <v>#N/A</v>
      </c>
    </row>
    <row r="549" customFormat="false" ht="14.25" hidden="false" customHeight="true" outlineLevel="0" collapsed="false">
      <c r="A549" s="0" t="n">
        <v>548</v>
      </c>
      <c r="B549" s="0" t="n">
        <v>13</v>
      </c>
      <c r="C549" s="0" t="s">
        <v>996</v>
      </c>
      <c r="D549" s="0" t="s">
        <v>554</v>
      </c>
      <c r="E549" s="0" t="s">
        <v>1365</v>
      </c>
      <c r="F549" s="0" t="n">
        <v>11</v>
      </c>
      <c r="G549" s="0" t="s">
        <v>1038</v>
      </c>
      <c r="H549" s="0" t="s">
        <v>1038</v>
      </c>
      <c r="I549" s="0" t="s">
        <v>1035</v>
      </c>
      <c r="J549" s="0" t="s">
        <v>1038</v>
      </c>
      <c r="K549" s="0" t="n">
        <v>548</v>
      </c>
      <c r="L549" s="0" t="str">
        <f aca="false">C549</f>
        <v>Blake Whiteheart</v>
      </c>
      <c r="M549" s="121" t="n">
        <f aca="false">IFERROR(VLOOKUP(E549,RISK!A:B,2,FALSE()),"")</f>
        <v>2.2011</v>
      </c>
      <c r="N549" s="120" t="e">
        <f aca="false">VLOOKUP(E549,Q:R,2,FALSE())</f>
        <v>#N/A</v>
      </c>
    </row>
    <row r="550" customFormat="false" ht="14.25" hidden="false" customHeight="true" outlineLevel="0" collapsed="false">
      <c r="A550" s="0" t="n">
        <v>549</v>
      </c>
      <c r="B550" s="0" t="n">
        <v>13</v>
      </c>
      <c r="C550" s="0" t="s">
        <v>1366</v>
      </c>
      <c r="D550" s="0" t="s">
        <v>540</v>
      </c>
      <c r="E550" s="0" t="s">
        <v>1367</v>
      </c>
      <c r="F550" s="0" t="n">
        <v>5</v>
      </c>
      <c r="G550" s="0" t="s">
        <v>1038</v>
      </c>
      <c r="H550" s="0" t="s">
        <v>1038</v>
      </c>
      <c r="I550" s="0" t="s">
        <v>1031</v>
      </c>
      <c r="J550" s="0" t="n">
        <v>-245</v>
      </c>
      <c r="K550" s="0" t="n">
        <v>549</v>
      </c>
      <c r="L550" s="0" t="str">
        <f aca="false">C550</f>
        <v>Casey Washington</v>
      </c>
      <c r="M550" s="121" t="n">
        <f aca="false">IFERROR(VLOOKUP(E550,RISK!A:B,2,FALSE()),"")</f>
        <v>3.84810126582278</v>
      </c>
      <c r="N550" s="120" t="e">
        <f aca="false">VLOOKUP(E550,Q:R,2,FALSE())</f>
        <v>#N/A</v>
      </c>
    </row>
    <row r="551" customFormat="false" ht="14.25" hidden="false" customHeight="true" outlineLevel="0" collapsed="false">
      <c r="A551" s="0" t="n">
        <v>550</v>
      </c>
      <c r="B551" s="0" t="n">
        <v>13</v>
      </c>
      <c r="C551" s="0" t="s">
        <v>878</v>
      </c>
      <c r="D551" s="0" t="s">
        <v>500</v>
      </c>
      <c r="E551" s="0" t="s">
        <v>1368</v>
      </c>
      <c r="F551" s="0" t="n">
        <v>10</v>
      </c>
      <c r="G551" s="0" t="s">
        <v>1038</v>
      </c>
      <c r="H551" s="0" t="s">
        <v>1038</v>
      </c>
      <c r="I551" s="0" t="s">
        <v>1032</v>
      </c>
      <c r="J551" s="0" t="s">
        <v>1038</v>
      </c>
      <c r="K551" s="0" t="n">
        <v>550</v>
      </c>
      <c r="L551" s="0" t="str">
        <f aca="false">C551</f>
        <v>Darius Cooper</v>
      </c>
      <c r="M551" s="121" t="n">
        <f aca="false">IFERROR(VLOOKUP(E551,RISK!A:B,2,FALSE()),"")</f>
        <v>3.84810126582278</v>
      </c>
      <c r="N551" s="120" t="e">
        <f aca="false">VLOOKUP(E551,Q:R,2,FALSE())</f>
        <v>#N/A</v>
      </c>
    </row>
    <row r="552" customFormat="false" ht="14.25" hidden="false" customHeight="true" outlineLevel="0" collapsed="false">
      <c r="A552" s="0" t="n">
        <v>551</v>
      </c>
      <c r="B552" s="0" t="n">
        <v>13</v>
      </c>
      <c r="C552" s="0" t="s">
        <v>881</v>
      </c>
      <c r="D552" s="0" t="s">
        <v>540</v>
      </c>
      <c r="E552" s="0" t="s">
        <v>1369</v>
      </c>
      <c r="F552" s="0" t="n">
        <v>5</v>
      </c>
      <c r="G552" s="0" t="s">
        <v>1038</v>
      </c>
      <c r="H552" s="0" t="s">
        <v>1038</v>
      </c>
      <c r="I552" s="0" t="s">
        <v>1031</v>
      </c>
      <c r="J552" s="0" t="s">
        <v>1038</v>
      </c>
      <c r="K552" s="0" t="n">
        <v>551</v>
      </c>
      <c r="L552" s="0" t="str">
        <f aca="false">C552</f>
        <v>Brycen Tremayne</v>
      </c>
      <c r="M552" s="121" t="n">
        <f aca="false">IFERROR(VLOOKUP(E552,RISK!A:B,2,FALSE()),"")</f>
        <v>3.84810126582278</v>
      </c>
      <c r="N552" s="120" t="e">
        <f aca="false">VLOOKUP(E552,Q:R,2,FALSE())</f>
        <v>#N/A</v>
      </c>
    </row>
    <row r="553" customFormat="false" ht="14.25" hidden="false" customHeight="true" outlineLevel="0" collapsed="false">
      <c r="A553" s="0" t="n">
        <v>552</v>
      </c>
      <c r="B553" s="0" t="n">
        <v>13</v>
      </c>
      <c r="C553" s="0" t="s">
        <v>979</v>
      </c>
      <c r="D553" s="0" t="s">
        <v>544</v>
      </c>
      <c r="E553" s="0" t="s">
        <v>1370</v>
      </c>
      <c r="F553" s="0" t="n">
        <v>9</v>
      </c>
      <c r="G553" s="0" t="s">
        <v>1038</v>
      </c>
      <c r="H553" s="0" t="s">
        <v>1038</v>
      </c>
      <c r="I553" s="0" t="s">
        <v>1035</v>
      </c>
      <c r="J553" s="0" t="s">
        <v>1038</v>
      </c>
      <c r="K553" s="0" t="n">
        <v>552</v>
      </c>
      <c r="L553" s="0" t="str">
        <f aca="false">C553</f>
        <v>Kylen Granson</v>
      </c>
      <c r="M553" s="121" t="n">
        <f aca="false">IFERROR(VLOOKUP(E553,RISK!A:B,2,FALSE()),"")</f>
        <v>2.2011</v>
      </c>
      <c r="N553" s="120" t="e">
        <f aca="false">VLOOKUP(E553,Q:R,2,FALSE())</f>
        <v>#N/A</v>
      </c>
    </row>
    <row r="554" customFormat="false" ht="14.25" hidden="false" customHeight="true" outlineLevel="0" collapsed="false">
      <c r="A554" s="0" t="n">
        <v>553</v>
      </c>
      <c r="B554" s="0" t="n">
        <v>13</v>
      </c>
      <c r="C554" s="0" t="s">
        <v>590</v>
      </c>
      <c r="D554" s="0" t="s">
        <v>536</v>
      </c>
      <c r="E554" s="0" t="s">
        <v>1371</v>
      </c>
      <c r="F554" s="0" t="n">
        <v>11</v>
      </c>
      <c r="G554" s="0" t="s">
        <v>1038</v>
      </c>
      <c r="H554" s="0" t="s">
        <v>1038</v>
      </c>
      <c r="I554" s="0" t="s">
        <v>1032</v>
      </c>
      <c r="J554" s="0" t="s">
        <v>1038</v>
      </c>
      <c r="K554" s="0" t="n">
        <v>553</v>
      </c>
      <c r="L554" s="0" t="str">
        <f aca="false">C554</f>
        <v>Jalen Milroe</v>
      </c>
      <c r="M554" s="121" t="n">
        <f aca="false">IFERROR(VLOOKUP(E554,RISK!A:B,2,FALSE()),"")</f>
        <v>3.2</v>
      </c>
      <c r="N554" s="120" t="e">
        <f aca="false">VLOOKUP(E554,Q:R,2,FALSE())</f>
        <v>#N/A</v>
      </c>
    </row>
    <row r="555" customFormat="false" ht="14.25" hidden="false" customHeight="true" outlineLevel="0" collapsed="false">
      <c r="A555" s="0" t="n">
        <v>554</v>
      </c>
      <c r="B555" s="0" t="n">
        <v>13</v>
      </c>
      <c r="C555" s="0" t="s">
        <v>1372</v>
      </c>
      <c r="D555" s="0" t="s">
        <v>548</v>
      </c>
      <c r="E555" s="0" t="s">
        <v>1373</v>
      </c>
      <c r="F555" s="0" t="n">
        <v>9</v>
      </c>
      <c r="G555" s="0" t="s">
        <v>1038</v>
      </c>
      <c r="H555" s="0" t="s">
        <v>1038</v>
      </c>
      <c r="I555" s="0" t="s">
        <v>1031</v>
      </c>
      <c r="J555" s="0" t="s">
        <v>1038</v>
      </c>
      <c r="K555" s="0" t="n">
        <v>554</v>
      </c>
      <c r="L555" s="0" t="str">
        <f aca="false">C555</f>
        <v>Lew Nichols III</v>
      </c>
      <c r="M555" s="121" t="n">
        <f aca="false">IFERROR(VLOOKUP(E555,RISK!A:B,2,FALSE()),"")</f>
        <v>4</v>
      </c>
      <c r="N555" s="120" t="e">
        <f aca="false">VLOOKUP(E555,Q:R,2,FALSE())</f>
        <v>#N/A</v>
      </c>
    </row>
    <row r="556" customFormat="false" ht="14.25" hidden="false" customHeight="true" outlineLevel="0" collapsed="false">
      <c r="A556" s="0" t="n">
        <v>555</v>
      </c>
      <c r="B556" s="0" t="n">
        <v>13</v>
      </c>
      <c r="C556" s="0" t="s">
        <v>569</v>
      </c>
      <c r="D556" s="0" t="s">
        <v>538</v>
      </c>
      <c r="E556" s="0" t="s">
        <v>1374</v>
      </c>
      <c r="F556" s="0" t="n">
        <v>8</v>
      </c>
      <c r="G556" s="0" t="s">
        <v>1038</v>
      </c>
      <c r="H556" s="0" t="s">
        <v>1038</v>
      </c>
      <c r="I556" s="0" t="s">
        <v>1032</v>
      </c>
      <c r="J556" s="0" t="s">
        <v>1038</v>
      </c>
      <c r="K556" s="0" t="n">
        <v>555</v>
      </c>
      <c r="L556" s="0" t="str">
        <f aca="false">C556</f>
        <v>Davis Mills</v>
      </c>
      <c r="M556" s="121" t="n">
        <f aca="false">IFERROR(VLOOKUP(E556,RISK!A:B,2,FALSE()),"")</f>
        <v>3.2</v>
      </c>
      <c r="N556" s="120" t="e">
        <f aca="false">VLOOKUP(E556,Q:R,2,FALSE())</f>
        <v>#N/A</v>
      </c>
    </row>
    <row r="557" customFormat="false" ht="14.25" hidden="false" customHeight="true" outlineLevel="0" collapsed="false">
      <c r="A557" s="0" t="n">
        <v>556</v>
      </c>
      <c r="B557" s="0" t="n">
        <v>13</v>
      </c>
      <c r="C557" s="0" t="s">
        <v>874</v>
      </c>
      <c r="D557" s="0" t="s">
        <v>508</v>
      </c>
      <c r="E557" s="0" t="s">
        <v>1375</v>
      </c>
      <c r="F557" s="0" t="n">
        <v>8</v>
      </c>
      <c r="G557" s="0" t="s">
        <v>1038</v>
      </c>
      <c r="H557" s="0" t="s">
        <v>1038</v>
      </c>
      <c r="I557" s="0" t="s">
        <v>1031</v>
      </c>
      <c r="J557" s="0" t="s">
        <v>1038</v>
      </c>
      <c r="K557" s="0" t="n">
        <v>556</v>
      </c>
      <c r="L557" s="0" t="str">
        <f aca="false">C557</f>
        <v>Jacob Cowing</v>
      </c>
      <c r="M557" s="121" t="n">
        <f aca="false">IFERROR(VLOOKUP(E557,RISK!A:B,2,FALSE()),"")</f>
        <v>3.84810126582278</v>
      </c>
      <c r="N557" s="120" t="e">
        <f aca="false">VLOOKUP(E557,Q:R,2,FALSE())</f>
        <v>#N/A</v>
      </c>
    </row>
    <row r="558" customFormat="false" ht="14.25" hidden="false" customHeight="true" outlineLevel="0" collapsed="false">
      <c r="A558" s="0" t="n">
        <v>557</v>
      </c>
      <c r="B558" s="0" t="n">
        <v>13</v>
      </c>
      <c r="C558" s="0" t="s">
        <v>1376</v>
      </c>
      <c r="D558" s="0" t="s">
        <v>514</v>
      </c>
      <c r="E558" s="0" t="s">
        <v>1377</v>
      </c>
      <c r="F558" s="0" t="n">
        <v>10</v>
      </c>
      <c r="G558" s="0" t="s">
        <v>1038</v>
      </c>
      <c r="H558" s="0" t="s">
        <v>1038</v>
      </c>
      <c r="I558" s="0" t="s">
        <v>1035</v>
      </c>
      <c r="J558" s="0" t="s">
        <v>1038</v>
      </c>
      <c r="K558" s="0" t="n">
        <v>557</v>
      </c>
      <c r="L558" s="0" t="str">
        <f aca="false">C558</f>
        <v>Scotty Miller</v>
      </c>
      <c r="M558" s="121" t="n">
        <f aca="false">IFERROR(VLOOKUP(E558,RISK!A:B,2,FALSE()),"")</f>
        <v>3.84810126582278</v>
      </c>
      <c r="N558" s="120" t="e">
        <f aca="false">VLOOKUP(E558,Q:R,2,FALSE())</f>
        <v>#N/A</v>
      </c>
    </row>
    <row r="559" customFormat="false" ht="14.25" hidden="false" customHeight="true" outlineLevel="0" collapsed="false">
      <c r="A559" s="0" t="n">
        <v>558</v>
      </c>
      <c r="B559" s="0" t="n">
        <v>13</v>
      </c>
      <c r="C559" s="0" t="s">
        <v>1378</v>
      </c>
      <c r="D559" s="0" t="s">
        <v>548</v>
      </c>
      <c r="E559" s="0" t="s">
        <v>1379</v>
      </c>
      <c r="F559" s="0" t="n">
        <v>9</v>
      </c>
      <c r="G559" s="0" t="s">
        <v>1038</v>
      </c>
      <c r="H559" s="0" t="s">
        <v>1038</v>
      </c>
      <c r="I559" s="0" t="s">
        <v>1031</v>
      </c>
      <c r="J559" s="0" t="s">
        <v>1038</v>
      </c>
      <c r="K559" s="0" t="n">
        <v>558</v>
      </c>
      <c r="L559" s="0" t="str">
        <f aca="false">C559</f>
        <v>Travis Homer</v>
      </c>
      <c r="M559" s="121" t="n">
        <f aca="false">IFERROR(VLOOKUP(E559,RISK!A:B,2,FALSE()),"")</f>
        <v>4</v>
      </c>
      <c r="N559" s="120" t="e">
        <f aca="false">VLOOKUP(E559,Q:R,2,FALSE())</f>
        <v>#N/A</v>
      </c>
    </row>
    <row r="560" customFormat="false" ht="14.25" hidden="false" customHeight="true" outlineLevel="0" collapsed="false">
      <c r="A560" s="0" t="n">
        <v>559</v>
      </c>
      <c r="B560" s="0" t="n">
        <v>13</v>
      </c>
      <c r="C560" s="0" t="s">
        <v>1380</v>
      </c>
      <c r="D560" s="0" t="s">
        <v>1121</v>
      </c>
      <c r="E560" s="0" t="s">
        <v>1381</v>
      </c>
      <c r="F560" s="0" t="s">
        <v>1038</v>
      </c>
      <c r="G560" s="0" t="s">
        <v>1038</v>
      </c>
      <c r="H560" s="0" t="s">
        <v>1038</v>
      </c>
      <c r="I560" s="0" t="s">
        <v>1038</v>
      </c>
      <c r="J560" s="0" t="s">
        <v>1038</v>
      </c>
      <c r="K560" s="0" t="n">
        <v>559</v>
      </c>
      <c r="L560" s="0" t="str">
        <f aca="false">C560</f>
        <v>JuJu Smith-Schuster</v>
      </c>
      <c r="M560" s="121" t="n">
        <f aca="false">IFERROR(VLOOKUP(E560,RISK!A:B,2,FALSE()),"")</f>
        <v>3.84810126582278</v>
      </c>
      <c r="N560" s="120" t="e">
        <f aca="false">VLOOKUP(E560,Q:R,2,FALSE())</f>
        <v>#N/A</v>
      </c>
    </row>
    <row r="561" customFormat="false" ht="14.25" hidden="false" customHeight="true" outlineLevel="0" collapsed="false">
      <c r="A561" s="0" t="n">
        <v>560</v>
      </c>
      <c r="B561" s="0" t="n">
        <v>13</v>
      </c>
      <c r="C561" s="0" t="s">
        <v>1382</v>
      </c>
      <c r="D561" s="0" t="s">
        <v>1121</v>
      </c>
      <c r="E561" s="0" t="s">
        <v>1383</v>
      </c>
      <c r="F561" s="0" t="s">
        <v>1038</v>
      </c>
      <c r="G561" s="0" t="s">
        <v>1038</v>
      </c>
      <c r="H561" s="0" t="s">
        <v>1038</v>
      </c>
      <c r="I561" s="0" t="s">
        <v>1038</v>
      </c>
      <c r="J561" s="0" t="n">
        <v>-218</v>
      </c>
      <c r="K561" s="0" t="n">
        <v>560</v>
      </c>
      <c r="L561" s="0" t="str">
        <f aca="false">C561</f>
        <v>Jalen Reagor</v>
      </c>
      <c r="M561" s="121" t="n">
        <f aca="false">IFERROR(VLOOKUP(E561,RISK!A:B,2,FALSE()),"")</f>
        <v>3.84810126582278</v>
      </c>
      <c r="N561" s="120" t="e">
        <f aca="false">VLOOKUP(E561,Q:R,2,FALSE())</f>
        <v>#N/A</v>
      </c>
    </row>
    <row r="562" customFormat="false" ht="14.25" hidden="false" customHeight="true" outlineLevel="0" collapsed="false">
      <c r="A562" s="0" t="n">
        <v>561</v>
      </c>
      <c r="B562" s="0" t="n">
        <v>13</v>
      </c>
      <c r="C562" s="0" t="s">
        <v>1384</v>
      </c>
      <c r="D562" s="0" t="s">
        <v>540</v>
      </c>
      <c r="E562" s="0" t="s">
        <v>1385</v>
      </c>
      <c r="F562" s="0" t="n">
        <v>5</v>
      </c>
      <c r="G562" s="0" t="s">
        <v>1038</v>
      </c>
      <c r="H562" s="0" t="s">
        <v>1038</v>
      </c>
      <c r="I562" s="0" t="s">
        <v>1031</v>
      </c>
      <c r="J562" s="0" t="s">
        <v>1038</v>
      </c>
      <c r="K562" s="0" t="n">
        <v>561</v>
      </c>
      <c r="L562" s="0" t="str">
        <f aca="false">C562</f>
        <v>David Moore</v>
      </c>
      <c r="M562" s="121" t="n">
        <f aca="false">IFERROR(VLOOKUP(E562,RISK!A:B,2,FALSE()),"")</f>
        <v>3.84810126582278</v>
      </c>
      <c r="N562" s="120" t="e">
        <f aca="false">VLOOKUP(E562,Q:R,2,FALSE())</f>
        <v>#N/A</v>
      </c>
    </row>
    <row r="563" customFormat="false" ht="14.25" hidden="false" customHeight="true" outlineLevel="0" collapsed="false">
      <c r="A563" s="0" t="n">
        <v>562</v>
      </c>
      <c r="B563" s="0" t="n">
        <v>13</v>
      </c>
      <c r="C563" s="0" t="s">
        <v>1386</v>
      </c>
      <c r="D563" s="0" t="s">
        <v>524</v>
      </c>
      <c r="E563" s="0" t="s">
        <v>1387</v>
      </c>
      <c r="F563" s="0" t="n">
        <v>6</v>
      </c>
      <c r="G563" s="0" t="s">
        <v>1038</v>
      </c>
      <c r="H563" s="0" t="s">
        <v>1038</v>
      </c>
      <c r="I563" s="0" t="s">
        <v>1032</v>
      </c>
      <c r="J563" s="0" t="s">
        <v>1038</v>
      </c>
      <c r="K563" s="0" t="n">
        <v>562</v>
      </c>
      <c r="L563" s="0" t="str">
        <f aca="false">C563</f>
        <v>Kendrick Law</v>
      </c>
      <c r="M563" s="121" t="n">
        <f aca="false">IFERROR(VLOOKUP(E563,RISK!A:B,2,FALSE()),"")</f>
        <v>3.84810126582278</v>
      </c>
      <c r="N563" s="120" t="e">
        <f aca="false">VLOOKUP(E563,Q:R,2,FALSE())</f>
        <v>#N/A</v>
      </c>
    </row>
    <row r="564" customFormat="false" ht="14.25" hidden="false" customHeight="true" outlineLevel="0" collapsed="false">
      <c r="A564" s="0" t="n">
        <v>563</v>
      </c>
      <c r="B564" s="0" t="n">
        <v>13</v>
      </c>
      <c r="C564" s="0" t="s">
        <v>575</v>
      </c>
      <c r="D564" s="0" t="s">
        <v>516</v>
      </c>
      <c r="E564" s="0" t="s">
        <v>1388</v>
      </c>
      <c r="F564" s="0" t="n">
        <v>7</v>
      </c>
      <c r="G564" s="0" t="s">
        <v>1038</v>
      </c>
      <c r="H564" s="0" t="s">
        <v>1038</v>
      </c>
      <c r="I564" s="0" t="s">
        <v>1031</v>
      </c>
      <c r="J564" s="0" t="s">
        <v>1038</v>
      </c>
      <c r="K564" s="0" t="n">
        <v>563</v>
      </c>
      <c r="L564" s="0" t="str">
        <f aca="false">C564</f>
        <v>Trey Lance</v>
      </c>
      <c r="M564" s="121" t="n">
        <f aca="false">IFERROR(VLOOKUP(E564,RISK!A:B,2,FALSE()),"")</f>
        <v>3.2</v>
      </c>
      <c r="N564" s="120" t="e">
        <f aca="false">VLOOKUP(E564,Q:R,2,FALSE())</f>
        <v>#N/A</v>
      </c>
    </row>
    <row r="565" customFormat="false" ht="14.25" hidden="false" customHeight="true" outlineLevel="0" collapsed="false">
      <c r="A565" s="0" t="n">
        <v>564</v>
      </c>
      <c r="B565" s="0" t="n">
        <v>13</v>
      </c>
      <c r="C565" s="0" t="s">
        <v>567</v>
      </c>
      <c r="D565" s="0" t="s">
        <v>514</v>
      </c>
      <c r="E565" s="0" t="s">
        <v>1389</v>
      </c>
      <c r="F565" s="0" t="n">
        <v>10</v>
      </c>
      <c r="G565" s="0" t="s">
        <v>1038</v>
      </c>
      <c r="H565" s="0" t="s">
        <v>1038</v>
      </c>
      <c r="I565" s="0" t="s">
        <v>1035</v>
      </c>
      <c r="J565" s="0" t="s">
        <v>1038</v>
      </c>
      <c r="K565" s="0" t="n">
        <v>564</v>
      </c>
      <c r="L565" s="0" t="str">
        <f aca="false">C565</f>
        <v>Tyson Bagent</v>
      </c>
      <c r="M565" s="121" t="n">
        <f aca="false">IFERROR(VLOOKUP(E565,RISK!A:B,2,FALSE()),"")</f>
        <v>3.2</v>
      </c>
      <c r="N565" s="120" t="e">
        <f aca="false">VLOOKUP(E565,Q:R,2,FALSE())</f>
        <v>#N/A</v>
      </c>
    </row>
    <row r="566" customFormat="false" ht="14.25" hidden="false" customHeight="true" outlineLevel="0" collapsed="false">
      <c r="A566" s="0" t="n">
        <v>565</v>
      </c>
      <c r="B566" s="0" t="n">
        <v>13</v>
      </c>
      <c r="C566" s="0" t="s">
        <v>584</v>
      </c>
      <c r="D566" s="0" t="s">
        <v>548</v>
      </c>
      <c r="E566" s="0" t="s">
        <v>1390</v>
      </c>
      <c r="F566" s="0" t="n">
        <v>9</v>
      </c>
      <c r="G566" s="0" t="s">
        <v>1038</v>
      </c>
      <c r="H566" s="0" t="s">
        <v>1038</v>
      </c>
      <c r="I566" s="0" t="s">
        <v>1031</v>
      </c>
      <c r="J566" s="0" t="s">
        <v>1038</v>
      </c>
      <c r="K566" s="0" t="n">
        <v>565</v>
      </c>
      <c r="L566" s="0" t="str">
        <f aca="false">C566</f>
        <v>Drew Allar</v>
      </c>
      <c r="M566" s="121" t="n">
        <f aca="false">IFERROR(VLOOKUP(E566,RISK!A:B,2,FALSE()),"")</f>
        <v>3.2</v>
      </c>
      <c r="N566" s="120" t="e">
        <f aca="false">VLOOKUP(E566,Q:R,2,FALSE())</f>
        <v>#N/A</v>
      </c>
    </row>
    <row r="567" customFormat="false" ht="14.25" hidden="false" customHeight="true" outlineLevel="0" collapsed="false">
      <c r="A567" s="0" t="n">
        <v>566</v>
      </c>
      <c r="B567" s="0" t="n">
        <v>13</v>
      </c>
      <c r="C567" s="0" t="s">
        <v>893</v>
      </c>
      <c r="D567" s="0" t="s">
        <v>490</v>
      </c>
      <c r="E567" s="0" t="s">
        <v>1391</v>
      </c>
      <c r="F567" s="0" t="n">
        <v>7</v>
      </c>
      <c r="G567" s="0" t="s">
        <v>1038</v>
      </c>
      <c r="H567" s="0" t="s">
        <v>1038</v>
      </c>
      <c r="I567" s="0" t="s">
        <v>1032</v>
      </c>
      <c r="J567" s="0" t="s">
        <v>1038</v>
      </c>
      <c r="K567" s="0" t="n">
        <v>566</v>
      </c>
      <c r="L567" s="0" t="str">
        <f aca="false">C567</f>
        <v>Tyrell Shavers</v>
      </c>
      <c r="M567" s="121" t="n">
        <f aca="false">IFERROR(VLOOKUP(E567,RISK!A:B,2,FALSE()),"")</f>
        <v>3.84810126582278</v>
      </c>
      <c r="N567" s="120" t="e">
        <f aca="false">VLOOKUP(E567,Q:R,2,FALSE())</f>
        <v>#N/A</v>
      </c>
    </row>
    <row r="568" customFormat="false" ht="14.25" hidden="false" customHeight="true" outlineLevel="0" collapsed="false">
      <c r="A568" s="0" t="n">
        <v>567</v>
      </c>
      <c r="B568" s="0" t="n">
        <v>13</v>
      </c>
      <c r="C568" s="0" t="s">
        <v>710</v>
      </c>
      <c r="D568" s="0" t="s">
        <v>548</v>
      </c>
      <c r="E568" s="0" t="s">
        <v>1392</v>
      </c>
      <c r="F568" s="0" t="n">
        <v>9</v>
      </c>
      <c r="G568" s="0" t="s">
        <v>1038</v>
      </c>
      <c r="H568" s="0" t="s">
        <v>1038</v>
      </c>
      <c r="I568" s="0" t="s">
        <v>1031</v>
      </c>
      <c r="J568" s="0" t="s">
        <v>1038</v>
      </c>
      <c r="K568" s="0" t="n">
        <v>567</v>
      </c>
      <c r="L568" s="0" t="str">
        <f aca="false">C568</f>
        <v>Riley Nowakowski</v>
      </c>
      <c r="M568" s="121" t="n">
        <f aca="false">IFERROR(VLOOKUP(E568,RISK!A:B,2,FALSE()),"")</f>
        <v>2.2011</v>
      </c>
      <c r="N568" s="120" t="e">
        <f aca="false">VLOOKUP(E568,Q:R,2,FALSE())</f>
        <v>#N/A</v>
      </c>
    </row>
    <row r="569" customFormat="false" ht="14.25" hidden="false" customHeight="true" outlineLevel="0" collapsed="false">
      <c r="A569" s="0" t="n">
        <v>568</v>
      </c>
      <c r="B569" s="0" t="n">
        <v>13</v>
      </c>
      <c r="C569" s="0" t="s">
        <v>1393</v>
      </c>
      <c r="D569" s="0" t="s">
        <v>512</v>
      </c>
      <c r="E569" s="0" t="s">
        <v>1394</v>
      </c>
      <c r="F569" s="0" t="n">
        <v>5</v>
      </c>
      <c r="G569" s="0" t="s">
        <v>1038</v>
      </c>
      <c r="H569" s="0" t="s">
        <v>1038</v>
      </c>
      <c r="I569" s="0" t="s">
        <v>1032</v>
      </c>
      <c r="J569" s="0" t="s">
        <v>1038</v>
      </c>
      <c r="K569" s="0" t="n">
        <v>568</v>
      </c>
      <c r="L569" s="0" t="str">
        <f aca="false">C569</f>
        <v>Jake Briningstool</v>
      </c>
      <c r="M569" s="121" t="n">
        <f aca="false">IFERROR(VLOOKUP(E569,RISK!A:B,2,FALSE()),"")</f>
        <v>2.2011</v>
      </c>
      <c r="N569" s="120" t="e">
        <f aca="false">VLOOKUP(E569,Q:R,2,FALSE())</f>
        <v>#N/A</v>
      </c>
    </row>
    <row r="570" customFormat="false" ht="14.25" hidden="false" customHeight="true" outlineLevel="0" collapsed="false">
      <c r="A570" s="0" t="n">
        <v>569</v>
      </c>
      <c r="B570" s="0" t="n">
        <v>13</v>
      </c>
      <c r="C570" s="0" t="s">
        <v>1395</v>
      </c>
      <c r="D570" s="0" t="s">
        <v>538</v>
      </c>
      <c r="E570" s="0" t="s">
        <v>1396</v>
      </c>
      <c r="F570" s="0" t="n">
        <v>8</v>
      </c>
      <c r="G570" s="0" t="s">
        <v>1038</v>
      </c>
      <c r="H570" s="0" t="s">
        <v>1038</v>
      </c>
      <c r="I570" s="0" t="s">
        <v>1032</v>
      </c>
      <c r="J570" s="0" t="s">
        <v>1038</v>
      </c>
      <c r="K570" s="0" t="n">
        <v>569</v>
      </c>
      <c r="L570" s="0" t="str">
        <f aca="false">C570</f>
        <v>Brevin Jordan</v>
      </c>
      <c r="M570" s="121" t="n">
        <f aca="false">IFERROR(VLOOKUP(E570,RISK!A:B,2,FALSE()),"")</f>
        <v>2.2011</v>
      </c>
      <c r="N570" s="120" t="e">
        <f aca="false">VLOOKUP(E570,Q:R,2,FALSE())</f>
        <v>#N/A</v>
      </c>
    </row>
    <row r="571" customFormat="false" ht="14.25" hidden="false" customHeight="true" outlineLevel="0" collapsed="false">
      <c r="A571" s="0" t="n">
        <v>570</v>
      </c>
      <c r="B571" s="0" t="n">
        <v>13</v>
      </c>
      <c r="C571" s="0" t="s">
        <v>884</v>
      </c>
      <c r="D571" s="0" t="s">
        <v>528</v>
      </c>
      <c r="E571" s="0" t="s">
        <v>1397</v>
      </c>
      <c r="F571" s="0" t="n">
        <v>10</v>
      </c>
      <c r="G571" s="0" t="s">
        <v>1038</v>
      </c>
      <c r="H571" s="0" t="s">
        <v>1038</v>
      </c>
      <c r="I571" s="0" t="s">
        <v>1032</v>
      </c>
      <c r="J571" s="0" t="s">
        <v>1038</v>
      </c>
      <c r="K571" s="0" t="n">
        <v>570</v>
      </c>
      <c r="L571" s="0" t="str">
        <f aca="false">C571</f>
        <v>Kameron Johnson</v>
      </c>
      <c r="M571" s="121" t="n">
        <f aca="false">IFERROR(VLOOKUP(E571,RISK!A:B,2,FALSE()),"")</f>
        <v>3.84810126582278</v>
      </c>
      <c r="N571" s="120" t="e">
        <f aca="false">VLOOKUP(E571,Q:R,2,FALSE())</f>
        <v>#N/A</v>
      </c>
    </row>
    <row r="572" customFormat="false" ht="14.25" hidden="false" customHeight="true" outlineLevel="0" collapsed="false">
      <c r="A572" s="0" t="n">
        <v>571</v>
      </c>
      <c r="B572" s="0" t="n">
        <v>13</v>
      </c>
      <c r="C572" s="0" t="s">
        <v>585</v>
      </c>
      <c r="D572" s="0" t="s">
        <v>546</v>
      </c>
      <c r="E572" s="0" t="s">
        <v>1398</v>
      </c>
      <c r="F572" s="0" t="n">
        <v>14</v>
      </c>
      <c r="G572" s="0" t="s">
        <v>1038</v>
      </c>
      <c r="H572" s="0" t="s">
        <v>1038</v>
      </c>
      <c r="I572" s="0" t="s">
        <v>1031</v>
      </c>
      <c r="J572" s="0" t="s">
        <v>1038</v>
      </c>
      <c r="K572" s="0" t="n">
        <v>571</v>
      </c>
      <c r="L572" s="0" t="str">
        <f aca="false">C572</f>
        <v>Gardner Minshew II</v>
      </c>
      <c r="M572" s="121" t="n">
        <f aca="false">IFERROR(VLOOKUP(E572,RISK!A:B,2,FALSE()),"")</f>
        <v>3.2</v>
      </c>
      <c r="N572" s="120" t="e">
        <f aca="false">VLOOKUP(E572,Q:R,2,FALSE())</f>
        <v>#N/A</v>
      </c>
    </row>
    <row r="573" customFormat="false" ht="14.25" hidden="false" customHeight="true" outlineLevel="0" collapsed="false">
      <c r="A573" s="0" t="n">
        <v>572</v>
      </c>
      <c r="B573" s="0" t="n">
        <v>13</v>
      </c>
      <c r="C573" s="0" t="s">
        <v>882</v>
      </c>
      <c r="D573" s="0" t="s">
        <v>542</v>
      </c>
      <c r="E573" s="0" t="s">
        <v>1399</v>
      </c>
      <c r="F573" s="0" t="n">
        <v>13</v>
      </c>
      <c r="G573" s="0" t="s">
        <v>1038</v>
      </c>
      <c r="H573" s="0" t="s">
        <v>1038</v>
      </c>
      <c r="I573" s="0" t="s">
        <v>1032</v>
      </c>
      <c r="J573" s="0" t="s">
        <v>1038</v>
      </c>
      <c r="K573" s="0" t="n">
        <v>572</v>
      </c>
      <c r="L573" s="0" t="str">
        <f aca="false">C573</f>
        <v>Arian Smith</v>
      </c>
      <c r="M573" s="121" t="n">
        <f aca="false">IFERROR(VLOOKUP(E573,RISK!A:B,2,FALSE()),"")</f>
        <v>3.84810126582278</v>
      </c>
      <c r="N573" s="120" t="e">
        <f aca="false">VLOOKUP(E573,Q:R,2,FALSE())</f>
        <v>#N/A</v>
      </c>
    </row>
    <row r="574" customFormat="false" ht="14.25" hidden="false" customHeight="true" outlineLevel="0" collapsed="false">
      <c r="A574" s="0" t="n">
        <v>573</v>
      </c>
      <c r="B574" s="0" t="n">
        <v>13</v>
      </c>
      <c r="C574" s="0" t="s">
        <v>1400</v>
      </c>
      <c r="D574" s="0" t="s">
        <v>1121</v>
      </c>
      <c r="E574" s="0" t="s">
        <v>1401</v>
      </c>
      <c r="F574" s="0" t="s">
        <v>1038</v>
      </c>
      <c r="G574" s="0" t="s">
        <v>1038</v>
      </c>
      <c r="H574" s="0" t="s">
        <v>1038</v>
      </c>
      <c r="I574" s="0" t="s">
        <v>1038</v>
      </c>
      <c r="J574" s="0" t="s">
        <v>1038</v>
      </c>
      <c r="K574" s="0" t="n">
        <v>573</v>
      </c>
      <c r="L574" s="0" t="str">
        <f aca="false">C574</f>
        <v>Mecole Hardman Jr.</v>
      </c>
      <c r="M574" s="121" t="n">
        <f aca="false">IFERROR(VLOOKUP(E574,RISK!A:B,2,FALSE()),"")</f>
        <v>3.84810126582278</v>
      </c>
      <c r="N574" s="120" t="e">
        <f aca="false">VLOOKUP(E574,Q:R,2,FALSE())</f>
        <v>#N/A</v>
      </c>
    </row>
    <row r="575" customFormat="false" ht="14.25" hidden="false" customHeight="true" outlineLevel="0" collapsed="false">
      <c r="A575" s="0" t="n">
        <v>574</v>
      </c>
      <c r="B575" s="0" t="n">
        <v>13</v>
      </c>
      <c r="C575" s="0" t="s">
        <v>1011</v>
      </c>
      <c r="D575" s="0" t="s">
        <v>546</v>
      </c>
      <c r="E575" s="0" t="s">
        <v>1402</v>
      </c>
      <c r="F575" s="0" t="n">
        <v>14</v>
      </c>
      <c r="G575" s="0" t="s">
        <v>1038</v>
      </c>
      <c r="H575" s="0" t="s">
        <v>1038</v>
      </c>
      <c r="I575" s="0" t="s">
        <v>1031</v>
      </c>
      <c r="J575" s="0" t="s">
        <v>1038</v>
      </c>
      <c r="K575" s="0" t="n">
        <v>574</v>
      </c>
      <c r="L575" s="0" t="str">
        <f aca="false">C575</f>
        <v>Tip Reiman</v>
      </c>
      <c r="M575" s="121" t="n">
        <f aca="false">IFERROR(VLOOKUP(E575,RISK!A:B,2,FALSE()),"")</f>
        <v>2.2011</v>
      </c>
      <c r="N575" s="120" t="e">
        <f aca="false">VLOOKUP(E575,Q:R,2,FALSE())</f>
        <v>#N/A</v>
      </c>
    </row>
    <row r="576" customFormat="false" ht="14.25" hidden="false" customHeight="true" outlineLevel="0" collapsed="false">
      <c r="A576" s="0" t="n">
        <v>575</v>
      </c>
      <c r="B576" s="0" t="n">
        <v>13</v>
      </c>
      <c r="C576" s="0" t="s">
        <v>1403</v>
      </c>
      <c r="D576" s="0" t="s">
        <v>512</v>
      </c>
      <c r="E576" s="0" t="s">
        <v>1404</v>
      </c>
      <c r="F576" s="0" t="n">
        <v>5</v>
      </c>
      <c r="G576" s="0" t="s">
        <v>1038</v>
      </c>
      <c r="H576" s="0" t="s">
        <v>1038</v>
      </c>
      <c r="I576" s="0" t="s">
        <v>1035</v>
      </c>
      <c r="J576" s="0" t="s">
        <v>1038</v>
      </c>
      <c r="K576" s="0" t="n">
        <v>575</v>
      </c>
      <c r="L576" s="0" t="str">
        <f aca="false">C576</f>
        <v>Nathan Carter</v>
      </c>
      <c r="M576" s="121" t="n">
        <f aca="false">IFERROR(VLOOKUP(E576,RISK!A:B,2,FALSE()),"")</f>
        <v>4</v>
      </c>
      <c r="N576" s="120" t="e">
        <f aca="false">VLOOKUP(E576,Q:R,2,FALSE())</f>
        <v>#N/A</v>
      </c>
    </row>
    <row r="577" customFormat="false" ht="14.25" hidden="false" customHeight="true" outlineLevel="0" collapsed="false">
      <c r="A577" s="0" t="n">
        <v>576</v>
      </c>
      <c r="B577" s="0" t="n">
        <v>13</v>
      </c>
      <c r="C577" s="0" t="s">
        <v>870</v>
      </c>
      <c r="D577" s="0" t="s">
        <v>516</v>
      </c>
      <c r="E577" s="0" t="s">
        <v>1405</v>
      </c>
      <c r="F577" s="0" t="n">
        <v>7</v>
      </c>
      <c r="G577" s="0" t="s">
        <v>1038</v>
      </c>
      <c r="H577" s="0" t="s">
        <v>1038</v>
      </c>
      <c r="I577" s="0" t="s">
        <v>1031</v>
      </c>
      <c r="J577" s="0" t="s">
        <v>1038</v>
      </c>
      <c r="K577" s="0" t="n">
        <v>576</v>
      </c>
      <c r="L577" s="0" t="str">
        <f aca="false">C577</f>
        <v>Derius Davis</v>
      </c>
      <c r="M577" s="121" t="n">
        <f aca="false">IFERROR(VLOOKUP(E577,RISK!A:B,2,FALSE()),"")</f>
        <v>3.84810126582278</v>
      </c>
      <c r="N577" s="120" t="e">
        <f aca="false">VLOOKUP(E577,Q:R,2,FALSE())</f>
        <v>#N/A</v>
      </c>
    </row>
    <row r="578" customFormat="false" ht="14.25" hidden="false" customHeight="true" outlineLevel="0" collapsed="false">
      <c r="A578" s="0" t="n">
        <v>577</v>
      </c>
      <c r="B578" s="0" t="n">
        <v>13</v>
      </c>
      <c r="C578" s="0" t="s">
        <v>894</v>
      </c>
      <c r="D578" s="0" t="s">
        <v>526</v>
      </c>
      <c r="E578" s="0" t="s">
        <v>1406</v>
      </c>
      <c r="F578" s="0" t="n">
        <v>8</v>
      </c>
      <c r="G578" s="0" t="s">
        <v>1038</v>
      </c>
      <c r="H578" s="0" t="s">
        <v>1038</v>
      </c>
      <c r="I578" s="0" t="s">
        <v>1035</v>
      </c>
      <c r="J578" s="0" t="s">
        <v>1038</v>
      </c>
      <c r="K578" s="0" t="n">
        <v>577</v>
      </c>
      <c r="L578" s="0" t="str">
        <f aca="false">C578</f>
        <v>Mason Tipton</v>
      </c>
      <c r="M578" s="121" t="n">
        <f aca="false">IFERROR(VLOOKUP(E578,RISK!A:B,2,FALSE()),"")</f>
        <v>3.84810126582278</v>
      </c>
      <c r="N578" s="120" t="e">
        <f aca="false">VLOOKUP(E578,Q:R,2,FALSE())</f>
        <v>#N/A</v>
      </c>
    </row>
    <row r="579" customFormat="false" ht="14.25" hidden="false" customHeight="true" outlineLevel="0" collapsed="false">
      <c r="A579" s="0" t="n">
        <v>578</v>
      </c>
      <c r="B579" s="0" t="n">
        <v>13</v>
      </c>
      <c r="C579" s="0" t="s">
        <v>1407</v>
      </c>
      <c r="D579" s="0" t="s">
        <v>546</v>
      </c>
      <c r="E579" s="0" t="s">
        <v>1408</v>
      </c>
      <c r="F579" s="0" t="n">
        <v>14</v>
      </c>
      <c r="G579" s="0" t="s">
        <v>1038</v>
      </c>
      <c r="H579" s="0" t="s">
        <v>1038</v>
      </c>
      <c r="I579" s="0" t="s">
        <v>1031</v>
      </c>
      <c r="J579" s="0" t="s">
        <v>1038</v>
      </c>
      <c r="K579" s="0" t="n">
        <v>578</v>
      </c>
      <c r="L579" s="0" t="str">
        <f aca="false">C579</f>
        <v>Teagan Quitoriano</v>
      </c>
      <c r="M579" s="121" t="str">
        <f aca="false">IFERROR(VLOOKUP(E579,RISK!A:B,2,FALSE()),"")</f>
        <v/>
      </c>
      <c r="N579" s="120" t="e">
        <f aca="false">VLOOKUP(E579,Q:R,2,FALSE())</f>
        <v>#N/A</v>
      </c>
    </row>
    <row r="580" customFormat="false" ht="14.25" hidden="false" customHeight="true" outlineLevel="0" collapsed="false">
      <c r="A580" s="0" t="n">
        <v>579</v>
      </c>
      <c r="B580" s="0" t="n">
        <v>13</v>
      </c>
      <c r="C580" s="0" t="s">
        <v>866</v>
      </c>
      <c r="D580" s="0" t="s">
        <v>532</v>
      </c>
      <c r="E580" s="0" t="s">
        <v>1409</v>
      </c>
      <c r="F580" s="0" t="n">
        <v>13</v>
      </c>
      <c r="G580" s="0" t="s">
        <v>1038</v>
      </c>
      <c r="H580" s="0" t="s">
        <v>1038</v>
      </c>
      <c r="I580" s="0" t="s">
        <v>1032</v>
      </c>
      <c r="J580" s="0" t="s">
        <v>1038</v>
      </c>
      <c r="K580" s="0" t="n">
        <v>579</v>
      </c>
      <c r="L580" s="0" t="str">
        <f aca="false">C580</f>
        <v>Laquon Treadwell</v>
      </c>
      <c r="M580" s="121" t="n">
        <f aca="false">IFERROR(VLOOKUP(E580,RISK!A:B,2,FALSE()),"")</f>
        <v>3.84810126582278</v>
      </c>
      <c r="N580" s="120" t="e">
        <f aca="false">VLOOKUP(E580,Q:R,2,FALSE())</f>
        <v>#N/A</v>
      </c>
    </row>
    <row r="581" customFormat="false" ht="14.25" hidden="false" customHeight="true" outlineLevel="0" collapsed="false">
      <c r="A581" s="0" t="n">
        <v>580</v>
      </c>
      <c r="B581" s="0" t="n">
        <v>13</v>
      </c>
      <c r="C581" s="0" t="s">
        <v>1410</v>
      </c>
      <c r="D581" s="0" t="s">
        <v>508</v>
      </c>
      <c r="E581" s="0" t="s">
        <v>1411</v>
      </c>
      <c r="F581" s="0" t="n">
        <v>8</v>
      </c>
      <c r="G581" s="0" t="s">
        <v>1038</v>
      </c>
      <c r="H581" s="0" t="s">
        <v>1038</v>
      </c>
      <c r="I581" s="0" t="s">
        <v>1035</v>
      </c>
      <c r="J581" s="0" t="s">
        <v>1038</v>
      </c>
      <c r="K581" s="0" t="n">
        <v>580</v>
      </c>
      <c r="L581" s="0" t="str">
        <f aca="false">C581</f>
        <v>Brayden Willis</v>
      </c>
      <c r="M581" s="121" t="str">
        <f aca="false">IFERROR(VLOOKUP(E581,RISK!A:B,2,FALSE()),"")</f>
        <v/>
      </c>
      <c r="N581" s="120" t="e">
        <f aca="false">VLOOKUP(E581,Q:R,2,FALSE())</f>
        <v>#N/A</v>
      </c>
    </row>
    <row r="582" customFormat="false" ht="14.25" hidden="false" customHeight="true" outlineLevel="0" collapsed="false">
      <c r="A582" s="0" t="n">
        <v>581</v>
      </c>
      <c r="B582" s="0" t="n">
        <v>13</v>
      </c>
      <c r="C582" s="0" t="s">
        <v>1412</v>
      </c>
      <c r="D582" s="0" t="s">
        <v>1121</v>
      </c>
      <c r="E582" s="0" t="s">
        <v>1413</v>
      </c>
      <c r="F582" s="0" t="s">
        <v>1038</v>
      </c>
      <c r="G582" s="0" t="s">
        <v>1038</v>
      </c>
      <c r="H582" s="0" t="s">
        <v>1038</v>
      </c>
      <c r="I582" s="0" t="s">
        <v>1038</v>
      </c>
      <c r="J582" s="0" t="s">
        <v>1038</v>
      </c>
      <c r="K582" s="0" t="n">
        <v>581</v>
      </c>
      <c r="L582" s="0" t="str">
        <f aca="false">C582</f>
        <v>Ben Sauls</v>
      </c>
      <c r="M582" s="121" t="str">
        <f aca="false">IFERROR(VLOOKUP(E582,RISK!A:B,2,FALSE()),"")</f>
        <v/>
      </c>
      <c r="N582" s="120" t="e">
        <f aca="false">VLOOKUP(E582,Q:R,2,FALSE())</f>
        <v>#N/A</v>
      </c>
    </row>
    <row r="583" customFormat="false" ht="14.25" hidden="false" customHeight="true" outlineLevel="0" collapsed="false">
      <c r="A583" s="0" t="n">
        <v>582</v>
      </c>
      <c r="B583" s="0" t="n">
        <v>13</v>
      </c>
      <c r="C583" s="0" t="s">
        <v>715</v>
      </c>
      <c r="D583" s="0" t="s">
        <v>522</v>
      </c>
      <c r="E583" s="0" t="s">
        <v>1414</v>
      </c>
      <c r="F583" s="0" t="n">
        <v>6</v>
      </c>
      <c r="G583" s="0" t="s">
        <v>1038</v>
      </c>
      <c r="H583" s="0" t="s">
        <v>1038</v>
      </c>
      <c r="I583" s="0" t="s">
        <v>1032</v>
      </c>
      <c r="J583" s="0" t="s">
        <v>1038</v>
      </c>
      <c r="K583" s="0" t="n">
        <v>582</v>
      </c>
      <c r="L583" s="0" t="str">
        <f aca="false">C583</f>
        <v>DeeJay Dallas</v>
      </c>
      <c r="M583" s="121" t="n">
        <f aca="false">IFERROR(VLOOKUP(E583,RISK!A:B,2,FALSE()),"")</f>
        <v>4</v>
      </c>
      <c r="N583" s="120" t="e">
        <f aca="false">VLOOKUP(E583,Q:R,2,FALSE())</f>
        <v>#N/A</v>
      </c>
    </row>
    <row r="584" customFormat="false" ht="14.25" hidden="false" customHeight="true" outlineLevel="0" collapsed="false">
      <c r="A584" s="0" t="n">
        <v>583</v>
      </c>
      <c r="B584" s="0" t="n">
        <v>13</v>
      </c>
      <c r="C584" s="0" t="s">
        <v>968</v>
      </c>
      <c r="D584" s="0" t="s">
        <v>502</v>
      </c>
      <c r="E584" s="0" t="s">
        <v>1415</v>
      </c>
      <c r="F584" s="0" t="n">
        <v>6</v>
      </c>
      <c r="G584" s="0" t="s">
        <v>1038</v>
      </c>
      <c r="H584" s="0" t="s">
        <v>1038</v>
      </c>
      <c r="I584" s="0" t="s">
        <v>1035</v>
      </c>
      <c r="J584" s="0" t="s">
        <v>1038</v>
      </c>
      <c r="K584" s="0" t="n">
        <v>583</v>
      </c>
      <c r="L584" s="0" t="str">
        <f aca="false">C584</f>
        <v>Jack Endries</v>
      </c>
      <c r="M584" s="121" t="str">
        <f aca="false">IFERROR(VLOOKUP(E584,RISK!A:B,2,FALSE()),"")</f>
        <v/>
      </c>
      <c r="N584" s="120" t="e">
        <f aca="false">VLOOKUP(E584,Q:R,2,FALSE())</f>
        <v>#N/A</v>
      </c>
    </row>
    <row r="585" customFormat="false" ht="14.25" hidden="false" customHeight="true" outlineLevel="0" collapsed="false">
      <c r="A585" s="0" t="n">
        <v>584</v>
      </c>
      <c r="B585" s="0" t="n">
        <v>13</v>
      </c>
      <c r="C585" s="0" t="s">
        <v>1003</v>
      </c>
      <c r="D585" s="0" t="s">
        <v>554</v>
      </c>
      <c r="E585" s="0" t="s">
        <v>1416</v>
      </c>
      <c r="F585" s="0" t="n">
        <v>11</v>
      </c>
      <c r="G585" s="0" t="s">
        <v>1038</v>
      </c>
      <c r="H585" s="0" t="s">
        <v>1038</v>
      </c>
      <c r="I585" s="0" t="s">
        <v>1035</v>
      </c>
      <c r="J585" s="0" t="s">
        <v>1038</v>
      </c>
      <c r="K585" s="0" t="n">
        <v>584</v>
      </c>
      <c r="L585" s="0" t="str">
        <f aca="false">C585</f>
        <v>Carsen Ryan</v>
      </c>
      <c r="M585" s="121" t="str">
        <f aca="false">IFERROR(VLOOKUP(E585,RISK!A:B,2,FALSE()),"")</f>
        <v/>
      </c>
      <c r="N585" s="120" t="e">
        <f aca="false">VLOOKUP(E585,Q:R,2,FALSE())</f>
        <v>#N/A</v>
      </c>
    </row>
    <row r="586" customFormat="false" ht="14.25" hidden="false" customHeight="true" outlineLevel="0" collapsed="false">
      <c r="A586" s="0" t="n">
        <v>585</v>
      </c>
      <c r="B586" s="0" t="n">
        <v>13</v>
      </c>
      <c r="C586" s="0" t="s">
        <v>890</v>
      </c>
      <c r="D586" s="0" t="s">
        <v>530</v>
      </c>
      <c r="E586" s="0" t="s">
        <v>1417</v>
      </c>
      <c r="F586" s="0" t="n">
        <v>11</v>
      </c>
      <c r="G586" s="0" t="s">
        <v>1038</v>
      </c>
      <c r="H586" s="0" t="s">
        <v>1038</v>
      </c>
      <c r="I586" s="0" t="s">
        <v>1030</v>
      </c>
      <c r="J586" s="0" t="s">
        <v>1038</v>
      </c>
      <c r="K586" s="0" t="n">
        <v>585</v>
      </c>
      <c r="L586" s="0" t="str">
        <f aca="false">C586</f>
        <v>Skyy Moore</v>
      </c>
      <c r="M586" s="121" t="n">
        <f aca="false">IFERROR(VLOOKUP(E586,RISK!A:B,2,FALSE()),"")</f>
        <v>3.84810126582278</v>
      </c>
      <c r="N586" s="120" t="e">
        <f aca="false">VLOOKUP(E586,Q:R,2,FALSE())</f>
        <v>#N/A</v>
      </c>
    </row>
    <row r="587" customFormat="false" ht="14.25" hidden="false" customHeight="true" outlineLevel="0" collapsed="false">
      <c r="A587" s="0" t="n">
        <v>586</v>
      </c>
      <c r="B587" s="0" t="n">
        <v>13</v>
      </c>
      <c r="C587" s="0" t="s">
        <v>1418</v>
      </c>
      <c r="D587" s="0" t="s">
        <v>494</v>
      </c>
      <c r="E587" s="0" t="s">
        <v>1419</v>
      </c>
      <c r="F587" s="0" t="n">
        <v>13</v>
      </c>
      <c r="G587" s="0" t="s">
        <v>1038</v>
      </c>
      <c r="H587" s="0" t="s">
        <v>1038</v>
      </c>
      <c r="I587" s="0" t="s">
        <v>1035</v>
      </c>
      <c r="J587" s="0" t="s">
        <v>1038</v>
      </c>
      <c r="K587" s="0" t="n">
        <v>586</v>
      </c>
      <c r="L587" s="0" t="str">
        <f aca="false">C587</f>
        <v>Jake Moody</v>
      </c>
      <c r="M587" s="121" t="str">
        <f aca="false">IFERROR(VLOOKUP(E587,RISK!A:B,2,FALSE()),"")</f>
        <v/>
      </c>
      <c r="N587" s="120" t="e">
        <f aca="false">VLOOKUP(E587,Q:R,2,FALSE())</f>
        <v>#N/A</v>
      </c>
    </row>
    <row r="588" customFormat="false" ht="14.25" hidden="false" customHeight="true" outlineLevel="0" collapsed="false">
      <c r="A588" s="0" t="n">
        <v>587</v>
      </c>
      <c r="B588" s="0" t="n">
        <v>13</v>
      </c>
      <c r="C588" s="0" t="s">
        <v>1420</v>
      </c>
      <c r="D588" s="0" t="s">
        <v>1121</v>
      </c>
      <c r="E588" s="0" t="s">
        <v>1421</v>
      </c>
      <c r="F588" s="0" t="s">
        <v>1038</v>
      </c>
      <c r="G588" s="0" t="s">
        <v>1038</v>
      </c>
      <c r="H588" s="0" t="s">
        <v>1038</v>
      </c>
      <c r="I588" s="0" t="s">
        <v>1038</v>
      </c>
      <c r="J588" s="0" t="s">
        <v>1038</v>
      </c>
      <c r="K588" s="0" t="n">
        <v>587</v>
      </c>
      <c r="L588" s="0" t="str">
        <f aca="false">C588</f>
        <v>Will Dissly</v>
      </c>
      <c r="M588" s="121" t="str">
        <f aca="false">IFERROR(VLOOKUP(E588,RISK!A:B,2,FALSE()),"")</f>
        <v/>
      </c>
      <c r="N588" s="120" t="e">
        <f aca="false">VLOOKUP(E588,Q:R,2,FALSE())</f>
        <v>#N/A</v>
      </c>
    </row>
    <row r="589" customFormat="false" ht="14.25" hidden="false" customHeight="true" outlineLevel="0" collapsed="false">
      <c r="A589" s="0" t="n">
        <v>588</v>
      </c>
      <c r="B589" s="0" t="n">
        <v>13</v>
      </c>
      <c r="C589" s="0" t="s">
        <v>1422</v>
      </c>
      <c r="D589" s="0" t="s">
        <v>536</v>
      </c>
      <c r="E589" s="0" t="s">
        <v>1423</v>
      </c>
      <c r="F589" s="0" t="n">
        <v>11</v>
      </c>
      <c r="G589" s="0" t="s">
        <v>1038</v>
      </c>
      <c r="H589" s="0" t="s">
        <v>1038</v>
      </c>
      <c r="I589" s="0" t="s">
        <v>1035</v>
      </c>
      <c r="J589" s="0" t="s">
        <v>1038</v>
      </c>
      <c r="K589" s="0" t="n">
        <v>588</v>
      </c>
      <c r="L589" s="0" t="str">
        <f aca="false">C589</f>
        <v>Velus Jones Jr.</v>
      </c>
      <c r="M589" s="121" t="n">
        <f aca="false">IFERROR(VLOOKUP(E589,RISK!A:B,2,FALSE()),"")</f>
        <v>3.84810126582278</v>
      </c>
      <c r="N589" s="120" t="e">
        <f aca="false">VLOOKUP(E589,Q:R,2,FALSE())</f>
        <v>#N/A</v>
      </c>
    </row>
    <row r="590" customFormat="false" ht="14.25" hidden="false" customHeight="true" outlineLevel="0" collapsed="false">
      <c r="A590" s="0" t="n">
        <v>589</v>
      </c>
      <c r="B590" s="0" t="n">
        <v>13</v>
      </c>
      <c r="C590" s="0" t="s">
        <v>1424</v>
      </c>
      <c r="D590" s="0" t="s">
        <v>1121</v>
      </c>
      <c r="E590" s="0" t="s">
        <v>1425</v>
      </c>
      <c r="F590" s="0" t="s">
        <v>1038</v>
      </c>
      <c r="G590" s="0" t="s">
        <v>1038</v>
      </c>
      <c r="H590" s="0" t="s">
        <v>1038</v>
      </c>
      <c r="I590" s="0" t="s">
        <v>1038</v>
      </c>
      <c r="J590" s="0" t="s">
        <v>1038</v>
      </c>
      <c r="K590" s="0" t="n">
        <v>589</v>
      </c>
      <c r="L590" s="0" t="str">
        <f aca="false">C590</f>
        <v>Cam Akers</v>
      </c>
      <c r="M590" s="121" t="n">
        <f aca="false">IFERROR(VLOOKUP(E590,RISK!A:B,2,FALSE()),"")</f>
        <v>4</v>
      </c>
      <c r="N590" s="120" t="e">
        <f aca="false">VLOOKUP(E590,Q:R,2,FALSE())</f>
        <v>#N/A</v>
      </c>
    </row>
    <row r="591" customFormat="false" ht="14.25" hidden="false" customHeight="true" outlineLevel="0" collapsed="false">
      <c r="A591" s="0" t="n">
        <v>590</v>
      </c>
      <c r="B591" s="0" t="n">
        <v>13</v>
      </c>
      <c r="C591" s="0" t="s">
        <v>1426</v>
      </c>
      <c r="D591" s="0" t="s">
        <v>1121</v>
      </c>
      <c r="E591" s="0" t="s">
        <v>1427</v>
      </c>
      <c r="F591" s="0" t="s">
        <v>1038</v>
      </c>
      <c r="G591" s="0" t="s">
        <v>1038</v>
      </c>
      <c r="H591" s="0" t="s">
        <v>1038</v>
      </c>
      <c r="I591" s="0" t="s">
        <v>1038</v>
      </c>
      <c r="J591" s="0" t="s">
        <v>1038</v>
      </c>
      <c r="K591" s="0" t="n">
        <v>590</v>
      </c>
      <c r="L591" s="0" t="str">
        <f aca="false">C591</f>
        <v>Brandin Cooks</v>
      </c>
      <c r="M591" s="121" t="n">
        <f aca="false">IFERROR(VLOOKUP(E591,RISK!A:B,2,FALSE()),"")</f>
        <v>3.84810126582278</v>
      </c>
      <c r="N591" s="120" t="e">
        <f aca="false">VLOOKUP(E591,Q:R,2,FALSE())</f>
        <v>#N/A</v>
      </c>
    </row>
    <row r="592" customFormat="false" ht="14.25" hidden="false" customHeight="true" outlineLevel="0" collapsed="false">
      <c r="A592" s="0" t="n">
        <v>591</v>
      </c>
      <c r="B592" s="0" t="n">
        <v>13</v>
      </c>
      <c r="C592" s="0" t="s">
        <v>698</v>
      </c>
      <c r="D592" s="0" t="s">
        <v>554</v>
      </c>
      <c r="E592" s="0" t="s">
        <v>1428</v>
      </c>
      <c r="F592" s="0" t="n">
        <v>11</v>
      </c>
      <c r="G592" s="0" t="s">
        <v>1038</v>
      </c>
      <c r="H592" s="0" t="s">
        <v>1038</v>
      </c>
      <c r="I592" s="0" t="s">
        <v>1035</v>
      </c>
      <c r="J592" s="0" t="s">
        <v>1038</v>
      </c>
      <c r="K592" s="0" t="n">
        <v>591</v>
      </c>
      <c r="L592" s="0" t="str">
        <f aca="false">C592</f>
        <v>Michael Burton</v>
      </c>
      <c r="M592" s="121" t="n">
        <f aca="false">IFERROR(VLOOKUP(E592,RISK!A:B,2,FALSE()),"")</f>
        <v>4</v>
      </c>
      <c r="N592" s="120" t="e">
        <f aca="false">VLOOKUP(E592,Q:R,2,FALSE())</f>
        <v>#N/A</v>
      </c>
    </row>
    <row r="593" customFormat="false" ht="14.25" hidden="false" customHeight="true" outlineLevel="0" collapsed="false">
      <c r="A593" s="0" t="n">
        <v>592</v>
      </c>
      <c r="B593" s="0" t="n">
        <v>13</v>
      </c>
      <c r="C593" s="0" t="s">
        <v>1429</v>
      </c>
      <c r="D593" s="0" t="s">
        <v>1121</v>
      </c>
      <c r="E593" s="0" t="s">
        <v>1430</v>
      </c>
      <c r="F593" s="0" t="s">
        <v>1038</v>
      </c>
      <c r="G593" s="0" t="s">
        <v>1038</v>
      </c>
      <c r="H593" s="0" t="s">
        <v>1038</v>
      </c>
      <c r="I593" s="0" t="s">
        <v>1038</v>
      </c>
      <c r="J593" s="0" t="s">
        <v>1038</v>
      </c>
      <c r="K593" s="0" t="n">
        <v>592</v>
      </c>
      <c r="L593" s="0" t="str">
        <f aca="false">C593</f>
        <v>Donovan Edwards</v>
      </c>
      <c r="M593" s="121" t="n">
        <f aca="false">IFERROR(VLOOKUP(E593,RISK!A:B,2,FALSE()),"")</f>
        <v>4</v>
      </c>
      <c r="N593" s="120" t="e">
        <f aca="false">VLOOKUP(E593,Q:R,2,FALSE())</f>
        <v>#N/A</v>
      </c>
    </row>
    <row r="594" customFormat="false" ht="14.25" hidden="false" customHeight="true" outlineLevel="0" collapsed="false">
      <c r="A594" s="0" t="n">
        <v>593</v>
      </c>
      <c r="B594" s="0" t="n">
        <v>13</v>
      </c>
      <c r="C594" s="0" t="s">
        <v>1431</v>
      </c>
      <c r="D594" s="0" t="s">
        <v>522</v>
      </c>
      <c r="E594" s="0" t="s">
        <v>1432</v>
      </c>
      <c r="F594" s="0" t="n">
        <v>6</v>
      </c>
      <c r="G594" s="0" t="s">
        <v>1038</v>
      </c>
      <c r="H594" s="0" t="s">
        <v>1038</v>
      </c>
      <c r="I594" s="0" t="s">
        <v>1032</v>
      </c>
      <c r="J594" s="0" t="s">
        <v>1038</v>
      </c>
      <c r="K594" s="0" t="n">
        <v>593</v>
      </c>
      <c r="L594" s="0" t="str">
        <f aca="false">C594</f>
        <v>Jermar Jefferson</v>
      </c>
      <c r="M594" s="121" t="n">
        <f aca="false">IFERROR(VLOOKUP(E594,RISK!A:B,2,FALSE()),"")</f>
        <v>4</v>
      </c>
      <c r="N594" s="120" t="e">
        <f aca="false">VLOOKUP(E594,Q:R,2,FALSE())</f>
        <v>#N/A</v>
      </c>
    </row>
    <row r="595" customFormat="false" ht="14.25" hidden="false" customHeight="true" outlineLevel="0" collapsed="false">
      <c r="A595" s="0" t="n">
        <v>594</v>
      </c>
      <c r="B595" s="0" t="n">
        <v>13</v>
      </c>
      <c r="C595" s="0" t="s">
        <v>1433</v>
      </c>
      <c r="D595" s="0" t="s">
        <v>524</v>
      </c>
      <c r="E595" s="0" t="s">
        <v>1434</v>
      </c>
      <c r="F595" s="0" t="n">
        <v>6</v>
      </c>
      <c r="G595" s="0" t="s">
        <v>1038</v>
      </c>
      <c r="H595" s="0" t="s">
        <v>1038</v>
      </c>
      <c r="I595" s="0" t="s">
        <v>1032</v>
      </c>
      <c r="J595" s="0" t="s">
        <v>1038</v>
      </c>
      <c r="K595" s="0" t="n">
        <v>594</v>
      </c>
      <c r="L595" s="0" t="str">
        <f aca="false">C595</f>
        <v>Dominic Lovett</v>
      </c>
      <c r="M595" s="121" t="n">
        <f aca="false">IFERROR(VLOOKUP(E595,RISK!A:B,2,FALSE()),"")</f>
        <v>3.84810126582278</v>
      </c>
      <c r="N595" s="120" t="e">
        <f aca="false">VLOOKUP(E595,Q:R,2,FALSE())</f>
        <v>#N/A</v>
      </c>
    </row>
    <row r="596" customFormat="false" ht="14.25" hidden="false" customHeight="true" outlineLevel="0" collapsed="false">
      <c r="A596" s="0" t="n">
        <v>595</v>
      </c>
      <c r="B596" s="0" t="n">
        <v>13</v>
      </c>
      <c r="C596" s="0" t="s">
        <v>573</v>
      </c>
      <c r="D596" s="0" t="s">
        <v>506</v>
      </c>
      <c r="E596" s="0" t="s">
        <v>1435</v>
      </c>
      <c r="F596" s="0" t="n">
        <v>7</v>
      </c>
      <c r="G596" s="0" t="s">
        <v>1038</v>
      </c>
      <c r="H596" s="0" t="s">
        <v>1038</v>
      </c>
      <c r="I596" s="0" t="s">
        <v>1032</v>
      </c>
      <c r="J596" s="0" t="s">
        <v>1038</v>
      </c>
      <c r="K596" s="0" t="n">
        <v>595</v>
      </c>
      <c r="L596" s="0" t="str">
        <f aca="false">C596</f>
        <v>Quinn Ewers</v>
      </c>
      <c r="M596" s="121" t="n">
        <f aca="false">IFERROR(VLOOKUP(E596,RISK!A:B,2,FALSE()),"")</f>
        <v>3.2</v>
      </c>
      <c r="N596" s="120" t="e">
        <f aca="false">VLOOKUP(E596,Q:R,2,FALSE())</f>
        <v>#N/A</v>
      </c>
    </row>
    <row r="597" customFormat="false" ht="14.25" hidden="false" customHeight="true" outlineLevel="0" collapsed="false">
      <c r="A597" s="0" t="n">
        <v>596</v>
      </c>
      <c r="B597" s="0" t="n">
        <v>13</v>
      </c>
      <c r="C597" s="0" t="s">
        <v>1436</v>
      </c>
      <c r="D597" s="0" t="s">
        <v>508</v>
      </c>
      <c r="E597" s="0" t="s">
        <v>1437</v>
      </c>
      <c r="F597" s="0" t="n">
        <v>8</v>
      </c>
      <c r="G597" s="0" t="s">
        <v>1038</v>
      </c>
      <c r="H597" s="0" t="s">
        <v>1038</v>
      </c>
      <c r="I597" s="0" t="s">
        <v>1035</v>
      </c>
      <c r="J597" s="0" t="s">
        <v>1038</v>
      </c>
      <c r="K597" s="0" t="n">
        <v>596</v>
      </c>
      <c r="L597" s="0" t="str">
        <f aca="false">C597</f>
        <v>Khalil Dinkins</v>
      </c>
      <c r="M597" s="121" t="str">
        <f aca="false">IFERROR(VLOOKUP(E597,RISK!A:B,2,FALSE()),"")</f>
        <v/>
      </c>
      <c r="N597" s="120" t="e">
        <f aca="false">VLOOKUP(E597,Q:R,2,FALSE())</f>
        <v>#N/A</v>
      </c>
    </row>
    <row r="598" customFormat="false" ht="14.25" hidden="false" customHeight="true" outlineLevel="0" collapsed="false">
      <c r="A598" s="0" t="n">
        <v>597</v>
      </c>
      <c r="B598" s="0" t="n">
        <v>13</v>
      </c>
      <c r="C598" s="0" t="s">
        <v>869</v>
      </c>
      <c r="D598" s="0" t="s">
        <v>554</v>
      </c>
      <c r="E598" s="0" t="s">
        <v>1438</v>
      </c>
      <c r="F598" s="0" t="n">
        <v>11</v>
      </c>
      <c r="G598" s="0" t="s">
        <v>1038</v>
      </c>
      <c r="H598" s="0" t="s">
        <v>1038</v>
      </c>
      <c r="I598" s="0" t="s">
        <v>1035</v>
      </c>
      <c r="J598" s="0" t="s">
        <v>1038</v>
      </c>
      <c r="K598" s="0" t="n">
        <v>597</v>
      </c>
      <c r="L598" s="0" t="str">
        <f aca="false">C598</f>
        <v>Malachi Corley</v>
      </c>
      <c r="M598" s="121" t="n">
        <f aca="false">IFERROR(VLOOKUP(E598,RISK!A:B,2,FALSE()),"")</f>
        <v>3.84810126582278</v>
      </c>
      <c r="N598" s="120" t="e">
        <f aca="false">VLOOKUP(E598,Q:R,2,FALSE())</f>
        <v>#N/A</v>
      </c>
    </row>
    <row r="599" customFormat="false" ht="14.25" hidden="false" customHeight="true" outlineLevel="0" collapsed="false">
      <c r="A599" s="0" t="n">
        <v>598</v>
      </c>
      <c r="B599" s="0" t="n">
        <v>13</v>
      </c>
      <c r="C599" s="0" t="s">
        <v>1439</v>
      </c>
      <c r="D599" s="0" t="s">
        <v>496</v>
      </c>
      <c r="E599" s="0" t="s">
        <v>1440</v>
      </c>
      <c r="F599" s="0" t="n">
        <v>7</v>
      </c>
      <c r="G599" s="0" t="s">
        <v>1038</v>
      </c>
      <c r="H599" s="0" t="s">
        <v>1038</v>
      </c>
      <c r="I599" s="0" t="s">
        <v>1032</v>
      </c>
      <c r="J599" s="0" t="s">
        <v>1038</v>
      </c>
      <c r="K599" s="0" t="n">
        <v>598</v>
      </c>
      <c r="L599" s="0" t="str">
        <f aca="false">C599</f>
        <v>Craig Reynolds</v>
      </c>
      <c r="M599" s="121" t="n">
        <f aca="false">IFERROR(VLOOKUP(E599,RISK!A:B,2,FALSE()),"")</f>
        <v>4</v>
      </c>
      <c r="N599" s="120" t="e">
        <f aca="false">VLOOKUP(E599,Q:R,2,FALSE())</f>
        <v>#N/A</v>
      </c>
    </row>
    <row r="600" customFormat="false" ht="14.25" hidden="false" customHeight="true" outlineLevel="0" collapsed="false">
      <c r="A600" s="0" t="n">
        <v>599</v>
      </c>
      <c r="B600" s="0" t="n">
        <v>13</v>
      </c>
      <c r="C600" s="0" t="s">
        <v>1441</v>
      </c>
      <c r="D600" s="0" t="s">
        <v>524</v>
      </c>
      <c r="E600" s="0" t="s">
        <v>1442</v>
      </c>
      <c r="F600" s="0" t="n">
        <v>6</v>
      </c>
      <c r="G600" s="0" t="s">
        <v>1038</v>
      </c>
      <c r="H600" s="0" t="s">
        <v>1038</v>
      </c>
      <c r="I600" s="0" t="s">
        <v>1032</v>
      </c>
      <c r="J600" s="0" t="s">
        <v>1038</v>
      </c>
      <c r="K600" s="0" t="n">
        <v>599</v>
      </c>
      <c r="L600" s="0" t="str">
        <f aca="false">C600</f>
        <v>Tom Kennedy</v>
      </c>
      <c r="M600" s="121" t="n">
        <f aca="false">IFERROR(VLOOKUP(E600,RISK!A:B,2,FALSE()),"")</f>
        <v>3.84810126582278</v>
      </c>
      <c r="N600" s="120" t="e">
        <f aca="false">VLOOKUP(E600,Q:R,2,FALSE())</f>
        <v>#N/A</v>
      </c>
    </row>
    <row r="601" customFormat="false" ht="14.25" hidden="false" customHeight="true" outlineLevel="0" collapsed="false">
      <c r="A601" s="0" t="n">
        <v>600</v>
      </c>
      <c r="B601" s="0" t="n">
        <v>13</v>
      </c>
      <c r="C601" s="0" t="s">
        <v>1443</v>
      </c>
      <c r="D601" s="0" t="s">
        <v>554</v>
      </c>
      <c r="E601" s="0" t="s">
        <v>1444</v>
      </c>
      <c r="F601" s="0" t="n">
        <v>11</v>
      </c>
      <c r="G601" s="0" t="s">
        <v>1038</v>
      </c>
      <c r="H601" s="0" t="s">
        <v>1038</v>
      </c>
      <c r="I601" s="0" t="s">
        <v>1035</v>
      </c>
      <c r="J601" s="0" t="s">
        <v>1038</v>
      </c>
      <c r="K601" s="0" t="n">
        <v>600</v>
      </c>
      <c r="L601" s="0" t="str">
        <f aca="false">C601</f>
        <v>Jamari Thrash</v>
      </c>
      <c r="M601" s="121" t="n">
        <f aca="false">IFERROR(VLOOKUP(E601,RISK!A:B,2,FALSE()),"")</f>
        <v>3.84810126582278</v>
      </c>
      <c r="N601" s="120" t="e">
        <f aca="false">VLOOKUP(E601,Q:R,2,FALSE())</f>
        <v>#N/A</v>
      </c>
    </row>
    <row r="602" customFormat="false" ht="14.25" hidden="false" customHeight="true" outlineLevel="0" collapsed="false">
      <c r="A602" s="0" t="n">
        <v>601</v>
      </c>
      <c r="B602" s="0" t="n">
        <v>13</v>
      </c>
      <c r="C602" s="0" t="s">
        <v>1445</v>
      </c>
      <c r="D602" s="0" t="s">
        <v>498</v>
      </c>
      <c r="E602" s="0" t="s">
        <v>1446</v>
      </c>
      <c r="F602" s="0" t="n">
        <v>11</v>
      </c>
      <c r="G602" s="0" t="s">
        <v>1038</v>
      </c>
      <c r="H602" s="0" t="s">
        <v>1038</v>
      </c>
      <c r="I602" s="0" t="s">
        <v>1031</v>
      </c>
      <c r="J602" s="0" t="s">
        <v>1038</v>
      </c>
      <c r="K602" s="0" t="n">
        <v>601</v>
      </c>
      <c r="L602" s="0" t="str">
        <f aca="false">C602</f>
        <v>Lan Larison</v>
      </c>
      <c r="M602" s="121" t="n">
        <f aca="false">IFERROR(VLOOKUP(E602,RISK!A:B,2,FALSE()),"")</f>
        <v>4</v>
      </c>
      <c r="N602" s="120" t="e">
        <f aca="false">VLOOKUP(E602,Q:R,2,FALSE())</f>
        <v>#N/A</v>
      </c>
    </row>
    <row r="603" customFormat="false" ht="14.25" hidden="false" customHeight="true" outlineLevel="0" collapsed="false">
      <c r="A603" s="0" t="n">
        <v>602</v>
      </c>
      <c r="B603" s="0" t="n">
        <v>13</v>
      </c>
      <c r="C603" s="0" t="s">
        <v>889</v>
      </c>
      <c r="D603" s="0" t="s">
        <v>554</v>
      </c>
      <c r="E603" s="0" t="s">
        <v>1447</v>
      </c>
      <c r="F603" s="0" t="n">
        <v>11</v>
      </c>
      <c r="G603" s="0" t="s">
        <v>1038</v>
      </c>
      <c r="H603" s="0" t="s">
        <v>1038</v>
      </c>
      <c r="I603" s="0" t="s">
        <v>1035</v>
      </c>
      <c r="J603" s="0" t="s">
        <v>1038</v>
      </c>
      <c r="K603" s="0" t="n">
        <v>602</v>
      </c>
      <c r="L603" s="0" t="str">
        <f aca="false">C603</f>
        <v>Tylan Wallace</v>
      </c>
      <c r="M603" s="121" t="n">
        <f aca="false">IFERROR(VLOOKUP(E603,RISK!A:B,2,FALSE()),"")</f>
        <v>3.84810126582278</v>
      </c>
      <c r="N603" s="120" t="e">
        <f aca="false">VLOOKUP(E603,Q:R,2,FALSE())</f>
        <v>#N/A</v>
      </c>
    </row>
    <row r="604" customFormat="false" ht="14.25" hidden="false" customHeight="true" outlineLevel="0" collapsed="false">
      <c r="A604" s="0" t="n">
        <v>603</v>
      </c>
      <c r="B604" s="0" t="n">
        <v>13</v>
      </c>
      <c r="C604" s="0" t="s">
        <v>1448</v>
      </c>
      <c r="D604" s="0" t="s">
        <v>1121</v>
      </c>
      <c r="E604" s="0" t="s">
        <v>1449</v>
      </c>
      <c r="F604" s="0" t="s">
        <v>1038</v>
      </c>
      <c r="G604" s="0" t="s">
        <v>1038</v>
      </c>
      <c r="H604" s="0" t="s">
        <v>1038</v>
      </c>
      <c r="I604" s="0" t="s">
        <v>1038</v>
      </c>
      <c r="J604" s="0" t="s">
        <v>1038</v>
      </c>
      <c r="K604" s="0" t="n">
        <v>603</v>
      </c>
      <c r="L604" s="0" t="str">
        <f aca="false">C604</f>
        <v>Jake Browning</v>
      </c>
      <c r="M604" s="121" t="n">
        <f aca="false">IFERROR(VLOOKUP(E604,RISK!A:B,2,FALSE()),"")</f>
        <v>3.2</v>
      </c>
      <c r="N604" s="120" t="e">
        <f aca="false">VLOOKUP(E604,Q:R,2,FALSE())</f>
        <v>#N/A</v>
      </c>
    </row>
    <row r="605" customFormat="false" ht="14.25" hidden="false" customHeight="true" outlineLevel="0" collapsed="false">
      <c r="A605" s="0" t="n">
        <v>604</v>
      </c>
      <c r="B605" s="0" t="n">
        <v>13</v>
      </c>
      <c r="C605" s="0" t="s">
        <v>997</v>
      </c>
      <c r="D605" s="0" t="s">
        <v>504</v>
      </c>
      <c r="E605" s="0" t="s">
        <v>1450</v>
      </c>
      <c r="F605" s="0" t="n">
        <v>8</v>
      </c>
      <c r="G605" s="0" t="s">
        <v>1038</v>
      </c>
      <c r="H605" s="0" t="s">
        <v>1038</v>
      </c>
      <c r="I605" s="0" t="s">
        <v>1035</v>
      </c>
      <c r="J605" s="0" t="s">
        <v>1038</v>
      </c>
      <c r="K605" s="0" t="n">
        <v>604</v>
      </c>
      <c r="L605" s="0" t="str">
        <f aca="false">C605</f>
        <v>Chris Manhertz</v>
      </c>
      <c r="M605" s="121" t="str">
        <f aca="false">IFERROR(VLOOKUP(E605,RISK!A:B,2,FALSE()),"")</f>
        <v/>
      </c>
      <c r="N605" s="120" t="e">
        <f aca="false">VLOOKUP(E605,Q:R,2,FALSE())</f>
        <v>#N/A</v>
      </c>
    </row>
    <row r="606" customFormat="false" ht="14.25" hidden="false" customHeight="true" outlineLevel="0" collapsed="false">
      <c r="A606" s="0" t="n">
        <v>605</v>
      </c>
      <c r="B606" s="0" t="n">
        <v>13</v>
      </c>
      <c r="C606" s="0" t="s">
        <v>973</v>
      </c>
      <c r="D606" s="0" t="s">
        <v>518</v>
      </c>
      <c r="E606" s="0" t="s">
        <v>1451</v>
      </c>
      <c r="F606" s="0" t="n">
        <v>10</v>
      </c>
      <c r="G606" s="0" t="s">
        <v>1038</v>
      </c>
      <c r="H606" s="0" t="s">
        <v>1038</v>
      </c>
      <c r="I606" s="0" t="s">
        <v>1032</v>
      </c>
      <c r="J606" s="0" t="s">
        <v>1038</v>
      </c>
      <c r="K606" s="0" t="n">
        <v>605</v>
      </c>
      <c r="L606" s="0" t="str">
        <f aca="false">C606</f>
        <v>Dallen Bentley</v>
      </c>
      <c r="M606" s="121" t="str">
        <f aca="false">IFERROR(VLOOKUP(E606,RISK!A:B,2,FALSE()),"")</f>
        <v/>
      </c>
      <c r="N606" s="120" t="e">
        <f aca="false">VLOOKUP(E606,Q:R,2,FALSE())</f>
        <v>#N/A</v>
      </c>
    </row>
    <row r="607" customFormat="false" ht="14.25" hidden="false" customHeight="true" outlineLevel="0" collapsed="false">
      <c r="A607" s="0" t="n">
        <v>606</v>
      </c>
      <c r="B607" s="0" t="n">
        <v>13</v>
      </c>
      <c r="C607" s="0" t="s">
        <v>892</v>
      </c>
      <c r="D607" s="0" t="s">
        <v>512</v>
      </c>
      <c r="E607" s="0" t="s">
        <v>1452</v>
      </c>
      <c r="F607" s="0" t="n">
        <v>5</v>
      </c>
      <c r="G607" s="0" t="s">
        <v>1038</v>
      </c>
      <c r="H607" s="0" t="s">
        <v>1038</v>
      </c>
      <c r="I607" s="0" t="s">
        <v>1031</v>
      </c>
      <c r="J607" s="0" t="s">
        <v>1038</v>
      </c>
      <c r="K607" s="0" t="n">
        <v>606</v>
      </c>
      <c r="L607" s="0" t="str">
        <f aca="false">C607</f>
        <v>Nikko Remigio</v>
      </c>
      <c r="M607" s="121" t="n">
        <f aca="false">IFERROR(VLOOKUP(E607,RISK!A:B,2,FALSE()),"")</f>
        <v>3.84810126582278</v>
      </c>
      <c r="N607" s="120" t="e">
        <f aca="false">VLOOKUP(E607,Q:R,2,FALSE())</f>
        <v>#N/A</v>
      </c>
    </row>
    <row r="608" customFormat="false" ht="14.25" hidden="false" customHeight="true" outlineLevel="0" collapsed="false">
      <c r="A608" s="0" t="n">
        <v>607</v>
      </c>
      <c r="B608" s="0" t="n">
        <v>13</v>
      </c>
      <c r="C608" s="0" t="s">
        <v>1453</v>
      </c>
      <c r="D608" s="0" t="s">
        <v>554</v>
      </c>
      <c r="E608" s="0" t="s">
        <v>1454</v>
      </c>
      <c r="F608" s="0" t="n">
        <v>11</v>
      </c>
      <c r="G608" s="0" t="s">
        <v>1038</v>
      </c>
      <c r="H608" s="0" t="s">
        <v>1038</v>
      </c>
      <c r="I608" s="0" t="s">
        <v>1035</v>
      </c>
      <c r="J608" s="0" t="s">
        <v>1038</v>
      </c>
      <c r="K608" s="0" t="n">
        <v>607</v>
      </c>
      <c r="L608" s="0" t="str">
        <f aca="false">C608</f>
        <v>Bryce Oliver</v>
      </c>
      <c r="M608" s="121" t="n">
        <f aca="false">IFERROR(VLOOKUP(E608,RISK!A:B,2,FALSE()),"")</f>
        <v>3.84810126582278</v>
      </c>
      <c r="N608" s="120" t="e">
        <f aca="false">VLOOKUP(E608,Q:R,2,FALSE())</f>
        <v>#N/A</v>
      </c>
    </row>
    <row r="609" customFormat="false" ht="14.25" hidden="false" customHeight="true" outlineLevel="0" collapsed="false">
      <c r="A609" s="0" t="n">
        <v>608</v>
      </c>
      <c r="B609" s="0" t="n">
        <v>13</v>
      </c>
      <c r="C609" s="0" t="s">
        <v>1455</v>
      </c>
      <c r="D609" s="0" t="s">
        <v>500</v>
      </c>
      <c r="E609" s="0" t="s">
        <v>1456</v>
      </c>
      <c r="F609" s="0" t="n">
        <v>10</v>
      </c>
      <c r="G609" s="0" t="s">
        <v>1038</v>
      </c>
      <c r="H609" s="0" t="s">
        <v>1038</v>
      </c>
      <c r="I609" s="0" t="s">
        <v>1032</v>
      </c>
      <c r="J609" s="0" t="s">
        <v>1038</v>
      </c>
      <c r="K609" s="0" t="n">
        <v>608</v>
      </c>
      <c r="L609" s="0" t="str">
        <f aca="false">C609</f>
        <v>Carson Steele</v>
      </c>
      <c r="M609" s="121" t="n">
        <f aca="false">IFERROR(VLOOKUP(E609,RISK!A:B,2,FALSE()),"")</f>
        <v>4</v>
      </c>
      <c r="N609" s="120" t="e">
        <f aca="false">VLOOKUP(E609,Q:R,2,FALSE())</f>
        <v>#N/A</v>
      </c>
    </row>
    <row r="610" customFormat="false" ht="14.25" hidden="false" customHeight="true" outlineLevel="0" collapsed="false">
      <c r="A610" s="0" t="n">
        <v>609</v>
      </c>
      <c r="B610" s="0" t="n">
        <v>13</v>
      </c>
      <c r="C610" s="0" t="s">
        <v>1457</v>
      </c>
      <c r="D610" s="0" t="s">
        <v>526</v>
      </c>
      <c r="E610" s="0" t="s">
        <v>1458</v>
      </c>
      <c r="F610" s="0" t="n">
        <v>8</v>
      </c>
      <c r="G610" s="0" t="s">
        <v>1038</v>
      </c>
      <c r="H610" s="0" t="s">
        <v>1038</v>
      </c>
      <c r="I610" s="0" t="s">
        <v>1031</v>
      </c>
      <c r="J610" s="0" t="s">
        <v>1038</v>
      </c>
      <c r="K610" s="0" t="n">
        <v>609</v>
      </c>
      <c r="L610" s="0" t="str">
        <f aca="false">C610</f>
        <v>Stone Smartt</v>
      </c>
      <c r="M610" s="121" t="str">
        <f aca="false">IFERROR(VLOOKUP(E610,RISK!A:B,2,FALSE()),"")</f>
        <v/>
      </c>
      <c r="N610" s="120" t="e">
        <f aca="false">VLOOKUP(E610,Q:R,2,FALSE())</f>
        <v>#N/A</v>
      </c>
    </row>
    <row r="611" customFormat="false" ht="14.25" hidden="false" customHeight="true" outlineLevel="0" collapsed="false">
      <c r="A611" s="0" t="n">
        <v>610</v>
      </c>
      <c r="B611" s="0" t="n">
        <v>13</v>
      </c>
      <c r="C611" s="0" t="s">
        <v>1459</v>
      </c>
      <c r="D611" s="0" t="s">
        <v>530</v>
      </c>
      <c r="E611" s="0" t="s">
        <v>1460</v>
      </c>
      <c r="F611" s="0" t="n">
        <v>11</v>
      </c>
      <c r="G611" s="0" t="s">
        <v>1038</v>
      </c>
      <c r="H611" s="0" t="s">
        <v>1038</v>
      </c>
      <c r="I611" s="0" t="s">
        <v>1030</v>
      </c>
      <c r="J611" s="0" t="s">
        <v>1038</v>
      </c>
      <c r="K611" s="0" t="n">
        <v>610</v>
      </c>
      <c r="L611" s="0" t="str">
        <f aca="false">C611</f>
        <v>J. Michael Sturdivant</v>
      </c>
      <c r="M611" s="121" t="n">
        <f aca="false">IFERROR(VLOOKUP(E611,RISK!A:B,2,FALSE()),"")</f>
        <v>3.84810126582278</v>
      </c>
      <c r="N611" s="120" t="e">
        <f aca="false">VLOOKUP(E611,Q:R,2,FALSE())</f>
        <v>#N/A</v>
      </c>
    </row>
    <row r="612" customFormat="false" ht="14.25" hidden="false" customHeight="true" outlineLevel="0" collapsed="false">
      <c r="A612" s="0" t="n">
        <v>611</v>
      </c>
      <c r="B612" s="0" t="n">
        <v>13</v>
      </c>
      <c r="C612" s="0" t="s">
        <v>1461</v>
      </c>
      <c r="D612" s="0" t="s">
        <v>522</v>
      </c>
      <c r="E612" s="0" t="s">
        <v>1462</v>
      </c>
      <c r="F612" s="0" t="n">
        <v>6</v>
      </c>
      <c r="G612" s="0" t="s">
        <v>1038</v>
      </c>
      <c r="H612" s="0" t="s">
        <v>1038</v>
      </c>
      <c r="I612" s="0" t="s">
        <v>1032</v>
      </c>
      <c r="J612" s="0" t="s">
        <v>1038</v>
      </c>
      <c r="K612" s="0" t="n">
        <v>611</v>
      </c>
      <c r="L612" s="0" t="str">
        <f aca="false">C612</f>
        <v>Gavin Bartholomew</v>
      </c>
      <c r="M612" s="121" t="str">
        <f aca="false">IFERROR(VLOOKUP(E612,RISK!A:B,2,FALSE()),"")</f>
        <v/>
      </c>
      <c r="N612" s="120" t="e">
        <f aca="false">VLOOKUP(E612,Q:R,2,FALSE())</f>
        <v>#N/A</v>
      </c>
    </row>
    <row r="613" customFormat="false" ht="14.25" hidden="false" customHeight="true" outlineLevel="0" collapsed="false">
      <c r="A613" s="0" t="n">
        <v>612</v>
      </c>
      <c r="B613" s="0" t="n">
        <v>13</v>
      </c>
      <c r="C613" s="0" t="s">
        <v>994</v>
      </c>
      <c r="D613" s="0" t="s">
        <v>528</v>
      </c>
      <c r="E613" s="0" t="s">
        <v>1463</v>
      </c>
      <c r="F613" s="0" t="n">
        <v>10</v>
      </c>
      <c r="G613" s="0" t="s">
        <v>1038</v>
      </c>
      <c r="H613" s="0" t="s">
        <v>1038</v>
      </c>
      <c r="I613" s="0" t="s">
        <v>1031</v>
      </c>
      <c r="J613" s="0" t="s">
        <v>1038</v>
      </c>
      <c r="K613" s="0" t="n">
        <v>612</v>
      </c>
      <c r="L613" s="0" t="str">
        <f aca="false">C613</f>
        <v>Ko Kieft</v>
      </c>
      <c r="M613" s="121" t="str">
        <f aca="false">IFERROR(VLOOKUP(E613,RISK!A:B,2,FALSE()),"")</f>
        <v/>
      </c>
      <c r="N613" s="120" t="e">
        <f aca="false">VLOOKUP(E613,Q:R,2,FALSE())</f>
        <v>#N/A</v>
      </c>
    </row>
    <row r="614" customFormat="false" ht="14.25" hidden="false" customHeight="true" outlineLevel="0" collapsed="false">
      <c r="A614" s="0" t="n">
        <v>613</v>
      </c>
      <c r="B614" s="0" t="n">
        <v>13</v>
      </c>
      <c r="C614" s="0" t="s">
        <v>1464</v>
      </c>
      <c r="D614" s="0" t="s">
        <v>536</v>
      </c>
      <c r="E614" s="0" t="s">
        <v>1465</v>
      </c>
      <c r="F614" s="0" t="n">
        <v>11</v>
      </c>
      <c r="G614" s="0" t="s">
        <v>1038</v>
      </c>
      <c r="H614" s="0" t="s">
        <v>1038</v>
      </c>
      <c r="I614" s="0" t="s">
        <v>1035</v>
      </c>
      <c r="J614" s="0" t="s">
        <v>1038</v>
      </c>
      <c r="K614" s="0" t="n">
        <v>613</v>
      </c>
      <c r="L614" s="0" t="str">
        <f aca="false">C614</f>
        <v>Montorie Foster Jr.</v>
      </c>
      <c r="M614" s="121" t="n">
        <f aca="false">IFERROR(VLOOKUP(E614,RISK!A:B,2,FALSE()),"")</f>
        <v>3.84810126582278</v>
      </c>
      <c r="N614" s="120" t="e">
        <f aca="false">VLOOKUP(E614,Q:R,2,FALSE())</f>
        <v>#N/A</v>
      </c>
    </row>
    <row r="615" customFormat="false" ht="14.25" hidden="false" customHeight="true" outlineLevel="0" collapsed="false">
      <c r="A615" s="0" t="n">
        <v>614</v>
      </c>
      <c r="B615" s="0" t="n">
        <v>13</v>
      </c>
      <c r="C615" s="0" t="s">
        <v>1466</v>
      </c>
      <c r="D615" s="0" t="s">
        <v>490</v>
      </c>
      <c r="E615" s="0" t="s">
        <v>1467</v>
      </c>
      <c r="F615" s="0" t="n">
        <v>7</v>
      </c>
      <c r="G615" s="0" t="s">
        <v>1038</v>
      </c>
      <c r="H615" s="0" t="s">
        <v>1038</v>
      </c>
      <c r="I615" s="0" t="s">
        <v>1035</v>
      </c>
      <c r="J615" s="0" t="s">
        <v>1038</v>
      </c>
      <c r="K615" s="0" t="n">
        <v>614</v>
      </c>
      <c r="L615" s="0" t="str">
        <f aca="false">C615</f>
        <v>Keleki Latu</v>
      </c>
      <c r="M615" s="121" t="str">
        <f aca="false">IFERROR(VLOOKUP(E615,RISK!A:B,2,FALSE()),"")</f>
        <v/>
      </c>
      <c r="N615" s="120" t="e">
        <f aca="false">VLOOKUP(E615,Q:R,2,FALSE())</f>
        <v>#N/A</v>
      </c>
    </row>
    <row r="616" customFormat="false" ht="14.25" hidden="false" customHeight="true" outlineLevel="0" collapsed="false">
      <c r="A616" s="0" t="n">
        <v>615</v>
      </c>
      <c r="B616" s="0" t="n">
        <v>13</v>
      </c>
      <c r="C616" s="0" t="s">
        <v>1468</v>
      </c>
      <c r="D616" s="0" t="s">
        <v>510</v>
      </c>
      <c r="E616" s="0" t="s">
        <v>1469</v>
      </c>
      <c r="F616" s="0" t="n">
        <v>14</v>
      </c>
      <c r="G616" s="0" t="s">
        <v>1038</v>
      </c>
      <c r="H616" s="0" t="s">
        <v>1038</v>
      </c>
      <c r="I616" s="0" t="s">
        <v>1032</v>
      </c>
      <c r="J616" s="0" t="s">
        <v>1038</v>
      </c>
      <c r="K616" s="0" t="n">
        <v>615</v>
      </c>
      <c r="L616" s="0" t="str">
        <f aca="false">C616</f>
        <v>Israel Abanikanda</v>
      </c>
      <c r="M616" s="121" t="n">
        <f aca="false">IFERROR(VLOOKUP(E616,RISK!A:B,2,FALSE()),"")</f>
        <v>4</v>
      </c>
      <c r="N616" s="120" t="e">
        <f aca="false">VLOOKUP(E616,Q:R,2,FALSE())</f>
        <v>#N/A</v>
      </c>
    </row>
    <row r="617" customFormat="false" ht="14.25" hidden="false" customHeight="true" outlineLevel="0" collapsed="false">
      <c r="A617" s="0" t="n">
        <v>616</v>
      </c>
      <c r="B617" s="0" t="n">
        <v>13</v>
      </c>
      <c r="C617" s="0" t="s">
        <v>1470</v>
      </c>
      <c r="D617" s="0" t="s">
        <v>536</v>
      </c>
      <c r="E617" s="0" t="s">
        <v>1471</v>
      </c>
      <c r="F617" s="0" t="n">
        <v>11</v>
      </c>
      <c r="G617" s="0" t="s">
        <v>1038</v>
      </c>
      <c r="H617" s="0" t="s">
        <v>1038</v>
      </c>
      <c r="I617" s="0" t="s">
        <v>1035</v>
      </c>
      <c r="J617" s="0" t="s">
        <v>1038</v>
      </c>
      <c r="K617" s="0" t="n">
        <v>616</v>
      </c>
      <c r="L617" s="0" t="str">
        <f aca="false">C617</f>
        <v>Nick Kallerup</v>
      </c>
      <c r="M617" s="121" t="str">
        <f aca="false">IFERROR(VLOOKUP(E617,RISK!A:B,2,FALSE()),"")</f>
        <v/>
      </c>
      <c r="N617" s="120" t="e">
        <f aca="false">VLOOKUP(E617,Q:R,2,FALSE())</f>
        <v>#N/A</v>
      </c>
    </row>
    <row r="618" customFormat="false" ht="14.25" hidden="false" customHeight="true" outlineLevel="0" collapsed="false">
      <c r="A618" s="0" t="n">
        <v>617</v>
      </c>
      <c r="B618" s="0" t="n">
        <v>13</v>
      </c>
      <c r="C618" s="0" t="s">
        <v>707</v>
      </c>
      <c r="D618" s="0" t="s">
        <v>550</v>
      </c>
      <c r="E618" s="0" t="s">
        <v>1472</v>
      </c>
      <c r="F618" s="0" t="n">
        <v>13</v>
      </c>
      <c r="G618" s="0" t="s">
        <v>1038</v>
      </c>
      <c r="H618" s="0" t="s">
        <v>1038</v>
      </c>
      <c r="I618" s="0" t="s">
        <v>1035</v>
      </c>
      <c r="J618" s="0" t="s">
        <v>1038</v>
      </c>
      <c r="K618" s="0" t="n">
        <v>617</v>
      </c>
      <c r="L618" s="0" t="str">
        <f aca="false">C618</f>
        <v>Connor Heyward</v>
      </c>
      <c r="M618" s="121" t="str">
        <f aca="false">IFERROR(VLOOKUP(E618,RISK!A:B,2,FALSE()),"")</f>
        <v/>
      </c>
      <c r="N618" s="120" t="e">
        <f aca="false">VLOOKUP(E618,Q:R,2,FALSE())</f>
        <v>#N/A</v>
      </c>
    </row>
    <row r="619" customFormat="false" ht="14.25" hidden="false" customHeight="true" outlineLevel="0" collapsed="false">
      <c r="A619" s="0" t="n">
        <v>618</v>
      </c>
      <c r="B619" s="0" t="n">
        <v>13</v>
      </c>
      <c r="C619" s="0" t="s">
        <v>1473</v>
      </c>
      <c r="D619" s="0" t="s">
        <v>522</v>
      </c>
      <c r="E619" s="0" t="s">
        <v>1474</v>
      </c>
      <c r="F619" s="0" t="n">
        <v>6</v>
      </c>
      <c r="G619" s="0" t="s">
        <v>1038</v>
      </c>
      <c r="H619" s="0" t="s">
        <v>1038</v>
      </c>
      <c r="I619" s="0" t="s">
        <v>1032</v>
      </c>
      <c r="J619" s="0" t="s">
        <v>1038</v>
      </c>
      <c r="K619" s="0" t="n">
        <v>618</v>
      </c>
      <c r="L619" s="0" t="str">
        <f aca="false">C619</f>
        <v>Ben Yurosek</v>
      </c>
      <c r="M619" s="121" t="str">
        <f aca="false">IFERROR(VLOOKUP(E619,RISK!A:B,2,FALSE()),"")</f>
        <v/>
      </c>
      <c r="N619" s="120" t="e">
        <f aca="false">VLOOKUP(E619,Q:R,2,FALSE())</f>
        <v>#N/A</v>
      </c>
    </row>
    <row r="620" customFormat="false" ht="14.25" hidden="false" customHeight="true" outlineLevel="0" collapsed="false">
      <c r="A620" s="0" t="n">
        <v>619</v>
      </c>
      <c r="B620" s="0" t="n">
        <v>13</v>
      </c>
      <c r="C620" s="0" t="s">
        <v>1475</v>
      </c>
      <c r="D620" s="0" t="s">
        <v>528</v>
      </c>
      <c r="E620" s="0" t="s">
        <v>1476</v>
      </c>
      <c r="F620" s="0" t="n">
        <v>10</v>
      </c>
      <c r="G620" s="0" t="s">
        <v>1038</v>
      </c>
      <c r="H620" s="0" t="s">
        <v>1038</v>
      </c>
      <c r="I620" s="0" t="s">
        <v>1032</v>
      </c>
      <c r="J620" s="0" t="s">
        <v>1038</v>
      </c>
      <c r="K620" s="0" t="n">
        <v>619</v>
      </c>
      <c r="L620" s="0" t="str">
        <f aca="false">C620</f>
        <v>David Sills V</v>
      </c>
      <c r="M620" s="121" t="n">
        <f aca="false">IFERROR(VLOOKUP(E620,RISK!A:B,2,FALSE()),"")</f>
        <v>3.84810126582278</v>
      </c>
      <c r="N620" s="120" t="e">
        <f aca="false">VLOOKUP(E620,Q:R,2,FALSE())</f>
        <v>#N/A</v>
      </c>
    </row>
    <row r="621" customFormat="false" ht="14.25" hidden="false" customHeight="true" outlineLevel="0" collapsed="false">
      <c r="A621" s="0" t="n">
        <v>620</v>
      </c>
      <c r="B621" s="0" t="n">
        <v>13</v>
      </c>
      <c r="C621" s="0" t="s">
        <v>1477</v>
      </c>
      <c r="D621" s="0" t="s">
        <v>1121</v>
      </c>
      <c r="E621" s="0" t="s">
        <v>1478</v>
      </c>
      <c r="F621" s="0" t="s">
        <v>1038</v>
      </c>
      <c r="G621" s="0" t="s">
        <v>1038</v>
      </c>
      <c r="H621" s="0" t="s">
        <v>1038</v>
      </c>
      <c r="I621" s="0" t="s">
        <v>1038</v>
      </c>
      <c r="J621" s="0" t="s">
        <v>1038</v>
      </c>
      <c r="K621" s="0" t="n">
        <v>620</v>
      </c>
      <c r="L621" s="0" t="str">
        <f aca="false">C621</f>
        <v>Van Jefferson</v>
      </c>
      <c r="M621" s="121" t="n">
        <f aca="false">IFERROR(VLOOKUP(E621,RISK!A:B,2,FALSE()),"")</f>
        <v>3.84810126582278</v>
      </c>
      <c r="N621" s="120" t="e">
        <f aca="false">VLOOKUP(E621,Q:R,2,FALSE())</f>
        <v>#N/A</v>
      </c>
    </row>
    <row r="622" customFormat="false" ht="14.25" hidden="false" customHeight="true" outlineLevel="0" collapsed="false">
      <c r="A622" s="0" t="n">
        <v>621</v>
      </c>
      <c r="B622" s="0" t="n">
        <v>13</v>
      </c>
      <c r="C622" s="0" t="s">
        <v>883</v>
      </c>
      <c r="D622" s="0" t="s">
        <v>548</v>
      </c>
      <c r="E622" s="0" t="s">
        <v>1479</v>
      </c>
      <c r="F622" s="0" t="n">
        <v>9</v>
      </c>
      <c r="G622" s="0" t="s">
        <v>1038</v>
      </c>
      <c r="H622" s="0" t="s">
        <v>1038</v>
      </c>
      <c r="I622" s="0" t="s">
        <v>1035</v>
      </c>
      <c r="J622" s="0" t="s">
        <v>1038</v>
      </c>
      <c r="K622" s="0" t="n">
        <v>621</v>
      </c>
      <c r="L622" s="0" t="str">
        <f aca="false">C622</f>
        <v>Ben Skowronek</v>
      </c>
      <c r="M622" s="121" t="n">
        <f aca="false">IFERROR(VLOOKUP(E622,RISK!A:B,2,FALSE()),"")</f>
        <v>3.84810126582278</v>
      </c>
      <c r="N622" s="120" t="e">
        <f aca="false">VLOOKUP(E622,Q:R,2,FALSE())</f>
        <v>#N/A</v>
      </c>
    </row>
    <row r="623" customFormat="false" ht="14.25" hidden="false" customHeight="true" outlineLevel="0" collapsed="false">
      <c r="A623" s="0" t="n">
        <v>622</v>
      </c>
      <c r="B623" s="0" t="n">
        <v>13</v>
      </c>
      <c r="C623" s="0" t="s">
        <v>1480</v>
      </c>
      <c r="D623" s="0" t="s">
        <v>1121</v>
      </c>
      <c r="E623" s="0" t="s">
        <v>1481</v>
      </c>
      <c r="F623" s="0" t="s">
        <v>1038</v>
      </c>
      <c r="G623" s="0" t="s">
        <v>1038</v>
      </c>
      <c r="H623" s="0" t="s">
        <v>1038</v>
      </c>
      <c r="I623" s="0" t="s">
        <v>1038</v>
      </c>
      <c r="J623" s="0" t="s">
        <v>1038</v>
      </c>
      <c r="K623" s="0" t="n">
        <v>622</v>
      </c>
      <c r="L623" s="0" t="str">
        <f aca="false">C623</f>
        <v>Dante Miller</v>
      </c>
      <c r="M623" s="121" t="n">
        <f aca="false">IFERROR(VLOOKUP(E623,RISK!A:B,2,FALSE()),"")</f>
        <v>4</v>
      </c>
      <c r="N623" s="120" t="e">
        <f aca="false">VLOOKUP(E623,Q:R,2,FALSE())</f>
        <v>#N/A</v>
      </c>
    </row>
    <row r="624" customFormat="false" ht="14.25" hidden="false" customHeight="true" outlineLevel="0" collapsed="false">
      <c r="A624" s="0" t="n">
        <v>623</v>
      </c>
      <c r="B624" s="0" t="n">
        <v>13</v>
      </c>
      <c r="C624" s="0" t="s">
        <v>896</v>
      </c>
      <c r="D624" s="0" t="s">
        <v>494</v>
      </c>
      <c r="E624" s="0" t="s">
        <v>1482</v>
      </c>
      <c r="F624" s="0" t="n">
        <v>13</v>
      </c>
      <c r="G624" s="0" t="s">
        <v>1038</v>
      </c>
      <c r="H624" s="0" t="s">
        <v>1038</v>
      </c>
      <c r="I624" s="0" t="s">
        <v>1032</v>
      </c>
      <c r="J624" s="0" t="s">
        <v>1038</v>
      </c>
      <c r="K624" s="0" t="n">
        <v>623</v>
      </c>
      <c r="L624" s="0" t="str">
        <f aca="false">C624</f>
        <v>LaJohntay Wester</v>
      </c>
      <c r="M624" s="121" t="n">
        <f aca="false">IFERROR(VLOOKUP(E624,RISK!A:B,2,FALSE()),"")</f>
        <v>3.84810126582278</v>
      </c>
      <c r="N624" s="120" t="e">
        <f aca="false">VLOOKUP(E624,Q:R,2,FALSE())</f>
        <v>#N/A</v>
      </c>
    </row>
    <row r="625" customFormat="false" ht="14.25" hidden="false" customHeight="true" outlineLevel="0" collapsed="false">
      <c r="A625" s="0" t="n">
        <v>624</v>
      </c>
      <c r="B625" s="0" t="n">
        <v>13</v>
      </c>
      <c r="C625" s="0" t="s">
        <v>1483</v>
      </c>
      <c r="D625" s="0" t="s">
        <v>522</v>
      </c>
      <c r="E625" s="0" t="s">
        <v>1484</v>
      </c>
      <c r="F625" s="0" t="n">
        <v>6</v>
      </c>
      <c r="G625" s="0" t="s">
        <v>1038</v>
      </c>
      <c r="H625" s="0" t="s">
        <v>1038</v>
      </c>
      <c r="I625" s="0" t="s">
        <v>1030</v>
      </c>
      <c r="J625" s="0" t="s">
        <v>1038</v>
      </c>
      <c r="K625" s="0" t="n">
        <v>624</v>
      </c>
      <c r="L625" s="0" t="str">
        <f aca="false">C625</f>
        <v>Jeshaun Jones</v>
      </c>
      <c r="M625" s="121" t="n">
        <f aca="false">IFERROR(VLOOKUP(E625,RISK!A:B,2,FALSE()),"")</f>
        <v>3.84810126582278</v>
      </c>
      <c r="N625" s="120" t="e">
        <f aca="false">VLOOKUP(E625,Q:R,2,FALSE())</f>
        <v>#N/A</v>
      </c>
    </row>
    <row r="626" customFormat="false" ht="14.25" hidden="false" customHeight="true" outlineLevel="0" collapsed="false">
      <c r="A626" s="0" t="n">
        <v>625</v>
      </c>
      <c r="B626" s="0" t="n">
        <v>13</v>
      </c>
      <c r="C626" s="0" t="s">
        <v>1485</v>
      </c>
      <c r="D626" s="0" t="s">
        <v>514</v>
      </c>
      <c r="E626" s="0" t="s">
        <v>1486</v>
      </c>
      <c r="F626" s="0" t="n">
        <v>10</v>
      </c>
      <c r="G626" s="0" t="s">
        <v>1038</v>
      </c>
      <c r="H626" s="0" t="s">
        <v>1038</v>
      </c>
      <c r="I626" s="0" t="s">
        <v>1035</v>
      </c>
      <c r="J626" s="0" t="s">
        <v>1038</v>
      </c>
      <c r="K626" s="0" t="n">
        <v>625</v>
      </c>
      <c r="L626" s="0" t="str">
        <f aca="false">C626</f>
        <v>Ray-Ray McCloud III</v>
      </c>
      <c r="M626" s="121" t="n">
        <f aca="false">IFERROR(VLOOKUP(E626,RISK!A:B,2,FALSE()),"")</f>
        <v>3.84810126582278</v>
      </c>
      <c r="N626" s="120" t="e">
        <f aca="false">VLOOKUP(E626,Q:R,2,FALSE())</f>
        <v>#N/A</v>
      </c>
    </row>
    <row r="627" customFormat="false" ht="14.25" hidden="false" customHeight="true" outlineLevel="0" collapsed="false">
      <c r="A627" s="0" t="n">
        <v>626</v>
      </c>
      <c r="B627" s="0" t="n">
        <v>13</v>
      </c>
      <c r="C627" s="0" t="s">
        <v>1487</v>
      </c>
      <c r="D627" s="0" t="s">
        <v>1121</v>
      </c>
      <c r="E627" s="0" t="s">
        <v>1488</v>
      </c>
      <c r="F627" s="0" t="s">
        <v>1038</v>
      </c>
      <c r="G627" s="0" t="s">
        <v>1038</v>
      </c>
      <c r="H627" s="0" t="s">
        <v>1038</v>
      </c>
      <c r="I627" s="0" t="s">
        <v>1038</v>
      </c>
      <c r="J627" s="0" t="s">
        <v>1038</v>
      </c>
      <c r="K627" s="0" t="n">
        <v>626</v>
      </c>
      <c r="L627" s="0" t="str">
        <f aca="false">C627</f>
        <v>Jack Stoll</v>
      </c>
      <c r="M627" s="121" t="str">
        <f aca="false">IFERROR(VLOOKUP(E627,RISK!A:B,2,FALSE()),"")</f>
        <v/>
      </c>
      <c r="N627" s="120" t="e">
        <f aca="false">VLOOKUP(E627,Q:R,2,FALSE())</f>
        <v>#N/A</v>
      </c>
    </row>
    <row r="628" customFormat="false" ht="14.25" hidden="false" customHeight="true" outlineLevel="0" collapsed="false">
      <c r="A628" s="0" t="n">
        <v>627</v>
      </c>
      <c r="B628" s="0" t="n">
        <v>13</v>
      </c>
      <c r="C628" s="0" t="s">
        <v>706</v>
      </c>
      <c r="D628" s="0" t="s">
        <v>518</v>
      </c>
      <c r="E628" s="0" t="s">
        <v>1489</v>
      </c>
      <c r="F628" s="0" t="n">
        <v>10</v>
      </c>
      <c r="G628" s="0" t="s">
        <v>1038</v>
      </c>
      <c r="H628" s="0" t="s">
        <v>1038</v>
      </c>
      <c r="I628" s="0" t="s">
        <v>1031</v>
      </c>
      <c r="J628" s="0" t="s">
        <v>1038</v>
      </c>
      <c r="K628" s="0" t="n">
        <v>627</v>
      </c>
      <c r="L628" s="0" t="str">
        <f aca="false">C628</f>
        <v>Adam Prentice</v>
      </c>
      <c r="M628" s="121" t="str">
        <f aca="false">IFERROR(VLOOKUP(E628,RISK!A:B,2,FALSE()),"")</f>
        <v/>
      </c>
      <c r="N628" s="120" t="e">
        <f aca="false">VLOOKUP(E628,Q:R,2,FALSE())</f>
        <v>#N/A</v>
      </c>
    </row>
    <row r="629" customFormat="false" ht="14.25" hidden="false" customHeight="true" outlineLevel="0" collapsed="false">
      <c r="A629" s="0" t="n">
        <v>628</v>
      </c>
      <c r="B629" s="0" t="n">
        <v>13</v>
      </c>
      <c r="C629" s="0" t="s">
        <v>589</v>
      </c>
      <c r="D629" s="0" t="s">
        <v>544</v>
      </c>
      <c r="E629" s="0" t="s">
        <v>1490</v>
      </c>
      <c r="F629" s="0" t="n">
        <v>9</v>
      </c>
      <c r="G629" s="0" t="s">
        <v>1038</v>
      </c>
      <c r="H629" s="0" t="s">
        <v>1038</v>
      </c>
      <c r="I629" s="0" t="s">
        <v>1035</v>
      </c>
      <c r="J629" s="0" t="s">
        <v>1038</v>
      </c>
      <c r="K629" s="0" t="n">
        <v>628</v>
      </c>
      <c r="L629" s="0" t="str">
        <f aca="false">C629</f>
        <v>Mitchell Trubisky</v>
      </c>
      <c r="M629" s="121" t="n">
        <f aca="false">IFERROR(VLOOKUP(E629,RISK!A:B,2,FALSE()),"")</f>
        <v>3.2</v>
      </c>
      <c r="N629" s="120" t="e">
        <f aca="false">VLOOKUP(E629,Q:R,2,FALSE())</f>
        <v>#N/A</v>
      </c>
    </row>
    <row r="630" customFormat="false" ht="14.25" hidden="false" customHeight="true" outlineLevel="0" collapsed="false">
      <c r="A630" s="0" t="n">
        <v>629</v>
      </c>
      <c r="B630" s="0" t="n">
        <v>13</v>
      </c>
      <c r="C630" s="0" t="s">
        <v>1491</v>
      </c>
      <c r="D630" s="0" t="s">
        <v>536</v>
      </c>
      <c r="E630" s="0" t="s">
        <v>1492</v>
      </c>
      <c r="F630" s="0" t="n">
        <v>11</v>
      </c>
      <c r="G630" s="0" t="s">
        <v>1038</v>
      </c>
      <c r="H630" s="0" t="s">
        <v>1038</v>
      </c>
      <c r="I630" s="0" t="s">
        <v>1035</v>
      </c>
      <c r="J630" s="0" t="s">
        <v>1038</v>
      </c>
      <c r="K630" s="0" t="n">
        <v>629</v>
      </c>
      <c r="L630" s="0" t="str">
        <f aca="false">C630</f>
        <v>Emmanuel Henderson Jr.</v>
      </c>
      <c r="M630" s="121" t="str">
        <f aca="false">IFERROR(VLOOKUP(E630,RISK!A:B,2,FALSE()),"")</f>
        <v/>
      </c>
      <c r="N630" s="120" t="e">
        <f aca="false">VLOOKUP(E630,Q:R,2,FALSE())</f>
        <v>#N/A</v>
      </c>
    </row>
    <row r="631" customFormat="false" ht="14.25" hidden="false" customHeight="true" outlineLevel="0" collapsed="false">
      <c r="A631" s="0" t="n">
        <v>630</v>
      </c>
      <c r="B631" s="0" t="n">
        <v>13</v>
      </c>
      <c r="C631" s="0" t="s">
        <v>1493</v>
      </c>
      <c r="D631" s="0" t="s">
        <v>496</v>
      </c>
      <c r="E631" s="0" t="s">
        <v>1494</v>
      </c>
      <c r="F631" s="0" t="n">
        <v>7</v>
      </c>
      <c r="G631" s="0" t="s">
        <v>1038</v>
      </c>
      <c r="H631" s="0" t="s">
        <v>1038</v>
      </c>
      <c r="I631" s="0" t="s">
        <v>1034</v>
      </c>
      <c r="J631" s="0" t="s">
        <v>1038</v>
      </c>
      <c r="K631" s="0" t="n">
        <v>630</v>
      </c>
      <c r="L631" s="0" t="str">
        <f aca="false">C631</f>
        <v>Colson Yankoff</v>
      </c>
      <c r="M631" s="121" t="str">
        <f aca="false">IFERROR(VLOOKUP(E631,RISK!A:B,2,FALSE()),"")</f>
        <v/>
      </c>
      <c r="N631" s="120" t="e">
        <f aca="false">VLOOKUP(E631,Q:R,2,FALSE())</f>
        <v>#N/A</v>
      </c>
    </row>
    <row r="632" customFormat="false" ht="14.25" hidden="false" customHeight="true" outlineLevel="0" collapsed="false">
      <c r="A632" s="0" t="n">
        <v>631</v>
      </c>
      <c r="B632" s="0" t="n">
        <v>13</v>
      </c>
      <c r="C632" s="0" t="s">
        <v>880</v>
      </c>
      <c r="D632" s="0" t="s">
        <v>550</v>
      </c>
      <c r="E632" s="0" t="s">
        <v>1495</v>
      </c>
      <c r="F632" s="0" t="n">
        <v>13</v>
      </c>
      <c r="G632" s="0" t="s">
        <v>1038</v>
      </c>
      <c r="H632" s="0" t="s">
        <v>1038</v>
      </c>
      <c r="I632" s="0" t="s">
        <v>1031</v>
      </c>
      <c r="J632" s="0" t="s">
        <v>1038</v>
      </c>
      <c r="K632" s="0" t="n">
        <v>631</v>
      </c>
      <c r="L632" s="0" t="str">
        <f aca="false">C632</f>
        <v>Dareke Young</v>
      </c>
      <c r="M632" s="121" t="str">
        <f aca="false">IFERROR(VLOOKUP(E632,RISK!A:B,2,FALSE()),"")</f>
        <v/>
      </c>
      <c r="N632" s="120" t="e">
        <f aca="false">VLOOKUP(E632,Q:R,2,FALSE())</f>
        <v>#N/A</v>
      </c>
    </row>
    <row r="633" customFormat="false" ht="14.25" hidden="false" customHeight="true" outlineLevel="0" collapsed="false">
      <c r="A633" s="0" t="n">
        <v>632</v>
      </c>
      <c r="B633" s="0" t="n">
        <v>13</v>
      </c>
      <c r="C633" s="0" t="s">
        <v>1005</v>
      </c>
      <c r="D633" s="0" t="s">
        <v>506</v>
      </c>
      <c r="E633" s="0" t="s">
        <v>1496</v>
      </c>
      <c r="F633" s="0" t="n">
        <v>7</v>
      </c>
      <c r="G633" s="0" t="s">
        <v>1038</v>
      </c>
      <c r="H633" s="0" t="s">
        <v>1038</v>
      </c>
      <c r="I633" s="0" t="s">
        <v>1035</v>
      </c>
      <c r="J633" s="0" t="s">
        <v>1038</v>
      </c>
      <c r="K633" s="0" t="n">
        <v>632</v>
      </c>
      <c r="L633" s="0" t="str">
        <f aca="false">C633</f>
        <v>Quintin Morris</v>
      </c>
      <c r="M633" s="121" t="str">
        <f aca="false">IFERROR(VLOOKUP(E633,RISK!A:B,2,FALSE()),"")</f>
        <v/>
      </c>
      <c r="N633" s="120" t="e">
        <f aca="false">VLOOKUP(E633,Q:R,2,FALSE())</f>
        <v>#N/A</v>
      </c>
    </row>
    <row r="634" customFormat="false" ht="14.25" hidden="false" customHeight="true" outlineLevel="0" collapsed="false">
      <c r="A634" s="0" t="n">
        <v>633</v>
      </c>
      <c r="B634" s="0" t="n">
        <v>13</v>
      </c>
      <c r="C634" s="0" t="s">
        <v>1497</v>
      </c>
      <c r="D634" s="0" t="s">
        <v>504</v>
      </c>
      <c r="E634" s="0" t="s">
        <v>1498</v>
      </c>
      <c r="F634" s="0" t="n">
        <v>8</v>
      </c>
      <c r="G634" s="0" t="s">
        <v>1038</v>
      </c>
      <c r="H634" s="0" t="s">
        <v>1038</v>
      </c>
      <c r="I634" s="0" t="s">
        <v>1032</v>
      </c>
      <c r="J634" s="0" t="s">
        <v>1038</v>
      </c>
      <c r="K634" s="0" t="n">
        <v>633</v>
      </c>
      <c r="L634" s="0" t="str">
        <f aca="false">C634</f>
        <v>Jalin Hyatt</v>
      </c>
      <c r="M634" s="121" t="str">
        <f aca="false">IFERROR(VLOOKUP(E634,RISK!A:B,2,FALSE()),"")</f>
        <v/>
      </c>
      <c r="N634" s="120" t="e">
        <f aca="false">VLOOKUP(E634,Q:R,2,FALSE())</f>
        <v>#N/A</v>
      </c>
    </row>
    <row r="635" customFormat="false" ht="14.25" hidden="false" customHeight="true" outlineLevel="0" collapsed="false">
      <c r="A635" s="0" t="n">
        <v>634</v>
      </c>
      <c r="B635" s="0" t="n">
        <v>13</v>
      </c>
      <c r="C635" s="0" t="s">
        <v>897</v>
      </c>
      <c r="D635" s="0" t="s">
        <v>502</v>
      </c>
      <c r="E635" s="0" t="s">
        <v>1499</v>
      </c>
      <c r="F635" s="0" t="n">
        <v>6</v>
      </c>
      <c r="G635" s="0" t="s">
        <v>1038</v>
      </c>
      <c r="H635" s="0" t="s">
        <v>1038</v>
      </c>
      <c r="I635" s="0" t="s">
        <v>1032</v>
      </c>
      <c r="J635" s="0" t="s">
        <v>1038</v>
      </c>
      <c r="K635" s="0" t="n">
        <v>634</v>
      </c>
      <c r="L635" s="0" t="str">
        <f aca="false">C635</f>
        <v>Ke'Shawn Williams</v>
      </c>
      <c r="M635" s="121" t="str">
        <f aca="false">IFERROR(VLOOKUP(E635,RISK!A:B,2,FALSE()),"")</f>
        <v/>
      </c>
      <c r="N635" s="120" t="e">
        <f aca="false">VLOOKUP(E635,Q:R,2,FALSE())</f>
        <v>#N/A</v>
      </c>
    </row>
    <row r="636" customFormat="false" ht="14.25" hidden="false" customHeight="true" outlineLevel="0" collapsed="false">
      <c r="A636" s="0" t="n">
        <v>635</v>
      </c>
      <c r="B636" s="0" t="n">
        <v>13</v>
      </c>
      <c r="C636" s="0" t="s">
        <v>1500</v>
      </c>
      <c r="D636" s="0" t="s">
        <v>1121</v>
      </c>
      <c r="E636" s="0" t="s">
        <v>1501</v>
      </c>
      <c r="F636" s="0" t="s">
        <v>1038</v>
      </c>
      <c r="G636" s="0" t="s">
        <v>1038</v>
      </c>
      <c r="H636" s="0" t="s">
        <v>1038</v>
      </c>
      <c r="I636" s="0" t="s">
        <v>1038</v>
      </c>
      <c r="J636" s="0" t="s">
        <v>1038</v>
      </c>
      <c r="K636" s="0" t="n">
        <v>635</v>
      </c>
      <c r="L636" s="0" t="str">
        <f aca="false">C636</f>
        <v>Kaleb Jackson</v>
      </c>
      <c r="M636" s="121" t="str">
        <f aca="false">IFERROR(VLOOKUP(E636,RISK!A:B,2,FALSE()),"")</f>
        <v/>
      </c>
      <c r="N636" s="120" t="e">
        <f aca="false">VLOOKUP(E636,Q:R,2,FALSE())</f>
        <v>#N/A</v>
      </c>
    </row>
    <row r="637" customFormat="false" ht="14.25" hidden="false" customHeight="true" outlineLevel="0" collapsed="false">
      <c r="A637" s="0" t="n">
        <v>636</v>
      </c>
      <c r="B637" s="0" t="n">
        <v>13</v>
      </c>
      <c r="C637" s="0" t="s">
        <v>1502</v>
      </c>
      <c r="D637" s="0" t="s">
        <v>514</v>
      </c>
      <c r="E637" s="0" t="s">
        <v>1503</v>
      </c>
      <c r="F637" s="0" t="n">
        <v>10</v>
      </c>
      <c r="G637" s="0" t="s">
        <v>1038</v>
      </c>
      <c r="H637" s="0" t="s">
        <v>1038</v>
      </c>
      <c r="I637" s="0" t="s">
        <v>1031</v>
      </c>
      <c r="J637" s="0" t="s">
        <v>1038</v>
      </c>
      <c r="K637" s="0" t="n">
        <v>636</v>
      </c>
      <c r="L637" s="0" t="str">
        <f aca="false">C637</f>
        <v>Hayden Large</v>
      </c>
      <c r="M637" s="121" t="str">
        <f aca="false">IFERROR(VLOOKUP(E637,RISK!A:B,2,FALSE()),"")</f>
        <v/>
      </c>
      <c r="N637" s="120" t="e">
        <f aca="false">VLOOKUP(E637,Q:R,2,FALSE())</f>
        <v>#N/A</v>
      </c>
    </row>
    <row r="638" customFormat="false" ht="14.25" hidden="false" customHeight="true" outlineLevel="0" collapsed="false">
      <c r="A638" s="0" t="n">
        <v>637</v>
      </c>
      <c r="B638" s="0" t="n">
        <v>13</v>
      </c>
      <c r="C638" s="0" t="s">
        <v>714</v>
      </c>
      <c r="D638" s="0" t="s">
        <v>538</v>
      </c>
      <c r="E638" s="0" t="s">
        <v>1504</v>
      </c>
      <c r="F638" s="0" t="n">
        <v>8</v>
      </c>
      <c r="G638" s="0" t="s">
        <v>1038</v>
      </c>
      <c r="H638" s="0" t="s">
        <v>1038</v>
      </c>
      <c r="I638" s="0" t="s">
        <v>1032</v>
      </c>
      <c r="J638" s="0" t="s">
        <v>1038</v>
      </c>
      <c r="K638" s="0" t="n">
        <v>637</v>
      </c>
      <c r="L638" s="0" t="str">
        <f aca="false">C638</f>
        <v>British Brooks</v>
      </c>
      <c r="M638" s="121" t="str">
        <f aca="false">IFERROR(VLOOKUP(E638,RISK!A:B,2,FALSE()),"")</f>
        <v/>
      </c>
      <c r="N638" s="120" t="e">
        <f aca="false">VLOOKUP(E638,Q:R,2,FALSE())</f>
        <v>#N/A</v>
      </c>
    </row>
    <row r="639" customFormat="false" ht="14.25" hidden="false" customHeight="true" outlineLevel="0" collapsed="false">
      <c r="A639" s="0" t="n">
        <v>638</v>
      </c>
      <c r="B639" s="0" t="n">
        <v>13</v>
      </c>
      <c r="C639" s="0" t="s">
        <v>568</v>
      </c>
      <c r="D639" s="0" t="s">
        <v>518</v>
      </c>
      <c r="E639" s="0" t="s">
        <v>1505</v>
      </c>
      <c r="F639" s="0" t="n">
        <v>10</v>
      </c>
      <c r="G639" s="0" t="s">
        <v>1038</v>
      </c>
      <c r="H639" s="0" t="s">
        <v>1038</v>
      </c>
      <c r="I639" s="0" t="s">
        <v>1035</v>
      </c>
      <c r="J639" s="0" t="s">
        <v>1038</v>
      </c>
      <c r="K639" s="0" t="n">
        <v>638</v>
      </c>
      <c r="L639" s="0" t="str">
        <f aca="false">C639</f>
        <v>Jarrett Stidham</v>
      </c>
      <c r="M639" s="121" t="n">
        <f aca="false">IFERROR(VLOOKUP(E639,RISK!A:B,2,FALSE()),"")</f>
        <v>3.2</v>
      </c>
      <c r="N639" s="120" t="e">
        <f aca="false">VLOOKUP(E639,Q:R,2,FALSE())</f>
        <v>#N/A</v>
      </c>
    </row>
    <row r="640" customFormat="false" ht="14.25" hidden="false" customHeight="true" outlineLevel="0" collapsed="false">
      <c r="A640" s="0" t="n">
        <v>639</v>
      </c>
      <c r="B640" s="0" t="n">
        <v>13</v>
      </c>
      <c r="C640" s="0" t="s">
        <v>1506</v>
      </c>
      <c r="D640" s="0" t="s">
        <v>526</v>
      </c>
      <c r="E640" s="0" t="s">
        <v>1507</v>
      </c>
      <c r="F640" s="0" t="n">
        <v>8</v>
      </c>
      <c r="G640" s="0" t="s">
        <v>1038</v>
      </c>
      <c r="H640" s="0" t="s">
        <v>1038</v>
      </c>
      <c r="I640" s="0" t="s">
        <v>1035</v>
      </c>
      <c r="J640" s="0" t="s">
        <v>1038</v>
      </c>
      <c r="K640" s="0" t="n">
        <v>639</v>
      </c>
      <c r="L640" s="0" t="str">
        <f aca="false">C640</f>
        <v>CJ Donaldson</v>
      </c>
      <c r="M640" s="121" t="str">
        <f aca="false">IFERROR(VLOOKUP(E640,RISK!A:B,2,FALSE()),"")</f>
        <v/>
      </c>
      <c r="N640" s="120" t="e">
        <f aca="false">VLOOKUP(E640,Q:R,2,FALSE())</f>
        <v>#N/A</v>
      </c>
    </row>
    <row r="641" customFormat="false" ht="14.25" hidden="false" customHeight="true" outlineLevel="0" collapsed="false">
      <c r="A641" s="0" t="n">
        <v>640</v>
      </c>
      <c r="B641" s="0" t="n">
        <v>13</v>
      </c>
      <c r="C641" s="0" t="s">
        <v>1508</v>
      </c>
      <c r="D641" s="0" t="s">
        <v>1121</v>
      </c>
      <c r="E641" s="0" t="s">
        <v>1509</v>
      </c>
      <c r="F641" s="0" t="s">
        <v>1038</v>
      </c>
      <c r="G641" s="0" t="s">
        <v>1038</v>
      </c>
      <c r="H641" s="0" t="s">
        <v>1038</v>
      </c>
      <c r="I641" s="0" t="s">
        <v>1038</v>
      </c>
      <c r="J641" s="0" t="s">
        <v>1038</v>
      </c>
      <c r="K641" s="0" t="n">
        <v>640</v>
      </c>
      <c r="L641" s="0" t="str">
        <f aca="false">C641</f>
        <v>Devin Culp</v>
      </c>
      <c r="M641" s="121" t="str">
        <f aca="false">IFERROR(VLOOKUP(E641,RISK!A:B,2,FALSE()),"")</f>
        <v/>
      </c>
      <c r="N641" s="120" t="e">
        <f aca="false">VLOOKUP(E641,Q:R,2,FALSE())</f>
        <v>#N/A</v>
      </c>
    </row>
    <row r="642" customFormat="false" ht="14.25" hidden="false" customHeight="true" outlineLevel="0" collapsed="false">
      <c r="A642" s="0" t="n">
        <v>641</v>
      </c>
      <c r="B642" s="0" t="n">
        <v>13</v>
      </c>
      <c r="C642" s="0" t="s">
        <v>580</v>
      </c>
      <c r="D642" s="0" t="s">
        <v>526</v>
      </c>
      <c r="E642" s="0" t="s">
        <v>1510</v>
      </c>
      <c r="F642" s="0" t="n">
        <v>8</v>
      </c>
      <c r="G642" s="0" t="s">
        <v>1038</v>
      </c>
      <c r="H642" s="0" t="s">
        <v>1038</v>
      </c>
      <c r="I642" s="0" t="s">
        <v>1035</v>
      </c>
      <c r="J642" s="0" t="s">
        <v>1038</v>
      </c>
      <c r="K642" s="0" t="n">
        <v>641</v>
      </c>
      <c r="L642" s="0" t="str">
        <f aca="false">C642</f>
        <v>Spencer Rattler</v>
      </c>
      <c r="M642" s="121" t="n">
        <f aca="false">IFERROR(VLOOKUP(E642,RISK!A:B,2,FALSE()),"")</f>
        <v>3.2</v>
      </c>
      <c r="N642" s="120" t="e">
        <f aca="false">VLOOKUP(E642,Q:R,2,FALSE())</f>
        <v>#N/A</v>
      </c>
    </row>
    <row r="643" customFormat="false" ht="14.25" hidden="false" customHeight="true" outlineLevel="0" collapsed="false">
      <c r="A643" s="0" t="n">
        <v>642</v>
      </c>
      <c r="B643" s="0" t="n">
        <v>13</v>
      </c>
      <c r="C643" s="0" t="s">
        <v>581</v>
      </c>
      <c r="D643" s="0" t="s">
        <v>510</v>
      </c>
      <c r="E643" s="0" t="s">
        <v>1511</v>
      </c>
      <c r="F643" s="0" t="n">
        <v>14</v>
      </c>
      <c r="G643" s="0" t="s">
        <v>1038</v>
      </c>
      <c r="H643" s="0" t="s">
        <v>1038</v>
      </c>
      <c r="I643" s="0" t="s">
        <v>1031</v>
      </c>
      <c r="J643" s="0" t="s">
        <v>1038</v>
      </c>
      <c r="K643" s="0" t="n">
        <v>642</v>
      </c>
      <c r="L643" s="0" t="str">
        <f aca="false">C643</f>
        <v>Sam Howell</v>
      </c>
      <c r="M643" s="121" t="n">
        <f aca="false">IFERROR(VLOOKUP(E643,RISK!A:B,2,FALSE()),"")</f>
        <v>3.2</v>
      </c>
      <c r="N643" s="120" t="e">
        <f aca="false">VLOOKUP(E643,Q:R,2,FALSE())</f>
        <v>#N/A</v>
      </c>
    </row>
    <row r="644" customFormat="false" ht="14.25" hidden="false" customHeight="true" outlineLevel="0" collapsed="false">
      <c r="A644" s="0" t="n">
        <v>643</v>
      </c>
      <c r="B644" s="0" t="n">
        <v>13</v>
      </c>
      <c r="C644" s="0" t="s">
        <v>976</v>
      </c>
      <c r="D644" s="0" t="s">
        <v>504</v>
      </c>
      <c r="E644" s="0" t="s">
        <v>1512</v>
      </c>
      <c r="F644" s="0" t="n">
        <v>8</v>
      </c>
      <c r="G644" s="0" t="s">
        <v>1038</v>
      </c>
      <c r="H644" s="0" t="s">
        <v>1038</v>
      </c>
      <c r="I644" s="0" t="s">
        <v>1035</v>
      </c>
      <c r="J644" s="0" t="s">
        <v>1038</v>
      </c>
      <c r="K644" s="0" t="n">
        <v>643</v>
      </c>
      <c r="L644" s="0" t="str">
        <f aca="false">C644</f>
        <v>Thomas Fidone II</v>
      </c>
      <c r="M644" s="121" t="str">
        <f aca="false">IFERROR(VLOOKUP(E644,RISK!A:B,2,FALSE()),"")</f>
        <v/>
      </c>
      <c r="N644" s="120" t="e">
        <f aca="false">VLOOKUP(E644,Q:R,2,FALSE())</f>
        <v>#N/A</v>
      </c>
    </row>
    <row r="645" customFormat="false" ht="14.25" hidden="false" customHeight="true" outlineLevel="0" collapsed="false">
      <c r="A645" s="0" t="n">
        <v>644</v>
      </c>
      <c r="B645" s="0" t="n">
        <v>13</v>
      </c>
      <c r="C645" s="0" t="s">
        <v>888</v>
      </c>
      <c r="D645" s="0" t="s">
        <v>546</v>
      </c>
      <c r="E645" s="0" t="s">
        <v>1513</v>
      </c>
      <c r="F645" s="0" t="n">
        <v>14</v>
      </c>
      <c r="G645" s="0" t="s">
        <v>1038</v>
      </c>
      <c r="H645" s="0" t="s">
        <v>1038</v>
      </c>
      <c r="I645" s="0" t="s">
        <v>1031</v>
      </c>
      <c r="J645" s="0" t="s">
        <v>1038</v>
      </c>
      <c r="K645" s="0" t="n">
        <v>644</v>
      </c>
      <c r="L645" s="0" t="str">
        <f aca="false">C645</f>
        <v>Devin Duvernay</v>
      </c>
      <c r="M645" s="121" t="str">
        <f aca="false">IFERROR(VLOOKUP(E645,RISK!A:B,2,FALSE()),"")</f>
        <v/>
      </c>
      <c r="N645" s="120" t="e">
        <f aca="false">VLOOKUP(E645,Q:R,2,FALSE())</f>
        <v>#N/A</v>
      </c>
    </row>
    <row r="646" customFormat="false" ht="14.25" hidden="false" customHeight="true" outlineLevel="0" collapsed="false">
      <c r="A646" s="0" t="n">
        <v>645</v>
      </c>
      <c r="B646" s="0" t="n">
        <v>13</v>
      </c>
      <c r="C646" s="0" t="s">
        <v>1514</v>
      </c>
      <c r="D646" s="0" t="s">
        <v>1121</v>
      </c>
      <c r="E646" s="0" t="s">
        <v>1515</v>
      </c>
      <c r="F646" s="0" t="s">
        <v>1038</v>
      </c>
      <c r="G646" s="0" t="s">
        <v>1038</v>
      </c>
      <c r="H646" s="0" t="s">
        <v>1038</v>
      </c>
      <c r="I646" s="0" t="s">
        <v>1038</v>
      </c>
      <c r="J646" s="0" t="s">
        <v>1038</v>
      </c>
      <c r="K646" s="0" t="n">
        <v>645</v>
      </c>
      <c r="L646" s="0" t="str">
        <f aca="false">C646</f>
        <v>Eric Gray</v>
      </c>
      <c r="M646" s="121" t="str">
        <f aca="false">IFERROR(VLOOKUP(E646,RISK!A:B,2,FALSE()),"")</f>
        <v/>
      </c>
      <c r="N646" s="120" t="e">
        <f aca="false">VLOOKUP(E646,Q:R,2,FALSE())</f>
        <v>#N/A</v>
      </c>
    </row>
    <row r="647" customFormat="false" ht="14.25" hidden="false" customHeight="true" outlineLevel="0" collapsed="false">
      <c r="A647" s="0" t="n">
        <v>646</v>
      </c>
      <c r="B647" s="0" t="n">
        <v>13</v>
      </c>
      <c r="C647" s="0" t="s">
        <v>1516</v>
      </c>
      <c r="D647" s="0" t="s">
        <v>1121</v>
      </c>
      <c r="E647" s="0" t="s">
        <v>1517</v>
      </c>
      <c r="F647" s="0" t="s">
        <v>1038</v>
      </c>
      <c r="G647" s="0" t="s">
        <v>1038</v>
      </c>
      <c r="H647" s="0" t="s">
        <v>1038</v>
      </c>
      <c r="I647" s="0" t="s">
        <v>1038</v>
      </c>
      <c r="J647" s="0" t="s">
        <v>1038</v>
      </c>
      <c r="K647" s="0" t="n">
        <v>646</v>
      </c>
      <c r="L647" s="0" t="str">
        <f aca="false">C647</f>
        <v>Curtis Samuel</v>
      </c>
      <c r="M647" s="121" t="str">
        <f aca="false">IFERROR(VLOOKUP(E647,RISK!A:B,2,FALSE()),"")</f>
        <v/>
      </c>
      <c r="N647" s="120" t="e">
        <f aca="false">VLOOKUP(E647,Q:R,2,FALSE())</f>
        <v>#N/A</v>
      </c>
    </row>
    <row r="648" customFormat="false" ht="14.25" hidden="false" customHeight="true" outlineLevel="0" collapsed="false">
      <c r="A648" s="0" t="n">
        <v>647</v>
      </c>
      <c r="B648" s="0" t="n">
        <v>13</v>
      </c>
      <c r="C648" s="0" t="s">
        <v>1518</v>
      </c>
      <c r="D648" s="0" t="s">
        <v>1121</v>
      </c>
      <c r="E648" s="0" t="s">
        <v>1519</v>
      </c>
      <c r="F648" s="0" t="s">
        <v>1038</v>
      </c>
      <c r="G648" s="0" t="s">
        <v>1038</v>
      </c>
      <c r="H648" s="0" t="s">
        <v>1038</v>
      </c>
      <c r="I648" s="0" t="s">
        <v>1038</v>
      </c>
      <c r="J648" s="0" t="s">
        <v>1038</v>
      </c>
      <c r="K648" s="0" t="n">
        <v>647</v>
      </c>
      <c r="L648" s="0" t="str">
        <f aca="false">C648</f>
        <v>Noah Brown</v>
      </c>
      <c r="M648" s="121" t="str">
        <f aca="false">IFERROR(VLOOKUP(E648,RISK!A:B,2,FALSE()),"")</f>
        <v/>
      </c>
      <c r="N648" s="120" t="e">
        <f aca="false">VLOOKUP(E648,Q:R,2,FALSE())</f>
        <v>#N/A</v>
      </c>
    </row>
    <row r="649" customFormat="false" ht="14.25" hidden="false" customHeight="true" outlineLevel="0" collapsed="false">
      <c r="A649" s="0" t="n">
        <v>648</v>
      </c>
      <c r="B649" s="0" t="n">
        <v>14</v>
      </c>
      <c r="C649" s="0" t="s">
        <v>566</v>
      </c>
      <c r="D649" s="0" t="s">
        <v>498</v>
      </c>
      <c r="E649" s="0" t="s">
        <v>1520</v>
      </c>
      <c r="F649" s="0" t="n">
        <v>11</v>
      </c>
      <c r="G649" s="0" t="s">
        <v>1038</v>
      </c>
      <c r="H649" s="0" t="s">
        <v>1038</v>
      </c>
      <c r="I649" s="0" t="s">
        <v>1031</v>
      </c>
      <c r="J649" s="0" t="s">
        <v>1038</v>
      </c>
      <c r="K649" s="0" t="n">
        <v>648</v>
      </c>
      <c r="L649" s="0" t="str">
        <f aca="false">C649</f>
        <v>Tommy DeVito</v>
      </c>
      <c r="M649" s="121" t="n">
        <f aca="false">IFERROR(VLOOKUP(E649,RISK!A:B,2,FALSE()),"")</f>
        <v>3.2</v>
      </c>
      <c r="N649" s="120" t="e">
        <f aca="false">VLOOKUP(E649,Q:R,2,FALSE())</f>
        <v>#N/A</v>
      </c>
    </row>
    <row r="650" customFormat="false" ht="14.25" hidden="false" customHeight="true" outlineLevel="0" collapsed="false">
      <c r="A650" s="0" t="n">
        <v>649</v>
      </c>
      <c r="B650" s="0" t="n">
        <v>14</v>
      </c>
      <c r="C650" s="0" t="s">
        <v>583</v>
      </c>
      <c r="D650" s="0" t="s">
        <v>500</v>
      </c>
      <c r="E650" s="0" t="s">
        <v>1521</v>
      </c>
      <c r="F650" s="0" t="n">
        <v>10</v>
      </c>
      <c r="G650" s="0" t="s">
        <v>1038</v>
      </c>
      <c r="H650" s="0" t="s">
        <v>1038</v>
      </c>
      <c r="I650" s="0" t="s">
        <v>1030</v>
      </c>
      <c r="J650" s="0" t="s">
        <v>1038</v>
      </c>
      <c r="K650" s="0" t="n">
        <v>649</v>
      </c>
      <c r="L650" s="0" t="str">
        <f aca="false">C650</f>
        <v>Andy Dalton</v>
      </c>
      <c r="M650" s="121" t="n">
        <f aca="false">IFERROR(VLOOKUP(E650,RISK!A:B,2,FALSE()),"")</f>
        <v>3.2</v>
      </c>
      <c r="N650" s="120" t="e">
        <f aca="false">VLOOKUP(E650,Q:R,2,FALSE())</f>
        <v>#N/A</v>
      </c>
    </row>
    <row r="651" customFormat="false" ht="14.25" hidden="false" customHeight="true" outlineLevel="0" collapsed="false">
      <c r="A651" s="0" t="n">
        <v>650</v>
      </c>
      <c r="B651" s="0" t="n">
        <v>14</v>
      </c>
      <c r="C651" s="0" t="s">
        <v>1012</v>
      </c>
      <c r="D651" s="0" t="s">
        <v>528</v>
      </c>
      <c r="E651" s="0" t="s">
        <v>1522</v>
      </c>
      <c r="F651" s="0" t="n">
        <v>10</v>
      </c>
      <c r="G651" s="0" t="s">
        <v>1038</v>
      </c>
      <c r="H651" s="0" t="s">
        <v>1038</v>
      </c>
      <c r="I651" s="0" t="s">
        <v>1031</v>
      </c>
      <c r="J651" s="0" t="s">
        <v>1038</v>
      </c>
      <c r="K651" s="0" t="n">
        <v>650</v>
      </c>
      <c r="L651" s="0" t="str">
        <f aca="false">C651</f>
        <v>CJ Dippre</v>
      </c>
      <c r="M651" s="121" t="str">
        <f aca="false">IFERROR(VLOOKUP(E651,RISK!A:B,2,FALSE()),"")</f>
        <v/>
      </c>
      <c r="N651" s="120" t="e">
        <f aca="false">VLOOKUP(E651,Q:R,2,FALSE())</f>
        <v>#N/A</v>
      </c>
    </row>
    <row r="652" customFormat="false" ht="14.25" hidden="false" customHeight="true" outlineLevel="0" collapsed="false">
      <c r="A652" s="0" t="n">
        <v>651</v>
      </c>
      <c r="B652" s="0" t="n">
        <v>14</v>
      </c>
      <c r="C652" s="0" t="s">
        <v>571</v>
      </c>
      <c r="D652" s="0" t="s">
        <v>524</v>
      </c>
      <c r="E652" s="0" t="s">
        <v>1523</v>
      </c>
      <c r="F652" s="0" t="n">
        <v>6</v>
      </c>
      <c r="G652" s="0" t="s">
        <v>1038</v>
      </c>
      <c r="H652" s="0" t="s">
        <v>1038</v>
      </c>
      <c r="I652" s="0" t="s">
        <v>1030</v>
      </c>
      <c r="J652" s="0" t="s">
        <v>1038</v>
      </c>
      <c r="K652" s="0" t="n">
        <v>651</v>
      </c>
      <c r="L652" s="0" t="str">
        <f aca="false">C652</f>
        <v>Joshua Dobbs</v>
      </c>
      <c r="M652" s="121" t="n">
        <f aca="false">IFERROR(VLOOKUP(E652,RISK!A:B,2,FALSE()),"")</f>
        <v>3.2</v>
      </c>
      <c r="N652" s="120" t="e">
        <f aca="false">VLOOKUP(E652,Q:R,2,FALSE())</f>
        <v>#N/A</v>
      </c>
    </row>
    <row r="653" customFormat="false" ht="14.25" hidden="false" customHeight="true" outlineLevel="0" collapsed="false">
      <c r="A653" s="0" t="n">
        <v>652</v>
      </c>
      <c r="B653" s="0" t="n">
        <v>14</v>
      </c>
      <c r="C653" s="0" t="s">
        <v>1524</v>
      </c>
      <c r="D653" s="0" t="s">
        <v>1121</v>
      </c>
      <c r="E653" s="0" t="s">
        <v>1525</v>
      </c>
      <c r="F653" s="0" t="s">
        <v>1038</v>
      </c>
      <c r="G653" s="0" t="s">
        <v>1038</v>
      </c>
      <c r="H653" s="0" t="s">
        <v>1038</v>
      </c>
      <c r="I653" s="0" t="s">
        <v>1038</v>
      </c>
      <c r="J653" s="0" t="s">
        <v>1038</v>
      </c>
      <c r="K653" s="0" t="n">
        <v>652</v>
      </c>
      <c r="L653" s="0" t="str">
        <f aca="false">C653</f>
        <v>Anthony Gould</v>
      </c>
      <c r="M653" s="121" t="str">
        <f aca="false">IFERROR(VLOOKUP(E653,RISK!A:B,2,FALSE()),"")</f>
        <v/>
      </c>
      <c r="N653" s="120" t="e">
        <f aca="false">VLOOKUP(E653,Q:R,2,FALSE())</f>
        <v>#N/A</v>
      </c>
    </row>
    <row r="654" customFormat="false" ht="14.25" hidden="false" customHeight="true" outlineLevel="0" collapsed="false">
      <c r="A654" s="0" t="n">
        <v>653</v>
      </c>
      <c r="B654" s="0" t="n">
        <v>14</v>
      </c>
      <c r="C654" s="0" t="s">
        <v>594</v>
      </c>
      <c r="D654" s="0" t="s">
        <v>548</v>
      </c>
      <c r="E654" s="0" t="s">
        <v>1526</v>
      </c>
      <c r="F654" s="0" t="n">
        <v>9</v>
      </c>
      <c r="G654" s="0" t="s">
        <v>1038</v>
      </c>
      <c r="H654" s="0" t="s">
        <v>1038</v>
      </c>
      <c r="I654" s="0" t="s">
        <v>1031</v>
      </c>
      <c r="J654" s="0" t="s">
        <v>1038</v>
      </c>
      <c r="K654" s="0" t="n">
        <v>653</v>
      </c>
      <c r="L654" s="0" t="str">
        <f aca="false">C654</f>
        <v>Mason Rudolph</v>
      </c>
      <c r="M654" s="121" t="n">
        <f aca="false">IFERROR(VLOOKUP(E654,RISK!A:B,2,FALSE()),"")</f>
        <v>3.2</v>
      </c>
      <c r="N654" s="120" t="e">
        <f aca="false">VLOOKUP(E654,Q:R,2,FALSE())</f>
        <v>#N/A</v>
      </c>
    </row>
    <row r="655" customFormat="false" ht="14.25" hidden="false" customHeight="true" outlineLevel="0" collapsed="false">
      <c r="A655" s="0" t="n">
        <v>654</v>
      </c>
      <c r="B655" s="0" t="n">
        <v>14</v>
      </c>
      <c r="C655" s="0" t="s">
        <v>1527</v>
      </c>
      <c r="D655" s="0" t="s">
        <v>1121</v>
      </c>
      <c r="E655" s="0" t="s">
        <v>1528</v>
      </c>
      <c r="F655" s="0" t="s">
        <v>1038</v>
      </c>
      <c r="G655" s="0" t="s">
        <v>1038</v>
      </c>
      <c r="H655" s="0" t="s">
        <v>1038</v>
      </c>
      <c r="I655" s="0" t="s">
        <v>1038</v>
      </c>
      <c r="J655" s="0" t="s">
        <v>1038</v>
      </c>
      <c r="K655" s="0" t="n">
        <v>654</v>
      </c>
      <c r="L655" s="0" t="str">
        <f aca="false">C655</f>
        <v>Diontae Johnson</v>
      </c>
      <c r="M655" s="121" t="str">
        <f aca="false">IFERROR(VLOOKUP(E655,RISK!A:B,2,FALSE()),"")</f>
        <v/>
      </c>
      <c r="N655" s="120" t="e">
        <f aca="false">VLOOKUP(E655,Q:R,2,FALSE())</f>
        <v>#N/A</v>
      </c>
    </row>
    <row r="656" customFormat="false" ht="14.25" hidden="false" customHeight="true" outlineLevel="0" collapsed="false">
      <c r="A656" s="0" t="n">
        <v>655</v>
      </c>
      <c r="B656" s="0" t="n">
        <v>14</v>
      </c>
      <c r="C656" s="0" t="s">
        <v>1529</v>
      </c>
      <c r="D656" s="0" t="s">
        <v>552</v>
      </c>
      <c r="E656" s="0" t="s">
        <v>1530</v>
      </c>
      <c r="F656" s="0" t="n">
        <v>11</v>
      </c>
      <c r="G656" s="0" t="s">
        <v>1038</v>
      </c>
      <c r="H656" s="0" t="s">
        <v>1038</v>
      </c>
      <c r="I656" s="0" t="s">
        <v>1031</v>
      </c>
      <c r="J656" s="0" t="s">
        <v>1038</v>
      </c>
      <c r="K656" s="0" t="n">
        <v>655</v>
      </c>
      <c r="L656" s="0" t="str">
        <f aca="false">C656</f>
        <v>Cash Jones</v>
      </c>
      <c r="M656" s="121" t="str">
        <f aca="false">IFERROR(VLOOKUP(E656,RISK!A:B,2,FALSE()),"")</f>
        <v/>
      </c>
      <c r="N656" s="120" t="e">
        <f aca="false">VLOOKUP(E656,Q:R,2,FALSE())</f>
        <v>#N/A</v>
      </c>
    </row>
    <row r="657" customFormat="false" ht="14.25" hidden="false" customHeight="true" outlineLevel="0" collapsed="false">
      <c r="A657" s="0" t="n">
        <v>656</v>
      </c>
      <c r="B657" s="0" t="n">
        <v>14</v>
      </c>
      <c r="C657" s="0" t="s">
        <v>1531</v>
      </c>
      <c r="D657" s="0" t="s">
        <v>494</v>
      </c>
      <c r="E657" s="0" t="s">
        <v>1532</v>
      </c>
      <c r="F657" s="0" t="n">
        <v>13</v>
      </c>
      <c r="G657" s="0" t="s">
        <v>1038</v>
      </c>
      <c r="H657" s="0" t="s">
        <v>1038</v>
      </c>
      <c r="I657" s="0" t="s">
        <v>1032</v>
      </c>
      <c r="J657" s="0" t="s">
        <v>1038</v>
      </c>
      <c r="K657" s="0" t="n">
        <v>656</v>
      </c>
      <c r="L657" s="0" t="str">
        <f aca="false">C657</f>
        <v>Nick Vannett</v>
      </c>
      <c r="M657" s="121" t="str">
        <f aca="false">IFERROR(VLOOKUP(E657,RISK!A:B,2,FALSE()),"")</f>
        <v/>
      </c>
      <c r="N657" s="120" t="e">
        <f aca="false">VLOOKUP(E657,Q:R,2,FALSE())</f>
        <v>#N/A</v>
      </c>
    </row>
    <row r="658" customFormat="false" ht="14.25" hidden="false" customHeight="true" outlineLevel="0" collapsed="false">
      <c r="A658" s="0" t="n">
        <v>657</v>
      </c>
      <c r="B658" s="0" t="n">
        <v>14</v>
      </c>
      <c r="C658" s="0" t="s">
        <v>1533</v>
      </c>
      <c r="D658" s="0" t="s">
        <v>496</v>
      </c>
      <c r="E658" s="0" t="s">
        <v>1534</v>
      </c>
      <c r="F658" s="0" t="n">
        <v>7</v>
      </c>
      <c r="G658" s="0" t="s">
        <v>1038</v>
      </c>
      <c r="H658" s="0" t="s">
        <v>1038</v>
      </c>
      <c r="I658" s="0" t="s">
        <v>1034</v>
      </c>
      <c r="J658" s="0" t="n">
        <v>-348</v>
      </c>
      <c r="K658" s="0" t="n">
        <v>657</v>
      </c>
      <c r="L658" s="0" t="str">
        <f aca="false">C658</f>
        <v>Jack Westover</v>
      </c>
      <c r="M658" s="121" t="str">
        <f aca="false">IFERROR(VLOOKUP(E658,RISK!A:B,2,FALSE()),"")</f>
        <v/>
      </c>
      <c r="N658" s="120" t="e">
        <f aca="false">VLOOKUP(E658,Q:R,2,FALSE())</f>
        <v>#N/A</v>
      </c>
    </row>
    <row r="659" customFormat="false" ht="14.25" hidden="false" customHeight="true" outlineLevel="0" collapsed="false">
      <c r="A659" s="0" t="n">
        <v>658</v>
      </c>
      <c r="B659" s="0" t="n">
        <v>14</v>
      </c>
      <c r="C659" s="0" t="s">
        <v>1535</v>
      </c>
      <c r="D659" s="0" t="s">
        <v>554</v>
      </c>
      <c r="E659" s="0" t="s">
        <v>1536</v>
      </c>
      <c r="F659" s="0" t="n">
        <v>11</v>
      </c>
      <c r="G659" s="0" t="s">
        <v>1038</v>
      </c>
      <c r="H659" s="0" t="s">
        <v>1038</v>
      </c>
      <c r="I659" s="0" t="s">
        <v>1032</v>
      </c>
      <c r="J659" s="0" t="s">
        <v>1038</v>
      </c>
      <c r="K659" s="0" t="n">
        <v>658</v>
      </c>
      <c r="L659" s="0" t="str">
        <f aca="false">C659</f>
        <v>Dillon Gabriel</v>
      </c>
      <c r="M659" s="121" t="n">
        <f aca="false">IFERROR(VLOOKUP(E659,RISK!A:B,2,FALSE()),"")</f>
        <v>3.2</v>
      </c>
      <c r="N659" s="120" t="e">
        <f aca="false">VLOOKUP(E659,Q:R,2,FALSE())</f>
        <v>#N/A</v>
      </c>
    </row>
    <row r="660" customFormat="false" ht="14.25" hidden="false" customHeight="true" outlineLevel="0" collapsed="false">
      <c r="A660" s="0" t="n">
        <v>659</v>
      </c>
      <c r="B660" s="0" t="n">
        <v>14</v>
      </c>
      <c r="C660" s="0" t="s">
        <v>591</v>
      </c>
      <c r="D660" s="0" t="s">
        <v>534</v>
      </c>
      <c r="E660" s="0" t="s">
        <v>1537</v>
      </c>
      <c r="F660" s="0" t="n">
        <v>6</v>
      </c>
      <c r="G660" s="0" t="s">
        <v>1038</v>
      </c>
      <c r="H660" s="0" t="s">
        <v>1038</v>
      </c>
      <c r="I660" s="0" t="s">
        <v>1035</v>
      </c>
      <c r="J660" s="0" t="s">
        <v>1038</v>
      </c>
      <c r="K660" s="0" t="n">
        <v>659</v>
      </c>
      <c r="L660" s="0" t="str">
        <f aca="false">C660</f>
        <v>Kyle McCord</v>
      </c>
      <c r="M660" s="121" t="n">
        <f aca="false">IFERROR(VLOOKUP(E660,RISK!A:B,2,FALSE()),"")</f>
        <v>3.2</v>
      </c>
      <c r="N660" s="120" t="e">
        <f aca="false">VLOOKUP(E660,Q:R,2,FALSE())</f>
        <v>#N/A</v>
      </c>
    </row>
    <row r="661" customFormat="false" ht="14.25" hidden="false" customHeight="true" outlineLevel="0" collapsed="false">
      <c r="A661" s="0" t="n">
        <v>660</v>
      </c>
      <c r="B661" s="0" t="n">
        <v>14</v>
      </c>
      <c r="C661" s="0" t="s">
        <v>1538</v>
      </c>
      <c r="D661" s="0" t="s">
        <v>508</v>
      </c>
      <c r="E661" s="0" t="s">
        <v>1539</v>
      </c>
      <c r="F661" s="0" t="n">
        <v>8</v>
      </c>
      <c r="G661" s="0" t="s">
        <v>1038</v>
      </c>
      <c r="H661" s="0" t="s">
        <v>1038</v>
      </c>
      <c r="I661" s="0" t="s">
        <v>1031</v>
      </c>
      <c r="J661" s="0" t="s">
        <v>1038</v>
      </c>
      <c r="K661" s="0" t="n">
        <v>660</v>
      </c>
      <c r="L661" s="0" t="str">
        <f aca="false">C661</f>
        <v>Sincere McCormick</v>
      </c>
      <c r="M661" s="121" t="str">
        <f aca="false">IFERROR(VLOOKUP(E661,RISK!A:B,2,FALSE()),"")</f>
        <v/>
      </c>
      <c r="N661" s="120" t="e">
        <f aca="false">VLOOKUP(E661,Q:R,2,FALSE())</f>
        <v>#N/A</v>
      </c>
    </row>
    <row r="662" customFormat="false" ht="14.25" hidden="false" customHeight="true" outlineLevel="0" collapsed="false">
      <c r="A662" s="0" t="n">
        <v>661</v>
      </c>
      <c r="B662" s="0" t="n">
        <v>14</v>
      </c>
      <c r="C662" s="0" t="s">
        <v>1540</v>
      </c>
      <c r="D662" s="0" t="s">
        <v>1121</v>
      </c>
      <c r="E662" s="0" t="s">
        <v>1541</v>
      </c>
      <c r="F662" s="0" t="s">
        <v>1038</v>
      </c>
      <c r="G662" s="0" t="s">
        <v>1038</v>
      </c>
      <c r="H662" s="0" t="s">
        <v>1038</v>
      </c>
      <c r="I662" s="0" t="s">
        <v>1038</v>
      </c>
      <c r="J662" s="0" t="s">
        <v>1038</v>
      </c>
      <c r="K662" s="0" t="n">
        <v>661</v>
      </c>
      <c r="L662" s="0" t="str">
        <f aca="false">C662</f>
        <v>Raheem Blackshear</v>
      </c>
      <c r="M662" s="121" t="str">
        <f aca="false">IFERROR(VLOOKUP(E662,RISK!A:B,2,FALSE()),"")</f>
        <v/>
      </c>
      <c r="N662" s="120" t="e">
        <f aca="false">VLOOKUP(E662,Q:R,2,FALSE())</f>
        <v>#N/A</v>
      </c>
    </row>
    <row r="663" customFormat="false" ht="14.25" hidden="false" customHeight="true" outlineLevel="0" collapsed="false">
      <c r="A663" s="0" t="n">
        <v>662</v>
      </c>
      <c r="B663" s="0" t="n">
        <v>14</v>
      </c>
      <c r="C663" s="0" t="s">
        <v>1542</v>
      </c>
      <c r="D663" s="0" t="s">
        <v>520</v>
      </c>
      <c r="E663" s="0" t="s">
        <v>1543</v>
      </c>
      <c r="F663" s="0" t="n">
        <v>11</v>
      </c>
      <c r="G663" s="0" t="s">
        <v>1038</v>
      </c>
      <c r="H663" s="0" t="s">
        <v>1038</v>
      </c>
      <c r="I663" s="0" t="s">
        <v>1030</v>
      </c>
      <c r="J663" s="0" t="s">
        <v>1038</v>
      </c>
      <c r="K663" s="0" t="n">
        <v>662</v>
      </c>
      <c r="L663" s="0" t="str">
        <f aca="false">C663</f>
        <v>Dean Connors</v>
      </c>
      <c r="M663" s="121" t="str">
        <f aca="false">IFERROR(VLOOKUP(E663,RISK!A:B,2,FALSE()),"")</f>
        <v/>
      </c>
      <c r="N663" s="120" t="e">
        <f aca="false">VLOOKUP(E663,Q:R,2,FALSE())</f>
        <v>#N/A</v>
      </c>
    </row>
    <row r="664" customFormat="false" ht="14.25" hidden="false" customHeight="true" outlineLevel="0" collapsed="false">
      <c r="A664" s="0" t="n">
        <v>663</v>
      </c>
      <c r="B664" s="0" t="n">
        <v>14</v>
      </c>
      <c r="C664" s="0" t="s">
        <v>1006</v>
      </c>
      <c r="D664" s="0" t="s">
        <v>534</v>
      </c>
      <c r="E664" s="0" t="s">
        <v>1544</v>
      </c>
      <c r="F664" s="0" t="n">
        <v>6</v>
      </c>
      <c r="G664" s="0" t="s">
        <v>1038</v>
      </c>
      <c r="H664" s="0" t="s">
        <v>1038</v>
      </c>
      <c r="I664" s="0" t="s">
        <v>1030</v>
      </c>
      <c r="J664" s="0" t="s">
        <v>1038</v>
      </c>
      <c r="K664" s="0" t="n">
        <v>663</v>
      </c>
      <c r="L664" s="0" t="str">
        <f aca="false">C664</f>
        <v>Cole Turner</v>
      </c>
      <c r="M664" s="121" t="str">
        <f aca="false">IFERROR(VLOOKUP(E664,RISK!A:B,2,FALSE()),"")</f>
        <v/>
      </c>
      <c r="N664" s="120" t="e">
        <f aca="false">VLOOKUP(E664,Q:R,2,FALSE())</f>
        <v>#N/A</v>
      </c>
    </row>
    <row r="665" customFormat="false" ht="14.25" hidden="false" customHeight="true" outlineLevel="0" collapsed="false">
      <c r="A665" s="0" t="n">
        <v>664</v>
      </c>
      <c r="B665" s="0" t="n">
        <v>14</v>
      </c>
      <c r="C665" s="0" t="s">
        <v>1545</v>
      </c>
      <c r="D665" s="0" t="s">
        <v>1121</v>
      </c>
      <c r="E665" s="0" t="s">
        <v>1546</v>
      </c>
      <c r="F665" s="0" t="s">
        <v>1038</v>
      </c>
      <c r="G665" s="0" t="s">
        <v>1038</v>
      </c>
      <c r="H665" s="0" t="s">
        <v>1038</v>
      </c>
      <c r="I665" s="0" t="s">
        <v>1038</v>
      </c>
      <c r="J665" s="0" t="s">
        <v>1038</v>
      </c>
      <c r="K665" s="0" t="n">
        <v>664</v>
      </c>
      <c r="L665" s="0" t="str">
        <f aca="false">C665</f>
        <v>Miles Kitselman</v>
      </c>
      <c r="M665" s="121" t="str">
        <f aca="false">IFERROR(VLOOKUP(E665,RISK!A:B,2,FALSE()),"")</f>
        <v/>
      </c>
      <c r="N665" s="120" t="e">
        <f aca="false">VLOOKUP(E665,Q:R,2,FALSE())</f>
        <v>#N/A</v>
      </c>
    </row>
    <row r="666" customFormat="false" ht="14.25" hidden="false" customHeight="true" outlineLevel="0" collapsed="false">
      <c r="A666" s="0" t="n">
        <v>665</v>
      </c>
      <c r="B666" s="0" t="n">
        <v>14</v>
      </c>
      <c r="C666" s="0" t="s">
        <v>1547</v>
      </c>
      <c r="D666" s="0" t="s">
        <v>530</v>
      </c>
      <c r="E666" s="0" t="s">
        <v>1548</v>
      </c>
      <c r="F666" s="0" t="n">
        <v>11</v>
      </c>
      <c r="G666" s="0" t="s">
        <v>1038</v>
      </c>
      <c r="H666" s="0" t="s">
        <v>1038</v>
      </c>
      <c r="I666" s="0" t="s">
        <v>1031</v>
      </c>
      <c r="J666" s="0" t="s">
        <v>1038</v>
      </c>
      <c r="K666" s="0" t="n">
        <v>665</v>
      </c>
      <c r="L666" s="0" t="str">
        <f aca="false">C666</f>
        <v>Mark Redman</v>
      </c>
      <c r="M666" s="121" t="str">
        <f aca="false">IFERROR(VLOOKUP(E666,RISK!A:B,2,FALSE()),"")</f>
        <v/>
      </c>
      <c r="N666" s="120" t="e">
        <f aca="false">VLOOKUP(E666,Q:R,2,FALSE())</f>
        <v>#N/A</v>
      </c>
    </row>
    <row r="667" customFormat="false" ht="14.25" hidden="false" customHeight="true" outlineLevel="0" collapsed="false">
      <c r="A667" s="0" t="n">
        <v>666</v>
      </c>
      <c r="B667" s="0" t="n">
        <v>14</v>
      </c>
      <c r="C667" s="0" t="s">
        <v>1549</v>
      </c>
      <c r="D667" s="0" t="s">
        <v>498</v>
      </c>
      <c r="E667" s="0" t="s">
        <v>1550</v>
      </c>
      <c r="F667" s="0" t="n">
        <v>11</v>
      </c>
      <c r="G667" s="0" t="s">
        <v>1038</v>
      </c>
      <c r="H667" s="0" t="s">
        <v>1038</v>
      </c>
      <c r="I667" s="0" t="s">
        <v>1032</v>
      </c>
      <c r="J667" s="0" t="s">
        <v>1038</v>
      </c>
      <c r="K667" s="0" t="n">
        <v>666</v>
      </c>
      <c r="L667" s="0" t="str">
        <f aca="false">C667</f>
        <v>Tanner Arkin</v>
      </c>
      <c r="M667" s="121" t="str">
        <f aca="false">IFERROR(VLOOKUP(E667,RISK!A:B,2,FALSE()),"")</f>
        <v/>
      </c>
      <c r="N667" s="120" t="e">
        <f aca="false">VLOOKUP(E667,Q:R,2,FALSE())</f>
        <v>#N/A</v>
      </c>
    </row>
    <row r="668" customFormat="false" ht="14.25" hidden="false" customHeight="true" outlineLevel="0" collapsed="false">
      <c r="A668" s="0" t="n">
        <v>667</v>
      </c>
      <c r="B668" s="0" t="n">
        <v>14</v>
      </c>
      <c r="C668" s="0" t="s">
        <v>1551</v>
      </c>
      <c r="D668" s="0" t="s">
        <v>506</v>
      </c>
      <c r="E668" s="0" t="s">
        <v>1552</v>
      </c>
      <c r="F668" s="0" t="n">
        <v>7</v>
      </c>
      <c r="G668" s="0" t="s">
        <v>1038</v>
      </c>
      <c r="H668" s="0" t="s">
        <v>1038</v>
      </c>
      <c r="I668" s="0" t="s">
        <v>1032</v>
      </c>
      <c r="J668" s="0" t="n">
        <v>-333</v>
      </c>
      <c r="K668" s="0" t="n">
        <v>667</v>
      </c>
      <c r="L668" s="0" t="str">
        <f aca="false">C668</f>
        <v>CJ Williams</v>
      </c>
      <c r="M668" s="121" t="str">
        <f aca="false">IFERROR(VLOOKUP(E668,RISK!A:B,2,FALSE()),"")</f>
        <v/>
      </c>
      <c r="N668" s="120" t="e">
        <f aca="false">VLOOKUP(E668,Q:R,2,FALSE())</f>
        <v>#N/A</v>
      </c>
    </row>
    <row r="669" customFormat="false" ht="14.25" hidden="false" customHeight="true" outlineLevel="0" collapsed="false">
      <c r="A669" s="0" t="n">
        <v>668</v>
      </c>
      <c r="B669" s="0" t="n">
        <v>14</v>
      </c>
      <c r="C669" s="0" t="s">
        <v>1553</v>
      </c>
      <c r="D669" s="0" t="s">
        <v>530</v>
      </c>
      <c r="E669" s="0" t="s">
        <v>1554</v>
      </c>
      <c r="F669" s="0" t="n">
        <v>11</v>
      </c>
      <c r="G669" s="0" t="s">
        <v>1038</v>
      </c>
      <c r="H669" s="0" t="s">
        <v>1038</v>
      </c>
      <c r="I669" s="0" t="s">
        <v>1032</v>
      </c>
      <c r="J669" s="0" t="s">
        <v>1038</v>
      </c>
      <c r="K669" s="0" t="n">
        <v>668</v>
      </c>
      <c r="L669" s="0" t="str">
        <f aca="false">C669</f>
        <v>Pierre Strong Jr.</v>
      </c>
      <c r="M669" s="121" t="str">
        <f aca="false">IFERROR(VLOOKUP(E669,RISK!A:B,2,FALSE()),"")</f>
        <v/>
      </c>
      <c r="N669" s="120" t="e">
        <f aca="false">VLOOKUP(E669,Q:R,2,FALSE())</f>
        <v>#N/A</v>
      </c>
    </row>
    <row r="670" customFormat="false" ht="14.25" hidden="false" customHeight="true" outlineLevel="0" collapsed="false">
      <c r="A670" s="0" t="n">
        <v>669</v>
      </c>
      <c r="B670" s="0" t="n">
        <v>14</v>
      </c>
      <c r="C670" s="0" t="s">
        <v>1555</v>
      </c>
      <c r="D670" s="0" t="s">
        <v>534</v>
      </c>
      <c r="E670" s="0" t="s">
        <v>1556</v>
      </c>
      <c r="F670" s="0" t="n">
        <v>6</v>
      </c>
      <c r="G670" s="0" t="s">
        <v>1038</v>
      </c>
      <c r="H670" s="0" t="s">
        <v>1038</v>
      </c>
      <c r="I670" s="0" t="s">
        <v>1035</v>
      </c>
      <c r="J670" s="0" t="s">
        <v>1038</v>
      </c>
      <c r="K670" s="0" t="n">
        <v>669</v>
      </c>
      <c r="L670" s="0" t="str">
        <f aca="false">C670</f>
        <v>Ryan Miller</v>
      </c>
      <c r="M670" s="121" t="str">
        <f aca="false">IFERROR(VLOOKUP(E670,RISK!A:B,2,FALSE()),"")</f>
        <v/>
      </c>
      <c r="N670" s="120" t="e">
        <f aca="false">VLOOKUP(E670,Q:R,2,FALSE())</f>
        <v>#N/A</v>
      </c>
    </row>
    <row r="671" customFormat="false" ht="14.25" hidden="false" customHeight="true" outlineLevel="0" collapsed="false">
      <c r="A671" s="0" t="n">
        <v>670</v>
      </c>
      <c r="B671" s="0" t="n">
        <v>14</v>
      </c>
      <c r="C671" s="0" t="s">
        <v>1557</v>
      </c>
      <c r="D671" s="0" t="s">
        <v>1121</v>
      </c>
      <c r="E671" s="0" t="s">
        <v>1558</v>
      </c>
      <c r="F671" s="0" t="s">
        <v>1038</v>
      </c>
      <c r="G671" s="0" t="s">
        <v>1038</v>
      </c>
      <c r="H671" s="0" t="s">
        <v>1038</v>
      </c>
      <c r="I671" s="0" t="s">
        <v>1038</v>
      </c>
      <c r="J671" s="0" t="s">
        <v>1038</v>
      </c>
      <c r="K671" s="0" t="n">
        <v>670</v>
      </c>
      <c r="L671" s="0" t="str">
        <f aca="false">C671</f>
        <v>Albert Okwuegbunam Jr.</v>
      </c>
      <c r="M671" s="121" t="str">
        <f aca="false">IFERROR(VLOOKUP(E671,RISK!A:B,2,FALSE()),"")</f>
        <v/>
      </c>
      <c r="N671" s="120" t="e">
        <f aca="false">VLOOKUP(E671,Q:R,2,FALSE())</f>
        <v>#N/A</v>
      </c>
    </row>
    <row r="672" customFormat="false" ht="14.25" hidden="false" customHeight="true" outlineLevel="0" collapsed="false">
      <c r="A672" s="0" t="n">
        <v>671</v>
      </c>
      <c r="B672" s="0" t="n">
        <v>14</v>
      </c>
      <c r="C672" s="0" t="s">
        <v>1559</v>
      </c>
      <c r="D672" s="0" t="s">
        <v>522</v>
      </c>
      <c r="E672" s="0" t="s">
        <v>1560</v>
      </c>
      <c r="F672" s="0" t="n">
        <v>6</v>
      </c>
      <c r="G672" s="0" t="s">
        <v>1038</v>
      </c>
      <c r="H672" s="0" t="s">
        <v>1038</v>
      </c>
      <c r="I672" s="0" t="s">
        <v>1030</v>
      </c>
      <c r="J672" s="0" t="s">
        <v>1038</v>
      </c>
      <c r="K672" s="0" t="n">
        <v>671</v>
      </c>
      <c r="L672" s="0" t="str">
        <f aca="false">C672</f>
        <v>Carson Wentz</v>
      </c>
      <c r="M672" s="121" t="n">
        <f aca="false">IFERROR(VLOOKUP(E672,RISK!A:B,2,FALSE()),"")</f>
        <v>3.2</v>
      </c>
      <c r="N672" s="120" t="e">
        <f aca="false">VLOOKUP(E672,Q:R,2,FALSE())</f>
        <v>#N/A</v>
      </c>
    </row>
    <row r="673" customFormat="false" ht="14.25" hidden="false" customHeight="true" outlineLevel="0" collapsed="false">
      <c r="A673" s="0" t="n">
        <v>672</v>
      </c>
      <c r="B673" s="0" t="n">
        <v>14</v>
      </c>
      <c r="C673" s="0" t="s">
        <v>1561</v>
      </c>
      <c r="D673" s="0" t="s">
        <v>1121</v>
      </c>
      <c r="E673" s="0" t="s">
        <v>1562</v>
      </c>
      <c r="F673" s="0" t="s">
        <v>1038</v>
      </c>
      <c r="G673" s="0" t="s">
        <v>1038</v>
      </c>
      <c r="H673" s="0" t="s">
        <v>1038</v>
      </c>
      <c r="I673" s="0" t="s">
        <v>1038</v>
      </c>
      <c r="J673" s="0" t="s">
        <v>1038</v>
      </c>
      <c r="K673" s="0" t="n">
        <v>672</v>
      </c>
      <c r="L673" s="0" t="str">
        <f aca="false">C673</f>
        <v>Alexander Mattison</v>
      </c>
      <c r="M673" s="121" t="str">
        <f aca="false">IFERROR(VLOOKUP(E673,RISK!A:B,2,FALSE()),"")</f>
        <v/>
      </c>
      <c r="N673" s="120" t="e">
        <f aca="false">VLOOKUP(E673,Q:R,2,FALSE())</f>
        <v>#N/A</v>
      </c>
    </row>
    <row r="674" customFormat="false" ht="14.25" hidden="false" customHeight="true" outlineLevel="0" collapsed="false">
      <c r="A674" s="0" t="n">
        <v>673</v>
      </c>
      <c r="B674" s="0" t="n">
        <v>14</v>
      </c>
      <c r="C674" s="0" t="s">
        <v>576</v>
      </c>
      <c r="D674" s="0" t="s">
        <v>500</v>
      </c>
      <c r="E674" s="0" t="s">
        <v>1563</v>
      </c>
      <c r="F674" s="0" t="n">
        <v>10</v>
      </c>
      <c r="G674" s="0" t="s">
        <v>1038</v>
      </c>
      <c r="H674" s="0" t="s">
        <v>1038</v>
      </c>
      <c r="I674" s="0" t="s">
        <v>1030</v>
      </c>
      <c r="J674" s="0" t="s">
        <v>1038</v>
      </c>
      <c r="K674" s="0" t="n">
        <v>673</v>
      </c>
      <c r="L674" s="0" t="str">
        <f aca="false">C674</f>
        <v>Tanner McKee</v>
      </c>
      <c r="M674" s="121" t="n">
        <f aca="false">IFERROR(VLOOKUP(E674,RISK!A:B,2,FALSE()),"")</f>
        <v>3.2</v>
      </c>
      <c r="N674" s="120" t="e">
        <f aca="false">VLOOKUP(E674,Q:R,2,FALSE())</f>
        <v>#N/A</v>
      </c>
    </row>
    <row r="675" customFormat="false" ht="14.25" hidden="false" customHeight="true" outlineLevel="0" collapsed="false">
      <c r="A675" s="0" t="n">
        <v>674</v>
      </c>
      <c r="B675" s="0" t="n">
        <v>14</v>
      </c>
      <c r="C675" s="0" t="s">
        <v>1564</v>
      </c>
      <c r="D675" s="0" t="s">
        <v>1121</v>
      </c>
      <c r="E675" s="0" t="s">
        <v>1565</v>
      </c>
      <c r="F675" s="0" t="s">
        <v>1038</v>
      </c>
      <c r="G675" s="0" t="s">
        <v>1038</v>
      </c>
      <c r="H675" s="0" t="s">
        <v>1038</v>
      </c>
      <c r="I675" s="0" t="s">
        <v>1038</v>
      </c>
      <c r="J675" s="0" t="s">
        <v>1038</v>
      </c>
      <c r="K675" s="0" t="n">
        <v>674</v>
      </c>
      <c r="L675" s="0" t="str">
        <f aca="false">C675</f>
        <v>Will Levis</v>
      </c>
      <c r="M675" s="121" t="n">
        <f aca="false">IFERROR(VLOOKUP(E675,RISK!A:B,2,FALSE()),"")</f>
        <v>3.2</v>
      </c>
      <c r="N675" s="120" t="e">
        <f aca="false">VLOOKUP(E675,Q:R,2,FALSE())</f>
        <v>#N/A</v>
      </c>
    </row>
    <row r="676" customFormat="false" ht="14.25" hidden="false" customHeight="true" outlineLevel="0" collapsed="false">
      <c r="A676" s="0" t="n">
        <v>675</v>
      </c>
      <c r="B676" s="0" t="n">
        <v>14</v>
      </c>
      <c r="C676" s="0" t="s">
        <v>1566</v>
      </c>
      <c r="D676" s="0" t="s">
        <v>526</v>
      </c>
      <c r="E676" s="0" t="s">
        <v>1567</v>
      </c>
      <c r="F676" s="0" t="n">
        <v>8</v>
      </c>
      <c r="G676" s="0" t="s">
        <v>1038</v>
      </c>
      <c r="H676" s="0" t="s">
        <v>1038</v>
      </c>
      <c r="I676" s="0" t="s">
        <v>1035</v>
      </c>
      <c r="J676" s="0" t="s">
        <v>1038</v>
      </c>
      <c r="K676" s="0" t="n">
        <v>675</v>
      </c>
      <c r="L676" s="0" t="str">
        <f aca="false">C676</f>
        <v>Zach Wilson</v>
      </c>
      <c r="M676" s="121" t="n">
        <f aca="false">IFERROR(VLOOKUP(E676,RISK!A:B,2,FALSE()),"")</f>
        <v>3.2</v>
      </c>
      <c r="N676" s="120" t="e">
        <f aca="false">VLOOKUP(E676,Q:R,2,FALSE())</f>
        <v>#N/A</v>
      </c>
    </row>
    <row r="677" customFormat="false" ht="14.25" hidden="false" customHeight="true" outlineLevel="0" collapsed="false">
      <c r="A677" s="0" t="n">
        <v>676</v>
      </c>
      <c r="B677" s="0" t="n">
        <v>14</v>
      </c>
      <c r="C677" s="0" t="s">
        <v>1568</v>
      </c>
      <c r="D677" s="0" t="s">
        <v>512</v>
      </c>
      <c r="E677" s="0" t="s">
        <v>1569</v>
      </c>
      <c r="F677" s="0" t="n">
        <v>5</v>
      </c>
      <c r="G677" s="0" t="s">
        <v>1038</v>
      </c>
      <c r="H677" s="0" t="s">
        <v>1038</v>
      </c>
      <c r="I677" s="0" t="s">
        <v>1031</v>
      </c>
      <c r="J677" s="0" t="s">
        <v>1038</v>
      </c>
      <c r="K677" s="0" t="n">
        <v>676</v>
      </c>
      <c r="L677" s="0" t="str">
        <f aca="false">C677</f>
        <v>Garrett Nussmeier</v>
      </c>
      <c r="M677" s="121" t="n">
        <f aca="false">IFERROR(VLOOKUP(E677,RISK!A:B,2,FALSE()),"")</f>
        <v>3.2</v>
      </c>
      <c r="N677" s="120" t="e">
        <f aca="false">VLOOKUP(E677,Q:R,2,FALSE())</f>
        <v>#N/A</v>
      </c>
    </row>
    <row r="678" customFormat="false" ht="14.25" hidden="false" customHeight="true" outlineLevel="0" collapsed="false">
      <c r="A678" s="0" t="n">
        <v>677</v>
      </c>
      <c r="B678" s="0" t="n">
        <v>14</v>
      </c>
      <c r="C678" s="0" t="s">
        <v>1570</v>
      </c>
      <c r="D678" s="0" t="s">
        <v>514</v>
      </c>
      <c r="E678" s="0" t="s">
        <v>1571</v>
      </c>
      <c r="F678" s="0" t="n">
        <v>10</v>
      </c>
      <c r="G678" s="0" t="s">
        <v>1038</v>
      </c>
      <c r="H678" s="0" t="s">
        <v>1038</v>
      </c>
      <c r="I678" s="0" t="s">
        <v>1035</v>
      </c>
      <c r="J678" s="0" t="s">
        <v>1038</v>
      </c>
      <c r="K678" s="0" t="n">
        <v>677</v>
      </c>
      <c r="L678" s="0" t="str">
        <f aca="false">C678</f>
        <v>Case Keenum</v>
      </c>
      <c r="M678" s="121" t="n">
        <f aca="false">IFERROR(VLOOKUP(E678,RISK!A:B,2,FALSE()),"")</f>
        <v>3.2</v>
      </c>
      <c r="N678" s="120" t="e">
        <f aca="false">VLOOKUP(E678,Q:R,2,FALSE())</f>
        <v>#N/A</v>
      </c>
    </row>
    <row r="679" customFormat="false" ht="14.25" hidden="false" customHeight="true" outlineLevel="0" collapsed="false">
      <c r="A679" s="0" t="n">
        <v>678</v>
      </c>
      <c r="B679" s="0" t="n">
        <v>14</v>
      </c>
      <c r="C679" s="0" t="s">
        <v>1572</v>
      </c>
      <c r="D679" s="0" t="s">
        <v>552</v>
      </c>
      <c r="E679" s="0" t="s">
        <v>1573</v>
      </c>
      <c r="F679" s="0" t="n">
        <v>11</v>
      </c>
      <c r="G679" s="0" t="s">
        <v>1038</v>
      </c>
      <c r="H679" s="0" t="s">
        <v>1038</v>
      </c>
      <c r="I679" s="0" t="s">
        <v>1032</v>
      </c>
      <c r="J679" s="0" t="s">
        <v>1038</v>
      </c>
      <c r="K679" s="0" t="n">
        <v>678</v>
      </c>
      <c r="L679" s="0" t="str">
        <f aca="false">C679</f>
        <v>Cooper Rush</v>
      </c>
      <c r="M679" s="121" t="n">
        <f aca="false">IFERROR(VLOOKUP(E679,RISK!A:B,2,FALSE()),"")</f>
        <v>3.2</v>
      </c>
      <c r="N679" s="120" t="e">
        <f aca="false">VLOOKUP(E679,Q:R,2,FALSE())</f>
        <v>#N/A</v>
      </c>
    </row>
    <row r="680" customFormat="false" ht="14.25" hidden="false" customHeight="true" outlineLevel="0" collapsed="false">
      <c r="A680" s="0" t="n">
        <v>679</v>
      </c>
      <c r="B680" s="0" t="n">
        <v>14</v>
      </c>
      <c r="C680" s="0" t="s">
        <v>1574</v>
      </c>
      <c r="D680" s="0" t="s">
        <v>506</v>
      </c>
      <c r="E680" s="0" t="s">
        <v>1575</v>
      </c>
      <c r="F680" s="0" t="n">
        <v>7</v>
      </c>
      <c r="G680" s="0" t="s">
        <v>1038</v>
      </c>
      <c r="H680" s="0" t="s">
        <v>1038</v>
      </c>
      <c r="I680" s="0" t="s">
        <v>1035</v>
      </c>
      <c r="J680" s="0" t="s">
        <v>1038</v>
      </c>
      <c r="K680" s="0" t="n">
        <v>679</v>
      </c>
      <c r="L680" s="0" t="str">
        <f aca="false">C680</f>
        <v>Hayden Rucci</v>
      </c>
      <c r="M680" s="121" t="str">
        <f aca="false">IFERROR(VLOOKUP(E680,RISK!A:B,2,FALSE()),"")</f>
        <v/>
      </c>
      <c r="N680" s="120" t="e">
        <f aca="false">VLOOKUP(E680,Q:R,2,FALSE())</f>
        <v>#N/A</v>
      </c>
    </row>
    <row r="681" customFormat="false" ht="14.25" hidden="false" customHeight="true" outlineLevel="0" collapsed="false">
      <c r="A681" s="0" t="n">
        <v>680</v>
      </c>
      <c r="B681" s="0" t="n">
        <v>14</v>
      </c>
      <c r="C681" s="0" t="s">
        <v>1576</v>
      </c>
      <c r="D681" s="0" t="s">
        <v>1121</v>
      </c>
      <c r="E681" s="0" t="s">
        <v>1577</v>
      </c>
      <c r="F681" s="0" t="s">
        <v>1038</v>
      </c>
      <c r="G681" s="0" t="s">
        <v>1038</v>
      </c>
      <c r="H681" s="0" t="s">
        <v>1038</v>
      </c>
      <c r="I681" s="0" t="s">
        <v>1038</v>
      </c>
      <c r="J681" s="0" t="s">
        <v>1038</v>
      </c>
      <c r="K681" s="0" t="n">
        <v>680</v>
      </c>
      <c r="L681" s="0" t="str">
        <f aca="false">C681</f>
        <v>Jermaine Burton</v>
      </c>
      <c r="M681" s="121" t="str">
        <f aca="false">IFERROR(VLOOKUP(E681,RISK!A:B,2,FALSE()),"")</f>
        <v/>
      </c>
      <c r="N681" s="120" t="e">
        <f aca="false">VLOOKUP(E681,Q:R,2,FALSE())</f>
        <v>#N/A</v>
      </c>
    </row>
    <row r="682" customFormat="false" ht="14.25" hidden="false" customHeight="true" outlineLevel="0" collapsed="false">
      <c r="A682" s="0" t="n">
        <v>681</v>
      </c>
      <c r="B682" s="0" t="n">
        <v>14</v>
      </c>
      <c r="C682" s="0" t="s">
        <v>1578</v>
      </c>
      <c r="D682" s="0" t="s">
        <v>544</v>
      </c>
      <c r="E682" s="0" t="s">
        <v>1579</v>
      </c>
      <c r="F682" s="0" t="n">
        <v>9</v>
      </c>
      <c r="G682" s="0" t="s">
        <v>1038</v>
      </c>
      <c r="H682" s="0" t="s">
        <v>1038</v>
      </c>
      <c r="I682" s="0" t="s">
        <v>1035</v>
      </c>
      <c r="J682" s="0" t="s">
        <v>1038</v>
      </c>
      <c r="K682" s="0" t="n">
        <v>681</v>
      </c>
      <c r="L682" s="0" t="str">
        <f aca="false">C682</f>
        <v>Hendon Hooker</v>
      </c>
      <c r="M682" s="121" t="n">
        <f aca="false">IFERROR(VLOOKUP(E682,RISK!A:B,2,FALSE()),"")</f>
        <v>3.2</v>
      </c>
      <c r="N682" s="120" t="e">
        <f aca="false">VLOOKUP(E682,Q:R,2,FALSE())</f>
        <v>#N/A</v>
      </c>
    </row>
    <row r="683" customFormat="false" ht="14.25" hidden="false" customHeight="true" outlineLevel="0" collapsed="false">
      <c r="A683" s="0" t="n">
        <v>682</v>
      </c>
      <c r="B683" s="0" t="n">
        <v>14</v>
      </c>
      <c r="C683" s="0" t="s">
        <v>599</v>
      </c>
      <c r="D683" s="0" t="s">
        <v>550</v>
      </c>
      <c r="E683" s="0" t="s">
        <v>1580</v>
      </c>
      <c r="F683" s="0" t="n">
        <v>13</v>
      </c>
      <c r="G683" s="0" t="s">
        <v>1038</v>
      </c>
      <c r="H683" s="0" t="s">
        <v>1038</v>
      </c>
      <c r="I683" s="0" t="s">
        <v>1034</v>
      </c>
      <c r="J683" s="0" t="s">
        <v>1038</v>
      </c>
      <c r="K683" s="0" t="n">
        <v>682</v>
      </c>
      <c r="L683" s="0" t="str">
        <f aca="false">C683</f>
        <v>Aidan O'Connell</v>
      </c>
      <c r="M683" s="121" t="str">
        <f aca="false">IFERROR(VLOOKUP(E683,RISK!A:B,2,FALSE()),"")</f>
        <v/>
      </c>
      <c r="N683" s="120" t="e">
        <f aca="false">VLOOKUP(E683,Q:R,2,FALSE())</f>
        <v>#N/A</v>
      </c>
    </row>
    <row r="684" customFormat="false" ht="14.25" hidden="false" customHeight="true" outlineLevel="0" collapsed="false">
      <c r="A684" s="0" t="n">
        <v>683</v>
      </c>
      <c r="B684" s="0" t="n">
        <v>14</v>
      </c>
      <c r="C684" s="0" t="s">
        <v>1581</v>
      </c>
      <c r="D684" s="0" t="s">
        <v>508</v>
      </c>
      <c r="E684" s="0" t="s">
        <v>1582</v>
      </c>
      <c r="F684" s="0" t="n">
        <v>8</v>
      </c>
      <c r="G684" s="0" t="s">
        <v>1038</v>
      </c>
      <c r="H684" s="0" t="s">
        <v>1038</v>
      </c>
      <c r="I684" s="0" t="s">
        <v>1031</v>
      </c>
      <c r="J684" s="0" t="s">
        <v>1038</v>
      </c>
      <c r="K684" s="0" t="n">
        <v>683</v>
      </c>
      <c r="L684" s="0" t="str">
        <f aca="false">C684</f>
        <v>KhaDarel Hodge</v>
      </c>
      <c r="M684" s="121" t="str">
        <f aca="false">IFERROR(VLOOKUP(E684,RISK!A:B,2,FALSE()),"")</f>
        <v/>
      </c>
      <c r="N684" s="120" t="e">
        <f aca="false">VLOOKUP(E684,Q:R,2,FALSE())</f>
        <v>#N/A</v>
      </c>
    </row>
    <row r="685" customFormat="false" ht="14.25" hidden="false" customHeight="true" outlineLevel="0" collapsed="false">
      <c r="A685" s="0" t="n">
        <v>684</v>
      </c>
      <c r="B685" s="0" t="n">
        <v>14</v>
      </c>
      <c r="C685" s="0" t="s">
        <v>1583</v>
      </c>
      <c r="D685" s="0" t="s">
        <v>512</v>
      </c>
      <c r="E685" s="0" t="s">
        <v>1584</v>
      </c>
      <c r="F685" s="0" t="n">
        <v>5</v>
      </c>
      <c r="G685" s="0" t="s">
        <v>1038</v>
      </c>
      <c r="H685" s="0" t="s">
        <v>1038</v>
      </c>
      <c r="I685" s="0" t="s">
        <v>1031</v>
      </c>
      <c r="J685" s="0" t="s">
        <v>1038</v>
      </c>
      <c r="K685" s="0" t="n">
        <v>684</v>
      </c>
      <c r="L685" s="0" t="str">
        <f aca="false">C685</f>
        <v>Jeff Caldwell</v>
      </c>
      <c r="M685" s="121" t="str">
        <f aca="false">IFERROR(VLOOKUP(E685,RISK!A:B,2,FALSE()),"")</f>
        <v/>
      </c>
      <c r="N685" s="120" t="e">
        <f aca="false">VLOOKUP(E685,Q:R,2,FALSE())</f>
        <v>#N/A</v>
      </c>
    </row>
    <row r="686" customFormat="false" ht="14.25" hidden="false" customHeight="true" outlineLevel="0" collapsed="false">
      <c r="A686" s="0" t="n">
        <v>685</v>
      </c>
      <c r="B686" s="0" t="n">
        <v>14</v>
      </c>
      <c r="C686" s="0" t="s">
        <v>1585</v>
      </c>
      <c r="D686" s="0" t="s">
        <v>544</v>
      </c>
      <c r="E686" s="0" t="s">
        <v>1586</v>
      </c>
      <c r="F686" s="0" t="n">
        <v>9</v>
      </c>
      <c r="G686" s="0" t="s">
        <v>1038</v>
      </c>
      <c r="H686" s="0" t="s">
        <v>1038</v>
      </c>
      <c r="I686" s="0" t="s">
        <v>1035</v>
      </c>
      <c r="J686" s="0" t="s">
        <v>1038</v>
      </c>
      <c r="K686" s="0" t="n">
        <v>685</v>
      </c>
      <c r="L686" s="0" t="str">
        <f aca="false">C686</f>
        <v>David Martin-Robinson</v>
      </c>
      <c r="M686" s="121" t="str">
        <f aca="false">IFERROR(VLOOKUP(E686,RISK!A:B,2,FALSE()),"")</f>
        <v/>
      </c>
      <c r="N686" s="120" t="e">
        <f aca="false">VLOOKUP(E686,Q:R,2,FALSE())</f>
        <v>#N/A</v>
      </c>
    </row>
    <row r="687" customFormat="false" ht="14.25" hidden="false" customHeight="true" outlineLevel="0" collapsed="false">
      <c r="A687" s="0" t="n">
        <v>686</v>
      </c>
      <c r="B687" s="0" t="n">
        <v>14</v>
      </c>
      <c r="C687" s="0" t="s">
        <v>1587</v>
      </c>
      <c r="D687" s="0" t="s">
        <v>498</v>
      </c>
      <c r="E687" s="0" t="s">
        <v>1588</v>
      </c>
      <c r="F687" s="0" t="n">
        <v>11</v>
      </c>
      <c r="G687" s="0" t="s">
        <v>1038</v>
      </c>
      <c r="H687" s="0" t="s">
        <v>1038</v>
      </c>
      <c r="I687" s="0" t="s">
        <v>1032</v>
      </c>
      <c r="J687" s="0" t="s">
        <v>1038</v>
      </c>
      <c r="K687" s="0" t="n">
        <v>686</v>
      </c>
      <c r="L687" s="0" t="str">
        <f aca="false">C687</f>
        <v>Cameron Latu</v>
      </c>
      <c r="M687" s="121" t="str">
        <f aca="false">IFERROR(VLOOKUP(E687,RISK!A:B,2,FALSE()),"")</f>
        <v/>
      </c>
      <c r="N687" s="120" t="e">
        <f aca="false">VLOOKUP(E687,Q:R,2,FALSE())</f>
        <v>#N/A</v>
      </c>
    </row>
    <row r="688" customFormat="false" ht="14.25" hidden="false" customHeight="true" outlineLevel="0" collapsed="false">
      <c r="A688" s="0" t="n">
        <v>687</v>
      </c>
      <c r="B688" s="0" t="n">
        <v>14</v>
      </c>
      <c r="C688" s="0" t="s">
        <v>1589</v>
      </c>
      <c r="D688" s="0" t="s">
        <v>1121</v>
      </c>
      <c r="E688" s="0" t="s">
        <v>1590</v>
      </c>
      <c r="F688" s="0" t="s">
        <v>1038</v>
      </c>
      <c r="G688" s="0" t="s">
        <v>1038</v>
      </c>
      <c r="H688" s="0" t="s">
        <v>1038</v>
      </c>
      <c r="I688" s="0" t="s">
        <v>1038</v>
      </c>
      <c r="J688" s="0" t="n">
        <v>-386</v>
      </c>
      <c r="K688" s="0" t="n">
        <v>687</v>
      </c>
      <c r="L688" s="0" t="str">
        <f aca="false">C688</f>
        <v>Ulysses Bentley IV</v>
      </c>
      <c r="M688" s="121" t="str">
        <f aca="false">IFERROR(VLOOKUP(E688,RISK!A:B,2,FALSE()),"")</f>
        <v/>
      </c>
      <c r="N688" s="120" t="e">
        <f aca="false">VLOOKUP(E688,Q:R,2,FALSE())</f>
        <v>#N/A</v>
      </c>
    </row>
    <row r="689" customFormat="false" ht="14.25" hidden="false" customHeight="true" outlineLevel="0" collapsed="false">
      <c r="A689" s="0" t="n">
        <v>688</v>
      </c>
      <c r="B689" s="0" t="n">
        <v>14</v>
      </c>
      <c r="C689" s="0" t="s">
        <v>1591</v>
      </c>
      <c r="D689" s="0" t="s">
        <v>544</v>
      </c>
      <c r="E689" s="0" t="s">
        <v>1592</v>
      </c>
      <c r="F689" s="0" t="n">
        <v>9</v>
      </c>
      <c r="G689" s="0" t="s">
        <v>1038</v>
      </c>
      <c r="H689" s="0" t="s">
        <v>1038</v>
      </c>
      <c r="I689" s="0" t="s">
        <v>1035</v>
      </c>
      <c r="J689" s="0" t="s">
        <v>1038</v>
      </c>
      <c r="K689" s="0" t="n">
        <v>688</v>
      </c>
      <c r="L689" s="0" t="str">
        <f aca="false">C689</f>
        <v>K.J. Osborn</v>
      </c>
      <c r="M689" s="121" t="str">
        <f aca="false">IFERROR(VLOOKUP(E689,RISK!A:B,2,FALSE()),"")</f>
        <v/>
      </c>
      <c r="N689" s="120" t="e">
        <f aca="false">VLOOKUP(E689,Q:R,2,FALSE())</f>
        <v>#N/A</v>
      </c>
    </row>
    <row r="690" customFormat="false" ht="14.25" hidden="false" customHeight="true" outlineLevel="0" collapsed="false">
      <c r="A690" s="0" t="n">
        <v>689</v>
      </c>
      <c r="B690" s="0" t="n">
        <v>14</v>
      </c>
      <c r="C690" s="0" t="s">
        <v>1593</v>
      </c>
      <c r="D690" s="0" t="s">
        <v>1121</v>
      </c>
      <c r="E690" s="0" t="s">
        <v>1594</v>
      </c>
      <c r="F690" s="0" t="s">
        <v>1038</v>
      </c>
      <c r="G690" s="0" t="s">
        <v>1038</v>
      </c>
      <c r="H690" s="0" t="s">
        <v>1038</v>
      </c>
      <c r="I690" s="0" t="s">
        <v>1038</v>
      </c>
      <c r="J690" s="0" t="s">
        <v>1038</v>
      </c>
      <c r="K690" s="0" t="n">
        <v>689</v>
      </c>
      <c r="L690" s="0" t="str">
        <f aca="false">C690</f>
        <v>Jabari Small</v>
      </c>
      <c r="M690" s="121" t="str">
        <f aca="false">IFERROR(VLOOKUP(E690,RISK!A:B,2,FALSE()),"")</f>
        <v/>
      </c>
      <c r="N690" s="120" t="e">
        <f aca="false">VLOOKUP(E690,Q:R,2,FALSE())</f>
        <v>#N/A</v>
      </c>
    </row>
    <row r="691" customFormat="false" ht="14.25" hidden="false" customHeight="true" outlineLevel="0" collapsed="false">
      <c r="A691" s="0" t="n">
        <v>690</v>
      </c>
      <c r="B691" s="0" t="n">
        <v>14</v>
      </c>
      <c r="C691" s="0" t="s">
        <v>1595</v>
      </c>
      <c r="D691" s="0" t="s">
        <v>540</v>
      </c>
      <c r="E691" s="0" t="s">
        <v>1596</v>
      </c>
      <c r="F691" s="0" t="n">
        <v>5</v>
      </c>
      <c r="G691" s="0" t="s">
        <v>1038</v>
      </c>
      <c r="H691" s="0" t="s">
        <v>1038</v>
      </c>
      <c r="I691" s="0" t="s">
        <v>1034</v>
      </c>
      <c r="J691" s="0" t="s">
        <v>1038</v>
      </c>
      <c r="K691" s="0" t="n">
        <v>690</v>
      </c>
      <c r="L691" s="0" t="str">
        <f aca="false">C691</f>
        <v>Ahmani Marshall</v>
      </c>
      <c r="M691" s="121" t="str">
        <f aca="false">IFERROR(VLOOKUP(E691,RISK!A:B,2,FALSE()),"")</f>
        <v/>
      </c>
      <c r="N691" s="120" t="e">
        <f aca="false">VLOOKUP(E691,Q:R,2,FALSE())</f>
        <v>#N/A</v>
      </c>
    </row>
    <row r="692" customFormat="false" ht="14.25" hidden="false" customHeight="true" outlineLevel="0" collapsed="false">
      <c r="A692" s="0" t="n">
        <v>691</v>
      </c>
      <c r="B692" s="0" t="n">
        <v>14</v>
      </c>
      <c r="C692" s="0" t="s">
        <v>1597</v>
      </c>
      <c r="D692" s="0" t="s">
        <v>490</v>
      </c>
      <c r="E692" s="0" t="s">
        <v>1598</v>
      </c>
      <c r="F692" s="0" t="n">
        <v>7</v>
      </c>
      <c r="G692" s="0" t="s">
        <v>1038</v>
      </c>
      <c r="H692" s="0" t="s">
        <v>1038</v>
      </c>
      <c r="I692" s="0" t="s">
        <v>1032</v>
      </c>
      <c r="J692" s="0" t="s">
        <v>1038</v>
      </c>
      <c r="K692" s="0" t="n">
        <v>691</v>
      </c>
      <c r="L692" s="0" t="str">
        <f aca="false">C692</f>
        <v>Trent Sherfield Sr.</v>
      </c>
      <c r="M692" s="121" t="str">
        <f aca="false">IFERROR(VLOOKUP(E692,RISK!A:B,2,FALSE()),"")</f>
        <v/>
      </c>
      <c r="N692" s="120" t="e">
        <f aca="false">VLOOKUP(E692,Q:R,2,FALSE())</f>
        <v>#N/A</v>
      </c>
    </row>
    <row r="693" customFormat="false" ht="14.25" hidden="false" customHeight="true" outlineLevel="0" collapsed="false">
      <c r="A693" s="0" t="n">
        <v>692</v>
      </c>
      <c r="B693" s="0" t="n">
        <v>14</v>
      </c>
      <c r="C693" s="0" t="s">
        <v>1599</v>
      </c>
      <c r="D693" s="0" t="s">
        <v>500</v>
      </c>
      <c r="E693" s="0" t="s">
        <v>1600</v>
      </c>
      <c r="F693" s="0" t="n">
        <v>10</v>
      </c>
      <c r="G693" s="0" t="s">
        <v>1038</v>
      </c>
      <c r="H693" s="0" t="s">
        <v>1038</v>
      </c>
      <c r="I693" s="0" t="s">
        <v>1032</v>
      </c>
      <c r="J693" s="0" t="s">
        <v>1038</v>
      </c>
      <c r="K693" s="0" t="n">
        <v>692</v>
      </c>
      <c r="L693" s="0" t="str">
        <f aca="false">C693</f>
        <v>E.J. Jenkins</v>
      </c>
      <c r="M693" s="121" t="str">
        <f aca="false">IFERROR(VLOOKUP(E693,RISK!A:B,2,FALSE()),"")</f>
        <v/>
      </c>
      <c r="N693" s="120" t="e">
        <f aca="false">VLOOKUP(E693,Q:R,2,FALSE())</f>
        <v>#N/A</v>
      </c>
    </row>
    <row r="694" customFormat="false" ht="14.25" hidden="false" customHeight="true" outlineLevel="0" collapsed="false">
      <c r="A694" s="0" t="n">
        <v>693</v>
      </c>
      <c r="B694" s="0" t="n">
        <v>14</v>
      </c>
      <c r="C694" s="0" t="s">
        <v>1601</v>
      </c>
      <c r="D694" s="0" t="s">
        <v>1121</v>
      </c>
      <c r="E694" s="0" t="s">
        <v>1602</v>
      </c>
      <c r="F694" s="0" t="s">
        <v>1038</v>
      </c>
      <c r="G694" s="0" t="s">
        <v>1038</v>
      </c>
      <c r="H694" s="0" t="s">
        <v>1038</v>
      </c>
      <c r="I694" s="0" t="s">
        <v>1038</v>
      </c>
      <c r="J694" s="0" t="s">
        <v>1038</v>
      </c>
      <c r="K694" s="0" t="n">
        <v>693</v>
      </c>
      <c r="L694" s="0" t="str">
        <f aca="false">C694</f>
        <v>Carlos Washington Jr.</v>
      </c>
      <c r="M694" s="121" t="str">
        <f aca="false">IFERROR(VLOOKUP(E694,RISK!A:B,2,FALSE()),"")</f>
        <v/>
      </c>
      <c r="N694" s="120" t="e">
        <f aca="false">VLOOKUP(E694,Q:R,2,FALSE())</f>
        <v>#N/A</v>
      </c>
    </row>
    <row r="695" customFormat="false" ht="14.25" hidden="false" customHeight="true" outlineLevel="0" collapsed="false">
      <c r="A695" s="0" t="n">
        <v>694</v>
      </c>
      <c r="B695" s="0" t="n">
        <v>14</v>
      </c>
      <c r="C695" s="0" t="s">
        <v>1603</v>
      </c>
      <c r="D695" s="0" t="s">
        <v>554</v>
      </c>
      <c r="E695" s="0" t="s">
        <v>1604</v>
      </c>
      <c r="F695" s="0" t="n">
        <v>11</v>
      </c>
      <c r="G695" s="0" t="s">
        <v>1038</v>
      </c>
      <c r="H695" s="0" t="s">
        <v>1038</v>
      </c>
      <c r="I695" s="0" t="s">
        <v>1030</v>
      </c>
      <c r="J695" s="0" t="s">
        <v>1038</v>
      </c>
      <c r="K695" s="0" t="n">
        <v>694</v>
      </c>
      <c r="L695" s="0" t="str">
        <f aca="false">C695</f>
        <v>Andre Szmyt</v>
      </c>
      <c r="M695" s="121" t="str">
        <f aca="false">IFERROR(VLOOKUP(E695,RISK!A:B,2,FALSE()),"")</f>
        <v/>
      </c>
      <c r="N695" s="120" t="e">
        <f aca="false">VLOOKUP(E695,Q:R,2,FALSE())</f>
        <v>#N/A</v>
      </c>
    </row>
    <row r="696" customFormat="false" ht="14.25" hidden="false" customHeight="true" outlineLevel="0" collapsed="false">
      <c r="A696" s="0" t="n">
        <v>695</v>
      </c>
      <c r="B696" s="0" t="n">
        <v>14</v>
      </c>
      <c r="C696" s="0" t="s">
        <v>1605</v>
      </c>
      <c r="D696" s="0" t="s">
        <v>546</v>
      </c>
      <c r="E696" s="0" t="s">
        <v>1606</v>
      </c>
      <c r="F696" s="0" t="n">
        <v>14</v>
      </c>
      <c r="G696" s="0" t="s">
        <v>1038</v>
      </c>
      <c r="H696" s="0" t="s">
        <v>1038</v>
      </c>
      <c r="I696" s="0" t="s">
        <v>1031</v>
      </c>
      <c r="J696" s="0" t="s">
        <v>1038</v>
      </c>
      <c r="K696" s="0" t="n">
        <v>695</v>
      </c>
      <c r="L696" s="0" t="str">
        <f aca="false">C696</f>
        <v>Simi Fehoko</v>
      </c>
      <c r="M696" s="121" t="str">
        <f aca="false">IFERROR(VLOOKUP(E696,RISK!A:B,2,FALSE()),"")</f>
        <v/>
      </c>
      <c r="N696" s="120" t="e">
        <f aca="false">VLOOKUP(E696,Q:R,2,FALSE())</f>
        <v>#N/A</v>
      </c>
    </row>
    <row r="697" customFormat="false" ht="14.25" hidden="false" customHeight="true" outlineLevel="0" collapsed="false">
      <c r="A697" s="0" t="n">
        <v>696</v>
      </c>
      <c r="B697" s="0" t="n">
        <v>14</v>
      </c>
      <c r="C697" s="0" t="s">
        <v>1607</v>
      </c>
      <c r="D697" s="0" t="s">
        <v>502</v>
      </c>
      <c r="E697" s="0" t="s">
        <v>1608</v>
      </c>
      <c r="F697" s="0" t="n">
        <v>6</v>
      </c>
      <c r="G697" s="0" t="s">
        <v>1038</v>
      </c>
      <c r="H697" s="0" t="s">
        <v>1038</v>
      </c>
      <c r="I697" s="0" t="s">
        <v>1031</v>
      </c>
      <c r="J697" s="0" t="s">
        <v>1038</v>
      </c>
      <c r="K697" s="0" t="n">
        <v>696</v>
      </c>
      <c r="L697" s="0" t="str">
        <f aca="false">C697</f>
        <v>Kendall Milton</v>
      </c>
      <c r="M697" s="121" t="str">
        <f aca="false">IFERROR(VLOOKUP(E697,RISK!A:B,2,FALSE()),"")</f>
        <v/>
      </c>
      <c r="N697" s="120" t="e">
        <f aca="false">VLOOKUP(E697,Q:R,2,FALSE())</f>
        <v>#N/A</v>
      </c>
    </row>
    <row r="698" customFormat="false" ht="14.25" hidden="false" customHeight="true" outlineLevel="0" collapsed="false">
      <c r="A698" s="0" t="n">
        <v>697</v>
      </c>
      <c r="B698" s="0" t="n">
        <v>14</v>
      </c>
      <c r="C698" s="0" t="s">
        <v>572</v>
      </c>
      <c r="D698" s="0" t="s">
        <v>494</v>
      </c>
      <c r="E698" s="0" t="s">
        <v>1609</v>
      </c>
      <c r="F698" s="0" t="n">
        <v>13</v>
      </c>
      <c r="G698" s="0" t="s">
        <v>1038</v>
      </c>
      <c r="H698" s="0" t="s">
        <v>1038</v>
      </c>
      <c r="I698" s="0" t="s">
        <v>1035</v>
      </c>
      <c r="J698" s="0" t="s">
        <v>1038</v>
      </c>
      <c r="K698" s="0" t="n">
        <v>697</v>
      </c>
      <c r="L698" s="0" t="str">
        <f aca="false">C698</f>
        <v>Tyler Huntley</v>
      </c>
      <c r="M698" s="121" t="str">
        <f aca="false">IFERROR(VLOOKUP(E698,RISK!A:B,2,FALSE()),"")</f>
        <v/>
      </c>
      <c r="N698" s="120" t="e">
        <f aca="false">VLOOKUP(E698,Q:R,2,FALSE())</f>
        <v>#N/A</v>
      </c>
    </row>
    <row r="699" customFormat="false" ht="14.25" hidden="false" customHeight="true" outlineLevel="0" collapsed="false">
      <c r="A699" s="0" t="n">
        <v>698</v>
      </c>
      <c r="B699" s="0" t="n">
        <v>14</v>
      </c>
      <c r="C699" s="0" t="s">
        <v>1610</v>
      </c>
      <c r="D699" s="0" t="s">
        <v>1121</v>
      </c>
      <c r="E699" s="0" t="s">
        <v>1611</v>
      </c>
      <c r="F699" s="0" t="s">
        <v>1038</v>
      </c>
      <c r="G699" s="0" t="s">
        <v>1038</v>
      </c>
      <c r="H699" s="0" t="s">
        <v>1038</v>
      </c>
      <c r="I699" s="0" t="s">
        <v>1038</v>
      </c>
      <c r="J699" s="0" t="s">
        <v>1038</v>
      </c>
      <c r="K699" s="0" t="n">
        <v>698</v>
      </c>
      <c r="L699" s="0" t="str">
        <f aca="false">C699</f>
        <v>Miles Davis</v>
      </c>
      <c r="M699" s="121" t="str">
        <f aca="false">IFERROR(VLOOKUP(E699,RISK!A:B,2,FALSE()),"")</f>
        <v/>
      </c>
      <c r="N699" s="120" t="e">
        <f aca="false">VLOOKUP(E699,Q:R,2,FALSE())</f>
        <v>#N/A</v>
      </c>
    </row>
    <row r="700" customFormat="false" ht="14.25" hidden="false" customHeight="true" outlineLevel="0" collapsed="false">
      <c r="A700" s="0" t="n">
        <v>699</v>
      </c>
      <c r="B700" s="0" t="n">
        <v>14</v>
      </c>
      <c r="C700" s="0" t="s">
        <v>1612</v>
      </c>
      <c r="D700" s="0" t="s">
        <v>1121</v>
      </c>
      <c r="E700" s="0" t="s">
        <v>1613</v>
      </c>
      <c r="F700" s="0" t="s">
        <v>1038</v>
      </c>
      <c r="G700" s="0" t="s">
        <v>1038</v>
      </c>
      <c r="H700" s="0" t="s">
        <v>1038</v>
      </c>
      <c r="I700" s="0" t="s">
        <v>1038</v>
      </c>
      <c r="J700" s="0" t="s">
        <v>1038</v>
      </c>
      <c r="K700" s="0" t="n">
        <v>699</v>
      </c>
      <c r="L700" s="0" t="str">
        <f aca="false">C700</f>
        <v>Zay Jones</v>
      </c>
      <c r="M700" s="121" t="str">
        <f aca="false">IFERROR(VLOOKUP(E700,RISK!A:B,2,FALSE()),"")</f>
        <v/>
      </c>
      <c r="N700" s="120" t="e">
        <f aca="false">VLOOKUP(E700,Q:R,2,FALSE())</f>
        <v>#N/A</v>
      </c>
    </row>
    <row r="701" customFormat="false" ht="14.25" hidden="false" customHeight="true" outlineLevel="0" collapsed="false">
      <c r="A701" s="0" t="n">
        <v>700</v>
      </c>
      <c r="B701" s="0" t="n">
        <v>14</v>
      </c>
      <c r="C701" s="0" t="s">
        <v>1614</v>
      </c>
      <c r="D701" s="0" t="s">
        <v>536</v>
      </c>
      <c r="E701" s="0" t="s">
        <v>1615</v>
      </c>
      <c r="F701" s="0" t="n">
        <v>11</v>
      </c>
      <c r="G701" s="0" t="s">
        <v>1038</v>
      </c>
      <c r="H701" s="0" t="s">
        <v>1038</v>
      </c>
      <c r="I701" s="0" t="s">
        <v>1035</v>
      </c>
      <c r="J701" s="0" t="s">
        <v>1038</v>
      </c>
      <c r="K701" s="0" t="n">
        <v>700</v>
      </c>
      <c r="L701" s="0" t="str">
        <f aca="false">C701</f>
        <v>Ricky White III</v>
      </c>
      <c r="M701" s="121" t="str">
        <f aca="false">IFERROR(VLOOKUP(E701,RISK!A:B,2,FALSE()),"")</f>
        <v/>
      </c>
      <c r="N701" s="120" t="e">
        <f aca="false">VLOOKUP(E701,Q:R,2,FALSE())</f>
        <v>#N/A</v>
      </c>
    </row>
    <row r="702" customFormat="false" ht="14.25" hidden="false" customHeight="true" outlineLevel="0" collapsed="false">
      <c r="A702" s="0" t="n">
        <v>701</v>
      </c>
      <c r="B702" s="0" t="n">
        <v>14</v>
      </c>
      <c r="C702" s="0" t="s">
        <v>887</v>
      </c>
      <c r="D702" s="0" t="s">
        <v>504</v>
      </c>
      <c r="E702" s="0" t="s">
        <v>1616</v>
      </c>
      <c r="F702" s="0" t="n">
        <v>8</v>
      </c>
      <c r="G702" s="0" t="s">
        <v>1038</v>
      </c>
      <c r="H702" s="0" t="s">
        <v>1038</v>
      </c>
      <c r="I702" s="0" t="s">
        <v>1032</v>
      </c>
      <c r="J702" s="0" t="s">
        <v>1038</v>
      </c>
      <c r="K702" s="0" t="n">
        <v>701</v>
      </c>
      <c r="L702" s="0" t="str">
        <f aca="false">C702</f>
        <v>Gunner Olszewski</v>
      </c>
      <c r="M702" s="121" t="str">
        <f aca="false">IFERROR(VLOOKUP(E702,RISK!A:B,2,FALSE()),"")</f>
        <v/>
      </c>
      <c r="N702" s="120" t="e">
        <f aca="false">VLOOKUP(E702,Q:R,2,FALSE())</f>
        <v>#N/A</v>
      </c>
    </row>
    <row r="703" customFormat="false" ht="14.25" hidden="false" customHeight="true" outlineLevel="0" collapsed="false">
      <c r="A703" s="0" t="n">
        <v>702</v>
      </c>
      <c r="B703" s="0" t="n">
        <v>14</v>
      </c>
      <c r="C703" s="0" t="s">
        <v>1617</v>
      </c>
      <c r="D703" s="0" t="s">
        <v>1121</v>
      </c>
      <c r="E703" s="0" t="s">
        <v>1618</v>
      </c>
      <c r="F703" s="0" t="s">
        <v>1038</v>
      </c>
      <c r="G703" s="0" t="s">
        <v>1038</v>
      </c>
      <c r="H703" s="0" t="s">
        <v>1038</v>
      </c>
      <c r="I703" s="0" t="s">
        <v>1038</v>
      </c>
      <c r="J703" s="0" t="s">
        <v>1038</v>
      </c>
      <c r="K703" s="0" t="n">
        <v>702</v>
      </c>
      <c r="L703" s="0" t="str">
        <f aca="false">C703</f>
        <v>Xavier Weaver</v>
      </c>
      <c r="M703" s="121" t="str">
        <f aca="false">IFERROR(VLOOKUP(E703,RISK!A:B,2,FALSE()),"")</f>
        <v/>
      </c>
      <c r="N703" s="120" t="e">
        <f aca="false">VLOOKUP(E703,Q:R,2,FALSE())</f>
        <v>#N/A</v>
      </c>
    </row>
    <row r="704" customFormat="false" ht="14.25" hidden="false" customHeight="true" outlineLevel="0" collapsed="false">
      <c r="A704" s="0" t="n">
        <v>703</v>
      </c>
      <c r="B704" s="0" t="n">
        <v>14</v>
      </c>
      <c r="C704" s="0" t="s">
        <v>579</v>
      </c>
      <c r="D704" s="0" t="s">
        <v>528</v>
      </c>
      <c r="E704" s="0" t="s">
        <v>1619</v>
      </c>
      <c r="F704" s="0" t="n">
        <v>10</v>
      </c>
      <c r="G704" s="0" t="s">
        <v>1038</v>
      </c>
      <c r="H704" s="0" t="s">
        <v>1038</v>
      </c>
      <c r="I704" s="0" t="s">
        <v>1031</v>
      </c>
      <c r="J704" s="0" t="s">
        <v>1038</v>
      </c>
      <c r="K704" s="0" t="n">
        <v>703</v>
      </c>
      <c r="L704" s="0" t="str">
        <f aca="false">C704</f>
        <v>Jalon Daniels</v>
      </c>
      <c r="M704" s="121" t="str">
        <f aca="false">IFERROR(VLOOKUP(E704,RISK!A:B,2,FALSE()),"")</f>
        <v/>
      </c>
      <c r="N704" s="120" t="e">
        <f aca="false">VLOOKUP(E704,Q:R,2,FALSE())</f>
        <v>#N/A</v>
      </c>
    </row>
    <row r="705" customFormat="false" ht="14.25" hidden="false" customHeight="true" outlineLevel="0" collapsed="false">
      <c r="A705" s="0" t="n">
        <v>704</v>
      </c>
      <c r="B705" s="0" t="n">
        <v>14</v>
      </c>
      <c r="C705" s="0" t="s">
        <v>1620</v>
      </c>
      <c r="D705" s="0" t="s">
        <v>548</v>
      </c>
      <c r="E705" s="0" t="s">
        <v>1621</v>
      </c>
      <c r="F705" s="0" t="n">
        <v>9</v>
      </c>
      <c r="G705" s="0" t="s">
        <v>1038</v>
      </c>
      <c r="H705" s="0" t="s">
        <v>1038</v>
      </c>
      <c r="I705" s="0" t="s">
        <v>1035</v>
      </c>
      <c r="J705" s="0" t="s">
        <v>1038</v>
      </c>
      <c r="K705" s="0" t="n">
        <v>704</v>
      </c>
      <c r="L705" s="0" t="str">
        <f aca="false">C705</f>
        <v>Brandon Johnson</v>
      </c>
      <c r="M705" s="121" t="str">
        <f aca="false">IFERROR(VLOOKUP(E705,RISK!A:B,2,FALSE()),"")</f>
        <v/>
      </c>
      <c r="N705" s="120" t="e">
        <f aca="false">VLOOKUP(E705,Q:R,2,FALSE())</f>
        <v>#N/A</v>
      </c>
    </row>
    <row r="706" customFormat="false" ht="14.25" hidden="false" customHeight="true" outlineLevel="0" collapsed="false">
      <c r="A706" s="0" t="n">
        <v>705</v>
      </c>
      <c r="B706" s="0" t="n">
        <v>14</v>
      </c>
      <c r="C706" s="0" t="s">
        <v>1622</v>
      </c>
      <c r="D706" s="0" t="s">
        <v>1121</v>
      </c>
      <c r="E706" s="0" t="s">
        <v>1623</v>
      </c>
      <c r="F706" s="0" t="s">
        <v>1038</v>
      </c>
      <c r="G706" s="0" t="s">
        <v>1038</v>
      </c>
      <c r="H706" s="0" t="s">
        <v>1038</v>
      </c>
      <c r="I706" s="0" t="s">
        <v>1038</v>
      </c>
      <c r="J706" s="0" t="s">
        <v>1038</v>
      </c>
      <c r="K706" s="0" t="n">
        <v>705</v>
      </c>
      <c r="L706" s="0" t="str">
        <f aca="false">C706</f>
        <v>Josiah Deguara</v>
      </c>
      <c r="M706" s="121" t="str">
        <f aca="false">IFERROR(VLOOKUP(E706,RISK!A:B,2,FALSE()),"")</f>
        <v/>
      </c>
      <c r="N706" s="120" t="e">
        <f aca="false">VLOOKUP(E706,Q:R,2,FALSE())</f>
        <v>#N/A</v>
      </c>
    </row>
    <row r="707" customFormat="false" ht="14.25" hidden="false" customHeight="true" outlineLevel="0" collapsed="false">
      <c r="A707" s="0" t="n">
        <v>706</v>
      </c>
      <c r="B707" s="0" t="n">
        <v>14</v>
      </c>
      <c r="C707" s="0" t="s">
        <v>1624</v>
      </c>
      <c r="D707" s="0" t="s">
        <v>532</v>
      </c>
      <c r="E707" s="0" t="s">
        <v>1625</v>
      </c>
      <c r="F707" s="0" t="n">
        <v>13</v>
      </c>
      <c r="G707" s="0" t="s">
        <v>1038</v>
      </c>
      <c r="H707" s="0" t="s">
        <v>1038</v>
      </c>
      <c r="I707" s="0" t="s">
        <v>1035</v>
      </c>
      <c r="J707" s="0" t="s">
        <v>1038</v>
      </c>
      <c r="K707" s="0" t="n">
        <v>706</v>
      </c>
      <c r="L707" s="0" t="str">
        <f aca="false">C707</f>
        <v>Pharaoh Brown</v>
      </c>
      <c r="M707" s="121" t="str">
        <f aca="false">IFERROR(VLOOKUP(E707,RISK!A:B,2,FALSE()),"")</f>
        <v/>
      </c>
      <c r="N707" s="120" t="e">
        <f aca="false">VLOOKUP(E707,Q:R,2,FALSE())</f>
        <v>#N/A</v>
      </c>
    </row>
    <row r="708" customFormat="false" ht="14.25" hidden="false" customHeight="true" outlineLevel="0" collapsed="false">
      <c r="A708" s="0" t="n">
        <v>707</v>
      </c>
      <c r="B708" s="0" t="n">
        <v>14</v>
      </c>
      <c r="C708" s="0" t="s">
        <v>1626</v>
      </c>
      <c r="D708" s="0" t="s">
        <v>1121</v>
      </c>
      <c r="E708" s="0" t="s">
        <v>1627</v>
      </c>
      <c r="F708" s="0" t="s">
        <v>1038</v>
      </c>
      <c r="G708" s="0" t="s">
        <v>1038</v>
      </c>
      <c r="H708" s="0" t="s">
        <v>1038</v>
      </c>
      <c r="I708" s="0" t="s">
        <v>1038</v>
      </c>
      <c r="J708" s="0" t="s">
        <v>1038</v>
      </c>
      <c r="K708" s="0" t="n">
        <v>707</v>
      </c>
      <c r="L708" s="0" t="str">
        <f aca="false">C708</f>
        <v>Tyler Johnson</v>
      </c>
      <c r="M708" s="121" t="str">
        <f aca="false">IFERROR(VLOOKUP(E708,RISK!A:B,2,FALSE()),"")</f>
        <v/>
      </c>
      <c r="N708" s="120" t="e">
        <f aca="false">VLOOKUP(E708,Q:R,2,FALSE())</f>
        <v>#N/A</v>
      </c>
    </row>
    <row r="709" customFormat="false" ht="14.25" hidden="false" customHeight="true" outlineLevel="0" collapsed="false">
      <c r="A709" s="0" t="n">
        <v>708</v>
      </c>
      <c r="B709" s="0" t="n">
        <v>14</v>
      </c>
      <c r="C709" s="0" t="s">
        <v>1628</v>
      </c>
      <c r="D709" s="0" t="s">
        <v>552</v>
      </c>
      <c r="E709" s="0" t="s">
        <v>1629</v>
      </c>
      <c r="F709" s="0" t="n">
        <v>11</v>
      </c>
      <c r="G709" s="0" t="s">
        <v>1038</v>
      </c>
      <c r="H709" s="0" t="s">
        <v>1038</v>
      </c>
      <c r="I709" s="0" t="s">
        <v>1035</v>
      </c>
      <c r="J709" s="0" t="s">
        <v>1038</v>
      </c>
      <c r="K709" s="0" t="n">
        <v>708</v>
      </c>
      <c r="L709" s="0" t="str">
        <f aca="false">C709</f>
        <v>Beaux Collins</v>
      </c>
      <c r="M709" s="121" t="str">
        <f aca="false">IFERROR(VLOOKUP(E709,RISK!A:B,2,FALSE()),"")</f>
        <v/>
      </c>
      <c r="N709" s="120" t="e">
        <f aca="false">VLOOKUP(E709,Q:R,2,FALSE())</f>
        <v>#N/A</v>
      </c>
    </row>
    <row r="710" customFormat="false" ht="14.25" hidden="false" customHeight="true" outlineLevel="0" collapsed="false">
      <c r="A710" s="0" t="n">
        <v>709</v>
      </c>
      <c r="B710" s="0" t="n">
        <v>14</v>
      </c>
      <c r="C710" s="0" t="s">
        <v>1630</v>
      </c>
      <c r="D710" s="0" t="s">
        <v>550</v>
      </c>
      <c r="E710" s="0" t="s">
        <v>1631</v>
      </c>
      <c r="F710" s="0" t="n">
        <v>13</v>
      </c>
      <c r="G710" s="0" t="s">
        <v>1038</v>
      </c>
      <c r="H710" s="0" t="s">
        <v>1038</v>
      </c>
      <c r="I710" s="0" t="s">
        <v>1031</v>
      </c>
      <c r="J710" s="0" t="s">
        <v>1038</v>
      </c>
      <c r="K710" s="0" t="n">
        <v>709</v>
      </c>
      <c r="L710" s="0" t="str">
        <f aca="false">C710</f>
        <v>Deven Thompkins</v>
      </c>
      <c r="M710" s="121" t="str">
        <f aca="false">IFERROR(VLOOKUP(E710,RISK!A:B,2,FALSE()),"")</f>
        <v/>
      </c>
      <c r="N710" s="120" t="e">
        <f aca="false">VLOOKUP(E710,Q:R,2,FALSE())</f>
        <v>#N/A</v>
      </c>
    </row>
    <row r="711" customFormat="false" ht="14.25" hidden="false" customHeight="true" outlineLevel="0" collapsed="false">
      <c r="A711" s="0" t="n">
        <v>710</v>
      </c>
      <c r="B711" s="0" t="n">
        <v>14</v>
      </c>
      <c r="C711" s="0" t="s">
        <v>1632</v>
      </c>
      <c r="D711" s="0" t="s">
        <v>1121</v>
      </c>
      <c r="E711" s="0" t="s">
        <v>1633</v>
      </c>
      <c r="F711" s="0" t="s">
        <v>1038</v>
      </c>
      <c r="G711" s="0" t="s">
        <v>1038</v>
      </c>
      <c r="H711" s="0" t="s">
        <v>1038</v>
      </c>
      <c r="I711" s="0" t="s">
        <v>1038</v>
      </c>
      <c r="J711" s="0" t="s">
        <v>1038</v>
      </c>
      <c r="K711" s="0" t="n">
        <v>710</v>
      </c>
      <c r="L711" s="0" t="str">
        <f aca="false">C711</f>
        <v>Jason Sanders</v>
      </c>
      <c r="M711" s="121" t="str">
        <f aca="false">IFERROR(VLOOKUP(E711,RISK!A:B,2,FALSE()),"")</f>
        <v/>
      </c>
      <c r="N711" s="120" t="e">
        <f aca="false">VLOOKUP(E711,Q:R,2,FALSE())</f>
        <v>#N/A</v>
      </c>
    </row>
    <row r="712" customFormat="false" ht="14.25" hidden="false" customHeight="true" outlineLevel="0" collapsed="false">
      <c r="A712" s="0" t="n">
        <v>711</v>
      </c>
      <c r="B712" s="0" t="n">
        <v>14</v>
      </c>
      <c r="C712" s="0" t="s">
        <v>578</v>
      </c>
      <c r="D712" s="0" t="s">
        <v>540</v>
      </c>
      <c r="E712" s="0" t="s">
        <v>1634</v>
      </c>
      <c r="F712" s="0" t="n">
        <v>5</v>
      </c>
      <c r="G712" s="0" t="s">
        <v>1038</v>
      </c>
      <c r="H712" s="0" t="s">
        <v>1038</v>
      </c>
      <c r="I712" s="0" t="s">
        <v>1031</v>
      </c>
      <c r="J712" s="0" t="s">
        <v>1038</v>
      </c>
      <c r="K712" s="0" t="n">
        <v>711</v>
      </c>
      <c r="L712" s="0" t="str">
        <f aca="false">C712</f>
        <v>Kenny Pickett</v>
      </c>
      <c r="M712" s="121" t="str">
        <f aca="false">IFERROR(VLOOKUP(E712,RISK!A:B,2,FALSE()),"")</f>
        <v/>
      </c>
      <c r="N712" s="120" t="e">
        <f aca="false">VLOOKUP(E712,Q:R,2,FALSE())</f>
        <v>#N/A</v>
      </c>
    </row>
    <row r="713" customFormat="false" ht="14.25" hidden="false" customHeight="true" outlineLevel="0" collapsed="false">
      <c r="A713" s="0" t="n">
        <v>712</v>
      </c>
      <c r="B713" s="0" t="n">
        <v>14</v>
      </c>
      <c r="C713" s="0" t="s">
        <v>1635</v>
      </c>
      <c r="D713" s="0" t="s">
        <v>1121</v>
      </c>
      <c r="E713" s="0" t="s">
        <v>1636</v>
      </c>
      <c r="F713" s="0" t="s">
        <v>1038</v>
      </c>
      <c r="G713" s="0" t="s">
        <v>1038</v>
      </c>
      <c r="H713" s="0" t="s">
        <v>1038</v>
      </c>
      <c r="I713" s="0" t="s">
        <v>1038</v>
      </c>
      <c r="J713" s="0" t="s">
        <v>1038</v>
      </c>
      <c r="K713" s="0" t="n">
        <v>712</v>
      </c>
      <c r="L713" s="0" t="str">
        <f aca="false">C713</f>
        <v>Sterling Shepard</v>
      </c>
      <c r="M713" s="121" t="str">
        <f aca="false">IFERROR(VLOOKUP(E713,RISK!A:B,2,FALSE()),"")</f>
        <v/>
      </c>
      <c r="N713" s="120" t="e">
        <f aca="false">VLOOKUP(E713,Q:R,2,FALSE())</f>
        <v>#N/A</v>
      </c>
    </row>
    <row r="714" customFormat="false" ht="14.25" hidden="false" customHeight="true" outlineLevel="0" collapsed="false">
      <c r="A714" s="0" t="n">
        <v>713</v>
      </c>
      <c r="B714" s="0" t="n">
        <v>14</v>
      </c>
      <c r="C714" s="0" t="s">
        <v>1008</v>
      </c>
      <c r="D714" s="0" t="s">
        <v>518</v>
      </c>
      <c r="E714" s="0" t="s">
        <v>1637</v>
      </c>
      <c r="F714" s="0" t="n">
        <v>10</v>
      </c>
      <c r="G714" s="0" t="s">
        <v>1038</v>
      </c>
      <c r="H714" s="0" t="s">
        <v>1038</v>
      </c>
      <c r="I714" s="0" t="s">
        <v>1032</v>
      </c>
      <c r="J714" s="0" t="s">
        <v>1038</v>
      </c>
      <c r="K714" s="0" t="n">
        <v>713</v>
      </c>
      <c r="L714" s="0" t="str">
        <f aca="false">C714</f>
        <v>Lucas Krull</v>
      </c>
      <c r="M714" s="121" t="str">
        <f aca="false">IFERROR(VLOOKUP(E714,RISK!A:B,2,FALSE()),"")</f>
        <v/>
      </c>
      <c r="N714" s="120" t="e">
        <f aca="false">VLOOKUP(E714,Q:R,2,FALSE())</f>
        <v>#N/A</v>
      </c>
    </row>
    <row r="715" customFormat="false" ht="14.25" hidden="false" customHeight="true" outlineLevel="0" collapsed="false">
      <c r="A715" s="0" t="n">
        <v>714</v>
      </c>
      <c r="B715" s="0" t="n">
        <v>14</v>
      </c>
      <c r="C715" s="0" t="s">
        <v>1638</v>
      </c>
      <c r="D715" s="0" t="s">
        <v>518</v>
      </c>
      <c r="E715" s="0" t="s">
        <v>1639</v>
      </c>
      <c r="F715" s="0" t="n">
        <v>10</v>
      </c>
      <c r="G715" s="0" t="s">
        <v>1038</v>
      </c>
      <c r="H715" s="0" t="s">
        <v>1038</v>
      </c>
      <c r="I715" s="0" t="s">
        <v>1032</v>
      </c>
      <c r="J715" s="0" t="s">
        <v>1038</v>
      </c>
      <c r="K715" s="0" t="n">
        <v>714</v>
      </c>
      <c r="L715" s="0" t="str">
        <f aca="false">C715</f>
        <v>Caleb Lohner</v>
      </c>
      <c r="M715" s="121" t="str">
        <f aca="false">IFERROR(VLOOKUP(E715,RISK!A:B,2,FALSE()),"")</f>
        <v/>
      </c>
      <c r="N715" s="120" t="e">
        <f aca="false">VLOOKUP(E715,Q:R,2,FALSE())</f>
        <v>#N/A</v>
      </c>
    </row>
    <row r="716" customFormat="false" ht="14.25" hidden="false" customHeight="true" outlineLevel="0" collapsed="false">
      <c r="A716" s="0" t="n">
        <v>715</v>
      </c>
      <c r="B716" s="0" t="n">
        <v>14</v>
      </c>
      <c r="C716" s="0" t="s">
        <v>1640</v>
      </c>
      <c r="D716" s="0" t="s">
        <v>544</v>
      </c>
      <c r="E716" s="0" t="s">
        <v>1641</v>
      </c>
      <c r="F716" s="0" t="n">
        <v>9</v>
      </c>
      <c r="G716" s="0" t="s">
        <v>1038</v>
      </c>
      <c r="H716" s="0" t="s">
        <v>1038</v>
      </c>
      <c r="I716" s="0" t="s">
        <v>1035</v>
      </c>
      <c r="J716" s="0" t="s">
        <v>1038</v>
      </c>
      <c r="K716" s="0" t="n">
        <v>715</v>
      </c>
      <c r="L716" s="0" t="str">
        <f aca="false">C716</f>
        <v>Jaren Kanak</v>
      </c>
      <c r="M716" s="121" t="str">
        <f aca="false">IFERROR(VLOOKUP(E716,RISK!A:B,2,FALSE()),"")</f>
        <v/>
      </c>
      <c r="N716" s="120" t="e">
        <f aca="false">VLOOKUP(E716,Q:R,2,FALSE())</f>
        <v>#N/A</v>
      </c>
    </row>
    <row r="717" customFormat="false" ht="14.25" hidden="false" customHeight="true" outlineLevel="0" collapsed="false">
      <c r="A717" s="0" t="n">
        <v>716</v>
      </c>
      <c r="B717" s="0" t="n">
        <v>14</v>
      </c>
      <c r="C717" s="0" t="s">
        <v>1642</v>
      </c>
      <c r="D717" s="0" t="s">
        <v>1121</v>
      </c>
      <c r="E717" s="0" t="s">
        <v>1643</v>
      </c>
      <c r="F717" s="0" t="s">
        <v>1038</v>
      </c>
      <c r="G717" s="0" t="s">
        <v>1038</v>
      </c>
      <c r="H717" s="0" t="s">
        <v>1038</v>
      </c>
      <c r="I717" s="0" t="s">
        <v>1038</v>
      </c>
      <c r="J717" s="0" t="s">
        <v>1038</v>
      </c>
      <c r="K717" s="0" t="n">
        <v>716</v>
      </c>
      <c r="L717" s="0" t="str">
        <f aca="false">C717</f>
        <v>Avery Williams</v>
      </c>
      <c r="M717" s="121" t="str">
        <f aca="false">IFERROR(VLOOKUP(E717,RISK!A:B,2,FALSE()),"")</f>
        <v/>
      </c>
      <c r="N717" s="120" t="e">
        <f aca="false">VLOOKUP(E717,Q:R,2,FALSE())</f>
        <v>#N/A</v>
      </c>
    </row>
    <row r="718" customFormat="false" ht="14.25" hidden="false" customHeight="true" outlineLevel="0" collapsed="false">
      <c r="A718" s="0" t="n">
        <v>717</v>
      </c>
      <c r="B718" s="0" t="n">
        <v>14</v>
      </c>
      <c r="C718" s="0" t="s">
        <v>582</v>
      </c>
      <c r="D718" s="0" t="s">
        <v>536</v>
      </c>
      <c r="E718" s="0" t="s">
        <v>1644</v>
      </c>
      <c r="F718" s="0" t="n">
        <v>11</v>
      </c>
      <c r="G718" s="0" t="s">
        <v>1038</v>
      </c>
      <c r="H718" s="0" t="s">
        <v>1038</v>
      </c>
      <c r="I718" s="0" t="s">
        <v>1032</v>
      </c>
      <c r="J718" s="0" t="s">
        <v>1038</v>
      </c>
      <c r="K718" s="0" t="n">
        <v>717</v>
      </c>
      <c r="L718" s="0" t="str">
        <f aca="false">C718</f>
        <v>Drew Lock</v>
      </c>
      <c r="M718" s="121" t="str">
        <f aca="false">IFERROR(VLOOKUP(E718,RISK!A:B,2,FALSE()),"")</f>
        <v/>
      </c>
      <c r="N718" s="120" t="e">
        <f aca="false">VLOOKUP(E718,Q:R,2,FALSE())</f>
        <v>#N/A</v>
      </c>
    </row>
    <row r="719" customFormat="false" ht="14.25" hidden="false" customHeight="true" outlineLevel="0" collapsed="false">
      <c r="A719" s="0" t="n">
        <v>718</v>
      </c>
      <c r="B719" s="0" t="n">
        <v>14</v>
      </c>
      <c r="C719" s="0" t="s">
        <v>588</v>
      </c>
      <c r="D719" s="0" t="s">
        <v>490</v>
      </c>
      <c r="E719" s="0" t="s">
        <v>1645</v>
      </c>
      <c r="F719" s="0" t="n">
        <v>7</v>
      </c>
      <c r="G719" s="0" t="s">
        <v>1038</v>
      </c>
      <c r="H719" s="0" t="s">
        <v>1038</v>
      </c>
      <c r="I719" s="0" t="s">
        <v>1035</v>
      </c>
      <c r="J719" s="0" t="s">
        <v>1038</v>
      </c>
      <c r="K719" s="0" t="n">
        <v>718</v>
      </c>
      <c r="L719" s="0" t="str">
        <f aca="false">C719</f>
        <v>Kyle Allen</v>
      </c>
      <c r="M719" s="121" t="str">
        <f aca="false">IFERROR(VLOOKUP(E719,RISK!A:B,2,FALSE()),"")</f>
        <v/>
      </c>
      <c r="N719" s="120" t="e">
        <f aca="false">VLOOKUP(E719,Q:R,2,FALSE())</f>
        <v>#N/A</v>
      </c>
    </row>
    <row r="720" customFormat="false" ht="14.25" hidden="false" customHeight="true" outlineLevel="0" collapsed="false">
      <c r="A720" s="0" t="n">
        <v>719</v>
      </c>
      <c r="B720" s="0" t="n">
        <v>14</v>
      </c>
      <c r="C720" s="0" t="s">
        <v>1646</v>
      </c>
      <c r="D720" s="0" t="s">
        <v>1121</v>
      </c>
      <c r="E720" s="0" t="s">
        <v>1647</v>
      </c>
      <c r="F720" s="0" t="s">
        <v>1038</v>
      </c>
      <c r="G720" s="0" t="s">
        <v>1038</v>
      </c>
      <c r="H720" s="0" t="s">
        <v>1038</v>
      </c>
      <c r="I720" s="0" t="s">
        <v>1038</v>
      </c>
      <c r="J720" s="0" t="s">
        <v>1038</v>
      </c>
      <c r="K720" s="0" t="n">
        <v>719</v>
      </c>
      <c r="L720" s="0" t="str">
        <f aca="false">C720</f>
        <v>Ja'Quinden Jackson</v>
      </c>
      <c r="M720" s="121" t="str">
        <f aca="false">IFERROR(VLOOKUP(E720,RISK!A:B,2,FALSE()),"")</f>
        <v/>
      </c>
      <c r="N720" s="120" t="e">
        <f aca="false">VLOOKUP(E720,Q:R,2,FALSE())</f>
        <v>#N/A</v>
      </c>
    </row>
    <row r="721" customFormat="false" ht="14.25" hidden="false" customHeight="true" outlineLevel="0" collapsed="false">
      <c r="A721" s="0" t="n">
        <v>720</v>
      </c>
      <c r="B721" s="0" t="n">
        <v>14</v>
      </c>
      <c r="C721" s="0" t="s">
        <v>1648</v>
      </c>
      <c r="D721" s="0" t="s">
        <v>506</v>
      </c>
      <c r="E721" s="0" t="s">
        <v>1649</v>
      </c>
      <c r="F721" s="0" t="n">
        <v>7</v>
      </c>
      <c r="G721" s="0" t="s">
        <v>1038</v>
      </c>
      <c r="H721" s="0" t="s">
        <v>1038</v>
      </c>
      <c r="I721" s="0" t="s">
        <v>1032</v>
      </c>
      <c r="J721" s="0" t="s">
        <v>1038</v>
      </c>
      <c r="K721" s="0" t="n">
        <v>720</v>
      </c>
      <c r="L721" s="0" t="str">
        <f aca="false">C721</f>
        <v>Tim Jones</v>
      </c>
      <c r="M721" s="121" t="str">
        <f aca="false">IFERROR(VLOOKUP(E721,RISK!A:B,2,FALSE()),"")</f>
        <v/>
      </c>
      <c r="N721" s="120" t="e">
        <f aca="false">VLOOKUP(E721,Q:R,2,FALSE())</f>
        <v>#N/A</v>
      </c>
    </row>
    <row r="722" customFormat="false" ht="14.25" hidden="false" customHeight="true" outlineLevel="0" collapsed="false">
      <c r="A722" s="0" t="n">
        <v>721</v>
      </c>
      <c r="B722" s="0" t="n">
        <v>14</v>
      </c>
      <c r="C722" s="0" t="s">
        <v>1650</v>
      </c>
      <c r="D722" s="0" t="s">
        <v>1121</v>
      </c>
      <c r="E722" s="0" t="s">
        <v>1651</v>
      </c>
      <c r="F722" s="0" t="s">
        <v>1038</v>
      </c>
      <c r="G722" s="0" t="s">
        <v>1038</v>
      </c>
      <c r="H722" s="0" t="s">
        <v>1038</v>
      </c>
      <c r="I722" s="0" t="s">
        <v>1038</v>
      </c>
      <c r="J722" s="0" t="s">
        <v>1038</v>
      </c>
      <c r="K722" s="0" t="n">
        <v>721</v>
      </c>
      <c r="L722" s="0" t="str">
        <f aca="false">C722</f>
        <v>Kenny McIntosh</v>
      </c>
      <c r="M722" s="121" t="str">
        <f aca="false">IFERROR(VLOOKUP(E722,RISK!A:B,2,FALSE()),"")</f>
        <v/>
      </c>
      <c r="N722" s="120" t="e">
        <f aca="false">VLOOKUP(E722,Q:R,2,FALSE())</f>
        <v>#N/A</v>
      </c>
    </row>
    <row r="723" customFormat="false" ht="14.25" hidden="false" customHeight="true" outlineLevel="0" collapsed="false">
      <c r="A723" s="0" t="n">
        <v>722</v>
      </c>
      <c r="B723" s="0" t="n">
        <v>14</v>
      </c>
      <c r="C723" s="0" t="s">
        <v>1652</v>
      </c>
      <c r="D723" s="0" t="s">
        <v>1121</v>
      </c>
      <c r="E723" s="0" t="s">
        <v>1653</v>
      </c>
      <c r="F723" s="0" t="s">
        <v>1038</v>
      </c>
      <c r="G723" s="0" t="s">
        <v>1038</v>
      </c>
      <c r="H723" s="0" t="s">
        <v>1038</v>
      </c>
      <c r="I723" s="0" t="s">
        <v>1038</v>
      </c>
      <c r="J723" s="0" t="s">
        <v>1038</v>
      </c>
      <c r="K723" s="0" t="n">
        <v>722</v>
      </c>
      <c r="L723" s="0" t="str">
        <f aca="false">C723</f>
        <v>Trayveon Williams</v>
      </c>
      <c r="M723" s="121" t="str">
        <f aca="false">IFERROR(VLOOKUP(E723,RISK!A:B,2,FALSE()),"")</f>
        <v/>
      </c>
      <c r="N723" s="120" t="e">
        <f aca="false">VLOOKUP(E723,Q:R,2,FALSE())</f>
        <v>#N/A</v>
      </c>
    </row>
    <row r="724" customFormat="false" ht="14.25" hidden="false" customHeight="true" outlineLevel="0" collapsed="false">
      <c r="A724" s="0" t="n">
        <v>723</v>
      </c>
      <c r="B724" s="0" t="n">
        <v>14</v>
      </c>
      <c r="C724" s="0" t="s">
        <v>1654</v>
      </c>
      <c r="D724" s="0" t="s">
        <v>536</v>
      </c>
      <c r="E724" s="0" t="s">
        <v>1655</v>
      </c>
      <c r="F724" s="0" t="n">
        <v>11</v>
      </c>
      <c r="G724" s="0" t="s">
        <v>1038</v>
      </c>
      <c r="H724" s="0" t="s">
        <v>1038</v>
      </c>
      <c r="I724" s="0" t="s">
        <v>1032</v>
      </c>
      <c r="J724" s="0" t="s">
        <v>1038</v>
      </c>
      <c r="K724" s="0" t="n">
        <v>723</v>
      </c>
      <c r="L724" s="0" t="str">
        <f aca="false">C724</f>
        <v>Jacardia Wright</v>
      </c>
      <c r="M724" s="121" t="str">
        <f aca="false">IFERROR(VLOOKUP(E724,RISK!A:B,2,FALSE()),"")</f>
        <v/>
      </c>
      <c r="N724" s="120" t="e">
        <f aca="false">VLOOKUP(E724,Q:R,2,FALSE())</f>
        <v>#N/A</v>
      </c>
    </row>
    <row r="725" customFormat="false" ht="14.25" hidden="false" customHeight="true" outlineLevel="0" collapsed="false">
      <c r="A725" s="0" t="n">
        <v>724</v>
      </c>
      <c r="B725" s="0" t="n">
        <v>14</v>
      </c>
      <c r="C725" s="0" t="s">
        <v>1656</v>
      </c>
      <c r="D725" s="0" t="s">
        <v>1121</v>
      </c>
      <c r="E725" s="0" t="s">
        <v>1657</v>
      </c>
      <c r="F725" s="0" t="s">
        <v>1038</v>
      </c>
      <c r="G725" s="0" t="s">
        <v>1038</v>
      </c>
      <c r="H725" s="0" t="s">
        <v>1038</v>
      </c>
      <c r="I725" s="0" t="s">
        <v>1038</v>
      </c>
      <c r="J725" s="0" t="s">
        <v>1038</v>
      </c>
      <c r="K725" s="0" t="n">
        <v>724</v>
      </c>
      <c r="L725" s="0" t="str">
        <f aca="false">C725</f>
        <v>Jaret Patterson</v>
      </c>
      <c r="M725" s="121" t="str">
        <f aca="false">IFERROR(VLOOKUP(E725,RISK!A:B,2,FALSE()),"")</f>
        <v/>
      </c>
      <c r="N725" s="120" t="e">
        <f aca="false">VLOOKUP(E725,Q:R,2,FALSE())</f>
        <v>#N/A</v>
      </c>
    </row>
    <row r="726" customFormat="false" ht="14.25" hidden="false" customHeight="true" outlineLevel="0" collapsed="false">
      <c r="A726" s="0" t="n">
        <v>725</v>
      </c>
      <c r="B726" s="0" t="n">
        <v>14</v>
      </c>
      <c r="C726" s="0" t="s">
        <v>1658</v>
      </c>
      <c r="D726" s="0" t="s">
        <v>1121</v>
      </c>
      <c r="E726" s="0" t="s">
        <v>1659</v>
      </c>
      <c r="F726" s="0" t="s">
        <v>1038</v>
      </c>
      <c r="G726" s="0" t="s">
        <v>1038</v>
      </c>
      <c r="H726" s="0" t="s">
        <v>1038</v>
      </c>
      <c r="I726" s="0" t="s">
        <v>1038</v>
      </c>
      <c r="J726" s="0" t="s">
        <v>1038</v>
      </c>
      <c r="K726" s="0" t="n">
        <v>725</v>
      </c>
      <c r="L726" s="0" t="str">
        <f aca="false">C726</f>
        <v>Jashaun Corbin</v>
      </c>
      <c r="M726" s="121" t="str">
        <f aca="false">IFERROR(VLOOKUP(E726,RISK!A:B,2,FALSE()),"")</f>
        <v/>
      </c>
      <c r="N726" s="120" t="e">
        <f aca="false">VLOOKUP(E726,Q:R,2,FALSE())</f>
        <v>#N/A</v>
      </c>
    </row>
    <row r="727" customFormat="false" ht="14.25" hidden="false" customHeight="true" outlineLevel="0" collapsed="false">
      <c r="A727" s="0" t="n">
        <v>726</v>
      </c>
      <c r="B727" s="0" t="n">
        <v>14</v>
      </c>
      <c r="C727" s="0" t="s">
        <v>1660</v>
      </c>
      <c r="D727" s="0" t="s">
        <v>540</v>
      </c>
      <c r="E727" s="0" t="s">
        <v>1661</v>
      </c>
      <c r="F727" s="0" t="n">
        <v>5</v>
      </c>
      <c r="G727" s="0" t="s">
        <v>1038</v>
      </c>
      <c r="H727" s="0" t="s">
        <v>1038</v>
      </c>
      <c r="I727" s="0" t="s">
        <v>1031</v>
      </c>
      <c r="J727" s="0" t="s">
        <v>1038</v>
      </c>
      <c r="K727" s="0" t="n">
        <v>726</v>
      </c>
      <c r="L727" s="0" t="str">
        <f aca="false">C727</f>
        <v>Haynes King</v>
      </c>
      <c r="M727" s="121" t="str">
        <f aca="false">IFERROR(VLOOKUP(E727,RISK!A:B,2,FALSE()),"")</f>
        <v/>
      </c>
      <c r="N727" s="120" t="e">
        <f aca="false">VLOOKUP(E727,Q:R,2,FALSE())</f>
        <v>#N/A</v>
      </c>
    </row>
    <row r="728" customFormat="false" ht="14.25" hidden="false" customHeight="true" outlineLevel="0" collapsed="false">
      <c r="A728" s="0" t="n">
        <v>727</v>
      </c>
      <c r="B728" s="0" t="n">
        <v>14</v>
      </c>
      <c r="C728" s="0" t="s">
        <v>1662</v>
      </c>
      <c r="D728" s="0" t="s">
        <v>1121</v>
      </c>
      <c r="E728" s="0" t="s">
        <v>1663</v>
      </c>
      <c r="F728" s="0" t="s">
        <v>1038</v>
      </c>
      <c r="G728" s="0" t="s">
        <v>1038</v>
      </c>
      <c r="H728" s="0" t="s">
        <v>1038</v>
      </c>
      <c r="I728" s="0" t="s">
        <v>1038</v>
      </c>
      <c r="J728" s="0" t="s">
        <v>1038</v>
      </c>
      <c r="K728" s="0" t="n">
        <v>727</v>
      </c>
      <c r="L728" s="0" t="str">
        <f aca="false">C728</f>
        <v>Coleman Bennett</v>
      </c>
      <c r="M728" s="121" t="str">
        <f aca="false">IFERROR(VLOOKUP(E728,RISK!A:B,2,FALSE()),"")</f>
        <v/>
      </c>
      <c r="N728" s="120" t="e">
        <f aca="false">VLOOKUP(E728,Q:R,2,FALSE())</f>
        <v>#N/A</v>
      </c>
    </row>
    <row r="729" customFormat="false" ht="14.25" hidden="false" customHeight="true" outlineLevel="0" collapsed="false">
      <c r="A729" s="0" t="n">
        <v>728</v>
      </c>
      <c r="B729" s="0" t="n">
        <v>14</v>
      </c>
      <c r="C729" s="0" t="s">
        <v>1664</v>
      </c>
      <c r="D729" s="0" t="s">
        <v>530</v>
      </c>
      <c r="E729" s="0" t="s">
        <v>1665</v>
      </c>
      <c r="F729" s="0" t="n">
        <v>11</v>
      </c>
      <c r="G729" s="0" t="s">
        <v>1038</v>
      </c>
      <c r="H729" s="0" t="s">
        <v>1038</v>
      </c>
      <c r="I729" s="0" t="s">
        <v>1031</v>
      </c>
      <c r="J729" s="0" t="s">
        <v>1038</v>
      </c>
      <c r="K729" s="0" t="n">
        <v>728</v>
      </c>
      <c r="L729" s="0" t="str">
        <f aca="false">C729</f>
        <v>Drake Dabney</v>
      </c>
      <c r="M729" s="121" t="str">
        <f aca="false">IFERROR(VLOOKUP(E729,RISK!A:B,2,FALSE()),"")</f>
        <v/>
      </c>
      <c r="N729" s="120" t="e">
        <f aca="false">VLOOKUP(E729,Q:R,2,FALSE())</f>
        <v>#N/A</v>
      </c>
    </row>
    <row r="730" customFormat="false" ht="14.25" hidden="false" customHeight="true" outlineLevel="0" collapsed="false">
      <c r="A730" s="0" t="n">
        <v>729</v>
      </c>
      <c r="B730" s="0" t="n">
        <v>14</v>
      </c>
      <c r="C730" s="0" t="s">
        <v>1666</v>
      </c>
      <c r="D730" s="0" t="s">
        <v>552</v>
      </c>
      <c r="E730" s="0" t="s">
        <v>1667</v>
      </c>
      <c r="F730" s="0" t="n">
        <v>11</v>
      </c>
      <c r="G730" s="0" t="s">
        <v>1038</v>
      </c>
      <c r="H730" s="0" t="s">
        <v>1038</v>
      </c>
      <c r="I730" s="0" t="s">
        <v>1032</v>
      </c>
      <c r="J730" s="0" t="s">
        <v>1038</v>
      </c>
      <c r="K730" s="0" t="n">
        <v>729</v>
      </c>
      <c r="L730" s="0" t="str">
        <f aca="false">C730</f>
        <v>Jack Strand</v>
      </c>
      <c r="M730" s="121" t="str">
        <f aca="false">IFERROR(VLOOKUP(E730,RISK!A:B,2,FALSE()),"")</f>
        <v/>
      </c>
      <c r="N730" s="120" t="e">
        <f aca="false">VLOOKUP(E730,Q:R,2,FALSE())</f>
        <v>#N/A</v>
      </c>
    </row>
    <row r="731" customFormat="false" ht="14.25" hidden="false" customHeight="true" outlineLevel="0" collapsed="false">
      <c r="A731" s="0" t="n">
        <v>730</v>
      </c>
      <c r="B731" s="0" t="n">
        <v>14</v>
      </c>
      <c r="C731" s="0" t="s">
        <v>1668</v>
      </c>
      <c r="D731" s="0" t="s">
        <v>506</v>
      </c>
      <c r="E731" s="0" t="s">
        <v>1669</v>
      </c>
      <c r="F731" s="0" t="n">
        <v>7</v>
      </c>
      <c r="G731" s="0" t="s">
        <v>1038</v>
      </c>
      <c r="H731" s="0" t="s">
        <v>1038</v>
      </c>
      <c r="I731" s="0" t="s">
        <v>1032</v>
      </c>
      <c r="J731" s="0" t="s">
        <v>1038</v>
      </c>
      <c r="K731" s="0" t="n">
        <v>730</v>
      </c>
      <c r="L731" s="0" t="str">
        <f aca="false">C731</f>
        <v>Austin Trammell</v>
      </c>
      <c r="M731" s="121" t="str">
        <f aca="false">IFERROR(VLOOKUP(E731,RISK!A:B,2,FALSE()),"")</f>
        <v/>
      </c>
      <c r="N731" s="120" t="e">
        <f aca="false">VLOOKUP(E731,Q:R,2,FALSE())</f>
        <v>#N/A</v>
      </c>
    </row>
    <row r="732" customFormat="false" ht="14.25" hidden="false" customHeight="true" outlineLevel="0" collapsed="false">
      <c r="A732" s="0" t="n">
        <v>731</v>
      </c>
      <c r="B732" s="0" t="n">
        <v>14</v>
      </c>
      <c r="C732" s="0" t="s">
        <v>1670</v>
      </c>
      <c r="D732" s="0" t="s">
        <v>518</v>
      </c>
      <c r="E732" s="0" t="s">
        <v>1671</v>
      </c>
      <c r="F732" s="0" t="n">
        <v>10</v>
      </c>
      <c r="G732" s="0" t="s">
        <v>1038</v>
      </c>
      <c r="H732" s="0" t="s">
        <v>1038</v>
      </c>
      <c r="I732" s="0" t="s">
        <v>1031</v>
      </c>
      <c r="J732" s="0" t="s">
        <v>1038</v>
      </c>
      <c r="K732" s="0" t="n">
        <v>731</v>
      </c>
      <c r="L732" s="0" t="str">
        <f aca="false">C732</f>
        <v>Michael Woods II</v>
      </c>
      <c r="M732" s="121" t="str">
        <f aca="false">IFERROR(VLOOKUP(E732,RISK!A:B,2,FALSE()),"")</f>
        <v/>
      </c>
      <c r="N732" s="120" t="e">
        <f aca="false">VLOOKUP(E732,Q:R,2,FALSE())</f>
        <v>#N/A</v>
      </c>
    </row>
    <row r="733" customFormat="false" ht="14.25" hidden="false" customHeight="true" outlineLevel="0" collapsed="false">
      <c r="A733" s="0" t="n">
        <v>732</v>
      </c>
      <c r="B733" s="0" t="n">
        <v>14</v>
      </c>
      <c r="C733" s="0" t="s">
        <v>1672</v>
      </c>
      <c r="D733" s="0" t="s">
        <v>1121</v>
      </c>
      <c r="E733" s="0" t="s">
        <v>1673</v>
      </c>
      <c r="F733" s="0" t="s">
        <v>1038</v>
      </c>
      <c r="G733" s="0" t="s">
        <v>1038</v>
      </c>
      <c r="H733" s="0" t="s">
        <v>1038</v>
      </c>
      <c r="I733" s="0" t="s">
        <v>1038</v>
      </c>
      <c r="J733" s="0" t="s">
        <v>1038</v>
      </c>
      <c r="K733" s="0" t="n">
        <v>732</v>
      </c>
      <c r="L733" s="0" t="str">
        <f aca="false">C733</f>
        <v>Montrell Johnson Jr.</v>
      </c>
      <c r="M733" s="121" t="str">
        <f aca="false">IFERROR(VLOOKUP(E733,RISK!A:B,2,FALSE()),"")</f>
        <v/>
      </c>
      <c r="N733" s="120" t="e">
        <f aca="false">VLOOKUP(E733,Q:R,2,FALSE())</f>
        <v>#N/A</v>
      </c>
    </row>
    <row r="734" customFormat="false" ht="14.25" hidden="false" customHeight="true" outlineLevel="0" collapsed="false">
      <c r="A734" s="0" t="n">
        <v>733</v>
      </c>
      <c r="B734" s="0" t="n">
        <v>14</v>
      </c>
      <c r="C734" s="0" t="s">
        <v>1674</v>
      </c>
      <c r="D734" s="0" t="s">
        <v>1121</v>
      </c>
      <c r="E734" s="0" t="s">
        <v>1675</v>
      </c>
      <c r="F734" s="0" t="s">
        <v>1038</v>
      </c>
      <c r="G734" s="0" t="s">
        <v>1038</v>
      </c>
      <c r="H734" s="0" t="s">
        <v>1038</v>
      </c>
      <c r="I734" s="0" t="s">
        <v>1038</v>
      </c>
      <c r="J734" s="0" t="s">
        <v>1038</v>
      </c>
      <c r="K734" s="0" t="n">
        <v>733</v>
      </c>
      <c r="L734" s="0" t="str">
        <f aca="false">C734</f>
        <v>Jordan Akins</v>
      </c>
      <c r="M734" s="121" t="str">
        <f aca="false">IFERROR(VLOOKUP(E734,RISK!A:B,2,FALSE()),"")</f>
        <v/>
      </c>
      <c r="N734" s="120" t="e">
        <f aca="false">VLOOKUP(E734,Q:R,2,FALSE())</f>
        <v>#N/A</v>
      </c>
    </row>
    <row r="735" customFormat="false" ht="14.25" hidden="false" customHeight="true" outlineLevel="0" collapsed="false">
      <c r="A735" s="0" t="n">
        <v>734</v>
      </c>
      <c r="B735" s="0" t="n">
        <v>14</v>
      </c>
      <c r="C735" s="0" t="s">
        <v>1676</v>
      </c>
      <c r="D735" s="0" t="s">
        <v>550</v>
      </c>
      <c r="E735" s="0" t="s">
        <v>1677</v>
      </c>
      <c r="F735" s="0" t="n">
        <v>13</v>
      </c>
      <c r="G735" s="0" t="s">
        <v>1038</v>
      </c>
      <c r="H735" s="0" t="s">
        <v>1038</v>
      </c>
      <c r="I735" s="0" t="s">
        <v>1034</v>
      </c>
      <c r="J735" s="0" t="s">
        <v>1038</v>
      </c>
      <c r="K735" s="0" t="n">
        <v>734</v>
      </c>
      <c r="L735" s="0" t="str">
        <f aca="false">C735</f>
        <v>Matt Gay</v>
      </c>
      <c r="M735" s="121" t="str">
        <f aca="false">IFERROR(VLOOKUP(E735,RISK!A:B,2,FALSE()),"")</f>
        <v/>
      </c>
      <c r="N735" s="120" t="e">
        <f aca="false">VLOOKUP(E735,Q:R,2,FALSE())</f>
        <v>#N/A</v>
      </c>
    </row>
    <row r="736" customFormat="false" ht="14.25" hidden="false" customHeight="true" outlineLevel="0" collapsed="false">
      <c r="A736" s="0" t="n">
        <v>735</v>
      </c>
      <c r="B736" s="0" t="n">
        <v>14</v>
      </c>
      <c r="C736" s="0" t="s">
        <v>593</v>
      </c>
      <c r="D736" s="0" t="s">
        <v>548</v>
      </c>
      <c r="E736" s="0" t="s">
        <v>1678</v>
      </c>
      <c r="F736" s="0" t="n">
        <v>9</v>
      </c>
      <c r="G736" s="0" t="s">
        <v>1038</v>
      </c>
      <c r="H736" s="0" t="s">
        <v>1038</v>
      </c>
      <c r="I736" s="0" t="s">
        <v>1031</v>
      </c>
      <c r="J736" s="0" t="s">
        <v>1038</v>
      </c>
      <c r="K736" s="0" t="n">
        <v>735</v>
      </c>
      <c r="L736" s="0" t="str">
        <f aca="false">C736</f>
        <v>Will Howard</v>
      </c>
      <c r="M736" s="121" t="str">
        <f aca="false">IFERROR(VLOOKUP(E736,RISK!A:B,2,FALSE()),"")</f>
        <v/>
      </c>
      <c r="N736" s="120" t="e">
        <f aca="false">VLOOKUP(E736,Q:R,2,FALSE())</f>
        <v>#N/A</v>
      </c>
    </row>
    <row r="737" customFormat="false" ht="14.25" hidden="false" customHeight="true" outlineLevel="0" collapsed="false">
      <c r="A737" s="0" t="n">
        <v>736</v>
      </c>
      <c r="B737" s="0" t="n">
        <v>14</v>
      </c>
      <c r="C737" s="0" t="s">
        <v>1679</v>
      </c>
      <c r="D737" s="0" t="s">
        <v>1121</v>
      </c>
      <c r="E737" s="0" t="s">
        <v>1680</v>
      </c>
      <c r="F737" s="0" t="s">
        <v>1038</v>
      </c>
      <c r="G737" s="0" t="s">
        <v>1038</v>
      </c>
      <c r="H737" s="0" t="s">
        <v>1038</v>
      </c>
      <c r="I737" s="0" t="s">
        <v>1038</v>
      </c>
      <c r="J737" s="0" t="s">
        <v>1038</v>
      </c>
      <c r="K737" s="0" t="n">
        <v>736</v>
      </c>
      <c r="L737" s="0" t="str">
        <f aca="false">C737</f>
        <v>Harrison Bryant</v>
      </c>
      <c r="M737" s="121" t="str">
        <f aca="false">IFERROR(VLOOKUP(E737,RISK!A:B,2,FALSE()),"")</f>
        <v/>
      </c>
      <c r="N737" s="120" t="e">
        <f aca="false">VLOOKUP(E737,Q:R,2,FALSE())</f>
        <v>#N/A</v>
      </c>
    </row>
    <row r="738" customFormat="false" ht="14.25" hidden="false" customHeight="true" outlineLevel="0" collapsed="false">
      <c r="A738" s="0" t="n">
        <v>737</v>
      </c>
      <c r="B738" s="0" t="n">
        <v>14</v>
      </c>
      <c r="C738" s="0" t="s">
        <v>1681</v>
      </c>
      <c r="D738" s="0" t="s">
        <v>504</v>
      </c>
      <c r="E738" s="0" t="s">
        <v>1682</v>
      </c>
      <c r="F738" s="0" t="n">
        <v>8</v>
      </c>
      <c r="G738" s="0" t="s">
        <v>1038</v>
      </c>
      <c r="H738" s="0" t="s">
        <v>1038</v>
      </c>
      <c r="I738" s="0" t="s">
        <v>1032</v>
      </c>
      <c r="J738" s="0" t="s">
        <v>1038</v>
      </c>
      <c r="K738" s="0" t="n">
        <v>737</v>
      </c>
      <c r="L738" s="0" t="str">
        <f aca="false">C738</f>
        <v>Charlie Jones</v>
      </c>
      <c r="M738" s="121" t="str">
        <f aca="false">IFERROR(VLOOKUP(E738,RISK!A:B,2,FALSE()),"")</f>
        <v/>
      </c>
      <c r="N738" s="120" t="e">
        <f aca="false">VLOOKUP(E738,Q:R,2,FALSE())</f>
        <v>#N/A</v>
      </c>
    </row>
    <row r="739" customFormat="false" ht="14.25" hidden="false" customHeight="true" outlineLevel="0" collapsed="false">
      <c r="A739" s="0" t="n">
        <v>738</v>
      </c>
      <c r="B739" s="0" t="n">
        <v>14</v>
      </c>
      <c r="C739" s="0" t="s">
        <v>1683</v>
      </c>
      <c r="D739" s="0" t="s">
        <v>550</v>
      </c>
      <c r="E739" s="0" t="s">
        <v>1684</v>
      </c>
      <c r="F739" s="0" t="n">
        <v>13</v>
      </c>
      <c r="G739" s="0" t="s">
        <v>1038</v>
      </c>
      <c r="H739" s="0" t="s">
        <v>1038</v>
      </c>
      <c r="I739" s="0" t="s">
        <v>1031</v>
      </c>
      <c r="J739" s="0" t="s">
        <v>1038</v>
      </c>
      <c r="K739" s="0" t="n">
        <v>738</v>
      </c>
      <c r="L739" s="0" t="str">
        <f aca="false">C739</f>
        <v>Ronnie Bell</v>
      </c>
      <c r="M739" s="121" t="str">
        <f aca="false">IFERROR(VLOOKUP(E739,RISK!A:B,2,FALSE()),"")</f>
        <v/>
      </c>
      <c r="N739" s="120" t="e">
        <f aca="false">VLOOKUP(E739,Q:R,2,FALSE())</f>
        <v>#N/A</v>
      </c>
    </row>
    <row r="740" customFormat="false" ht="14.25" hidden="false" customHeight="true" outlineLevel="0" collapsed="false">
      <c r="A740" s="0" t="n">
        <v>739</v>
      </c>
      <c r="B740" s="0" t="n">
        <v>14</v>
      </c>
      <c r="C740" s="0" t="s">
        <v>1685</v>
      </c>
      <c r="D740" s="0" t="s">
        <v>1121</v>
      </c>
      <c r="E740" s="0" t="s">
        <v>1686</v>
      </c>
      <c r="F740" s="0" t="s">
        <v>1038</v>
      </c>
      <c r="G740" s="0" t="s">
        <v>1038</v>
      </c>
      <c r="H740" s="0" t="s">
        <v>1038</v>
      </c>
      <c r="I740" s="0" t="s">
        <v>1038</v>
      </c>
      <c r="J740" s="0" t="s">
        <v>1038</v>
      </c>
      <c r="K740" s="0" t="n">
        <v>739</v>
      </c>
      <c r="L740" s="0" t="str">
        <f aca="false">C740</f>
        <v>Zack Moss</v>
      </c>
      <c r="M740" s="121" t="str">
        <f aca="false">IFERROR(VLOOKUP(E740,RISK!A:B,2,FALSE()),"")</f>
        <v/>
      </c>
      <c r="N740" s="120" t="e">
        <f aca="false">VLOOKUP(E740,Q:R,2,FALSE())</f>
        <v>#N/A</v>
      </c>
    </row>
    <row r="741" customFormat="false" ht="14.25" hidden="false" customHeight="true" outlineLevel="0" collapsed="false">
      <c r="A741" s="0" t="n">
        <v>740</v>
      </c>
      <c r="B741" s="0" t="n">
        <v>14</v>
      </c>
      <c r="C741" s="0" t="s">
        <v>886</v>
      </c>
      <c r="D741" s="0" t="s">
        <v>504</v>
      </c>
      <c r="E741" s="0" t="s">
        <v>1687</v>
      </c>
      <c r="F741" s="0" t="n">
        <v>8</v>
      </c>
      <c r="G741" s="0" t="s">
        <v>1038</v>
      </c>
      <c r="H741" s="0" t="s">
        <v>1038</v>
      </c>
      <c r="I741" s="0" t="s">
        <v>1032</v>
      </c>
      <c r="J741" s="0" t="s">
        <v>1038</v>
      </c>
      <c r="K741" s="0" t="n">
        <v>740</v>
      </c>
      <c r="L741" s="0" t="str">
        <f aca="false">C741</f>
        <v>Braxton Berrios</v>
      </c>
      <c r="M741" s="121" t="str">
        <f aca="false">IFERROR(VLOOKUP(E741,RISK!A:B,2,FALSE()),"")</f>
        <v/>
      </c>
      <c r="N741" s="120" t="e">
        <f aca="false">VLOOKUP(E741,Q:R,2,FALSE())</f>
        <v>#N/A</v>
      </c>
    </row>
    <row r="742" customFormat="false" ht="14.25" hidden="false" customHeight="true" outlineLevel="0" collapsed="false">
      <c r="A742" s="0" t="n">
        <v>741</v>
      </c>
      <c r="B742" s="0" t="n">
        <v>14</v>
      </c>
      <c r="C742" s="0" t="s">
        <v>1688</v>
      </c>
      <c r="D742" s="0" t="s">
        <v>1121</v>
      </c>
      <c r="E742" s="0" t="s">
        <v>1689</v>
      </c>
      <c r="F742" s="0" t="s">
        <v>1038</v>
      </c>
      <c r="G742" s="0" t="s">
        <v>1038</v>
      </c>
      <c r="H742" s="0" t="s">
        <v>1038</v>
      </c>
      <c r="I742" s="0" t="s">
        <v>1038</v>
      </c>
      <c r="J742" s="0" t="s">
        <v>1038</v>
      </c>
      <c r="K742" s="0" t="n">
        <v>741</v>
      </c>
      <c r="L742" s="0" t="str">
        <f aca="false">C742</f>
        <v>Jaheim Bell</v>
      </c>
      <c r="M742" s="121" t="str">
        <f aca="false">IFERROR(VLOOKUP(E742,RISK!A:B,2,FALSE()),"")</f>
        <v/>
      </c>
      <c r="N742" s="120" t="e">
        <f aca="false">VLOOKUP(E742,Q:R,2,FALSE())</f>
        <v>#N/A</v>
      </c>
    </row>
    <row r="743" customFormat="false" ht="14.25" hidden="false" customHeight="true" outlineLevel="0" collapsed="false">
      <c r="A743" s="0" t="n">
        <v>742</v>
      </c>
      <c r="B743" s="0" t="n">
        <v>14</v>
      </c>
      <c r="C743" s="0" t="s">
        <v>1690</v>
      </c>
      <c r="D743" s="0" t="s">
        <v>550</v>
      </c>
      <c r="E743" s="0" t="s">
        <v>1691</v>
      </c>
      <c r="F743" s="0" t="n">
        <v>13</v>
      </c>
      <c r="G743" s="0" t="s">
        <v>1038</v>
      </c>
      <c r="H743" s="0" t="s">
        <v>1038</v>
      </c>
      <c r="I743" s="0" t="s">
        <v>1031</v>
      </c>
      <c r="J743" s="0" t="s">
        <v>1038</v>
      </c>
      <c r="K743" s="0" t="n">
        <v>742</v>
      </c>
      <c r="L743" s="0" t="str">
        <f aca="false">C743</f>
        <v>Roman Hemby</v>
      </c>
      <c r="M743" s="121" t="str">
        <f aca="false">IFERROR(VLOOKUP(E743,RISK!A:B,2,FALSE()),"")</f>
        <v/>
      </c>
      <c r="N743" s="120" t="e">
        <f aca="false">VLOOKUP(E743,Q:R,2,FALSE())</f>
        <v>#N/A</v>
      </c>
    </row>
    <row r="744" customFormat="false" ht="14.25" hidden="false" customHeight="true" outlineLevel="0" collapsed="false">
      <c r="A744" s="0" t="n">
        <v>743</v>
      </c>
      <c r="B744" s="0" t="n">
        <v>14</v>
      </c>
      <c r="C744" s="0" t="s">
        <v>1692</v>
      </c>
      <c r="D744" s="0" t="s">
        <v>518</v>
      </c>
      <c r="E744" s="0" t="s">
        <v>1693</v>
      </c>
      <c r="F744" s="0" t="n">
        <v>10</v>
      </c>
      <c r="G744" s="0" t="s">
        <v>1038</v>
      </c>
      <c r="H744" s="0" t="s">
        <v>1038</v>
      </c>
      <c r="I744" s="0" t="s">
        <v>1035</v>
      </c>
      <c r="J744" s="0" t="s">
        <v>1038</v>
      </c>
      <c r="K744" s="0" t="n">
        <v>743</v>
      </c>
      <c r="L744" s="0" t="str">
        <f aca="false">C744</f>
        <v>Sam Ehlinger</v>
      </c>
      <c r="M744" s="121" t="str">
        <f aca="false">IFERROR(VLOOKUP(E744,RISK!A:B,2,FALSE()),"")</f>
        <v/>
      </c>
      <c r="N744" s="120" t="e">
        <f aca="false">VLOOKUP(E744,Q:R,2,FALSE())</f>
        <v>#N/A</v>
      </c>
    </row>
    <row r="745" customFormat="false" ht="14.25" hidden="false" customHeight="true" outlineLevel="0" collapsed="false">
      <c r="A745" s="0" t="n">
        <v>744</v>
      </c>
      <c r="B745" s="0" t="n">
        <v>14</v>
      </c>
      <c r="C745" s="0" t="s">
        <v>1694</v>
      </c>
      <c r="D745" s="0" t="s">
        <v>1121</v>
      </c>
      <c r="E745" s="0" t="s">
        <v>1695</v>
      </c>
      <c r="F745" s="0" t="s">
        <v>1038</v>
      </c>
      <c r="G745" s="0" t="s">
        <v>1038</v>
      </c>
      <c r="H745" s="0" t="s">
        <v>1038</v>
      </c>
      <c r="I745" s="0" t="s">
        <v>1038</v>
      </c>
      <c r="J745" s="0" t="s">
        <v>1038</v>
      </c>
      <c r="K745" s="0" t="n">
        <v>744</v>
      </c>
      <c r="L745" s="0" t="str">
        <f aca="false">C745</f>
        <v>Wendell Smallwood</v>
      </c>
      <c r="M745" s="121" t="str">
        <f aca="false">IFERROR(VLOOKUP(E745,RISK!A:B,2,FALSE()),"")</f>
        <v/>
      </c>
      <c r="N745" s="120" t="e">
        <f aca="false">VLOOKUP(E745,Q:R,2,FALSE())</f>
        <v>#N/A</v>
      </c>
    </row>
    <row r="746" customFormat="false" ht="14.25" hidden="false" customHeight="true" outlineLevel="0" collapsed="false">
      <c r="A746" s="0" t="n">
        <v>745</v>
      </c>
      <c r="B746" s="0" t="n">
        <v>14</v>
      </c>
      <c r="C746" s="0" t="s">
        <v>1696</v>
      </c>
      <c r="D746" s="0" t="s">
        <v>510</v>
      </c>
      <c r="E746" s="0" t="s">
        <v>1697</v>
      </c>
      <c r="F746" s="0" t="n">
        <v>14</v>
      </c>
      <c r="G746" s="0" t="s">
        <v>1038</v>
      </c>
      <c r="H746" s="0" t="s">
        <v>1038</v>
      </c>
      <c r="I746" s="0" t="s">
        <v>1031</v>
      </c>
      <c r="J746" s="0" t="s">
        <v>1038</v>
      </c>
      <c r="K746" s="0" t="n">
        <v>745</v>
      </c>
      <c r="L746" s="0" t="str">
        <f aca="false">C746</f>
        <v>James Mitchell</v>
      </c>
      <c r="M746" s="121" t="str">
        <f aca="false">IFERROR(VLOOKUP(E746,RISK!A:B,2,FALSE()),"")</f>
        <v/>
      </c>
      <c r="N746" s="120" t="e">
        <f aca="false">VLOOKUP(E746,Q:R,2,FALSE())</f>
        <v>#N/A</v>
      </c>
    </row>
    <row r="747" customFormat="false" ht="14.25" hidden="false" customHeight="true" outlineLevel="0" collapsed="false">
      <c r="A747" s="0" t="n">
        <v>746</v>
      </c>
      <c r="B747" s="0" t="n">
        <v>14</v>
      </c>
      <c r="C747" s="0" t="s">
        <v>1698</v>
      </c>
      <c r="D747" s="0" t="s">
        <v>552</v>
      </c>
      <c r="E747" s="0" t="s">
        <v>1699</v>
      </c>
      <c r="F747" s="0" t="n">
        <v>11</v>
      </c>
      <c r="G747" s="0" t="s">
        <v>1038</v>
      </c>
      <c r="H747" s="0" t="s">
        <v>1038</v>
      </c>
      <c r="I747" s="0" t="s">
        <v>1035</v>
      </c>
      <c r="J747" s="0" t="n">
        <v>-406</v>
      </c>
      <c r="K747" s="0" t="n">
        <v>746</v>
      </c>
      <c r="L747" s="0" t="str">
        <f aca="false">C747</f>
        <v>Dylan Drummond</v>
      </c>
      <c r="M747" s="121" t="str">
        <f aca="false">IFERROR(VLOOKUP(E747,RISK!A:B,2,FALSE()),"")</f>
        <v/>
      </c>
      <c r="N747" s="120" t="e">
        <f aca="false">VLOOKUP(E747,Q:R,2,FALSE())</f>
        <v>#N/A</v>
      </c>
    </row>
    <row r="748" customFormat="false" ht="14.25" hidden="false" customHeight="true" outlineLevel="0" collapsed="false">
      <c r="A748" s="0" t="n">
        <v>747</v>
      </c>
      <c r="B748" s="0" t="n">
        <v>14</v>
      </c>
      <c r="C748" s="0" t="s">
        <v>1700</v>
      </c>
      <c r="D748" s="0" t="s">
        <v>1121</v>
      </c>
      <c r="E748" s="0" t="s">
        <v>1701</v>
      </c>
      <c r="F748" s="0" t="s">
        <v>1038</v>
      </c>
      <c r="G748" s="0" t="s">
        <v>1038</v>
      </c>
      <c r="H748" s="0" t="s">
        <v>1038</v>
      </c>
      <c r="I748" s="0" t="s">
        <v>1038</v>
      </c>
      <c r="J748" s="0" t="s">
        <v>1038</v>
      </c>
      <c r="K748" s="0" t="n">
        <v>747</v>
      </c>
      <c r="L748" s="0" t="str">
        <f aca="false">C748</f>
        <v>Jonathan Williams</v>
      </c>
      <c r="M748" s="121" t="str">
        <f aca="false">IFERROR(VLOOKUP(E748,RISK!A:B,2,FALSE()),"")</f>
        <v/>
      </c>
      <c r="N748" s="120" t="e">
        <f aca="false">VLOOKUP(E748,Q:R,2,FALSE())</f>
        <v>#N/A</v>
      </c>
    </row>
    <row r="749" customFormat="false" ht="14.25" hidden="false" customHeight="true" outlineLevel="0" collapsed="false">
      <c r="A749" s="0" t="n">
        <v>748</v>
      </c>
      <c r="B749" s="0" t="n">
        <v>14</v>
      </c>
      <c r="C749" s="0" t="s">
        <v>1702</v>
      </c>
      <c r="D749" s="0" t="s">
        <v>522</v>
      </c>
      <c r="E749" s="0" t="s">
        <v>1703</v>
      </c>
      <c r="F749" s="0" t="n">
        <v>6</v>
      </c>
      <c r="G749" s="0" t="s">
        <v>1038</v>
      </c>
      <c r="H749" s="0" t="s">
        <v>1038</v>
      </c>
      <c r="I749" s="0" t="s">
        <v>1030</v>
      </c>
      <c r="J749" s="0" t="s">
        <v>1038</v>
      </c>
      <c r="K749" s="0" t="n">
        <v>748</v>
      </c>
      <c r="L749" s="0" t="str">
        <f aca="false">C749</f>
        <v>Michael Briscoe</v>
      </c>
      <c r="M749" s="121" t="str">
        <f aca="false">IFERROR(VLOOKUP(E749,RISK!A:B,2,FALSE()),"")</f>
        <v/>
      </c>
      <c r="N749" s="120" t="e">
        <f aca="false">VLOOKUP(E749,Q:R,2,FALSE())</f>
        <v>#N/A</v>
      </c>
    </row>
    <row r="750" customFormat="false" ht="14.25" hidden="false" customHeight="true" outlineLevel="0" collapsed="false">
      <c r="A750" s="0" t="n">
        <v>749</v>
      </c>
      <c r="B750" s="0" t="n">
        <v>14</v>
      </c>
      <c r="C750" s="0" t="s">
        <v>1704</v>
      </c>
      <c r="D750" s="0" t="s">
        <v>550</v>
      </c>
      <c r="E750" s="0" t="s">
        <v>1705</v>
      </c>
      <c r="F750" s="0" t="n">
        <v>13</v>
      </c>
      <c r="G750" s="0" t="s">
        <v>1038</v>
      </c>
      <c r="H750" s="0" t="s">
        <v>1038</v>
      </c>
      <c r="I750" s="0" t="s">
        <v>1031</v>
      </c>
      <c r="J750" s="0" t="s">
        <v>1038</v>
      </c>
      <c r="K750" s="0" t="n">
        <v>749</v>
      </c>
      <c r="L750" s="0" t="str">
        <f aca="false">C750</f>
        <v>Raheem Mostert</v>
      </c>
      <c r="M750" s="121" t="str">
        <f aca="false">IFERROR(VLOOKUP(E750,RISK!A:B,2,FALSE()),"")</f>
        <v/>
      </c>
      <c r="N750" s="120" t="e">
        <f aca="false">VLOOKUP(E750,Q:R,2,FALSE())</f>
        <v>#N/A</v>
      </c>
    </row>
    <row r="751" customFormat="false" ht="14.25" hidden="false" customHeight="true" outlineLevel="0" collapsed="false">
      <c r="A751" s="0" t="n">
        <v>750</v>
      </c>
      <c r="B751" s="0" t="n">
        <v>14</v>
      </c>
      <c r="C751" s="0" t="s">
        <v>1706</v>
      </c>
      <c r="D751" s="0" t="s">
        <v>518</v>
      </c>
      <c r="E751" s="0" t="s">
        <v>1707</v>
      </c>
      <c r="F751" s="0" t="n">
        <v>10</v>
      </c>
      <c r="G751" s="0" t="s">
        <v>1038</v>
      </c>
      <c r="H751" s="0" t="s">
        <v>1038</v>
      </c>
      <c r="I751" s="0" t="s">
        <v>1031</v>
      </c>
      <c r="J751" s="0" t="s">
        <v>1038</v>
      </c>
      <c r="K751" s="0" t="n">
        <v>750</v>
      </c>
      <c r="L751" s="0" t="str">
        <f aca="false">C751</f>
        <v>Michael Bandy</v>
      </c>
      <c r="M751" s="121" t="str">
        <f aca="false">IFERROR(VLOOKUP(E751,RISK!A:B,2,FALSE()),"")</f>
        <v/>
      </c>
      <c r="N751" s="120" t="e">
        <f aca="false">VLOOKUP(E751,Q:R,2,FALSE())</f>
        <v>#N/A</v>
      </c>
    </row>
    <row r="752" customFormat="false" ht="14.25" hidden="false" customHeight="true" outlineLevel="0" collapsed="false">
      <c r="A752" s="0" t="n">
        <v>751</v>
      </c>
      <c r="B752" s="0" t="n">
        <v>14</v>
      </c>
      <c r="C752" s="0" t="s">
        <v>1708</v>
      </c>
      <c r="D752" s="0" t="s">
        <v>1121</v>
      </c>
      <c r="E752" s="0" t="s">
        <v>1709</v>
      </c>
      <c r="F752" s="0" t="s">
        <v>1038</v>
      </c>
      <c r="G752" s="0" t="s">
        <v>1038</v>
      </c>
      <c r="H752" s="0" t="s">
        <v>1038</v>
      </c>
      <c r="I752" s="0" t="s">
        <v>1038</v>
      </c>
      <c r="J752" s="0" t="s">
        <v>1038</v>
      </c>
      <c r="K752" s="0" t="n">
        <v>751</v>
      </c>
      <c r="L752" s="0" t="str">
        <f aca="false">C752</f>
        <v>Nick Bawden</v>
      </c>
      <c r="M752" s="121" t="str">
        <f aca="false">IFERROR(VLOOKUP(E752,RISK!A:B,2,FALSE()),"")</f>
        <v/>
      </c>
      <c r="N752" s="120" t="e">
        <f aca="false">VLOOKUP(E752,Q:R,2,FALSE())</f>
        <v>#N/A</v>
      </c>
    </row>
    <row r="753" customFormat="false" ht="14.25" hidden="false" customHeight="true" outlineLevel="0" collapsed="false">
      <c r="A753" s="0" t="n">
        <v>752</v>
      </c>
      <c r="B753" s="0" t="n">
        <v>14</v>
      </c>
      <c r="C753" s="0" t="s">
        <v>1710</v>
      </c>
      <c r="D753" s="0" t="s">
        <v>544</v>
      </c>
      <c r="E753" s="0" t="s">
        <v>1711</v>
      </c>
      <c r="F753" s="0" t="n">
        <v>9</v>
      </c>
      <c r="G753" s="0" t="s">
        <v>1038</v>
      </c>
      <c r="H753" s="0" t="s">
        <v>1038</v>
      </c>
      <c r="I753" s="0" t="s">
        <v>1035</v>
      </c>
      <c r="J753" s="0" t="s">
        <v>1038</v>
      </c>
      <c r="K753" s="0" t="n">
        <v>752</v>
      </c>
      <c r="L753" s="0" t="str">
        <f aca="false">C753</f>
        <v>Joel Wilson</v>
      </c>
      <c r="M753" s="121" t="str">
        <f aca="false">IFERROR(VLOOKUP(E753,RISK!A:B,2,FALSE()),"")</f>
        <v/>
      </c>
      <c r="N753" s="120" t="e">
        <f aca="false">VLOOKUP(E753,Q:R,2,FALSE())</f>
        <v>#N/A</v>
      </c>
    </row>
    <row r="754" customFormat="false" ht="14.25" hidden="false" customHeight="true" outlineLevel="0" collapsed="false">
      <c r="A754" s="0" t="n">
        <v>753</v>
      </c>
      <c r="B754" s="0" t="n">
        <v>14</v>
      </c>
      <c r="C754" s="0" t="s">
        <v>699</v>
      </c>
      <c r="D754" s="0" t="s">
        <v>542</v>
      </c>
      <c r="E754" s="0" t="s">
        <v>1712</v>
      </c>
      <c r="F754" s="0" t="n">
        <v>13</v>
      </c>
      <c r="G754" s="0" t="s">
        <v>1038</v>
      </c>
      <c r="H754" s="0" t="s">
        <v>1038</v>
      </c>
      <c r="I754" s="0" t="s">
        <v>1035</v>
      </c>
      <c r="J754" s="0" t="s">
        <v>1038</v>
      </c>
      <c r="K754" s="0" t="n">
        <v>753</v>
      </c>
      <c r="L754" s="0" t="str">
        <f aca="false">C754</f>
        <v>Andrew Beck</v>
      </c>
      <c r="M754" s="121" t="str">
        <f aca="false">IFERROR(VLOOKUP(E754,RISK!A:B,2,FALSE()),"")</f>
        <v/>
      </c>
      <c r="N754" s="120" t="e">
        <f aca="false">VLOOKUP(E754,Q:R,2,FALSE())</f>
        <v>#N/A</v>
      </c>
    </row>
    <row r="755" customFormat="false" ht="14.25" hidden="false" customHeight="true" outlineLevel="0" collapsed="false">
      <c r="A755" s="0" t="n">
        <v>754</v>
      </c>
      <c r="B755" s="0" t="n">
        <v>14</v>
      </c>
      <c r="C755" s="0" t="s">
        <v>1713</v>
      </c>
      <c r="D755" s="0" t="s">
        <v>550</v>
      </c>
      <c r="E755" s="0" t="s">
        <v>1714</v>
      </c>
      <c r="F755" s="0" t="n">
        <v>13</v>
      </c>
      <c r="G755" s="0" t="s">
        <v>1038</v>
      </c>
      <c r="H755" s="0" t="s">
        <v>1038</v>
      </c>
      <c r="I755" s="0" t="s">
        <v>1035</v>
      </c>
      <c r="J755" s="0" t="s">
        <v>1038</v>
      </c>
      <c r="K755" s="0" t="n">
        <v>754</v>
      </c>
      <c r="L755" s="0" t="str">
        <f aca="false">C755</f>
        <v>Carter Runyon</v>
      </c>
      <c r="M755" s="121" t="str">
        <f aca="false">IFERROR(VLOOKUP(E755,RISK!A:B,2,FALSE()),"")</f>
        <v/>
      </c>
      <c r="N755" s="120" t="e">
        <f aca="false">VLOOKUP(E755,Q:R,2,FALSE())</f>
        <v>#N/A</v>
      </c>
    </row>
    <row r="756" customFormat="false" ht="14.25" hidden="false" customHeight="true" outlineLevel="0" collapsed="false">
      <c r="A756" s="0" t="n">
        <v>755</v>
      </c>
      <c r="B756" s="0" t="n">
        <v>14</v>
      </c>
      <c r="C756" s="0" t="s">
        <v>1715</v>
      </c>
      <c r="D756" s="0" t="s">
        <v>494</v>
      </c>
      <c r="E756" s="0" t="s">
        <v>1716</v>
      </c>
      <c r="F756" s="0" t="n">
        <v>13</v>
      </c>
      <c r="G756" s="0" t="s">
        <v>1038</v>
      </c>
      <c r="H756" s="0" t="s">
        <v>1038</v>
      </c>
      <c r="I756" s="0" t="s">
        <v>1035</v>
      </c>
      <c r="J756" s="0" t="s">
        <v>1038</v>
      </c>
      <c r="K756" s="0" t="n">
        <v>755</v>
      </c>
      <c r="L756" s="0" t="str">
        <f aca="false">C756</f>
        <v>Joe Fagnano</v>
      </c>
      <c r="M756" s="121" t="str">
        <f aca="false">IFERROR(VLOOKUP(E756,RISK!A:B,2,FALSE()),"")</f>
        <v/>
      </c>
      <c r="N756" s="120" t="e">
        <f aca="false">VLOOKUP(E756,Q:R,2,FALSE())</f>
        <v>#N/A</v>
      </c>
    </row>
    <row r="757" customFormat="false" ht="14.25" hidden="false" customHeight="true" outlineLevel="0" collapsed="false">
      <c r="A757" s="0" t="n">
        <v>756</v>
      </c>
      <c r="B757" s="0" t="n">
        <v>14</v>
      </c>
      <c r="C757" s="0" t="s">
        <v>1717</v>
      </c>
      <c r="D757" s="0" t="s">
        <v>1121</v>
      </c>
      <c r="E757" s="0" t="s">
        <v>1718</v>
      </c>
      <c r="F757" s="0" t="s">
        <v>1038</v>
      </c>
      <c r="G757" s="0" t="s">
        <v>1038</v>
      </c>
      <c r="H757" s="0" t="s">
        <v>1038</v>
      </c>
      <c r="I757" s="0" t="s">
        <v>1038</v>
      </c>
      <c r="J757" s="0" t="s">
        <v>1038</v>
      </c>
      <c r="K757" s="0" t="n">
        <v>756</v>
      </c>
      <c r="L757" s="0" t="str">
        <f aca="false">C757</f>
        <v>Juice Wells Jr.</v>
      </c>
      <c r="M757" s="121" t="str">
        <f aca="false">IFERROR(VLOOKUP(E757,RISK!A:B,2,FALSE()),"")</f>
        <v/>
      </c>
      <c r="N757" s="120" t="e">
        <f aca="false">VLOOKUP(E757,Q:R,2,FALSE())</f>
        <v>#N/A</v>
      </c>
    </row>
    <row r="758" customFormat="false" ht="14.25" hidden="false" customHeight="true" outlineLevel="0" collapsed="false">
      <c r="A758" s="0" t="n">
        <v>757</v>
      </c>
      <c r="B758" s="0" t="n">
        <v>14</v>
      </c>
      <c r="C758" s="0" t="s">
        <v>1719</v>
      </c>
      <c r="D758" s="0" t="s">
        <v>1121</v>
      </c>
      <c r="E758" s="0" t="s">
        <v>1720</v>
      </c>
      <c r="F758" s="0" t="s">
        <v>1038</v>
      </c>
      <c r="G758" s="0" t="s">
        <v>1038</v>
      </c>
      <c r="H758" s="0" t="s">
        <v>1038</v>
      </c>
      <c r="I758" s="0" t="s">
        <v>1038</v>
      </c>
      <c r="J758" s="0" t="s">
        <v>1038</v>
      </c>
      <c r="K758" s="0" t="n">
        <v>757</v>
      </c>
      <c r="L758" s="0" t="str">
        <f aca="false">C758</f>
        <v>Tahj Washington</v>
      </c>
      <c r="M758" s="121" t="str">
        <f aca="false">IFERROR(VLOOKUP(E758,RISK!A:B,2,FALSE()),"")</f>
        <v/>
      </c>
      <c r="N758" s="120" t="e">
        <f aca="false">VLOOKUP(E758,Q:R,2,FALSE())</f>
        <v>#N/A</v>
      </c>
    </row>
    <row r="759" customFormat="false" ht="14.25" hidden="false" customHeight="true" outlineLevel="0" collapsed="false">
      <c r="A759" s="0" t="n">
        <v>758</v>
      </c>
      <c r="B759" s="0" t="n">
        <v>14</v>
      </c>
      <c r="C759" s="0" t="s">
        <v>587</v>
      </c>
      <c r="D759" s="0" t="s">
        <v>500</v>
      </c>
      <c r="E759" s="0" t="s">
        <v>1721</v>
      </c>
      <c r="F759" s="0" t="n">
        <v>10</v>
      </c>
      <c r="G759" s="0" t="s">
        <v>1038</v>
      </c>
      <c r="H759" s="0" t="s">
        <v>1038</v>
      </c>
      <c r="I759" s="0" t="s">
        <v>1030</v>
      </c>
      <c r="J759" s="0" t="s">
        <v>1038</v>
      </c>
      <c r="K759" s="0" t="n">
        <v>758</v>
      </c>
      <c r="L759" s="0" t="str">
        <f aca="false">C759</f>
        <v>Cole Payton</v>
      </c>
      <c r="M759" s="121" t="str">
        <f aca="false">IFERROR(VLOOKUP(E759,RISK!A:B,2,FALSE()),"")</f>
        <v/>
      </c>
      <c r="N759" s="120" t="e">
        <f aca="false">VLOOKUP(E759,Q:R,2,FALSE())</f>
        <v>#N/A</v>
      </c>
    </row>
    <row r="760" customFormat="false" ht="14.25" hidden="false" customHeight="true" outlineLevel="0" collapsed="false">
      <c r="A760" s="0" t="n">
        <v>759</v>
      </c>
      <c r="B760" s="0" t="n">
        <v>14</v>
      </c>
      <c r="C760" s="0" t="s">
        <v>1722</v>
      </c>
      <c r="D760" s="0" t="s">
        <v>496</v>
      </c>
      <c r="E760" s="0" t="s">
        <v>1723</v>
      </c>
      <c r="F760" s="0" t="n">
        <v>7</v>
      </c>
      <c r="G760" s="0" t="s">
        <v>1038</v>
      </c>
      <c r="H760" s="0" t="s">
        <v>1038</v>
      </c>
      <c r="I760" s="0" t="s">
        <v>1031</v>
      </c>
      <c r="J760" s="0" t="s">
        <v>1038</v>
      </c>
      <c r="K760" s="0" t="n">
        <v>759</v>
      </c>
      <c r="L760" s="0" t="str">
        <f aca="false">C760</f>
        <v>Athan Kaliakmanis</v>
      </c>
      <c r="M760" s="121" t="str">
        <f aca="false">IFERROR(VLOOKUP(E760,RISK!A:B,2,FALSE()),"")</f>
        <v/>
      </c>
      <c r="N760" s="120" t="e">
        <f aca="false">VLOOKUP(E760,Q:R,2,FALSE())</f>
        <v>#N/A</v>
      </c>
    </row>
    <row r="761" customFormat="false" ht="14.25" hidden="false" customHeight="true" outlineLevel="0" collapsed="false">
      <c r="A761" s="0" t="n">
        <v>760</v>
      </c>
      <c r="B761" s="0" t="n">
        <v>14</v>
      </c>
      <c r="C761" s="0" t="s">
        <v>1724</v>
      </c>
      <c r="D761" s="0" t="s">
        <v>534</v>
      </c>
      <c r="E761" s="0" t="s">
        <v>1725</v>
      </c>
      <c r="F761" s="0" t="n">
        <v>6</v>
      </c>
      <c r="G761" s="0" t="s">
        <v>1038</v>
      </c>
      <c r="H761" s="0" t="s">
        <v>1038</v>
      </c>
      <c r="I761" s="0" t="s">
        <v>1031</v>
      </c>
      <c r="J761" s="0" t="s">
        <v>1038</v>
      </c>
      <c r="K761" s="0" t="n">
        <v>760</v>
      </c>
      <c r="L761" s="0" t="str">
        <f aca="false">C761</f>
        <v>Riley Patterson</v>
      </c>
      <c r="M761" s="121" t="str">
        <f aca="false">IFERROR(VLOOKUP(E761,RISK!A:B,2,FALSE()),"")</f>
        <v/>
      </c>
      <c r="N761" s="120" t="e">
        <f aca="false">VLOOKUP(E761,Q:R,2,FALSE())</f>
        <v>#N/A</v>
      </c>
    </row>
    <row r="762" customFormat="false" ht="14.25" hidden="false" customHeight="true" outlineLevel="0" collapsed="false">
      <c r="A762" s="0" t="n">
        <v>761</v>
      </c>
      <c r="B762" s="0" t="n">
        <v>14</v>
      </c>
      <c r="C762" s="0" t="s">
        <v>1726</v>
      </c>
      <c r="D762" s="0" t="s">
        <v>1121</v>
      </c>
      <c r="E762" s="0" t="s">
        <v>1727</v>
      </c>
      <c r="F762" s="0" t="s">
        <v>1038</v>
      </c>
      <c r="G762" s="0" t="s">
        <v>1038</v>
      </c>
      <c r="H762" s="0" t="s">
        <v>1038</v>
      </c>
      <c r="I762" s="0" t="s">
        <v>1038</v>
      </c>
      <c r="J762" s="0" t="s">
        <v>1038</v>
      </c>
      <c r="K762" s="0" t="n">
        <v>761</v>
      </c>
      <c r="L762" s="0" t="str">
        <f aca="false">C762</f>
        <v>D'Onta Foreman</v>
      </c>
      <c r="M762" s="121" t="str">
        <f aca="false">IFERROR(VLOOKUP(E762,RISK!A:B,2,FALSE()),"")</f>
        <v/>
      </c>
      <c r="N762" s="120" t="e">
        <f aca="false">VLOOKUP(E762,Q:R,2,FALSE())</f>
        <v>#N/A</v>
      </c>
    </row>
    <row r="763" customFormat="false" ht="14.25" hidden="false" customHeight="true" outlineLevel="0" collapsed="false">
      <c r="A763" s="0" t="n">
        <v>762</v>
      </c>
      <c r="B763" s="0" t="n">
        <v>14</v>
      </c>
      <c r="C763" s="0" t="s">
        <v>598</v>
      </c>
      <c r="D763" s="0" t="s">
        <v>506</v>
      </c>
      <c r="E763" s="0" t="s">
        <v>1728</v>
      </c>
      <c r="F763" s="0" t="n">
        <v>7</v>
      </c>
      <c r="G763" s="0" t="s">
        <v>1038</v>
      </c>
      <c r="H763" s="0" t="s">
        <v>1038</v>
      </c>
      <c r="I763" s="0" t="s">
        <v>1032</v>
      </c>
      <c r="J763" s="0" t="s">
        <v>1038</v>
      </c>
      <c r="K763" s="0" t="n">
        <v>762</v>
      </c>
      <c r="L763" s="0" t="str">
        <f aca="false">C763</f>
        <v>Nick Mullens</v>
      </c>
      <c r="M763" s="121" t="str">
        <f aca="false">IFERROR(VLOOKUP(E763,RISK!A:B,2,FALSE()),"")</f>
        <v/>
      </c>
      <c r="N763" s="120" t="e">
        <f aca="false">VLOOKUP(E763,Q:R,2,FALSE())</f>
        <v>#N/A</v>
      </c>
    </row>
    <row r="764" customFormat="false" ht="14.25" hidden="false" customHeight="true" outlineLevel="0" collapsed="false">
      <c r="A764" s="0" t="n">
        <v>763</v>
      </c>
      <c r="B764" s="0" t="n">
        <v>14</v>
      </c>
      <c r="C764" s="0" t="s">
        <v>1729</v>
      </c>
      <c r="D764" s="0" t="s">
        <v>1121</v>
      </c>
      <c r="E764" s="0" t="s">
        <v>1730</v>
      </c>
      <c r="F764" s="0" t="s">
        <v>1038</v>
      </c>
      <c r="G764" s="0" t="s">
        <v>1038</v>
      </c>
      <c r="H764" s="0" t="s">
        <v>1038</v>
      </c>
      <c r="I764" s="0" t="s">
        <v>1038</v>
      </c>
      <c r="J764" s="0" t="s">
        <v>1038</v>
      </c>
      <c r="K764" s="0" t="n">
        <v>763</v>
      </c>
      <c r="L764" s="0" t="str">
        <f aca="false">C764</f>
        <v>Isaiah Hodgins</v>
      </c>
      <c r="M764" s="121" t="str">
        <f aca="false">IFERROR(VLOOKUP(E764,RISK!A:B,2,FALSE()),"")</f>
        <v/>
      </c>
      <c r="N764" s="120" t="e">
        <f aca="false">VLOOKUP(E764,Q:R,2,FALSE())</f>
        <v>#N/A</v>
      </c>
    </row>
    <row r="765" customFormat="false" ht="14.25" hidden="false" customHeight="true" outlineLevel="0" collapsed="false">
      <c r="A765" s="0" t="n">
        <v>764</v>
      </c>
      <c r="B765" s="0" t="n">
        <v>14</v>
      </c>
      <c r="C765" s="0" t="s">
        <v>1731</v>
      </c>
      <c r="D765" s="0" t="s">
        <v>550</v>
      </c>
      <c r="E765" s="0" t="s">
        <v>1732</v>
      </c>
      <c r="F765" s="0" t="n">
        <v>13</v>
      </c>
      <c r="G765" s="0" t="s">
        <v>1038</v>
      </c>
      <c r="H765" s="0" t="s">
        <v>1038</v>
      </c>
      <c r="I765" s="0" t="s">
        <v>1031</v>
      </c>
      <c r="J765" s="0" t="s">
        <v>1038</v>
      </c>
      <c r="K765" s="0" t="n">
        <v>764</v>
      </c>
      <c r="L765" s="0" t="str">
        <f aca="false">C765</f>
        <v>Dare Ogunbowale</v>
      </c>
      <c r="M765" s="121" t="str">
        <f aca="false">IFERROR(VLOOKUP(E765,RISK!A:B,2,FALSE()),"")</f>
        <v/>
      </c>
      <c r="N765" s="120" t="e">
        <f aca="false">VLOOKUP(E765,Q:R,2,FALSE())</f>
        <v>#N/A</v>
      </c>
    </row>
    <row r="766" customFormat="false" ht="14.25" hidden="false" customHeight="true" outlineLevel="0" collapsed="false">
      <c r="A766" s="0" t="n">
        <v>765</v>
      </c>
      <c r="B766" s="0" t="n">
        <v>14</v>
      </c>
      <c r="C766" s="0" t="s">
        <v>1733</v>
      </c>
      <c r="D766" s="0" t="s">
        <v>1121</v>
      </c>
      <c r="E766" s="0" t="s">
        <v>1734</v>
      </c>
      <c r="F766" s="0" t="s">
        <v>1038</v>
      </c>
      <c r="G766" s="0" t="s">
        <v>1038</v>
      </c>
      <c r="H766" s="0" t="s">
        <v>1038</v>
      </c>
      <c r="I766" s="0" t="s">
        <v>1038</v>
      </c>
      <c r="J766" s="0" t="s">
        <v>1038</v>
      </c>
      <c r="K766" s="0" t="n">
        <v>765</v>
      </c>
      <c r="L766" s="0" t="str">
        <f aca="false">C766</f>
        <v>Gus Edwards</v>
      </c>
      <c r="M766" s="121" t="str">
        <f aca="false">IFERROR(VLOOKUP(E766,RISK!A:B,2,FALSE()),"")</f>
        <v/>
      </c>
      <c r="N766" s="120" t="e">
        <f aca="false">VLOOKUP(E766,Q:R,2,FALSE())</f>
        <v>#N/A</v>
      </c>
    </row>
    <row r="767" customFormat="false" ht="14.25" hidden="false" customHeight="true" outlineLevel="0" collapsed="false">
      <c r="A767" s="0" t="n">
        <v>766</v>
      </c>
      <c r="B767" s="0" t="n">
        <v>14</v>
      </c>
      <c r="C767" s="0" t="s">
        <v>1735</v>
      </c>
      <c r="D767" s="0" t="s">
        <v>1121</v>
      </c>
      <c r="E767" s="0" t="s">
        <v>1736</v>
      </c>
      <c r="F767" s="0" t="s">
        <v>1038</v>
      </c>
      <c r="G767" s="0" t="s">
        <v>1038</v>
      </c>
      <c r="H767" s="0" t="s">
        <v>1038</v>
      </c>
      <c r="I767" s="0" t="s">
        <v>1038</v>
      </c>
      <c r="J767" s="0" t="s">
        <v>1038</v>
      </c>
      <c r="K767" s="0" t="n">
        <v>766</v>
      </c>
      <c r="L767" s="0" t="str">
        <f aca="false">C767</f>
        <v>Noah Togiai</v>
      </c>
      <c r="M767" s="121" t="str">
        <f aca="false">IFERROR(VLOOKUP(E767,RISK!A:B,2,FALSE()),"")</f>
        <v/>
      </c>
      <c r="N767" s="120" t="e">
        <f aca="false">VLOOKUP(E767,Q:R,2,FALSE())</f>
        <v>#N/A</v>
      </c>
    </row>
    <row r="768" customFormat="false" ht="14.25" hidden="false" customHeight="true" outlineLevel="0" collapsed="false">
      <c r="A768" s="0" t="n">
        <v>767</v>
      </c>
      <c r="B768" s="0" t="n">
        <v>14</v>
      </c>
      <c r="C768" s="0" t="s">
        <v>1737</v>
      </c>
      <c r="D768" s="0" t="s">
        <v>1121</v>
      </c>
      <c r="E768" s="0" t="s">
        <v>1738</v>
      </c>
      <c r="F768" s="0" t="s">
        <v>1038</v>
      </c>
      <c r="G768" s="0" t="s">
        <v>1038</v>
      </c>
      <c r="H768" s="0" t="s">
        <v>1038</v>
      </c>
      <c r="I768" s="0" t="s">
        <v>1038</v>
      </c>
      <c r="J768" s="0" t="s">
        <v>1038</v>
      </c>
      <c r="K768" s="0" t="n">
        <v>767</v>
      </c>
      <c r="L768" s="0" t="str">
        <f aca="false">C768</f>
        <v>Tyrion Davis-Price</v>
      </c>
      <c r="M768" s="121" t="str">
        <f aca="false">IFERROR(VLOOKUP(E768,RISK!A:B,2,FALSE()),"")</f>
        <v/>
      </c>
      <c r="N768" s="120" t="e">
        <f aca="false">VLOOKUP(E768,Q:R,2,FALSE())</f>
        <v>#N/A</v>
      </c>
    </row>
    <row r="769" customFormat="false" ht="14.25" hidden="false" customHeight="true" outlineLevel="0" collapsed="false">
      <c r="A769" s="0" t="n">
        <v>768</v>
      </c>
      <c r="B769" s="0" t="n">
        <v>14</v>
      </c>
      <c r="C769" s="0" t="s">
        <v>1739</v>
      </c>
      <c r="D769" s="0" t="s">
        <v>498</v>
      </c>
      <c r="E769" s="0" t="s">
        <v>1740</v>
      </c>
      <c r="F769" s="0" t="n">
        <v>11</v>
      </c>
      <c r="G769" s="0" t="s">
        <v>1038</v>
      </c>
      <c r="H769" s="0" t="s">
        <v>1038</v>
      </c>
      <c r="I769" s="0" t="s">
        <v>1031</v>
      </c>
      <c r="J769" s="0" t="s">
        <v>1038</v>
      </c>
      <c r="K769" s="0" t="n">
        <v>768</v>
      </c>
      <c r="L769" s="0" t="str">
        <f aca="false">C769</f>
        <v>Hassan Haskins</v>
      </c>
      <c r="M769" s="121" t="str">
        <f aca="false">IFERROR(VLOOKUP(E769,RISK!A:B,2,FALSE()),"")</f>
        <v/>
      </c>
      <c r="N769" s="120" t="e">
        <f aca="false">VLOOKUP(E769,Q:R,2,FALSE())</f>
        <v>#N/A</v>
      </c>
    </row>
    <row r="770" customFormat="false" ht="14.25" hidden="false" customHeight="true" outlineLevel="0" collapsed="false">
      <c r="A770" s="0" t="n">
        <v>769</v>
      </c>
      <c r="B770" s="0" t="n">
        <v>14</v>
      </c>
      <c r="C770" s="0" t="s">
        <v>1741</v>
      </c>
      <c r="D770" s="0" t="s">
        <v>506</v>
      </c>
      <c r="E770" s="0" t="s">
        <v>1742</v>
      </c>
      <c r="F770" s="0" t="n">
        <v>7</v>
      </c>
      <c r="G770" s="0" t="s">
        <v>1038</v>
      </c>
      <c r="H770" s="0" t="s">
        <v>1038</v>
      </c>
      <c r="I770" s="0" t="s">
        <v>1032</v>
      </c>
      <c r="J770" s="0" t="s">
        <v>1038</v>
      </c>
      <c r="K770" s="0" t="n">
        <v>769</v>
      </c>
      <c r="L770" s="0" t="str">
        <f aca="false">C770</f>
        <v>Michael Wortham</v>
      </c>
      <c r="M770" s="121" t="str">
        <f aca="false">IFERROR(VLOOKUP(E770,RISK!A:B,2,FALSE()),"")</f>
        <v/>
      </c>
      <c r="N770" s="120" t="e">
        <f aca="false">VLOOKUP(E770,Q:R,2,FALSE())</f>
        <v>#N/A</v>
      </c>
    </row>
    <row r="771" customFormat="false" ht="14.25" hidden="false" customHeight="true" outlineLevel="0" collapsed="false">
      <c r="A771" s="0" t="n">
        <v>770</v>
      </c>
      <c r="B771" s="0" t="n">
        <v>14</v>
      </c>
      <c r="C771" s="0" t="s">
        <v>1743</v>
      </c>
      <c r="D771" s="0" t="s">
        <v>1121</v>
      </c>
      <c r="E771" s="0" t="s">
        <v>1744</v>
      </c>
      <c r="F771" s="0" t="s">
        <v>1038</v>
      </c>
      <c r="G771" s="0" t="s">
        <v>1038</v>
      </c>
      <c r="H771" s="0" t="s">
        <v>1038</v>
      </c>
      <c r="I771" s="0" t="s">
        <v>1038</v>
      </c>
      <c r="J771" s="0" t="s">
        <v>1038</v>
      </c>
      <c r="K771" s="0" t="n">
        <v>770</v>
      </c>
      <c r="L771" s="0" t="str">
        <f aca="false">C771</f>
        <v>Gary Brightwell</v>
      </c>
      <c r="M771" s="121" t="str">
        <f aca="false">IFERROR(VLOOKUP(E771,RISK!A:B,2,FALSE()),"")</f>
        <v/>
      </c>
      <c r="N771" s="120" t="e">
        <f aca="false">VLOOKUP(E771,Q:R,2,FALSE())</f>
        <v>#N/A</v>
      </c>
    </row>
    <row r="772" customFormat="false" ht="14.25" hidden="false" customHeight="true" outlineLevel="0" collapsed="false">
      <c r="A772" s="0" t="n">
        <v>771</v>
      </c>
      <c r="B772" s="0" t="n">
        <v>14</v>
      </c>
      <c r="C772" s="0" t="s">
        <v>1745</v>
      </c>
      <c r="D772" s="0" t="s">
        <v>1121</v>
      </c>
      <c r="E772" s="0" t="s">
        <v>1746</v>
      </c>
      <c r="F772" s="0" t="s">
        <v>1038</v>
      </c>
      <c r="G772" s="0" t="s">
        <v>1038</v>
      </c>
      <c r="H772" s="0" t="s">
        <v>1038</v>
      </c>
      <c r="I772" s="0" t="s">
        <v>1038</v>
      </c>
      <c r="J772" s="0" t="s">
        <v>1038</v>
      </c>
      <c r="K772" s="0" t="n">
        <v>771</v>
      </c>
      <c r="L772" s="0" t="str">
        <f aca="false">C772</f>
        <v>Zach Gentry</v>
      </c>
      <c r="M772" s="121" t="str">
        <f aca="false">IFERROR(VLOOKUP(E772,RISK!A:B,2,FALSE()),"")</f>
        <v/>
      </c>
      <c r="N772" s="120" t="e">
        <f aca="false">VLOOKUP(E772,Q:R,2,FALSE())</f>
        <v>#N/A</v>
      </c>
    </row>
    <row r="773" customFormat="false" ht="14.25" hidden="false" customHeight="true" outlineLevel="0" collapsed="false">
      <c r="A773" s="0" t="n">
        <v>772</v>
      </c>
      <c r="B773" s="0" t="n">
        <v>14</v>
      </c>
      <c r="C773" s="0" t="s">
        <v>1747</v>
      </c>
      <c r="D773" s="0" t="s">
        <v>500</v>
      </c>
      <c r="E773" s="0" t="s">
        <v>1748</v>
      </c>
      <c r="F773" s="0" t="n">
        <v>10</v>
      </c>
      <c r="G773" s="0" t="s">
        <v>1038</v>
      </c>
      <c r="H773" s="0" t="s">
        <v>1038</v>
      </c>
      <c r="I773" s="0" t="s">
        <v>1032</v>
      </c>
      <c r="J773" s="0" t="s">
        <v>1038</v>
      </c>
      <c r="K773" s="0" t="n">
        <v>772</v>
      </c>
      <c r="L773" s="0" t="str">
        <f aca="false">C773</f>
        <v>Johnny Wilson</v>
      </c>
      <c r="M773" s="121" t="str">
        <f aca="false">IFERROR(VLOOKUP(E773,RISK!A:B,2,FALSE()),"")</f>
        <v/>
      </c>
      <c r="N773" s="120" t="e">
        <f aca="false">VLOOKUP(E773,Q:R,2,FALSE())</f>
        <v>#N/A</v>
      </c>
    </row>
    <row r="774" customFormat="false" ht="14.25" hidden="false" customHeight="true" outlineLevel="0" collapsed="false">
      <c r="A774" s="0" t="n">
        <v>773</v>
      </c>
      <c r="B774" s="0" t="n">
        <v>14</v>
      </c>
      <c r="C774" s="0" t="s">
        <v>1749</v>
      </c>
      <c r="D774" s="0" t="s">
        <v>1121</v>
      </c>
      <c r="E774" s="0" t="s">
        <v>1750</v>
      </c>
      <c r="F774" s="0" t="s">
        <v>1038</v>
      </c>
      <c r="G774" s="0" t="s">
        <v>1038</v>
      </c>
      <c r="H774" s="0" t="s">
        <v>1038</v>
      </c>
      <c r="I774" s="0" t="s">
        <v>1038</v>
      </c>
      <c r="J774" s="0" t="s">
        <v>1038</v>
      </c>
      <c r="K774" s="0" t="n">
        <v>773</v>
      </c>
      <c r="L774" s="0" t="str">
        <f aca="false">C774</f>
        <v>Peyton Hendershot</v>
      </c>
      <c r="M774" s="121" t="str">
        <f aca="false">IFERROR(VLOOKUP(E774,RISK!A:B,2,FALSE()),"")</f>
        <v/>
      </c>
      <c r="N774" s="120" t="e">
        <f aca="false">VLOOKUP(E774,Q:R,2,FALSE())</f>
        <v>#N/A</v>
      </c>
    </row>
    <row r="775" customFormat="false" ht="14.25" hidden="false" customHeight="true" outlineLevel="0" collapsed="false">
      <c r="A775" s="0" t="n">
        <v>774</v>
      </c>
      <c r="B775" s="0" t="n">
        <v>14</v>
      </c>
      <c r="C775" s="0" t="s">
        <v>1751</v>
      </c>
      <c r="D775" s="0" t="s">
        <v>1121</v>
      </c>
      <c r="E775" s="0" t="s">
        <v>1752</v>
      </c>
      <c r="F775" s="0" t="s">
        <v>1038</v>
      </c>
      <c r="G775" s="0" t="s">
        <v>1038</v>
      </c>
      <c r="H775" s="0" t="s">
        <v>1038</v>
      </c>
      <c r="I775" s="0" t="s">
        <v>1038</v>
      </c>
      <c r="J775" s="0" t="s">
        <v>1038</v>
      </c>
      <c r="K775" s="0" t="n">
        <v>774</v>
      </c>
      <c r="L775" s="0" t="str">
        <f aca="false">C775</f>
        <v>Tanner Conner</v>
      </c>
      <c r="M775" s="121" t="str">
        <f aca="false">IFERROR(VLOOKUP(E775,RISK!A:B,2,FALSE()),"")</f>
        <v/>
      </c>
      <c r="N775" s="120" t="e">
        <f aca="false">VLOOKUP(E775,Q:R,2,FALSE())</f>
        <v>#N/A</v>
      </c>
    </row>
    <row r="776" customFormat="false" ht="14.25" hidden="false" customHeight="true" outlineLevel="0" collapsed="false">
      <c r="A776" s="0" t="n">
        <v>775</v>
      </c>
      <c r="B776" s="0" t="n">
        <v>14</v>
      </c>
      <c r="C776" s="0" t="s">
        <v>1753</v>
      </c>
      <c r="D776" s="0" t="s">
        <v>496</v>
      </c>
      <c r="E776" s="0" t="s">
        <v>1754</v>
      </c>
      <c r="F776" s="0" t="n">
        <v>7</v>
      </c>
      <c r="G776" s="0" t="s">
        <v>1038</v>
      </c>
      <c r="H776" s="0" t="s">
        <v>1038</v>
      </c>
      <c r="I776" s="0" t="s">
        <v>1034</v>
      </c>
      <c r="J776" s="0" t="s">
        <v>1038</v>
      </c>
      <c r="K776" s="0" t="n">
        <v>775</v>
      </c>
      <c r="L776" s="0" t="str">
        <f aca="false">C776</f>
        <v>Joshua Simon</v>
      </c>
      <c r="M776" s="121" t="str">
        <f aca="false">IFERROR(VLOOKUP(E776,RISK!A:B,2,FALSE()),"")</f>
        <v/>
      </c>
      <c r="N776" s="120" t="e">
        <f aca="false">VLOOKUP(E776,Q:R,2,FALSE())</f>
        <v>#N/A</v>
      </c>
    </row>
    <row r="777" customFormat="false" ht="14.25" hidden="false" customHeight="true" outlineLevel="0" collapsed="false">
      <c r="A777" s="0" t="n">
        <v>776</v>
      </c>
      <c r="B777" s="0" t="n">
        <v>14</v>
      </c>
      <c r="C777" s="0" t="s">
        <v>1755</v>
      </c>
      <c r="D777" s="0" t="s">
        <v>522</v>
      </c>
      <c r="E777" s="0" t="s">
        <v>1756</v>
      </c>
      <c r="F777" s="0" t="n">
        <v>6</v>
      </c>
      <c r="G777" s="0" t="s">
        <v>1038</v>
      </c>
      <c r="H777" s="0" t="s">
        <v>1038</v>
      </c>
      <c r="I777" s="0" t="s">
        <v>1030</v>
      </c>
      <c r="J777" s="0" t="s">
        <v>1038</v>
      </c>
      <c r="K777" s="0" t="n">
        <v>776</v>
      </c>
      <c r="L777" s="0" t="str">
        <f aca="false">C777</f>
        <v>Max Brosmer</v>
      </c>
      <c r="M777" s="121" t="str">
        <f aca="false">IFERROR(VLOOKUP(E777,RISK!A:B,2,FALSE()),"")</f>
        <v/>
      </c>
      <c r="N777" s="120" t="e">
        <f aca="false">VLOOKUP(E777,Q:R,2,FALSE())</f>
        <v>#N/A</v>
      </c>
    </row>
    <row r="778" customFormat="false" ht="14.25" hidden="false" customHeight="true" outlineLevel="0" collapsed="false">
      <c r="A778" s="0" t="n">
        <v>777</v>
      </c>
      <c r="B778" s="0" t="n">
        <v>14</v>
      </c>
      <c r="C778" s="0" t="s">
        <v>1757</v>
      </c>
      <c r="D778" s="0" t="s">
        <v>1121</v>
      </c>
      <c r="E778" s="0" t="s">
        <v>1758</v>
      </c>
      <c r="F778" s="0" t="s">
        <v>1038</v>
      </c>
      <c r="G778" s="0" t="s">
        <v>1038</v>
      </c>
      <c r="H778" s="0" t="s">
        <v>1038</v>
      </c>
      <c r="I778" s="0" t="s">
        <v>1038</v>
      </c>
      <c r="J778" s="0" t="s">
        <v>1038</v>
      </c>
      <c r="K778" s="0" t="n">
        <v>777</v>
      </c>
      <c r="L778" s="0" t="str">
        <f aca="false">C778</f>
        <v>Joshua Cephus</v>
      </c>
      <c r="M778" s="121" t="str">
        <f aca="false">IFERROR(VLOOKUP(E778,RISK!A:B,2,FALSE()),"")</f>
        <v/>
      </c>
      <c r="N778" s="120" t="e">
        <f aca="false">VLOOKUP(E778,Q:R,2,FALSE())</f>
        <v>#N/A</v>
      </c>
    </row>
    <row r="779" customFormat="false" ht="14.25" hidden="false" customHeight="true" outlineLevel="0" collapsed="false">
      <c r="A779" s="0" t="n">
        <v>778</v>
      </c>
      <c r="B779" s="0" t="n">
        <v>14</v>
      </c>
      <c r="C779" s="0" t="s">
        <v>1759</v>
      </c>
      <c r="D779" s="0" t="s">
        <v>1121</v>
      </c>
      <c r="E779" s="0" t="s">
        <v>1760</v>
      </c>
      <c r="F779" s="0" t="s">
        <v>1038</v>
      </c>
      <c r="G779" s="0" t="s">
        <v>1038</v>
      </c>
      <c r="H779" s="0" t="s">
        <v>1038</v>
      </c>
      <c r="I779" s="0" t="s">
        <v>1038</v>
      </c>
      <c r="J779" s="0" t="s">
        <v>1038</v>
      </c>
      <c r="K779" s="0" t="n">
        <v>778</v>
      </c>
      <c r="L779" s="0" t="str">
        <f aca="false">C779</f>
        <v>Deontay Burnett</v>
      </c>
      <c r="M779" s="121" t="str">
        <f aca="false">IFERROR(VLOOKUP(E779,RISK!A:B,2,FALSE()),"")</f>
        <v/>
      </c>
      <c r="N779" s="120" t="e">
        <f aca="false">VLOOKUP(E779,Q:R,2,FALSE())</f>
        <v>#N/A</v>
      </c>
    </row>
    <row r="780" customFormat="false" ht="14.25" hidden="false" customHeight="true" outlineLevel="0" collapsed="false">
      <c r="A780" s="0" t="n">
        <v>779</v>
      </c>
      <c r="B780" s="0" t="n">
        <v>14</v>
      </c>
      <c r="C780" s="0" t="s">
        <v>1761</v>
      </c>
      <c r="D780" s="0" t="s">
        <v>494</v>
      </c>
      <c r="E780" s="0" t="s">
        <v>1762</v>
      </c>
      <c r="F780" s="0" t="n">
        <v>13</v>
      </c>
      <c r="G780" s="0" t="s">
        <v>1038</v>
      </c>
      <c r="H780" s="0" t="s">
        <v>1038</v>
      </c>
      <c r="I780" s="0" t="s">
        <v>1032</v>
      </c>
      <c r="J780" s="0" t="s">
        <v>1038</v>
      </c>
      <c r="K780" s="0" t="n">
        <v>779</v>
      </c>
      <c r="L780" s="0" t="str">
        <f aca="false">C780</f>
        <v>Ty Pezza</v>
      </c>
      <c r="M780" s="121" t="str">
        <f aca="false">IFERROR(VLOOKUP(E780,RISK!A:B,2,FALSE()),"")</f>
        <v/>
      </c>
      <c r="N780" s="120" t="e">
        <f aca="false">VLOOKUP(E780,Q:R,2,FALSE())</f>
        <v>#N/A</v>
      </c>
    </row>
    <row r="781" customFormat="false" ht="14.25" hidden="false" customHeight="true" outlineLevel="0" collapsed="false">
      <c r="A781" s="0" t="n">
        <v>780</v>
      </c>
      <c r="B781" s="0" t="n">
        <v>14</v>
      </c>
      <c r="C781" s="0" t="s">
        <v>1763</v>
      </c>
      <c r="D781" s="0" t="s">
        <v>542</v>
      </c>
      <c r="E781" s="0" t="s">
        <v>1764</v>
      </c>
      <c r="F781" s="0" t="n">
        <v>13</v>
      </c>
      <c r="G781" s="0" t="s">
        <v>1038</v>
      </c>
      <c r="H781" s="0" t="s">
        <v>1038</v>
      </c>
      <c r="I781" s="0" t="s">
        <v>1032</v>
      </c>
      <c r="J781" s="0" t="s">
        <v>1038</v>
      </c>
      <c r="K781" s="0" t="n">
        <v>780</v>
      </c>
      <c r="L781" s="0" t="str">
        <f aca="false">C781</f>
        <v>Bailey Zappe</v>
      </c>
      <c r="M781" s="121" t="str">
        <f aca="false">IFERROR(VLOOKUP(E781,RISK!A:B,2,FALSE()),"")</f>
        <v/>
      </c>
      <c r="N781" s="120" t="e">
        <f aca="false">VLOOKUP(E781,Q:R,2,FALSE())</f>
        <v>#N/A</v>
      </c>
    </row>
    <row r="782" customFormat="false" ht="14.25" hidden="false" customHeight="true" outlineLevel="0" collapsed="false">
      <c r="A782" s="0" t="n">
        <v>781</v>
      </c>
      <c r="B782" s="0" t="n">
        <v>14</v>
      </c>
      <c r="C782" s="0" t="s">
        <v>1765</v>
      </c>
      <c r="D782" s="0" t="s">
        <v>1121</v>
      </c>
      <c r="E782" s="0" t="s">
        <v>1766</v>
      </c>
      <c r="F782" s="0" t="s">
        <v>1038</v>
      </c>
      <c r="G782" s="0" t="s">
        <v>1038</v>
      </c>
      <c r="H782" s="0" t="s">
        <v>1038</v>
      </c>
      <c r="I782" s="0" t="s">
        <v>1038</v>
      </c>
      <c r="J782" s="0" t="s">
        <v>1038</v>
      </c>
      <c r="K782" s="0" t="n">
        <v>781</v>
      </c>
      <c r="L782" s="0" t="str">
        <f aca="false">C782</f>
        <v>Bub Means</v>
      </c>
      <c r="M782" s="121" t="str">
        <f aca="false">IFERROR(VLOOKUP(E782,RISK!A:B,2,FALSE()),"")</f>
        <v/>
      </c>
      <c r="N782" s="120" t="e">
        <f aca="false">VLOOKUP(E782,Q:R,2,FALSE())</f>
        <v>#N/A</v>
      </c>
    </row>
    <row r="783" customFormat="false" ht="14.25" hidden="false" customHeight="true" outlineLevel="0" collapsed="false">
      <c r="A783" s="0" t="n">
        <v>782</v>
      </c>
      <c r="B783" s="0" t="n">
        <v>14</v>
      </c>
      <c r="C783" s="0" t="s">
        <v>1767</v>
      </c>
      <c r="D783" s="0" t="s">
        <v>1121</v>
      </c>
      <c r="E783" s="0" t="s">
        <v>1768</v>
      </c>
      <c r="F783" s="0" t="s">
        <v>1038</v>
      </c>
      <c r="G783" s="0" t="s">
        <v>1038</v>
      </c>
      <c r="H783" s="0" t="s">
        <v>1038</v>
      </c>
      <c r="I783" s="0" t="s">
        <v>1038</v>
      </c>
      <c r="J783" s="0" t="s">
        <v>1038</v>
      </c>
      <c r="K783" s="0" t="n">
        <v>782</v>
      </c>
      <c r="L783" s="0" t="str">
        <f aca="false">C783</f>
        <v>D'Ernest Johnson</v>
      </c>
      <c r="M783" s="121" t="str">
        <f aca="false">IFERROR(VLOOKUP(E783,RISK!A:B,2,FALSE()),"")</f>
        <v/>
      </c>
      <c r="N783" s="120" t="e">
        <f aca="false">VLOOKUP(E783,Q:R,2,FALSE())</f>
        <v>#N/A</v>
      </c>
    </row>
    <row r="784" customFormat="false" ht="14.25" hidden="false" customHeight="true" outlineLevel="0" collapsed="false">
      <c r="A784" s="0" t="n">
        <v>783</v>
      </c>
      <c r="B784" s="0" t="n">
        <v>14</v>
      </c>
      <c r="C784" s="0" t="s">
        <v>1769</v>
      </c>
      <c r="D784" s="0" t="s">
        <v>1121</v>
      </c>
      <c r="E784" s="0" t="s">
        <v>1770</v>
      </c>
      <c r="F784" s="0" t="s">
        <v>1038</v>
      </c>
      <c r="G784" s="0" t="s">
        <v>1038</v>
      </c>
      <c r="H784" s="0" t="s">
        <v>1038</v>
      </c>
      <c r="I784" s="0" t="s">
        <v>1038</v>
      </c>
      <c r="J784" s="0" t="s">
        <v>1038</v>
      </c>
      <c r="K784" s="0" t="n">
        <v>783</v>
      </c>
      <c r="L784" s="0" t="str">
        <f aca="false">C784</f>
        <v>Desmond Ridder</v>
      </c>
      <c r="M784" s="121" t="str">
        <f aca="false">IFERROR(VLOOKUP(E784,RISK!A:B,2,FALSE()),"")</f>
        <v/>
      </c>
      <c r="N784" s="120" t="e">
        <f aca="false">VLOOKUP(E784,Q:R,2,FALSE())</f>
        <v>#N/A</v>
      </c>
    </row>
    <row r="785" customFormat="false" ht="14.25" hidden="false" customHeight="true" outlineLevel="0" collapsed="false">
      <c r="A785" s="0" t="n">
        <v>784</v>
      </c>
      <c r="B785" s="0" t="n">
        <v>14</v>
      </c>
      <c r="C785" s="0" t="s">
        <v>597</v>
      </c>
      <c r="D785" s="0" t="s">
        <v>502</v>
      </c>
      <c r="E785" s="0" t="s">
        <v>1771</v>
      </c>
      <c r="F785" s="0" t="n">
        <v>6</v>
      </c>
      <c r="G785" s="0" t="s">
        <v>1038</v>
      </c>
      <c r="H785" s="0" t="s">
        <v>1038</v>
      </c>
      <c r="I785" s="0" t="s">
        <v>1035</v>
      </c>
      <c r="J785" s="0" t="s">
        <v>1038</v>
      </c>
      <c r="K785" s="0" t="n">
        <v>784</v>
      </c>
      <c r="L785" s="0" t="str">
        <f aca="false">C785</f>
        <v>Josh Johnson</v>
      </c>
      <c r="M785" s="121" t="str">
        <f aca="false">IFERROR(VLOOKUP(E785,RISK!A:B,2,FALSE()),"")</f>
        <v/>
      </c>
      <c r="N785" s="120" t="e">
        <f aca="false">VLOOKUP(E785,Q:R,2,FALSE())</f>
        <v>#N/A</v>
      </c>
    </row>
    <row r="786" customFormat="false" ht="14.25" hidden="false" customHeight="true" outlineLevel="0" collapsed="false">
      <c r="A786" s="0" t="n">
        <v>785</v>
      </c>
      <c r="B786" s="0" t="n">
        <v>14</v>
      </c>
      <c r="C786" s="0" t="s">
        <v>1772</v>
      </c>
      <c r="D786" s="0" t="s">
        <v>1121</v>
      </c>
      <c r="E786" s="0" t="s">
        <v>1773</v>
      </c>
      <c r="F786" s="0" t="s">
        <v>1038</v>
      </c>
      <c r="G786" s="0" t="s">
        <v>1038</v>
      </c>
      <c r="H786" s="0" t="s">
        <v>1038</v>
      </c>
      <c r="I786" s="0" t="s">
        <v>1038</v>
      </c>
      <c r="J786" s="0" t="s">
        <v>1038</v>
      </c>
      <c r="K786" s="0" t="n">
        <v>785</v>
      </c>
      <c r="L786" s="0" t="str">
        <f aca="false">C786</f>
        <v>Darrynton Evans</v>
      </c>
      <c r="M786" s="121" t="str">
        <f aca="false">IFERROR(VLOOKUP(E786,RISK!A:B,2,FALSE()),"")</f>
        <v/>
      </c>
      <c r="N786" s="120" t="e">
        <f aca="false">VLOOKUP(E786,Q:R,2,FALSE())</f>
        <v>#N/A</v>
      </c>
    </row>
    <row r="787" customFormat="false" ht="14.25" hidden="false" customHeight="true" outlineLevel="0" collapsed="false">
      <c r="A787" s="0" t="n">
        <v>786</v>
      </c>
      <c r="B787" s="0" t="n">
        <v>14</v>
      </c>
      <c r="C787" s="0" t="s">
        <v>1774</v>
      </c>
      <c r="D787" s="0" t="s">
        <v>522</v>
      </c>
      <c r="E787" s="0" t="s">
        <v>1775</v>
      </c>
      <c r="F787" s="0" t="n">
        <v>6</v>
      </c>
      <c r="G787" s="0" t="s">
        <v>1038</v>
      </c>
      <c r="H787" s="0" t="s">
        <v>1038</v>
      </c>
      <c r="I787" s="0" t="s">
        <v>1032</v>
      </c>
      <c r="J787" s="0" t="s">
        <v>1038</v>
      </c>
      <c r="K787" s="0" t="n">
        <v>786</v>
      </c>
      <c r="L787" s="0" t="str">
        <f aca="false">C787</f>
        <v>Bryson Nesbit</v>
      </c>
      <c r="M787" s="121" t="str">
        <f aca="false">IFERROR(VLOOKUP(E787,RISK!A:B,2,FALSE()),"")</f>
        <v/>
      </c>
      <c r="N787" s="120" t="e">
        <f aca="false">VLOOKUP(E787,Q:R,2,FALSE())</f>
        <v>#N/A</v>
      </c>
    </row>
    <row r="788" customFormat="false" ht="14.25" hidden="false" customHeight="true" outlineLevel="0" collapsed="false">
      <c r="A788" s="0" t="n">
        <v>787</v>
      </c>
      <c r="B788" s="0" t="n">
        <v>14</v>
      </c>
      <c r="C788" s="0" t="s">
        <v>1776</v>
      </c>
      <c r="D788" s="0" t="s">
        <v>512</v>
      </c>
      <c r="E788" s="0" t="s">
        <v>1777</v>
      </c>
      <c r="F788" s="0" t="n">
        <v>5</v>
      </c>
      <c r="G788" s="0" t="s">
        <v>1038</v>
      </c>
      <c r="H788" s="0" t="s">
        <v>1038</v>
      </c>
      <c r="I788" s="0" t="s">
        <v>1032</v>
      </c>
      <c r="J788" s="0" t="s">
        <v>1038</v>
      </c>
      <c r="K788" s="0" t="n">
        <v>787</v>
      </c>
      <c r="L788" s="0" t="str">
        <f aca="false">C788</f>
        <v>John Michael Gyllenborg</v>
      </c>
      <c r="M788" s="121" t="str">
        <f aca="false">IFERROR(VLOOKUP(E788,RISK!A:B,2,FALSE()),"")</f>
        <v/>
      </c>
      <c r="N788" s="120" t="e">
        <f aca="false">VLOOKUP(E788,Q:R,2,FALSE())</f>
        <v>#N/A</v>
      </c>
    </row>
    <row r="789" customFormat="false" ht="14.25" hidden="false" customHeight="true" outlineLevel="0" collapsed="false">
      <c r="A789" s="0" t="n">
        <v>788</v>
      </c>
      <c r="B789" s="0" t="n">
        <v>14</v>
      </c>
      <c r="C789" s="0" t="s">
        <v>1778</v>
      </c>
      <c r="D789" s="0" t="s">
        <v>496</v>
      </c>
      <c r="E789" s="0" t="s">
        <v>1779</v>
      </c>
      <c r="F789" s="0" t="n">
        <v>7</v>
      </c>
      <c r="G789" s="0" t="s">
        <v>1038</v>
      </c>
      <c r="H789" s="0" t="s">
        <v>1038</v>
      </c>
      <c r="I789" s="0" t="s">
        <v>1032</v>
      </c>
      <c r="J789" s="0" t="s">
        <v>1038</v>
      </c>
      <c r="K789" s="0" t="n">
        <v>788</v>
      </c>
      <c r="L789" s="0" t="str">
        <f aca="false">C789</f>
        <v>Chase Edmonds</v>
      </c>
      <c r="M789" s="121" t="str">
        <f aca="false">IFERROR(VLOOKUP(E789,RISK!A:B,2,FALSE()),"")</f>
        <v/>
      </c>
      <c r="N789" s="120" t="e">
        <f aca="false">VLOOKUP(E789,Q:R,2,FALSE())</f>
        <v>#N/A</v>
      </c>
    </row>
    <row r="790" customFormat="false" ht="14.25" hidden="false" customHeight="true" outlineLevel="0" collapsed="false">
      <c r="A790" s="0" t="n">
        <v>789</v>
      </c>
      <c r="B790" s="0" t="n">
        <v>14</v>
      </c>
      <c r="C790" s="0" t="s">
        <v>1780</v>
      </c>
      <c r="D790" s="0" t="s">
        <v>1121</v>
      </c>
      <c r="E790" s="0" t="s">
        <v>1781</v>
      </c>
      <c r="F790" s="0" t="s">
        <v>1038</v>
      </c>
      <c r="G790" s="0" t="s">
        <v>1038</v>
      </c>
      <c r="H790" s="0" t="s">
        <v>1038</v>
      </c>
      <c r="I790" s="0" t="s">
        <v>1038</v>
      </c>
      <c r="J790" s="0" t="s">
        <v>1038</v>
      </c>
      <c r="K790" s="0" t="n">
        <v>789</v>
      </c>
      <c r="L790" s="0" t="str">
        <f aca="false">C790</f>
        <v>Dillon Johnson</v>
      </c>
      <c r="M790" s="121" t="str">
        <f aca="false">IFERROR(VLOOKUP(E790,RISK!A:B,2,FALSE()),"")</f>
        <v/>
      </c>
      <c r="N790" s="120" t="e">
        <f aca="false">VLOOKUP(E790,Q:R,2,FALSE())</f>
        <v>#N/A</v>
      </c>
    </row>
    <row r="791" customFormat="false" ht="14.25" hidden="false" customHeight="true" outlineLevel="0" collapsed="false">
      <c r="A791" s="0" t="n">
        <v>790</v>
      </c>
      <c r="B791" s="0" t="n">
        <v>14</v>
      </c>
      <c r="C791" s="0" t="s">
        <v>1782</v>
      </c>
      <c r="D791" s="0" t="s">
        <v>1121</v>
      </c>
      <c r="E791" s="0" t="s">
        <v>1783</v>
      </c>
      <c r="F791" s="0" t="s">
        <v>1038</v>
      </c>
      <c r="G791" s="0" t="s">
        <v>1038</v>
      </c>
      <c r="H791" s="0" t="s">
        <v>1038</v>
      </c>
      <c r="I791" s="0" t="s">
        <v>1038</v>
      </c>
      <c r="J791" s="0" t="s">
        <v>1038</v>
      </c>
      <c r="K791" s="0" t="n">
        <v>790</v>
      </c>
      <c r="L791" s="0" t="str">
        <f aca="false">C791</f>
        <v>Justin Watson</v>
      </c>
      <c r="M791" s="121" t="str">
        <f aca="false">IFERROR(VLOOKUP(E791,RISK!A:B,2,FALSE()),"")</f>
        <v/>
      </c>
      <c r="N791" s="120" t="e">
        <f aca="false">VLOOKUP(E791,Q:R,2,FALSE())</f>
        <v>#N/A</v>
      </c>
    </row>
    <row r="792" customFormat="false" ht="14.25" hidden="false" customHeight="true" outlineLevel="0" collapsed="false">
      <c r="A792" s="0" t="n">
        <v>791</v>
      </c>
      <c r="B792" s="0" t="n">
        <v>14</v>
      </c>
      <c r="C792" s="0" t="s">
        <v>1784</v>
      </c>
      <c r="D792" s="0" t="s">
        <v>510</v>
      </c>
      <c r="E792" s="0" t="s">
        <v>1785</v>
      </c>
      <c r="F792" s="0" t="n">
        <v>14</v>
      </c>
      <c r="G792" s="0" t="s">
        <v>1038</v>
      </c>
      <c r="H792" s="0" t="s">
        <v>1038</v>
      </c>
      <c r="I792" s="0" t="s">
        <v>1031</v>
      </c>
      <c r="J792" s="0" t="s">
        <v>1038</v>
      </c>
      <c r="K792" s="0" t="n">
        <v>791</v>
      </c>
      <c r="L792" s="0" t="str">
        <f aca="false">C792</f>
        <v>Camden Brown</v>
      </c>
      <c r="M792" s="121" t="str">
        <f aca="false">IFERROR(VLOOKUP(E792,RISK!A:B,2,FALSE()),"")</f>
        <v/>
      </c>
      <c r="N792" s="120" t="e">
        <f aca="false">VLOOKUP(E792,Q:R,2,FALSE())</f>
        <v>#N/A</v>
      </c>
    </row>
    <row r="793" customFormat="false" ht="14.25" hidden="false" customHeight="true" outlineLevel="0" collapsed="false">
      <c r="A793" s="0" t="n">
        <v>792</v>
      </c>
      <c r="B793" s="0" t="n">
        <v>14</v>
      </c>
      <c r="C793" s="0" t="s">
        <v>1786</v>
      </c>
      <c r="D793" s="0" t="s">
        <v>494</v>
      </c>
      <c r="E793" s="0" t="s">
        <v>1787</v>
      </c>
      <c r="F793" s="0" t="n">
        <v>13</v>
      </c>
      <c r="G793" s="0" t="s">
        <v>1038</v>
      </c>
      <c r="H793" s="0" t="s">
        <v>1038</v>
      </c>
      <c r="I793" s="0" t="s">
        <v>1035</v>
      </c>
      <c r="J793" s="0" t="s">
        <v>1038</v>
      </c>
      <c r="K793" s="0" t="n">
        <v>792</v>
      </c>
      <c r="L793" s="0" t="str">
        <f aca="false">C793</f>
        <v>Jonathan Ward</v>
      </c>
      <c r="M793" s="121" t="str">
        <f aca="false">IFERROR(VLOOKUP(E793,RISK!A:B,2,FALSE()),"")</f>
        <v/>
      </c>
      <c r="N793" s="120" t="e">
        <f aca="false">VLOOKUP(E793,Q:R,2,FALSE())</f>
        <v>#N/A</v>
      </c>
    </row>
    <row r="794" customFormat="false" ht="14.25" hidden="false" customHeight="true" outlineLevel="0" collapsed="false">
      <c r="A794" s="0" t="n">
        <v>793</v>
      </c>
      <c r="B794" s="0" t="n">
        <v>15</v>
      </c>
      <c r="C794" s="0" t="s">
        <v>1788</v>
      </c>
      <c r="D794" s="0" t="s">
        <v>532</v>
      </c>
      <c r="E794" s="0" t="s">
        <v>1789</v>
      </c>
      <c r="F794" s="0" t="n">
        <v>13</v>
      </c>
      <c r="G794" s="0" t="s">
        <v>1038</v>
      </c>
      <c r="H794" s="0" t="s">
        <v>1038</v>
      </c>
      <c r="I794" s="0" t="s">
        <v>1032</v>
      </c>
      <c r="J794" s="0" t="s">
        <v>1038</v>
      </c>
      <c r="K794" s="0" t="n">
        <v>793</v>
      </c>
      <c r="L794" s="0" t="str">
        <f aca="false">C794</f>
        <v>Coleman Owen</v>
      </c>
      <c r="M794" s="121" t="str">
        <f aca="false">IFERROR(VLOOKUP(E794,RISK!A:B,2,FALSE()),"")</f>
        <v/>
      </c>
      <c r="N794" s="120" t="e">
        <f aca="false">VLOOKUP(E794,Q:R,2,FALSE())</f>
        <v>#N/A</v>
      </c>
    </row>
    <row r="795" customFormat="false" ht="14.25" hidden="false" customHeight="true" outlineLevel="0" collapsed="false">
      <c r="A795" s="0" t="n">
        <v>794</v>
      </c>
      <c r="B795" s="0" t="n">
        <v>15</v>
      </c>
      <c r="C795" s="0" t="s">
        <v>1790</v>
      </c>
      <c r="D795" s="0" t="s">
        <v>1121</v>
      </c>
      <c r="E795" s="0" t="s">
        <v>1791</v>
      </c>
      <c r="F795" s="0" t="s">
        <v>1038</v>
      </c>
      <c r="G795" s="0" t="s">
        <v>1038</v>
      </c>
      <c r="H795" s="0" t="s">
        <v>1038</v>
      </c>
      <c r="I795" s="0" t="s">
        <v>1038</v>
      </c>
      <c r="J795" s="0" t="s">
        <v>1038</v>
      </c>
      <c r="K795" s="0" t="n">
        <v>794</v>
      </c>
      <c r="L795" s="0" t="str">
        <f aca="false">C795</f>
        <v>Jason Brownlee</v>
      </c>
      <c r="M795" s="121" t="str">
        <f aca="false">IFERROR(VLOOKUP(E795,RISK!A:B,2,FALSE()),"")</f>
        <v/>
      </c>
      <c r="N795" s="120" t="e">
        <f aca="false">VLOOKUP(E795,Q:R,2,FALSE())</f>
        <v>#N/A</v>
      </c>
    </row>
    <row r="796" customFormat="false" ht="14.25" hidden="false" customHeight="true" outlineLevel="0" collapsed="false">
      <c r="A796" s="0" t="n">
        <v>795</v>
      </c>
      <c r="B796" s="0" t="n">
        <v>15</v>
      </c>
      <c r="C796" s="0" t="s">
        <v>1792</v>
      </c>
      <c r="D796" s="0" t="s">
        <v>1121</v>
      </c>
      <c r="E796" s="0" t="s">
        <v>1793</v>
      </c>
      <c r="F796" s="0" t="s">
        <v>1038</v>
      </c>
      <c r="G796" s="0" t="s">
        <v>1038</v>
      </c>
      <c r="H796" s="0" t="s">
        <v>1038</v>
      </c>
      <c r="I796" s="0" t="s">
        <v>1038</v>
      </c>
      <c r="J796" s="0" t="s">
        <v>1038</v>
      </c>
      <c r="K796" s="0" t="n">
        <v>795</v>
      </c>
      <c r="L796" s="0" t="str">
        <f aca="false">C796</f>
        <v>Clyde Edwards-Helaire</v>
      </c>
      <c r="M796" s="121" t="str">
        <f aca="false">IFERROR(VLOOKUP(E796,RISK!A:B,2,FALSE()),"")</f>
        <v/>
      </c>
      <c r="N796" s="120" t="e">
        <f aca="false">VLOOKUP(E796,Q:R,2,FALSE())</f>
        <v>#N/A</v>
      </c>
    </row>
    <row r="797" customFormat="false" ht="14.25" hidden="false" customHeight="true" outlineLevel="0" collapsed="false">
      <c r="A797" s="0" t="n">
        <v>796</v>
      </c>
      <c r="B797" s="0" t="n">
        <v>15</v>
      </c>
      <c r="C797" s="0" t="s">
        <v>1794</v>
      </c>
      <c r="D797" s="0" t="s">
        <v>1121</v>
      </c>
      <c r="E797" s="0" t="s">
        <v>1795</v>
      </c>
      <c r="F797" s="0" t="s">
        <v>1038</v>
      </c>
      <c r="G797" s="0" t="s">
        <v>1038</v>
      </c>
      <c r="H797" s="0" t="s">
        <v>1038</v>
      </c>
      <c r="I797" s="0" t="s">
        <v>1038</v>
      </c>
      <c r="J797" s="0" t="s">
        <v>1038</v>
      </c>
      <c r="K797" s="0" t="n">
        <v>796</v>
      </c>
      <c r="L797" s="0" t="str">
        <f aca="false">C797</f>
        <v>Jeff Wilson Jr.</v>
      </c>
      <c r="M797" s="121" t="str">
        <f aca="false">IFERROR(VLOOKUP(E797,RISK!A:B,2,FALSE()),"")</f>
        <v/>
      </c>
      <c r="N797" s="120" t="e">
        <f aca="false">VLOOKUP(E797,Q:R,2,FALSE())</f>
        <v>#N/A</v>
      </c>
    </row>
    <row r="798" customFormat="false" ht="14.25" hidden="false" customHeight="true" outlineLevel="0" collapsed="false">
      <c r="A798" s="0" t="n">
        <v>797</v>
      </c>
      <c r="B798" s="0" t="n">
        <v>15</v>
      </c>
      <c r="C798" s="0" t="s">
        <v>1796</v>
      </c>
      <c r="D798" s="0" t="s">
        <v>510</v>
      </c>
      <c r="E798" s="0" t="s">
        <v>1797</v>
      </c>
      <c r="F798" s="0" t="n">
        <v>14</v>
      </c>
      <c r="G798" s="0" t="s">
        <v>1038</v>
      </c>
      <c r="H798" s="0" t="s">
        <v>1038</v>
      </c>
      <c r="I798" s="0" t="s">
        <v>1031</v>
      </c>
      <c r="J798" s="0" t="s">
        <v>1038</v>
      </c>
      <c r="K798" s="0" t="n">
        <v>797</v>
      </c>
      <c r="L798" s="0" t="str">
        <f aca="false">C798</f>
        <v>Anthony Smith</v>
      </c>
      <c r="M798" s="121" t="str">
        <f aca="false">IFERROR(VLOOKUP(E798,RISK!A:B,2,FALSE()),"")</f>
        <v/>
      </c>
      <c r="N798" s="120" t="e">
        <f aca="false">VLOOKUP(E798,Q:R,2,FALSE())</f>
        <v>#N/A</v>
      </c>
    </row>
    <row r="799" customFormat="false" ht="14.25" hidden="false" customHeight="true" outlineLevel="0" collapsed="false">
      <c r="A799" s="0" t="n">
        <v>798</v>
      </c>
      <c r="B799" s="0" t="n">
        <v>15</v>
      </c>
      <c r="C799" s="0" t="s">
        <v>1798</v>
      </c>
      <c r="D799" s="0" t="s">
        <v>1121</v>
      </c>
      <c r="E799" s="0" t="s">
        <v>1799</v>
      </c>
      <c r="F799" s="0" t="s">
        <v>1038</v>
      </c>
      <c r="G799" s="0" t="s">
        <v>1038</v>
      </c>
      <c r="H799" s="0" t="s">
        <v>1038</v>
      </c>
      <c r="I799" s="0" t="s">
        <v>1038</v>
      </c>
      <c r="J799" s="0" t="s">
        <v>1038</v>
      </c>
      <c r="K799" s="0" t="n">
        <v>798</v>
      </c>
      <c r="L799" s="0" t="str">
        <f aca="false">C799</f>
        <v>Elijah Mitchell</v>
      </c>
      <c r="M799" s="121" t="str">
        <f aca="false">IFERROR(VLOOKUP(E799,RISK!A:B,2,FALSE()),"")</f>
        <v/>
      </c>
      <c r="N799" s="120" t="e">
        <f aca="false">VLOOKUP(E799,Q:R,2,FALSE())</f>
        <v>#N/A</v>
      </c>
    </row>
    <row r="800" customFormat="false" ht="14.25" hidden="false" customHeight="true" outlineLevel="0" collapsed="false">
      <c r="A800" s="0" t="n">
        <v>799</v>
      </c>
      <c r="B800" s="0" t="n">
        <v>15</v>
      </c>
      <c r="C800" s="0" t="s">
        <v>1800</v>
      </c>
      <c r="D800" s="0" t="s">
        <v>498</v>
      </c>
      <c r="E800" s="0" t="s">
        <v>1801</v>
      </c>
      <c r="F800" s="0" t="n">
        <v>11</v>
      </c>
      <c r="G800" s="0" t="s">
        <v>1038</v>
      </c>
      <c r="H800" s="0" t="s">
        <v>1038</v>
      </c>
      <c r="I800" s="0" t="s">
        <v>1032</v>
      </c>
      <c r="J800" s="0" t="s">
        <v>1038</v>
      </c>
      <c r="K800" s="0" t="n">
        <v>799</v>
      </c>
      <c r="L800" s="0" t="str">
        <f aca="false">C800</f>
        <v>Shane Zylstra</v>
      </c>
      <c r="M800" s="121" t="str">
        <f aca="false">IFERROR(VLOOKUP(E800,RISK!A:B,2,FALSE()),"")</f>
        <v/>
      </c>
      <c r="N800" s="120" t="e">
        <f aca="false">VLOOKUP(E800,Q:R,2,FALSE())</f>
        <v>#N/A</v>
      </c>
    </row>
    <row r="801" customFormat="false" ht="14.25" hidden="false" customHeight="true" outlineLevel="0" collapsed="false">
      <c r="A801" s="0" t="n">
        <v>800</v>
      </c>
      <c r="B801" s="0" t="n">
        <v>15</v>
      </c>
      <c r="C801" s="0" t="s">
        <v>1802</v>
      </c>
      <c r="D801" s="0" t="s">
        <v>548</v>
      </c>
      <c r="E801" s="0" t="s">
        <v>1803</v>
      </c>
      <c r="F801" s="0" t="n">
        <v>9</v>
      </c>
      <c r="G801" s="0" t="s">
        <v>1038</v>
      </c>
      <c r="H801" s="0" t="s">
        <v>1038</v>
      </c>
      <c r="I801" s="0" t="s">
        <v>1031</v>
      </c>
      <c r="J801" s="0" t="s">
        <v>1038</v>
      </c>
      <c r="K801" s="0" t="n">
        <v>800</v>
      </c>
      <c r="L801" s="0" t="str">
        <f aca="false">C801</f>
        <v>Robert Tonyan</v>
      </c>
      <c r="M801" s="121" t="str">
        <f aca="false">IFERROR(VLOOKUP(E801,RISK!A:B,2,FALSE()),"")</f>
        <v/>
      </c>
      <c r="N801" s="120" t="e">
        <f aca="false">VLOOKUP(E801,Q:R,2,FALSE())</f>
        <v>#N/A</v>
      </c>
    </row>
    <row r="802" customFormat="false" ht="14.25" hidden="false" customHeight="true" outlineLevel="0" collapsed="false">
      <c r="A802" s="0" t="n">
        <v>801</v>
      </c>
      <c r="B802" s="0" t="n">
        <v>15</v>
      </c>
      <c r="C802" s="0" t="s">
        <v>1014</v>
      </c>
      <c r="D802" s="0" t="s">
        <v>524</v>
      </c>
      <c r="E802" s="0" t="s">
        <v>1804</v>
      </c>
      <c r="F802" s="0" t="n">
        <v>6</v>
      </c>
      <c r="G802" s="0" t="s">
        <v>1038</v>
      </c>
      <c r="H802" s="0" t="s">
        <v>1038</v>
      </c>
      <c r="I802" s="0" t="s">
        <v>1032</v>
      </c>
      <c r="J802" s="0" t="s">
        <v>1038</v>
      </c>
      <c r="K802" s="0" t="n">
        <v>801</v>
      </c>
      <c r="L802" s="0" t="str">
        <f aca="false">C802</f>
        <v>Jackson Meeks</v>
      </c>
      <c r="M802" s="121" t="str">
        <f aca="false">IFERROR(VLOOKUP(E802,RISK!A:B,2,FALSE()),"")</f>
        <v/>
      </c>
      <c r="N802" s="120" t="e">
        <f aca="false">VLOOKUP(E802,Q:R,2,FALSE())</f>
        <v>#N/A</v>
      </c>
    </row>
    <row r="803" customFormat="false" ht="14.25" hidden="false" customHeight="true" outlineLevel="0" collapsed="false">
      <c r="A803" s="0" t="n">
        <v>802</v>
      </c>
      <c r="B803" s="0" t="n">
        <v>15</v>
      </c>
      <c r="C803" s="0" t="s">
        <v>1805</v>
      </c>
      <c r="D803" s="0" t="s">
        <v>520</v>
      </c>
      <c r="E803" s="0" t="s">
        <v>1806</v>
      </c>
      <c r="F803" s="0" t="n">
        <v>11</v>
      </c>
      <c r="G803" s="0" t="s">
        <v>1038</v>
      </c>
      <c r="H803" s="0" t="s">
        <v>1038</v>
      </c>
      <c r="I803" s="0" t="s">
        <v>1034</v>
      </c>
      <c r="J803" s="0" t="s">
        <v>1038</v>
      </c>
      <c r="K803" s="0" t="n">
        <v>802</v>
      </c>
      <c r="L803" s="0" t="str">
        <f aca="false">C803</f>
        <v>Alex Bachman</v>
      </c>
      <c r="M803" s="121" t="str">
        <f aca="false">IFERROR(VLOOKUP(E803,RISK!A:B,2,FALSE()),"")</f>
        <v/>
      </c>
      <c r="N803" s="120" t="e">
        <f aca="false">VLOOKUP(E803,Q:R,2,FALSE())</f>
        <v>#N/A</v>
      </c>
    </row>
    <row r="804" customFormat="false" ht="14.25" hidden="false" customHeight="true" outlineLevel="0" collapsed="false">
      <c r="A804" s="0" t="n">
        <v>803</v>
      </c>
      <c r="B804" s="0" t="n">
        <v>15</v>
      </c>
      <c r="C804" s="0" t="s">
        <v>1807</v>
      </c>
      <c r="D804" s="0" t="s">
        <v>548</v>
      </c>
      <c r="E804" s="0" t="s">
        <v>1808</v>
      </c>
      <c r="F804" s="0" t="n">
        <v>9</v>
      </c>
      <c r="G804" s="0" t="s">
        <v>1038</v>
      </c>
      <c r="H804" s="0" t="s">
        <v>1038</v>
      </c>
      <c r="I804" s="0" t="s">
        <v>1031</v>
      </c>
      <c r="J804" s="0" t="s">
        <v>1038</v>
      </c>
      <c r="K804" s="0" t="n">
        <v>803</v>
      </c>
      <c r="L804" s="0" t="str">
        <f aca="false">C804</f>
        <v>Lake McRee</v>
      </c>
      <c r="M804" s="121" t="str">
        <f aca="false">IFERROR(VLOOKUP(E804,RISK!A:B,2,FALSE()),"")</f>
        <v/>
      </c>
      <c r="N804" s="120" t="e">
        <f aca="false">VLOOKUP(E804,Q:R,2,FALSE())</f>
        <v>#N/A</v>
      </c>
    </row>
    <row r="805" customFormat="false" ht="14.25" hidden="false" customHeight="true" outlineLevel="0" collapsed="false">
      <c r="A805" s="0" t="n">
        <v>804</v>
      </c>
      <c r="B805" s="0" t="n">
        <v>15</v>
      </c>
      <c r="C805" s="0" t="s">
        <v>1809</v>
      </c>
      <c r="D805" s="0" t="s">
        <v>1121</v>
      </c>
      <c r="E805" s="0" t="s">
        <v>1810</v>
      </c>
      <c r="F805" s="0" t="s">
        <v>1038</v>
      </c>
      <c r="G805" s="0" t="s">
        <v>1038</v>
      </c>
      <c r="H805" s="0" t="s">
        <v>1038</v>
      </c>
      <c r="I805" s="0" t="s">
        <v>1038</v>
      </c>
      <c r="J805" s="0" t="s">
        <v>1038</v>
      </c>
      <c r="K805" s="0" t="n">
        <v>804</v>
      </c>
      <c r="L805" s="0" t="str">
        <f aca="false">C805</f>
        <v>DeAndre Carter</v>
      </c>
      <c r="M805" s="121" t="str">
        <f aca="false">IFERROR(VLOOKUP(E805,RISK!A:B,2,FALSE()),"")</f>
        <v/>
      </c>
      <c r="N805" s="120" t="e">
        <f aca="false">VLOOKUP(E805,Q:R,2,FALSE())</f>
        <v>#N/A</v>
      </c>
    </row>
    <row r="806" customFormat="false" ht="14.25" hidden="false" customHeight="true" outlineLevel="0" collapsed="false">
      <c r="A806" s="0" t="n">
        <v>805</v>
      </c>
      <c r="B806" s="0" t="n">
        <v>15</v>
      </c>
      <c r="C806" s="0" t="s">
        <v>1811</v>
      </c>
      <c r="D806" s="0" t="s">
        <v>538</v>
      </c>
      <c r="E806" s="0" t="s">
        <v>1812</v>
      </c>
      <c r="F806" s="0" t="n">
        <v>8</v>
      </c>
      <c r="G806" s="0" t="s">
        <v>1038</v>
      </c>
      <c r="H806" s="0" t="s">
        <v>1038</v>
      </c>
      <c r="I806" s="0" t="s">
        <v>1035</v>
      </c>
      <c r="J806" s="0" t="s">
        <v>1038</v>
      </c>
      <c r="K806" s="0" t="n">
        <v>805</v>
      </c>
      <c r="L806" s="0" t="str">
        <f aca="false">C806</f>
        <v>Lewis Bond</v>
      </c>
      <c r="M806" s="121" t="str">
        <f aca="false">IFERROR(VLOOKUP(E806,RISK!A:B,2,FALSE()),"")</f>
        <v/>
      </c>
      <c r="N806" s="120" t="e">
        <f aca="false">VLOOKUP(E806,Q:R,2,FALSE())</f>
        <v>#N/A</v>
      </c>
    </row>
    <row r="807" customFormat="false" ht="14.25" hidden="false" customHeight="true" outlineLevel="0" collapsed="false">
      <c r="A807" s="0" t="n">
        <v>806</v>
      </c>
      <c r="B807" s="0" t="n">
        <v>15</v>
      </c>
      <c r="C807" s="0" t="s">
        <v>1813</v>
      </c>
      <c r="D807" s="0" t="s">
        <v>510</v>
      </c>
      <c r="E807" s="0" t="s">
        <v>1814</v>
      </c>
      <c r="F807" s="0" t="n">
        <v>14</v>
      </c>
      <c r="G807" s="0" t="s">
        <v>1038</v>
      </c>
      <c r="H807" s="0" t="s">
        <v>1038</v>
      </c>
      <c r="I807" s="0" t="s">
        <v>1031</v>
      </c>
      <c r="J807" s="0" t="s">
        <v>1038</v>
      </c>
      <c r="K807" s="0" t="n">
        <v>806</v>
      </c>
      <c r="L807" s="0" t="str">
        <f aca="false">C807</f>
        <v>Princeton Fant</v>
      </c>
      <c r="M807" s="121" t="str">
        <f aca="false">IFERROR(VLOOKUP(E807,RISK!A:B,2,FALSE()),"")</f>
        <v/>
      </c>
      <c r="N807" s="120" t="e">
        <f aca="false">VLOOKUP(E807,Q:R,2,FALSE())</f>
        <v>#N/A</v>
      </c>
    </row>
    <row r="808" customFormat="false" ht="14.25" hidden="false" customHeight="true" outlineLevel="0" collapsed="false">
      <c r="A808" s="0" t="n">
        <v>807</v>
      </c>
      <c r="B808" s="0" t="n">
        <v>15</v>
      </c>
      <c r="C808" s="0" t="s">
        <v>1815</v>
      </c>
      <c r="D808" s="0" t="s">
        <v>1121</v>
      </c>
      <c r="E808" s="0" t="s">
        <v>1816</v>
      </c>
      <c r="F808" s="0" t="s">
        <v>1038</v>
      </c>
      <c r="G808" s="0" t="s">
        <v>1038</v>
      </c>
      <c r="H808" s="0" t="s">
        <v>1038</v>
      </c>
      <c r="I808" s="0" t="s">
        <v>1038</v>
      </c>
      <c r="J808" s="0" t="s">
        <v>1038</v>
      </c>
      <c r="K808" s="0" t="n">
        <v>807</v>
      </c>
      <c r="L808" s="0" t="str">
        <f aca="false">C808</f>
        <v>JaMycal Hasty</v>
      </c>
      <c r="M808" s="121" t="str">
        <f aca="false">IFERROR(VLOOKUP(E808,RISK!A:B,2,FALSE()),"")</f>
        <v/>
      </c>
      <c r="N808" s="120" t="e">
        <f aca="false">VLOOKUP(E808,Q:R,2,FALSE())</f>
        <v>#N/A</v>
      </c>
    </row>
    <row r="809" customFormat="false" ht="14.25" hidden="false" customHeight="true" outlineLevel="0" collapsed="false">
      <c r="A809" s="0" t="n">
        <v>808</v>
      </c>
      <c r="B809" s="0" t="n">
        <v>15</v>
      </c>
      <c r="C809" s="0" t="s">
        <v>1817</v>
      </c>
      <c r="D809" s="0" t="s">
        <v>1121</v>
      </c>
      <c r="E809" s="0" t="s">
        <v>1818</v>
      </c>
      <c r="F809" s="0" t="s">
        <v>1038</v>
      </c>
      <c r="G809" s="0" t="s">
        <v>1038</v>
      </c>
      <c r="H809" s="0" t="s">
        <v>1038</v>
      </c>
      <c r="I809" s="0" t="s">
        <v>1038</v>
      </c>
      <c r="J809" s="0" t="s">
        <v>1038</v>
      </c>
      <c r="K809" s="0" t="n">
        <v>808</v>
      </c>
      <c r="L809" s="0" t="str">
        <f aca="false">C809</f>
        <v>Collin Hill</v>
      </c>
      <c r="M809" s="121" t="str">
        <f aca="false">IFERROR(VLOOKUP(E809,RISK!A:B,2,FALSE()),"")</f>
        <v/>
      </c>
      <c r="N809" s="120" t="e">
        <f aca="false">VLOOKUP(E809,Q:R,2,FALSE())</f>
        <v>#N/A</v>
      </c>
    </row>
    <row r="810" customFormat="false" ht="14.25" hidden="false" customHeight="true" outlineLevel="0" collapsed="false">
      <c r="A810" s="0" t="n">
        <v>809</v>
      </c>
      <c r="B810" s="0" t="n">
        <v>15</v>
      </c>
      <c r="C810" s="0" t="s">
        <v>1819</v>
      </c>
      <c r="D810" s="0" t="s">
        <v>534</v>
      </c>
      <c r="E810" s="0" t="s">
        <v>1820</v>
      </c>
      <c r="F810" s="0" t="n">
        <v>6</v>
      </c>
      <c r="G810" s="0" t="s">
        <v>1038</v>
      </c>
      <c r="H810" s="0" t="s">
        <v>1038</v>
      </c>
      <c r="I810" s="0" t="s">
        <v>1030</v>
      </c>
      <c r="J810" s="0" t="s">
        <v>1038</v>
      </c>
      <c r="K810" s="0" t="n">
        <v>809</v>
      </c>
      <c r="L810" s="0" t="str">
        <f aca="false">C810</f>
        <v>Tre Watson</v>
      </c>
      <c r="M810" s="121" t="str">
        <f aca="false">IFERROR(VLOOKUP(E810,RISK!A:B,2,FALSE()),"")</f>
        <v/>
      </c>
      <c r="N810" s="120" t="e">
        <f aca="false">VLOOKUP(E810,Q:R,2,FALSE())</f>
        <v>#N/A</v>
      </c>
    </row>
    <row r="811" customFormat="false" ht="14.25" hidden="false" customHeight="true" outlineLevel="0" collapsed="false">
      <c r="A811" s="0" t="n">
        <v>810</v>
      </c>
      <c r="B811" s="0" t="n">
        <v>15</v>
      </c>
      <c r="C811" s="0" t="s">
        <v>1821</v>
      </c>
      <c r="D811" s="0" t="s">
        <v>1121</v>
      </c>
      <c r="E811" s="0" t="s">
        <v>1822</v>
      </c>
      <c r="F811" s="0" t="s">
        <v>1038</v>
      </c>
      <c r="G811" s="0" t="s">
        <v>1038</v>
      </c>
      <c r="H811" s="0" t="s">
        <v>1038</v>
      </c>
      <c r="I811" s="0" t="s">
        <v>1038</v>
      </c>
      <c r="J811" s="0" t="s">
        <v>1038</v>
      </c>
      <c r="K811" s="0" t="n">
        <v>810</v>
      </c>
      <c r="L811" s="0" t="str">
        <f aca="false">C811</f>
        <v>Logan Thomas</v>
      </c>
      <c r="M811" s="121" t="str">
        <f aca="false">IFERROR(VLOOKUP(E811,RISK!A:B,2,FALSE()),"")</f>
        <v/>
      </c>
      <c r="N811" s="120" t="e">
        <f aca="false">VLOOKUP(E811,Q:R,2,FALSE())</f>
        <v>#N/A</v>
      </c>
    </row>
    <row r="812" customFormat="false" ht="14.25" hidden="false" customHeight="true" outlineLevel="0" collapsed="false">
      <c r="A812" s="0" t="n">
        <v>811</v>
      </c>
      <c r="B812" s="0" t="n">
        <v>15</v>
      </c>
      <c r="C812" s="0" t="s">
        <v>1823</v>
      </c>
      <c r="D812" s="0" t="s">
        <v>524</v>
      </c>
      <c r="E812" s="0" t="s">
        <v>1824</v>
      </c>
      <c r="F812" s="0" t="n">
        <v>6</v>
      </c>
      <c r="G812" s="0" t="s">
        <v>1038</v>
      </c>
      <c r="H812" s="0" t="s">
        <v>1038</v>
      </c>
      <c r="I812" s="0" t="s">
        <v>1035</v>
      </c>
      <c r="J812" s="0" t="s">
        <v>1038</v>
      </c>
      <c r="K812" s="0" t="n">
        <v>811</v>
      </c>
      <c r="L812" s="0" t="str">
        <f aca="false">C812</f>
        <v>Thomas Gordon</v>
      </c>
      <c r="M812" s="121" t="str">
        <f aca="false">IFERROR(VLOOKUP(E812,RISK!A:B,2,FALSE()),"")</f>
        <v/>
      </c>
      <c r="N812" s="120" t="e">
        <f aca="false">VLOOKUP(E812,Q:R,2,FALSE())</f>
        <v>#N/A</v>
      </c>
    </row>
    <row r="813" customFormat="false" ht="14.25" hidden="false" customHeight="true" outlineLevel="0" collapsed="false">
      <c r="A813" s="0" t="n">
        <v>812</v>
      </c>
      <c r="B813" s="0" t="n">
        <v>15</v>
      </c>
      <c r="C813" s="0" t="s">
        <v>1825</v>
      </c>
      <c r="D813" s="0" t="s">
        <v>542</v>
      </c>
      <c r="E813" s="0" t="s">
        <v>1826</v>
      </c>
      <c r="F813" s="0" t="n">
        <v>13</v>
      </c>
      <c r="G813" s="0" t="s">
        <v>1038</v>
      </c>
      <c r="H813" s="0" t="s">
        <v>1038</v>
      </c>
      <c r="I813" s="0" t="s">
        <v>1035</v>
      </c>
      <c r="J813" s="0" t="s">
        <v>1038</v>
      </c>
      <c r="K813" s="0" t="n">
        <v>812</v>
      </c>
      <c r="L813" s="0" t="str">
        <f aca="false">C813</f>
        <v>Chip Trayanum</v>
      </c>
      <c r="M813" s="121" t="str">
        <f aca="false">IFERROR(VLOOKUP(E813,RISK!A:B,2,FALSE()),"")</f>
        <v/>
      </c>
      <c r="N813" s="120" t="e">
        <f aca="false">VLOOKUP(E813,Q:R,2,FALSE())</f>
        <v>#N/A</v>
      </c>
    </row>
    <row r="814" customFormat="false" ht="14.25" hidden="false" customHeight="true" outlineLevel="0" collapsed="false">
      <c r="A814" s="0" t="n">
        <v>813</v>
      </c>
      <c r="B814" s="0" t="n">
        <v>15</v>
      </c>
      <c r="C814" s="0" t="s">
        <v>1827</v>
      </c>
      <c r="D814" s="0" t="s">
        <v>1121</v>
      </c>
      <c r="E814" s="0" t="s">
        <v>1828</v>
      </c>
      <c r="F814" s="0" t="s">
        <v>1038</v>
      </c>
      <c r="G814" s="0" t="s">
        <v>1038</v>
      </c>
      <c r="H814" s="0" t="s">
        <v>1038</v>
      </c>
      <c r="I814" s="0" t="s">
        <v>1038</v>
      </c>
      <c r="J814" s="0" t="s">
        <v>1038</v>
      </c>
      <c r="K814" s="0" t="n">
        <v>813</v>
      </c>
      <c r="L814" s="0" t="str">
        <f aca="false">C814</f>
        <v>Tejhaun Palmer</v>
      </c>
      <c r="M814" s="121" t="str">
        <f aca="false">IFERROR(VLOOKUP(E814,RISK!A:B,2,FALSE()),"")</f>
        <v/>
      </c>
      <c r="N814" s="120" t="e">
        <f aca="false">VLOOKUP(E814,Q:R,2,FALSE())</f>
        <v>#N/A</v>
      </c>
    </row>
    <row r="815" customFormat="false" ht="14.25" hidden="false" customHeight="true" outlineLevel="0" collapsed="false">
      <c r="A815" s="0" t="n">
        <v>814</v>
      </c>
      <c r="B815" s="0" t="n">
        <v>15</v>
      </c>
      <c r="C815" s="0" t="s">
        <v>596</v>
      </c>
      <c r="D815" s="0" t="s">
        <v>534</v>
      </c>
      <c r="E815" s="0" t="s">
        <v>1829</v>
      </c>
      <c r="F815" s="0" t="n">
        <v>6</v>
      </c>
      <c r="G815" s="0" t="s">
        <v>1038</v>
      </c>
      <c r="H815" s="0" t="s">
        <v>1038</v>
      </c>
      <c r="I815" s="0" t="s">
        <v>1035</v>
      </c>
      <c r="J815" s="0" t="s">
        <v>1038</v>
      </c>
      <c r="K815" s="0" t="n">
        <v>814</v>
      </c>
      <c r="L815" s="0" t="str">
        <f aca="false">C815</f>
        <v>Brady Cook</v>
      </c>
      <c r="M815" s="121" t="str">
        <f aca="false">IFERROR(VLOOKUP(E815,RISK!A:B,2,FALSE()),"")</f>
        <v/>
      </c>
      <c r="N815" s="120" t="e">
        <f aca="false">VLOOKUP(E815,Q:R,2,FALSE())</f>
        <v>#N/A</v>
      </c>
    </row>
    <row r="816" customFormat="false" ht="14.25" hidden="false" customHeight="true" outlineLevel="0" collapsed="false">
      <c r="A816" s="0" t="n">
        <v>815</v>
      </c>
      <c r="B816" s="0" t="n">
        <v>15</v>
      </c>
      <c r="C816" s="0" t="s">
        <v>1830</v>
      </c>
      <c r="D816" s="0" t="s">
        <v>532</v>
      </c>
      <c r="E816" s="0" t="s">
        <v>1831</v>
      </c>
      <c r="F816" s="0" t="n">
        <v>13</v>
      </c>
      <c r="G816" s="0" t="s">
        <v>1038</v>
      </c>
      <c r="H816" s="0" t="s">
        <v>1038</v>
      </c>
      <c r="I816" s="0" t="s">
        <v>1035</v>
      </c>
      <c r="J816" s="0" t="s">
        <v>1038</v>
      </c>
      <c r="K816" s="0" t="n">
        <v>815</v>
      </c>
      <c r="L816" s="0" t="str">
        <f aca="false">C816</f>
        <v>Carson Towt</v>
      </c>
      <c r="M816" s="121" t="str">
        <f aca="false">IFERROR(VLOOKUP(E816,RISK!A:B,2,FALSE()),"")</f>
        <v/>
      </c>
      <c r="N816" s="120" t="e">
        <f aca="false">VLOOKUP(E816,Q:R,2,FALSE())</f>
        <v>#N/A</v>
      </c>
    </row>
    <row r="817" customFormat="false" ht="14.25" hidden="false" customHeight="true" outlineLevel="0" collapsed="false">
      <c r="A817" s="0" t="n">
        <v>816</v>
      </c>
      <c r="B817" s="0" t="n">
        <v>15</v>
      </c>
      <c r="C817" s="0" t="s">
        <v>1832</v>
      </c>
      <c r="D817" s="0" t="s">
        <v>526</v>
      </c>
      <c r="E817" s="0" t="s">
        <v>1833</v>
      </c>
      <c r="F817" s="0" t="n">
        <v>8</v>
      </c>
      <c r="G817" s="0" t="s">
        <v>1038</v>
      </c>
      <c r="H817" s="0" t="s">
        <v>1038</v>
      </c>
      <c r="I817" s="0" t="s">
        <v>1035</v>
      </c>
      <c r="J817" s="0" t="s">
        <v>1038</v>
      </c>
      <c r="K817" s="0" t="n">
        <v>816</v>
      </c>
      <c r="L817" s="0" t="str">
        <f aca="false">C817</f>
        <v>Trey Palmer</v>
      </c>
      <c r="M817" s="121" t="str">
        <f aca="false">IFERROR(VLOOKUP(E817,RISK!A:B,2,FALSE()),"")</f>
        <v/>
      </c>
      <c r="N817" s="120" t="e">
        <f aca="false">VLOOKUP(E817,Q:R,2,FALSE())</f>
        <v>#N/A</v>
      </c>
    </row>
    <row r="818" customFormat="false" ht="14.25" hidden="false" customHeight="true" outlineLevel="0" collapsed="false">
      <c r="A818" s="0" t="n">
        <v>817</v>
      </c>
      <c r="B818" s="0" t="n">
        <v>15</v>
      </c>
      <c r="C818" s="0" t="s">
        <v>1834</v>
      </c>
      <c r="D818" s="0" t="s">
        <v>1121</v>
      </c>
      <c r="E818" s="0" t="s">
        <v>1835</v>
      </c>
      <c r="F818" s="0" t="s">
        <v>1038</v>
      </c>
      <c r="G818" s="0" t="s">
        <v>1038</v>
      </c>
      <c r="H818" s="0" t="s">
        <v>1038</v>
      </c>
      <c r="I818" s="0" t="s">
        <v>1038</v>
      </c>
      <c r="J818" s="0" t="n">
        <v>-504</v>
      </c>
      <c r="K818" s="0" t="n">
        <v>817</v>
      </c>
      <c r="L818" s="0" t="str">
        <f aca="false">C818</f>
        <v>Myles Gaskin</v>
      </c>
      <c r="M818" s="121" t="str">
        <f aca="false">IFERROR(VLOOKUP(E818,RISK!A:B,2,FALSE()),"")</f>
        <v/>
      </c>
      <c r="N818" s="120" t="e">
        <f aca="false">VLOOKUP(E818,Q:R,2,FALSE())</f>
        <v>#N/A</v>
      </c>
    </row>
    <row r="819" customFormat="false" ht="14.25" hidden="false" customHeight="true" outlineLevel="0" collapsed="false">
      <c r="A819" s="0" t="n">
        <v>818</v>
      </c>
      <c r="B819" s="0" t="n">
        <v>15</v>
      </c>
      <c r="C819" s="0" t="s">
        <v>1836</v>
      </c>
      <c r="D819" s="0" t="s">
        <v>550</v>
      </c>
      <c r="E819" s="0" t="s">
        <v>1837</v>
      </c>
      <c r="F819" s="0" t="n">
        <v>13</v>
      </c>
      <c r="G819" s="0" t="s">
        <v>1038</v>
      </c>
      <c r="H819" s="0" t="s">
        <v>1038</v>
      </c>
      <c r="I819" s="0" t="s">
        <v>1035</v>
      </c>
      <c r="J819" s="0" t="s">
        <v>1038</v>
      </c>
      <c r="K819" s="0" t="n">
        <v>818</v>
      </c>
      <c r="L819" s="0" t="str">
        <f aca="false">C819</f>
        <v>Chris Myarick</v>
      </c>
      <c r="M819" s="121" t="str">
        <f aca="false">IFERROR(VLOOKUP(E819,RISK!A:B,2,FALSE()),"")</f>
        <v/>
      </c>
      <c r="N819" s="120" t="e">
        <f aca="false">VLOOKUP(E819,Q:R,2,FALSE())</f>
        <v>#N/A</v>
      </c>
    </row>
    <row r="820" customFormat="false" ht="14.25" hidden="false" customHeight="true" outlineLevel="0" collapsed="false">
      <c r="A820" s="0" t="n">
        <v>819</v>
      </c>
      <c r="B820" s="0" t="n">
        <v>15</v>
      </c>
      <c r="C820" s="0" t="s">
        <v>1838</v>
      </c>
      <c r="D820" s="0" t="s">
        <v>546</v>
      </c>
      <c r="E820" s="0" t="s">
        <v>1839</v>
      </c>
      <c r="F820" s="0" t="n">
        <v>14</v>
      </c>
      <c r="G820" s="0" t="s">
        <v>1038</v>
      </c>
      <c r="H820" s="0" t="s">
        <v>1038</v>
      </c>
      <c r="I820" s="0" t="s">
        <v>1031</v>
      </c>
      <c r="J820" s="0" t="s">
        <v>1038</v>
      </c>
      <c r="K820" s="0" t="n">
        <v>819</v>
      </c>
      <c r="L820" s="0" t="str">
        <f aca="false">C820</f>
        <v>Jameson Geers</v>
      </c>
      <c r="N820" s="120" t="e">
        <f aca="false">VLOOKUP(E820,Q:R,2,FALSE())</f>
        <v>#N/A</v>
      </c>
    </row>
    <row r="821" customFormat="false" ht="14.25" hidden="false" customHeight="true" outlineLevel="0" collapsed="false">
      <c r="A821" s="0" t="n">
        <v>820</v>
      </c>
      <c r="B821" s="0" t="n">
        <v>15</v>
      </c>
      <c r="C821" s="0" t="s">
        <v>1840</v>
      </c>
      <c r="D821" s="0" t="s">
        <v>1121</v>
      </c>
      <c r="E821" s="0" t="s">
        <v>1841</v>
      </c>
      <c r="F821" s="0" t="s">
        <v>1038</v>
      </c>
      <c r="G821" s="0" t="s">
        <v>1038</v>
      </c>
      <c r="H821" s="0" t="s">
        <v>1038</v>
      </c>
      <c r="I821" s="0" t="s">
        <v>1038</v>
      </c>
      <c r="J821" s="0" t="s">
        <v>1038</v>
      </c>
      <c r="K821" s="0" t="n">
        <v>820</v>
      </c>
      <c r="L821" s="0" t="str">
        <f aca="false">C821</f>
        <v>Gage Larvadain</v>
      </c>
      <c r="N821" s="120" t="e">
        <f aca="false">VLOOKUP(E821,Q:R,2,FALSE())</f>
        <v>#N/A</v>
      </c>
    </row>
    <row r="822" customFormat="false" ht="14.25" hidden="false" customHeight="true" outlineLevel="0" collapsed="false">
      <c r="A822" s="0" t="n">
        <v>821</v>
      </c>
      <c r="B822" s="0" t="n">
        <v>15</v>
      </c>
      <c r="C822" s="0" t="s">
        <v>1842</v>
      </c>
      <c r="D822" s="0" t="s">
        <v>1121</v>
      </c>
      <c r="E822" s="0" t="s">
        <v>1843</v>
      </c>
      <c r="F822" s="0" t="s">
        <v>1038</v>
      </c>
      <c r="G822" s="0" t="s">
        <v>1038</v>
      </c>
      <c r="H822" s="0" t="s">
        <v>1038</v>
      </c>
      <c r="I822" s="0" t="s">
        <v>1038</v>
      </c>
      <c r="J822" s="0" t="s">
        <v>1038</v>
      </c>
      <c r="K822" s="0" t="n">
        <v>821</v>
      </c>
      <c r="L822" s="0" t="str">
        <f aca="false">C822</f>
        <v>Zach Horton</v>
      </c>
      <c r="N822" s="120" t="e">
        <f aca="false">VLOOKUP(E822,Q:R,2,FALSE())</f>
        <v>#N/A</v>
      </c>
    </row>
    <row r="823" customFormat="false" ht="14.25" hidden="false" customHeight="true" outlineLevel="0" collapsed="false">
      <c r="A823" s="0" t="n">
        <v>822</v>
      </c>
      <c r="B823" s="0" t="n">
        <v>15</v>
      </c>
      <c r="C823" s="0" t="s">
        <v>1844</v>
      </c>
      <c r="D823" s="0" t="s">
        <v>1121</v>
      </c>
      <c r="E823" s="0" t="s">
        <v>1845</v>
      </c>
      <c r="F823" s="0" t="s">
        <v>1038</v>
      </c>
      <c r="G823" s="0" t="s">
        <v>1038</v>
      </c>
      <c r="H823" s="0" t="s">
        <v>1038</v>
      </c>
      <c r="I823" s="0" t="s">
        <v>1038</v>
      </c>
      <c r="J823" s="0" t="s">
        <v>1038</v>
      </c>
      <c r="K823" s="0" t="n">
        <v>822</v>
      </c>
      <c r="L823" s="0" t="str">
        <f aca="false">C823</f>
        <v>Malik Taylor</v>
      </c>
      <c r="N823" s="120" t="e">
        <f aca="false">VLOOKUP(E823,Q:R,2,FALSE())</f>
        <v>#N/A</v>
      </c>
    </row>
    <row r="824" customFormat="false" ht="14.25" hidden="false" customHeight="true" outlineLevel="0" collapsed="false">
      <c r="A824" s="0" t="n">
        <v>823</v>
      </c>
      <c r="B824" s="0" t="n">
        <v>15</v>
      </c>
      <c r="C824" s="0" t="s">
        <v>595</v>
      </c>
      <c r="D824" s="0" t="s">
        <v>520</v>
      </c>
      <c r="E824" s="0" t="s">
        <v>1846</v>
      </c>
      <c r="F824" s="0" t="n">
        <v>11</v>
      </c>
      <c r="G824" s="0" t="s">
        <v>1038</v>
      </c>
      <c r="H824" s="0" t="s">
        <v>1038</v>
      </c>
      <c r="I824" s="0" t="s">
        <v>1035</v>
      </c>
      <c r="J824" s="0" t="s">
        <v>1038</v>
      </c>
      <c r="K824" s="0" t="n">
        <v>823</v>
      </c>
      <c r="L824" s="0" t="str">
        <f aca="false">C824</f>
        <v>Stetson Bennett IV</v>
      </c>
      <c r="N824" s="120" t="e">
        <f aca="false">VLOOKUP(E824,Q:R,2,FALSE())</f>
        <v>#N/A</v>
      </c>
    </row>
    <row r="825" customFormat="false" ht="14.25" hidden="false" customHeight="true" outlineLevel="0" collapsed="false">
      <c r="A825" s="0" t="n">
        <v>824</v>
      </c>
      <c r="B825" s="0" t="n">
        <v>15</v>
      </c>
      <c r="C825" s="0" t="s">
        <v>1847</v>
      </c>
      <c r="D825" s="0" t="s">
        <v>516</v>
      </c>
      <c r="E825" s="0" t="s">
        <v>1848</v>
      </c>
      <c r="F825" s="0" t="n">
        <v>7</v>
      </c>
      <c r="G825" s="0" t="s">
        <v>1038</v>
      </c>
      <c r="H825" s="0" t="s">
        <v>1038</v>
      </c>
      <c r="I825" s="0" t="s">
        <v>1032</v>
      </c>
      <c r="J825" s="0" t="s">
        <v>1038</v>
      </c>
      <c r="K825" s="0" t="n">
        <v>824</v>
      </c>
      <c r="L825" s="0" t="str">
        <f aca="false">C825</f>
        <v>Patrick Herbert</v>
      </c>
      <c r="N825" s="120" t="e">
        <f aca="false">VLOOKUP(E825,Q:R,2,FALSE())</f>
        <v>#N/A</v>
      </c>
    </row>
    <row r="826" customFormat="false" ht="14.25" hidden="false" customHeight="true" outlineLevel="0" collapsed="false">
      <c r="A826" s="0" t="n">
        <v>825</v>
      </c>
      <c r="B826" s="0" t="n">
        <v>15</v>
      </c>
      <c r="C826" s="0" t="s">
        <v>1849</v>
      </c>
      <c r="D826" s="0" t="s">
        <v>1121</v>
      </c>
      <c r="E826" s="0" t="s">
        <v>1850</v>
      </c>
      <c r="F826" s="0" t="s">
        <v>1038</v>
      </c>
      <c r="G826" s="0" t="s">
        <v>1038</v>
      </c>
      <c r="H826" s="0" t="s">
        <v>1038</v>
      </c>
      <c r="I826" s="0" t="s">
        <v>1038</v>
      </c>
      <c r="J826" s="0" t="s">
        <v>1038</v>
      </c>
      <c r="N826" s="120" t="e">
        <f aca="false">VLOOKUP(E826,Q:R,2,FALSE())</f>
        <v>#N/A</v>
      </c>
    </row>
    <row r="827" customFormat="false" ht="14.25" hidden="false" customHeight="true" outlineLevel="0" collapsed="false">
      <c r="A827" s="0" t="n">
        <v>826</v>
      </c>
      <c r="B827" s="0" t="n">
        <v>15</v>
      </c>
      <c r="C827" s="0" t="s">
        <v>1851</v>
      </c>
      <c r="D827" s="0" t="s">
        <v>1121</v>
      </c>
      <c r="E827" s="0" t="s">
        <v>1852</v>
      </c>
      <c r="F827" s="0" t="s">
        <v>1038</v>
      </c>
      <c r="G827" s="0" t="s">
        <v>1038</v>
      </c>
      <c r="H827" s="0" t="s">
        <v>1038</v>
      </c>
      <c r="I827" s="0" t="s">
        <v>1038</v>
      </c>
      <c r="J827" s="0" t="s">
        <v>1038</v>
      </c>
      <c r="N827" s="120" t="e">
        <f aca="false">VLOOKUP(E827,Q:R,2,FALSE())</f>
        <v>#N/A</v>
      </c>
    </row>
    <row r="828" customFormat="false" ht="14.25" hidden="false" customHeight="true" outlineLevel="0" collapsed="false">
      <c r="A828" s="0" t="n">
        <v>827</v>
      </c>
      <c r="B828" s="0" t="n">
        <v>15</v>
      </c>
      <c r="C828" s="0" t="s">
        <v>1853</v>
      </c>
      <c r="D828" s="0" t="s">
        <v>496</v>
      </c>
      <c r="E828" s="0" t="s">
        <v>1854</v>
      </c>
      <c r="F828" s="0" t="n">
        <v>7</v>
      </c>
      <c r="G828" s="0" t="s">
        <v>1038</v>
      </c>
      <c r="H828" s="0" t="s">
        <v>1038</v>
      </c>
      <c r="I828" s="0" t="s">
        <v>1034</v>
      </c>
      <c r="J828" s="0" t="s">
        <v>1038</v>
      </c>
      <c r="N828" s="120" t="e">
        <f aca="false">VLOOKUP(E828,Q:R,2,FALSE())</f>
        <v>#N/A</v>
      </c>
    </row>
    <row r="829" customFormat="false" ht="14.25" hidden="false" customHeight="true" outlineLevel="0" collapsed="false">
      <c r="A829" s="0" t="n">
        <v>828</v>
      </c>
      <c r="B829" s="0" t="n">
        <v>15</v>
      </c>
      <c r="C829" s="0" t="s">
        <v>1855</v>
      </c>
      <c r="D829" s="0" t="s">
        <v>510</v>
      </c>
      <c r="E829" s="0" t="s">
        <v>1856</v>
      </c>
      <c r="F829" s="0" t="n">
        <v>14</v>
      </c>
      <c r="G829" s="0" t="s">
        <v>1038</v>
      </c>
      <c r="H829" s="0" t="s">
        <v>1038</v>
      </c>
      <c r="I829" s="0" t="s">
        <v>1031</v>
      </c>
      <c r="J829" s="0" t="s">
        <v>1038</v>
      </c>
      <c r="N829" s="120" t="e">
        <f aca="false">VLOOKUP(E829,Q:R,2,FALSE())</f>
        <v>#N/A</v>
      </c>
    </row>
    <row r="830" customFormat="false" ht="14.25" hidden="false" customHeight="true" outlineLevel="0" collapsed="false">
      <c r="A830" s="0" t="n">
        <v>829</v>
      </c>
      <c r="B830" s="0" t="n">
        <v>15</v>
      </c>
      <c r="C830" s="0" t="s">
        <v>1857</v>
      </c>
      <c r="D830" s="0" t="s">
        <v>1121</v>
      </c>
      <c r="E830" s="0" t="s">
        <v>1858</v>
      </c>
      <c r="F830" s="0" t="s">
        <v>1038</v>
      </c>
      <c r="G830" s="0" t="s">
        <v>1038</v>
      </c>
      <c r="H830" s="0" t="s">
        <v>1038</v>
      </c>
      <c r="I830" s="0" t="s">
        <v>1038</v>
      </c>
      <c r="J830" s="0" t="s">
        <v>1038</v>
      </c>
      <c r="N830" s="120" t="e">
        <f aca="false">VLOOKUP(E830,Q:R,2,FALSE())</f>
        <v>#N/A</v>
      </c>
    </row>
    <row r="831" customFormat="false" ht="14.25" hidden="false" customHeight="true" outlineLevel="0" collapsed="false">
      <c r="A831" s="0" t="n">
        <v>830</v>
      </c>
      <c r="B831" s="0" t="n">
        <v>15</v>
      </c>
      <c r="C831" s="0" t="s">
        <v>1859</v>
      </c>
      <c r="D831" s="0" t="s">
        <v>516</v>
      </c>
      <c r="E831" s="0" t="s">
        <v>1860</v>
      </c>
      <c r="F831" s="0" t="n">
        <v>7</v>
      </c>
      <c r="G831" s="0" t="s">
        <v>1038</v>
      </c>
      <c r="H831" s="0" t="s">
        <v>1038</v>
      </c>
      <c r="I831" s="0" t="s">
        <v>1032</v>
      </c>
      <c r="J831" s="0" t="s">
        <v>1038</v>
      </c>
      <c r="N831" s="120" t="e">
        <f aca="false">VLOOKUP(E831,Q:R,2,FALSE())</f>
        <v>#N/A</v>
      </c>
    </row>
    <row r="832" customFormat="false" ht="14.25" hidden="false" customHeight="true" outlineLevel="0" collapsed="false">
      <c r="A832" s="0" t="n">
        <v>831</v>
      </c>
      <c r="B832" s="0" t="n">
        <v>15</v>
      </c>
      <c r="C832" s="0" t="s">
        <v>1861</v>
      </c>
      <c r="D832" s="0" t="s">
        <v>1121</v>
      </c>
      <c r="E832" s="0" t="s">
        <v>1862</v>
      </c>
      <c r="F832" s="0" t="s">
        <v>1038</v>
      </c>
      <c r="G832" s="0" t="s">
        <v>1038</v>
      </c>
      <c r="H832" s="0" t="s">
        <v>1038</v>
      </c>
      <c r="I832" s="0" t="s">
        <v>1038</v>
      </c>
      <c r="J832" s="0" t="s">
        <v>1038</v>
      </c>
      <c r="N832" s="120" t="e">
        <f aca="false">VLOOKUP(E832,Q:R,2,FALSE())</f>
        <v>#N/A</v>
      </c>
    </row>
    <row r="833" customFormat="false" ht="14.25" hidden="false" customHeight="true" outlineLevel="0" collapsed="false">
      <c r="A833" s="0" t="n">
        <v>832</v>
      </c>
      <c r="B833" s="0" t="n">
        <v>15</v>
      </c>
      <c r="C833" s="0" t="s">
        <v>1863</v>
      </c>
      <c r="D833" s="0" t="s">
        <v>1121</v>
      </c>
      <c r="E833" s="0" t="s">
        <v>1864</v>
      </c>
      <c r="F833" s="0" t="s">
        <v>1038</v>
      </c>
      <c r="G833" s="0" t="s">
        <v>1038</v>
      </c>
      <c r="H833" s="0" t="s">
        <v>1038</v>
      </c>
      <c r="I833" s="0" t="s">
        <v>1038</v>
      </c>
      <c r="J833" s="0" t="s">
        <v>1038</v>
      </c>
      <c r="N833" s="120" t="e">
        <f aca="false">VLOOKUP(E833,Q:R,2,FALSE())</f>
        <v>#N/A</v>
      </c>
    </row>
    <row r="834" customFormat="false" ht="14.25" hidden="false" customHeight="true" outlineLevel="0" collapsed="false">
      <c r="A834" s="0" t="n">
        <v>833</v>
      </c>
      <c r="B834" s="0" t="n">
        <v>15</v>
      </c>
      <c r="C834" s="0" t="s">
        <v>1865</v>
      </c>
      <c r="D834" s="0" t="s">
        <v>520</v>
      </c>
      <c r="E834" s="0" t="s">
        <v>1866</v>
      </c>
      <c r="F834" s="0" t="n">
        <v>11</v>
      </c>
      <c r="G834" s="0" t="s">
        <v>1038</v>
      </c>
      <c r="H834" s="0" t="s">
        <v>1038</v>
      </c>
      <c r="I834" s="0" t="s">
        <v>1030</v>
      </c>
      <c r="J834" s="0" t="s">
        <v>1038</v>
      </c>
      <c r="N834" s="120" t="e">
        <f aca="false">VLOOKUP(E834,Q:R,2,FALSE())</f>
        <v>#N/A</v>
      </c>
    </row>
    <row r="835" customFormat="false" ht="14.25" hidden="false" customHeight="true" outlineLevel="0" collapsed="false">
      <c r="A835" s="0" t="n">
        <v>834</v>
      </c>
      <c r="B835" s="0" t="n">
        <v>15</v>
      </c>
      <c r="C835" s="0" t="s">
        <v>1867</v>
      </c>
      <c r="D835" s="0" t="s">
        <v>554</v>
      </c>
      <c r="E835" s="0" t="s">
        <v>1868</v>
      </c>
      <c r="F835" s="0" t="n">
        <v>11</v>
      </c>
      <c r="G835" s="0" t="s">
        <v>1038</v>
      </c>
      <c r="H835" s="0" t="s">
        <v>1038</v>
      </c>
      <c r="I835" s="0" t="s">
        <v>1035</v>
      </c>
      <c r="J835" s="0" t="s">
        <v>1038</v>
      </c>
      <c r="N835" s="120" t="e">
        <f aca="false">VLOOKUP(E835,Q:R,2,FALSE())</f>
        <v>#N/A</v>
      </c>
    </row>
    <row r="836" customFormat="false" ht="14.25" hidden="false" customHeight="true" outlineLevel="0" collapsed="false">
      <c r="A836" s="0" t="n">
        <v>835</v>
      </c>
      <c r="B836" s="0" t="n">
        <v>15</v>
      </c>
      <c r="C836" s="0" t="s">
        <v>1869</v>
      </c>
      <c r="D836" s="0" t="s">
        <v>526</v>
      </c>
      <c r="E836" s="0" t="s">
        <v>1870</v>
      </c>
      <c r="F836" s="0" t="n">
        <v>8</v>
      </c>
      <c r="G836" s="0" t="s">
        <v>1038</v>
      </c>
      <c r="H836" s="0" t="s">
        <v>1038</v>
      </c>
      <c r="I836" s="0" t="s">
        <v>1031</v>
      </c>
      <c r="J836" s="0" t="s">
        <v>1038</v>
      </c>
      <c r="N836" s="120" t="e">
        <f aca="false">VLOOKUP(E836,Q:R,2,FALSE())</f>
        <v>#N/A</v>
      </c>
    </row>
    <row r="837" customFormat="false" ht="14.25" hidden="false" customHeight="true" outlineLevel="0" collapsed="false">
      <c r="A837" s="0" t="n">
        <v>836</v>
      </c>
      <c r="B837" s="0" t="n">
        <v>15</v>
      </c>
      <c r="C837" s="0" t="s">
        <v>1871</v>
      </c>
      <c r="D837" s="0" t="s">
        <v>538</v>
      </c>
      <c r="E837" s="0" t="s">
        <v>1872</v>
      </c>
      <c r="F837" s="0" t="n">
        <v>8</v>
      </c>
      <c r="G837" s="0" t="s">
        <v>1038</v>
      </c>
      <c r="H837" s="0" t="s">
        <v>1038</v>
      </c>
      <c r="I837" s="0" t="s">
        <v>1032</v>
      </c>
      <c r="J837" s="0" t="s">
        <v>1038</v>
      </c>
      <c r="N837" s="120" t="e">
        <f aca="false">VLOOKUP(E837,Q:R,2,FALSE())</f>
        <v>#N/A</v>
      </c>
    </row>
    <row r="838" customFormat="false" ht="14.25" hidden="false" customHeight="true" outlineLevel="0" collapsed="false">
      <c r="A838" s="0" t="n">
        <v>837</v>
      </c>
      <c r="B838" s="0" t="n">
        <v>15</v>
      </c>
      <c r="C838" s="0" t="s">
        <v>1873</v>
      </c>
      <c r="D838" s="0" t="s">
        <v>512</v>
      </c>
      <c r="E838" s="0" t="s">
        <v>1874</v>
      </c>
      <c r="F838" s="0" t="n">
        <v>5</v>
      </c>
      <c r="G838" s="0" t="s">
        <v>1038</v>
      </c>
      <c r="H838" s="0" t="s">
        <v>1038</v>
      </c>
      <c r="I838" s="0" t="s">
        <v>1031</v>
      </c>
      <c r="J838" s="0" t="s">
        <v>1038</v>
      </c>
      <c r="N838" s="120" t="e">
        <f aca="false">VLOOKUP(E838,Q:R,2,FALSE())</f>
        <v>#N/A</v>
      </c>
    </row>
    <row r="839" customFormat="false" ht="14.25" hidden="false" customHeight="true" outlineLevel="0" collapsed="false">
      <c r="A839" s="0" t="n">
        <v>838</v>
      </c>
      <c r="B839" s="0" t="n">
        <v>15</v>
      </c>
      <c r="C839" s="0" t="s">
        <v>1875</v>
      </c>
      <c r="D839" s="0" t="s">
        <v>1121</v>
      </c>
      <c r="E839" s="0" t="s">
        <v>1876</v>
      </c>
      <c r="F839" s="0" t="s">
        <v>1038</v>
      </c>
      <c r="G839" s="0" t="s">
        <v>1038</v>
      </c>
      <c r="H839" s="0" t="s">
        <v>1038</v>
      </c>
      <c r="I839" s="0" t="s">
        <v>1038</v>
      </c>
      <c r="J839" s="0" t="s">
        <v>1038</v>
      </c>
      <c r="N839" s="120" t="e">
        <f aca="false">VLOOKUP(E839,Q:R,2,FALSE())</f>
        <v>#N/A</v>
      </c>
    </row>
    <row r="840" customFormat="false" ht="14.25" hidden="false" customHeight="true" outlineLevel="0" collapsed="false">
      <c r="A840" s="0" t="n">
        <v>839</v>
      </c>
      <c r="B840" s="0" t="n">
        <v>15</v>
      </c>
      <c r="C840" s="0" t="s">
        <v>1877</v>
      </c>
      <c r="D840" s="0" t="s">
        <v>1121</v>
      </c>
      <c r="E840" s="0" t="s">
        <v>1878</v>
      </c>
      <c r="F840" s="0" t="s">
        <v>1038</v>
      </c>
      <c r="G840" s="0" t="s">
        <v>1038</v>
      </c>
      <c r="H840" s="0" t="s">
        <v>1038</v>
      </c>
      <c r="I840" s="0" t="s">
        <v>1038</v>
      </c>
      <c r="J840" s="0" t="s">
        <v>1038</v>
      </c>
      <c r="N840" s="120" t="e">
        <f aca="false">VLOOKUP(E840,Q:R,2,FALSE())</f>
        <v>#N/A</v>
      </c>
    </row>
    <row r="841" customFormat="false" ht="14.25" hidden="false" customHeight="true" outlineLevel="0" collapsed="false">
      <c r="A841" s="0" t="n">
        <v>840</v>
      </c>
      <c r="B841" s="0" t="n">
        <v>15</v>
      </c>
      <c r="C841" s="0" t="s">
        <v>1879</v>
      </c>
      <c r="D841" s="0" t="s">
        <v>522</v>
      </c>
      <c r="E841" s="0" t="s">
        <v>1880</v>
      </c>
      <c r="F841" s="0" t="n">
        <v>6</v>
      </c>
      <c r="G841" s="0" t="s">
        <v>1038</v>
      </c>
      <c r="H841" s="0" t="s">
        <v>1038</v>
      </c>
      <c r="I841" s="0" t="s">
        <v>1032</v>
      </c>
      <c r="J841" s="0" t="s">
        <v>1038</v>
      </c>
      <c r="N841" s="120" t="e">
        <f aca="false">VLOOKUP(E841,Q:R,2,FALSE())</f>
        <v>#N/A</v>
      </c>
    </row>
    <row r="842" customFormat="false" ht="14.25" hidden="false" customHeight="true" outlineLevel="0" collapsed="false">
      <c r="A842" s="0" t="n">
        <v>841</v>
      </c>
      <c r="B842" s="0" t="n">
        <v>15</v>
      </c>
      <c r="C842" s="0" t="s">
        <v>1881</v>
      </c>
      <c r="D842" s="0" t="s">
        <v>508</v>
      </c>
      <c r="E842" s="0" t="s">
        <v>1882</v>
      </c>
      <c r="F842" s="0" t="n">
        <v>8</v>
      </c>
      <c r="G842" s="0" t="s">
        <v>1038</v>
      </c>
      <c r="H842" s="0" t="s">
        <v>1038</v>
      </c>
      <c r="I842" s="0" t="s">
        <v>1034</v>
      </c>
      <c r="J842" s="0" t="s">
        <v>1038</v>
      </c>
      <c r="N842" s="120" t="e">
        <f aca="false">VLOOKUP(E842,Q:R,2,FALSE())</f>
        <v>#N/A</v>
      </c>
    </row>
    <row r="843" customFormat="false" ht="14.25" hidden="false" customHeight="true" outlineLevel="0" collapsed="false">
      <c r="A843" s="0" t="n">
        <v>842</v>
      </c>
      <c r="B843" s="0" t="n">
        <v>15</v>
      </c>
      <c r="C843" s="0" t="s">
        <v>1883</v>
      </c>
      <c r="D843" s="0" t="s">
        <v>1121</v>
      </c>
      <c r="E843" s="0" t="s">
        <v>1884</v>
      </c>
      <c r="F843" s="0" t="s">
        <v>1038</v>
      </c>
      <c r="G843" s="0" t="s">
        <v>1038</v>
      </c>
      <c r="H843" s="0" t="s">
        <v>1038</v>
      </c>
      <c r="I843" s="0" t="s">
        <v>1038</v>
      </c>
      <c r="J843" s="0" t="s">
        <v>1038</v>
      </c>
      <c r="N843" s="120" t="e">
        <f aca="false">VLOOKUP(E843,Q:R,2,FALSE())</f>
        <v>#N/A</v>
      </c>
    </row>
    <row r="844" customFormat="false" ht="14.25" hidden="false" customHeight="true" outlineLevel="0" collapsed="false">
      <c r="A844" s="0" t="n">
        <v>843</v>
      </c>
      <c r="B844" s="0" t="n">
        <v>15</v>
      </c>
      <c r="C844" s="0" t="s">
        <v>1885</v>
      </c>
      <c r="D844" s="0" t="s">
        <v>520</v>
      </c>
      <c r="E844" s="0" t="s">
        <v>1886</v>
      </c>
      <c r="F844" s="0" t="n">
        <v>11</v>
      </c>
      <c r="G844" s="0" t="s">
        <v>1038</v>
      </c>
      <c r="H844" s="0" t="s">
        <v>1038</v>
      </c>
      <c r="I844" s="0" t="s">
        <v>1035</v>
      </c>
      <c r="J844" s="0" t="s">
        <v>1038</v>
      </c>
      <c r="N844" s="120" t="e">
        <f aca="false">VLOOKUP(E844,Q:R,2,FALSE())</f>
        <v>#N/A</v>
      </c>
    </row>
    <row r="845" customFormat="false" ht="14.25" hidden="false" customHeight="true" outlineLevel="0" collapsed="false">
      <c r="A845" s="0" t="n">
        <v>844</v>
      </c>
      <c r="B845" s="0" t="n">
        <v>15</v>
      </c>
      <c r="C845" s="0" t="s">
        <v>1887</v>
      </c>
      <c r="D845" s="0" t="s">
        <v>498</v>
      </c>
      <c r="E845" s="0" t="s">
        <v>1888</v>
      </c>
      <c r="F845" s="0" t="n">
        <v>11</v>
      </c>
      <c r="G845" s="0" t="s">
        <v>1038</v>
      </c>
      <c r="H845" s="0" t="s">
        <v>1038</v>
      </c>
      <c r="I845" s="0" t="s">
        <v>1031</v>
      </c>
      <c r="J845" s="0" t="s">
        <v>1038</v>
      </c>
      <c r="N845" s="120" t="e">
        <f aca="false">VLOOKUP(E845,Q:R,2,FALSE())</f>
        <v>#N/A</v>
      </c>
    </row>
    <row r="846" customFormat="false" ht="14.25" hidden="false" customHeight="true" outlineLevel="0" collapsed="false">
      <c r="A846" s="0" t="n">
        <v>845</v>
      </c>
      <c r="B846" s="0" t="n">
        <v>15</v>
      </c>
      <c r="C846" s="0" t="s">
        <v>1889</v>
      </c>
      <c r="D846" s="0" t="s">
        <v>1121</v>
      </c>
      <c r="E846" s="0" t="s">
        <v>1890</v>
      </c>
      <c r="F846" s="0" t="s">
        <v>1038</v>
      </c>
      <c r="G846" s="0" t="s">
        <v>1038</v>
      </c>
      <c r="H846" s="0" t="s">
        <v>1038</v>
      </c>
      <c r="I846" s="0" t="s">
        <v>1038</v>
      </c>
      <c r="J846" s="0" t="s">
        <v>1038</v>
      </c>
      <c r="N846" s="120" t="e">
        <f aca="false">VLOOKUP(E846,Q:R,2,FALSE())</f>
        <v>#N/A</v>
      </c>
    </row>
    <row r="847" customFormat="false" ht="14.25" hidden="false" customHeight="true" outlineLevel="0" collapsed="false">
      <c r="A847" s="0" t="n">
        <v>846</v>
      </c>
      <c r="B847" s="0" t="n">
        <v>15</v>
      </c>
      <c r="C847" s="0" t="s">
        <v>1891</v>
      </c>
      <c r="D847" s="0" t="s">
        <v>1121</v>
      </c>
      <c r="E847" s="0" t="s">
        <v>1892</v>
      </c>
      <c r="F847" s="0" t="s">
        <v>1038</v>
      </c>
      <c r="G847" s="0" t="s">
        <v>1038</v>
      </c>
      <c r="H847" s="0" t="s">
        <v>1038</v>
      </c>
      <c r="I847" s="0" t="s">
        <v>1038</v>
      </c>
      <c r="J847" s="0" t="s">
        <v>1038</v>
      </c>
      <c r="N847" s="120" t="e">
        <f aca="false">VLOOKUP(E847,Q:R,2,FALSE())</f>
        <v>#N/A</v>
      </c>
    </row>
    <row r="848" customFormat="false" ht="14.25" hidden="false" customHeight="true" outlineLevel="0" collapsed="false">
      <c r="A848" s="0" t="n">
        <v>847</v>
      </c>
      <c r="B848" s="0" t="n">
        <v>15</v>
      </c>
      <c r="C848" s="0" t="s">
        <v>1893</v>
      </c>
      <c r="D848" s="0" t="s">
        <v>1121</v>
      </c>
      <c r="E848" s="0" t="s">
        <v>1894</v>
      </c>
      <c r="F848" s="0" t="s">
        <v>1038</v>
      </c>
      <c r="G848" s="0" t="s">
        <v>1038</v>
      </c>
      <c r="H848" s="0" t="s">
        <v>1038</v>
      </c>
      <c r="I848" s="0" t="s">
        <v>1038</v>
      </c>
      <c r="J848" s="0" t="s">
        <v>1038</v>
      </c>
      <c r="N848" s="120" t="e">
        <f aca="false">VLOOKUP(E848,Q:R,2,FALSE())</f>
        <v>#N/A</v>
      </c>
    </row>
    <row r="849" customFormat="false" ht="14.25" hidden="false" customHeight="true" outlineLevel="0" collapsed="false">
      <c r="A849" s="0" t="n">
        <v>848</v>
      </c>
      <c r="B849" s="0" t="n">
        <v>15</v>
      </c>
      <c r="C849" s="0" t="s">
        <v>1895</v>
      </c>
      <c r="D849" s="0" t="s">
        <v>1121</v>
      </c>
      <c r="E849" s="0" t="s">
        <v>1896</v>
      </c>
      <c r="F849" s="0" t="s">
        <v>1038</v>
      </c>
      <c r="G849" s="0" t="s">
        <v>1038</v>
      </c>
      <c r="H849" s="0" t="s">
        <v>1038</v>
      </c>
      <c r="I849" s="0" t="s">
        <v>1038</v>
      </c>
      <c r="J849" s="0" t="s">
        <v>1038</v>
      </c>
      <c r="N849" s="120" t="e">
        <f aca="false">VLOOKUP(E849,Q:R,2,FALSE())</f>
        <v>#N/A</v>
      </c>
    </row>
    <row r="850" customFormat="false" ht="14.25" hidden="false" customHeight="true" outlineLevel="0" collapsed="false">
      <c r="A850" s="0" t="n">
        <v>849</v>
      </c>
      <c r="B850" s="0" t="n">
        <v>15</v>
      </c>
      <c r="C850" s="0" t="s">
        <v>1897</v>
      </c>
      <c r="D850" s="0" t="s">
        <v>530</v>
      </c>
      <c r="E850" s="0" t="s">
        <v>1898</v>
      </c>
      <c r="F850" s="0" t="n">
        <v>11</v>
      </c>
      <c r="G850" s="0" t="s">
        <v>1038</v>
      </c>
      <c r="H850" s="0" t="s">
        <v>1038</v>
      </c>
      <c r="I850" s="0" t="s">
        <v>1031</v>
      </c>
      <c r="J850" s="0" t="s">
        <v>1038</v>
      </c>
      <c r="N850" s="120" t="e">
        <f aca="false">VLOOKUP(E850,Q:R,2,FALSE())</f>
        <v>#N/A</v>
      </c>
    </row>
    <row r="851" customFormat="false" ht="14.25" hidden="false" customHeight="true" outlineLevel="0" collapsed="false">
      <c r="A851" s="0" t="n">
        <v>850</v>
      </c>
      <c r="B851" s="0" t="n">
        <v>15</v>
      </c>
      <c r="C851" s="0" t="s">
        <v>1899</v>
      </c>
      <c r="D851" s="0" t="s">
        <v>532</v>
      </c>
      <c r="E851" s="0" t="s">
        <v>1900</v>
      </c>
      <c r="F851" s="0" t="n">
        <v>13</v>
      </c>
      <c r="G851" s="0" t="s">
        <v>1038</v>
      </c>
      <c r="H851" s="0" t="s">
        <v>1038</v>
      </c>
      <c r="I851" s="0" t="s">
        <v>1035</v>
      </c>
      <c r="J851" s="0" t="s">
        <v>1038</v>
      </c>
      <c r="N851" s="120" t="e">
        <f aca="false">VLOOKUP(E851,Q:R,2,FALSE())</f>
        <v>#N/A</v>
      </c>
    </row>
    <row r="852" customFormat="false" ht="14.25" hidden="false" customHeight="true" outlineLevel="0" collapsed="false">
      <c r="A852" s="0" t="n">
        <v>851</v>
      </c>
      <c r="B852" s="0" t="n">
        <v>15</v>
      </c>
      <c r="C852" s="0" t="s">
        <v>1901</v>
      </c>
      <c r="D852" s="0" t="s">
        <v>514</v>
      </c>
      <c r="E852" s="0" t="s">
        <v>1902</v>
      </c>
      <c r="F852" s="0" t="n">
        <v>10</v>
      </c>
      <c r="G852" s="0" t="s">
        <v>1038</v>
      </c>
      <c r="H852" s="0" t="s">
        <v>1038</v>
      </c>
      <c r="I852" s="0" t="s">
        <v>1031</v>
      </c>
      <c r="J852" s="0" t="s">
        <v>1038</v>
      </c>
      <c r="N852" s="120" t="e">
        <f aca="false">VLOOKUP(E852,Q:R,2,FALSE())</f>
        <v>#N/A</v>
      </c>
    </row>
    <row r="853" customFormat="false" ht="14.25" hidden="false" customHeight="true" outlineLevel="0" collapsed="false">
      <c r="A853" s="0" t="n">
        <v>852</v>
      </c>
      <c r="B853" s="0" t="n">
        <v>15</v>
      </c>
      <c r="C853" s="0" t="s">
        <v>1903</v>
      </c>
      <c r="D853" s="0" t="s">
        <v>494</v>
      </c>
      <c r="E853" s="0" t="s">
        <v>1904</v>
      </c>
      <c r="F853" s="0" t="n">
        <v>13</v>
      </c>
      <c r="G853" s="0" t="s">
        <v>1038</v>
      </c>
      <c r="H853" s="0" t="s">
        <v>1038</v>
      </c>
      <c r="I853" s="0" t="s">
        <v>1032</v>
      </c>
      <c r="J853" s="0" t="s">
        <v>1038</v>
      </c>
      <c r="N853" s="120" t="e">
        <f aca="false">VLOOKUP(E853,Q:R,2,FALSE())</f>
        <v>#N/A</v>
      </c>
    </row>
    <row r="854" customFormat="false" ht="14.25" hidden="false" customHeight="true" outlineLevel="0" collapsed="false">
      <c r="A854" s="0" t="n">
        <v>853</v>
      </c>
      <c r="B854" s="0" t="n">
        <v>15</v>
      </c>
      <c r="C854" s="0" t="s">
        <v>1905</v>
      </c>
      <c r="D854" s="0" t="s">
        <v>1121</v>
      </c>
      <c r="E854" s="0" t="s">
        <v>1906</v>
      </c>
      <c r="F854" s="0" t="s">
        <v>1038</v>
      </c>
      <c r="G854" s="0" t="s">
        <v>1038</v>
      </c>
      <c r="H854" s="0" t="s">
        <v>1038</v>
      </c>
      <c r="I854" s="0" t="s">
        <v>1038</v>
      </c>
      <c r="J854" s="0" t="s">
        <v>1038</v>
      </c>
      <c r="N854" s="120" t="e">
        <f aca="false">VLOOKUP(E854,Q:R,2,FALSE())</f>
        <v>#N/A</v>
      </c>
    </row>
    <row r="855" customFormat="false" ht="14.25" hidden="false" customHeight="true" outlineLevel="0" collapsed="false">
      <c r="A855" s="0" t="n">
        <v>854</v>
      </c>
      <c r="B855" s="0" t="n">
        <v>15</v>
      </c>
      <c r="C855" s="0" t="s">
        <v>1907</v>
      </c>
      <c r="D855" s="0" t="s">
        <v>502</v>
      </c>
      <c r="E855" s="0" t="s">
        <v>1908</v>
      </c>
      <c r="F855" s="0" t="n">
        <v>6</v>
      </c>
      <c r="G855" s="0" t="s">
        <v>1038</v>
      </c>
      <c r="H855" s="0" t="s">
        <v>1038</v>
      </c>
      <c r="I855" s="0" t="s">
        <v>1031</v>
      </c>
      <c r="J855" s="0" t="s">
        <v>1038</v>
      </c>
      <c r="N855" s="120" t="e">
        <f aca="false">VLOOKUP(E855,Q:R,2,FALSE())</f>
        <v>#N/A</v>
      </c>
    </row>
    <row r="856" customFormat="false" ht="14.25" hidden="false" customHeight="true" outlineLevel="0" collapsed="false">
      <c r="A856" s="0" t="n">
        <v>855</v>
      </c>
      <c r="B856" s="0" t="n">
        <v>15</v>
      </c>
      <c r="C856" s="0" t="s">
        <v>1909</v>
      </c>
      <c r="D856" s="0" t="s">
        <v>1121</v>
      </c>
      <c r="E856" s="0" t="s">
        <v>1910</v>
      </c>
      <c r="F856" s="0" t="s">
        <v>1038</v>
      </c>
      <c r="G856" s="0" t="s">
        <v>1038</v>
      </c>
      <c r="H856" s="0" t="s">
        <v>1038</v>
      </c>
      <c r="I856" s="0" t="s">
        <v>1038</v>
      </c>
      <c r="J856" s="0" t="s">
        <v>1038</v>
      </c>
      <c r="N856" s="120" t="e">
        <f aca="false">VLOOKUP(E856,Q:R,2,FALSE())</f>
        <v>#N/A</v>
      </c>
    </row>
    <row r="857" customFormat="false" ht="14.25" hidden="false" customHeight="true" outlineLevel="0" collapsed="false">
      <c r="A857" s="0" t="n">
        <v>856</v>
      </c>
      <c r="B857" s="0" t="n">
        <v>15</v>
      </c>
      <c r="C857" s="0" t="s">
        <v>1911</v>
      </c>
      <c r="D857" s="0" t="s">
        <v>1121</v>
      </c>
      <c r="E857" s="0" t="s">
        <v>1912</v>
      </c>
      <c r="F857" s="0" t="s">
        <v>1038</v>
      </c>
      <c r="G857" s="0" t="s">
        <v>1038</v>
      </c>
      <c r="H857" s="0" t="s">
        <v>1038</v>
      </c>
      <c r="I857" s="0" t="s">
        <v>1038</v>
      </c>
      <c r="J857" s="0" t="s">
        <v>1038</v>
      </c>
      <c r="N857" s="120" t="e">
        <f aca="false">VLOOKUP(E857,Q:R,2,FALSE())</f>
        <v>#N/A</v>
      </c>
    </row>
    <row r="858" customFormat="false" ht="14.25" hidden="false" customHeight="true" outlineLevel="0" collapsed="false">
      <c r="A858" s="0" t="n">
        <v>857</v>
      </c>
      <c r="B858" s="0" t="n">
        <v>15</v>
      </c>
      <c r="C858" s="0" t="s">
        <v>1913</v>
      </c>
      <c r="D858" s="0" t="s">
        <v>1121</v>
      </c>
      <c r="E858" s="0" t="s">
        <v>1914</v>
      </c>
      <c r="F858" s="0" t="s">
        <v>1038</v>
      </c>
      <c r="G858" s="0" t="s">
        <v>1038</v>
      </c>
      <c r="H858" s="0" t="s">
        <v>1038</v>
      </c>
      <c r="I858" s="0" t="s">
        <v>1038</v>
      </c>
      <c r="J858" s="0" t="s">
        <v>1038</v>
      </c>
      <c r="N858" s="120" t="e">
        <f aca="false">VLOOKUP(E858,Q:R,2,FALSE())</f>
        <v>#N/A</v>
      </c>
    </row>
    <row r="859" customFormat="false" ht="14.25" hidden="false" customHeight="true" outlineLevel="0" collapsed="false">
      <c r="A859" s="0" t="n">
        <v>858</v>
      </c>
      <c r="B859" s="0" t="n">
        <v>15</v>
      </c>
      <c r="C859" s="0" t="s">
        <v>1915</v>
      </c>
      <c r="D859" s="0" t="s">
        <v>518</v>
      </c>
      <c r="E859" s="0" t="s">
        <v>1916</v>
      </c>
      <c r="F859" s="0" t="n">
        <v>10</v>
      </c>
      <c r="G859" s="0" t="s">
        <v>1038</v>
      </c>
      <c r="H859" s="0" t="s">
        <v>1038</v>
      </c>
      <c r="I859" s="0" t="s">
        <v>1031</v>
      </c>
      <c r="J859" s="0" t="s">
        <v>1038</v>
      </c>
      <c r="N859" s="120" t="e">
        <f aca="false">VLOOKUP(E859,Q:R,2,FALSE())</f>
        <v>#N/A</v>
      </c>
    </row>
    <row r="860" customFormat="false" ht="14.25" hidden="false" customHeight="true" outlineLevel="0" collapsed="false">
      <c r="A860" s="0" t="n">
        <v>859</v>
      </c>
      <c r="B860" s="0" t="n">
        <v>15</v>
      </c>
      <c r="C860" s="0" t="s">
        <v>1917</v>
      </c>
      <c r="D860" s="0" t="s">
        <v>548</v>
      </c>
      <c r="E860" s="0" t="s">
        <v>1918</v>
      </c>
      <c r="F860" s="0" t="n">
        <v>9</v>
      </c>
      <c r="G860" s="0" t="s">
        <v>1038</v>
      </c>
      <c r="H860" s="0" t="s">
        <v>1038</v>
      </c>
      <c r="I860" s="0" t="s">
        <v>1035</v>
      </c>
      <c r="J860" s="0" t="s">
        <v>1038</v>
      </c>
      <c r="N860" s="120" t="e">
        <f aca="false">VLOOKUP(E860,Q:R,2,FALSE())</f>
        <v>#N/A</v>
      </c>
    </row>
    <row r="861" customFormat="false" ht="14.25" hidden="false" customHeight="true" outlineLevel="0" collapsed="false">
      <c r="A861" s="0" t="n">
        <v>860</v>
      </c>
      <c r="B861" s="0" t="n">
        <v>15</v>
      </c>
      <c r="C861" s="0" t="s">
        <v>1919</v>
      </c>
      <c r="D861" s="0" t="s">
        <v>512</v>
      </c>
      <c r="E861" s="0" t="s">
        <v>1920</v>
      </c>
      <c r="F861" s="0" t="n">
        <v>5</v>
      </c>
      <c r="G861" s="0" t="s">
        <v>1038</v>
      </c>
      <c r="H861" s="0" t="s">
        <v>1038</v>
      </c>
      <c r="I861" s="0" t="s">
        <v>1031</v>
      </c>
      <c r="J861" s="0" t="s">
        <v>1038</v>
      </c>
      <c r="N861" s="120" t="e">
        <f aca="false">VLOOKUP(E861,Q:R,2,FALSE())</f>
        <v>#N/A</v>
      </c>
    </row>
    <row r="862" customFormat="false" ht="14.25" hidden="false" customHeight="true" outlineLevel="0" collapsed="false">
      <c r="A862" s="0" t="n">
        <v>861</v>
      </c>
      <c r="B862" s="0" t="n">
        <v>15</v>
      </c>
      <c r="C862" s="0" t="s">
        <v>1921</v>
      </c>
      <c r="D862" s="0" t="s">
        <v>1121</v>
      </c>
      <c r="E862" s="0" t="s">
        <v>1922</v>
      </c>
      <c r="F862" s="0" t="s">
        <v>1038</v>
      </c>
      <c r="G862" s="0" t="s">
        <v>1038</v>
      </c>
      <c r="H862" s="0" t="s">
        <v>1038</v>
      </c>
      <c r="I862" s="0" t="s">
        <v>1038</v>
      </c>
      <c r="J862" s="0" t="s">
        <v>1038</v>
      </c>
      <c r="N862" s="120" t="e">
        <f aca="false">VLOOKUP(E862,Q:R,2,FALSE())</f>
        <v>#N/A</v>
      </c>
    </row>
    <row r="863" customFormat="false" ht="14.25" hidden="false" customHeight="true" outlineLevel="0" collapsed="false">
      <c r="A863" s="0" t="n">
        <v>862</v>
      </c>
      <c r="B863" s="0" t="n">
        <v>15</v>
      </c>
      <c r="C863" s="0" t="s">
        <v>1923</v>
      </c>
      <c r="D863" s="0" t="s">
        <v>1121</v>
      </c>
      <c r="E863" s="0" t="s">
        <v>1924</v>
      </c>
      <c r="F863" s="0" t="s">
        <v>1038</v>
      </c>
      <c r="G863" s="0" t="s">
        <v>1038</v>
      </c>
      <c r="H863" s="0" t="s">
        <v>1038</v>
      </c>
      <c r="I863" s="0" t="s">
        <v>1038</v>
      </c>
      <c r="J863" s="0" t="s">
        <v>1038</v>
      </c>
      <c r="N863" s="120" t="e">
        <f aca="false">VLOOKUP(E863,Q:R,2,FALSE())</f>
        <v>#N/A</v>
      </c>
    </row>
    <row r="864" customFormat="false" ht="14.25" hidden="false" customHeight="true" outlineLevel="0" collapsed="false">
      <c r="A864" s="0" t="n">
        <v>863</v>
      </c>
      <c r="B864" s="0" t="n">
        <v>15</v>
      </c>
      <c r="C864" s="0" t="s">
        <v>1925</v>
      </c>
      <c r="D864" s="0" t="s">
        <v>1121</v>
      </c>
      <c r="E864" s="0" t="s">
        <v>1926</v>
      </c>
      <c r="F864" s="0" t="s">
        <v>1038</v>
      </c>
      <c r="G864" s="0" t="s">
        <v>1038</v>
      </c>
      <c r="H864" s="0" t="s">
        <v>1038</v>
      </c>
      <c r="I864" s="0" t="s">
        <v>1038</v>
      </c>
      <c r="J864" s="0" t="s">
        <v>1038</v>
      </c>
      <c r="N864" s="120" t="e">
        <f aca="false">VLOOKUP(E864,Q:R,2,FALSE())</f>
        <v>#N/A</v>
      </c>
    </row>
    <row r="865" customFormat="false" ht="14.25" hidden="false" customHeight="true" outlineLevel="0" collapsed="false">
      <c r="A865" s="0" t="n">
        <v>864</v>
      </c>
      <c r="B865" s="0" t="n">
        <v>15</v>
      </c>
      <c r="C865" s="0" t="s">
        <v>1927</v>
      </c>
      <c r="D865" s="0" t="s">
        <v>496</v>
      </c>
      <c r="E865" s="0" t="s">
        <v>1928</v>
      </c>
      <c r="F865" s="0" t="n">
        <v>7</v>
      </c>
      <c r="G865" s="0" t="s">
        <v>1038</v>
      </c>
      <c r="H865" s="0" t="s">
        <v>1038</v>
      </c>
      <c r="I865" s="0" t="s">
        <v>1031</v>
      </c>
      <c r="J865" s="0" t="s">
        <v>1038</v>
      </c>
      <c r="N865" s="120" t="e">
        <f aca="false">VLOOKUP(E865,Q:R,2,FALSE())</f>
        <v>#N/A</v>
      </c>
    </row>
    <row r="866" customFormat="false" ht="14.25" hidden="false" customHeight="true" outlineLevel="0" collapsed="false">
      <c r="A866" s="0" t="n">
        <v>865</v>
      </c>
      <c r="B866" s="0" t="n">
        <v>15</v>
      </c>
      <c r="C866" s="0" t="s">
        <v>1929</v>
      </c>
      <c r="D866" s="0" t="s">
        <v>1121</v>
      </c>
      <c r="E866" s="0" t="s">
        <v>1930</v>
      </c>
      <c r="F866" s="0" t="s">
        <v>1038</v>
      </c>
      <c r="G866" s="0" t="s">
        <v>1038</v>
      </c>
      <c r="H866" s="0" t="s">
        <v>1038</v>
      </c>
      <c r="I866" s="0" t="s">
        <v>1038</v>
      </c>
      <c r="J866" s="0" t="s">
        <v>1038</v>
      </c>
      <c r="N866" s="120" t="e">
        <f aca="false">VLOOKUP(E866,Q:R,2,FALSE())</f>
        <v>#N/A</v>
      </c>
    </row>
    <row r="867" customFormat="false" ht="14.25" hidden="false" customHeight="true" outlineLevel="0" collapsed="false">
      <c r="A867" s="0" t="n">
        <v>866</v>
      </c>
      <c r="B867" s="0" t="n">
        <v>15</v>
      </c>
      <c r="C867" s="0" t="s">
        <v>1931</v>
      </c>
      <c r="D867" s="0" t="s">
        <v>1121</v>
      </c>
      <c r="E867" s="0" t="s">
        <v>1932</v>
      </c>
      <c r="F867" s="0" t="s">
        <v>1038</v>
      </c>
      <c r="G867" s="0" t="s">
        <v>1038</v>
      </c>
      <c r="H867" s="0" t="s">
        <v>1038</v>
      </c>
      <c r="I867" s="0" t="s">
        <v>1038</v>
      </c>
      <c r="J867" s="0" t="s">
        <v>1038</v>
      </c>
      <c r="N867" s="120" t="e">
        <f aca="false">VLOOKUP(E867,Q:R,2,FALSE())</f>
        <v>#N/A</v>
      </c>
    </row>
    <row r="868" customFormat="false" ht="14.25" hidden="false" customHeight="true" outlineLevel="0" collapsed="false">
      <c r="A868" s="0" t="n">
        <v>867</v>
      </c>
      <c r="B868" s="0" t="n">
        <v>15</v>
      </c>
      <c r="C868" s="0" t="s">
        <v>1933</v>
      </c>
      <c r="D868" s="0" t="s">
        <v>1121</v>
      </c>
      <c r="E868" s="0" t="s">
        <v>1934</v>
      </c>
      <c r="F868" s="0" t="s">
        <v>1038</v>
      </c>
      <c r="G868" s="0" t="s">
        <v>1038</v>
      </c>
      <c r="H868" s="0" t="s">
        <v>1038</v>
      </c>
      <c r="I868" s="0" t="s">
        <v>1038</v>
      </c>
      <c r="J868" s="0" t="s">
        <v>1038</v>
      </c>
      <c r="N868" s="120" t="e">
        <f aca="false">VLOOKUP(E868,Q:R,2,FALSE())</f>
        <v>#N/A</v>
      </c>
    </row>
    <row r="869" customFormat="false" ht="14.25" hidden="false" customHeight="true" outlineLevel="0" collapsed="false">
      <c r="A869" s="0" t="n">
        <v>868</v>
      </c>
      <c r="B869" s="0" t="n">
        <v>15</v>
      </c>
      <c r="C869" s="0" t="s">
        <v>1935</v>
      </c>
      <c r="D869" s="0" t="s">
        <v>1121</v>
      </c>
      <c r="E869" s="0" t="s">
        <v>1936</v>
      </c>
      <c r="F869" s="0" t="s">
        <v>1038</v>
      </c>
      <c r="G869" s="0" t="s">
        <v>1038</v>
      </c>
      <c r="H869" s="0" t="s">
        <v>1038</v>
      </c>
      <c r="I869" s="0" t="s">
        <v>1038</v>
      </c>
      <c r="J869" s="0" t="s">
        <v>1038</v>
      </c>
      <c r="N869" s="120" t="e">
        <f aca="false">VLOOKUP(E869,Q:R,2,FALSE())</f>
        <v>#N/A</v>
      </c>
    </row>
    <row r="870" customFormat="false" ht="14.25" hidden="false" customHeight="true" outlineLevel="0" collapsed="false">
      <c r="A870" s="0" t="n">
        <v>869</v>
      </c>
      <c r="B870" s="0" t="n">
        <v>15</v>
      </c>
      <c r="C870" s="0" t="s">
        <v>1937</v>
      </c>
      <c r="D870" s="0" t="s">
        <v>1121</v>
      </c>
      <c r="E870" s="0" t="s">
        <v>1938</v>
      </c>
      <c r="F870" s="0" t="s">
        <v>1038</v>
      </c>
      <c r="G870" s="0" t="s">
        <v>1038</v>
      </c>
      <c r="H870" s="0" t="s">
        <v>1038</v>
      </c>
      <c r="I870" s="0" t="s">
        <v>1038</v>
      </c>
      <c r="J870" s="0" t="s">
        <v>1038</v>
      </c>
      <c r="N870" s="120" t="e">
        <f aca="false">VLOOKUP(E870,Q:R,2,FALSE())</f>
        <v>#N/A</v>
      </c>
    </row>
    <row r="871" customFormat="false" ht="14.25" hidden="false" customHeight="true" outlineLevel="0" collapsed="false">
      <c r="A871" s="0" t="n">
        <v>870</v>
      </c>
      <c r="B871" s="0" t="n">
        <v>15</v>
      </c>
      <c r="C871" s="0" t="s">
        <v>1939</v>
      </c>
      <c r="D871" s="0" t="s">
        <v>1121</v>
      </c>
      <c r="E871" s="0" t="s">
        <v>1940</v>
      </c>
      <c r="F871" s="0" t="s">
        <v>1038</v>
      </c>
      <c r="G871" s="0" t="s">
        <v>1038</v>
      </c>
      <c r="H871" s="0" t="s">
        <v>1038</v>
      </c>
      <c r="I871" s="0" t="s">
        <v>1038</v>
      </c>
      <c r="J871" s="0" t="s">
        <v>1038</v>
      </c>
      <c r="N871" s="120" t="e">
        <f aca="false">VLOOKUP(E871,Q:R,2,FALSE())</f>
        <v>#N/A</v>
      </c>
    </row>
    <row r="872" customFormat="false" ht="14.25" hidden="false" customHeight="true" outlineLevel="0" collapsed="false">
      <c r="A872" s="0" t="n">
        <v>871</v>
      </c>
      <c r="B872" s="0" t="n">
        <v>15</v>
      </c>
      <c r="C872" s="0" t="s">
        <v>1941</v>
      </c>
      <c r="D872" s="0" t="s">
        <v>1121</v>
      </c>
      <c r="E872" s="0" t="s">
        <v>1942</v>
      </c>
      <c r="F872" s="0" t="s">
        <v>1038</v>
      </c>
      <c r="G872" s="0" t="s">
        <v>1038</v>
      </c>
      <c r="H872" s="0" t="s">
        <v>1038</v>
      </c>
      <c r="I872" s="0" t="s">
        <v>1038</v>
      </c>
      <c r="J872" s="0" t="s">
        <v>1038</v>
      </c>
      <c r="N872" s="120" t="e">
        <f aca="false">VLOOKUP(E872,Q:R,2,FALSE())</f>
        <v>#N/A</v>
      </c>
    </row>
    <row r="873" customFormat="false" ht="14.25" hidden="false" customHeight="true" outlineLevel="0" collapsed="false">
      <c r="A873" s="0" t="n">
        <v>872</v>
      </c>
      <c r="B873" s="0" t="n">
        <v>15</v>
      </c>
      <c r="C873" s="0" t="s">
        <v>1943</v>
      </c>
      <c r="D873" s="0" t="s">
        <v>1121</v>
      </c>
      <c r="E873" s="0" t="s">
        <v>1944</v>
      </c>
      <c r="F873" s="0" t="s">
        <v>1038</v>
      </c>
      <c r="G873" s="0" t="s">
        <v>1038</v>
      </c>
      <c r="H873" s="0" t="s">
        <v>1038</v>
      </c>
      <c r="I873" s="0" t="s">
        <v>1038</v>
      </c>
      <c r="J873" s="0" t="n">
        <v>-579</v>
      </c>
      <c r="N873" s="120" t="e">
        <f aca="false">VLOOKUP(E873,Q:R,2,FALSE())</f>
        <v>#N/A</v>
      </c>
    </row>
    <row r="874" customFormat="false" ht="14.25" hidden="false" customHeight="true" outlineLevel="0" collapsed="false">
      <c r="A874" s="0" t="n">
        <v>873</v>
      </c>
      <c r="B874" s="0" t="n">
        <v>15</v>
      </c>
      <c r="C874" s="0" t="s">
        <v>1945</v>
      </c>
      <c r="D874" s="0" t="s">
        <v>522</v>
      </c>
      <c r="E874" s="0" t="s">
        <v>1946</v>
      </c>
      <c r="F874" s="0" t="n">
        <v>6</v>
      </c>
      <c r="G874" s="0" t="s">
        <v>1038</v>
      </c>
      <c r="H874" s="0" t="s">
        <v>1038</v>
      </c>
      <c r="I874" s="0" t="s">
        <v>1030</v>
      </c>
      <c r="J874" s="0" t="s">
        <v>1038</v>
      </c>
      <c r="N874" s="120" t="e">
        <f aca="false">VLOOKUP(E874,Q:R,2,FALSE())</f>
        <v>#N/A</v>
      </c>
    </row>
    <row r="875" customFormat="false" ht="14.25" hidden="false" customHeight="true" outlineLevel="0" collapsed="false">
      <c r="A875" s="0" t="n">
        <v>874</v>
      </c>
      <c r="B875" s="0" t="n">
        <v>15</v>
      </c>
      <c r="C875" s="0" t="s">
        <v>1947</v>
      </c>
      <c r="D875" s="0" t="s">
        <v>1121</v>
      </c>
      <c r="E875" s="0" t="s">
        <v>1948</v>
      </c>
      <c r="F875" s="0" t="s">
        <v>1038</v>
      </c>
      <c r="G875" s="0" t="s">
        <v>1038</v>
      </c>
      <c r="H875" s="0" t="s">
        <v>1038</v>
      </c>
      <c r="I875" s="0" t="s">
        <v>1038</v>
      </c>
      <c r="J875" s="0" t="s">
        <v>1038</v>
      </c>
      <c r="N875" s="120" t="e">
        <f aca="false">VLOOKUP(E875,Q:R,2,FALSE())</f>
        <v>#N/A</v>
      </c>
    </row>
    <row r="876" customFormat="false" ht="14.25" hidden="false" customHeight="true" outlineLevel="0" collapsed="false">
      <c r="A876" s="0" t="n">
        <v>875</v>
      </c>
      <c r="B876" s="0" t="n">
        <v>15</v>
      </c>
      <c r="C876" s="0" t="s">
        <v>1949</v>
      </c>
      <c r="D876" s="0" t="s">
        <v>1121</v>
      </c>
      <c r="E876" s="0" t="s">
        <v>1950</v>
      </c>
      <c r="F876" s="0" t="s">
        <v>1038</v>
      </c>
      <c r="G876" s="0" t="s">
        <v>1038</v>
      </c>
      <c r="H876" s="0" t="s">
        <v>1038</v>
      </c>
      <c r="I876" s="0" t="s">
        <v>1038</v>
      </c>
      <c r="J876" s="0" t="s">
        <v>1038</v>
      </c>
      <c r="N876" s="120" t="e">
        <f aca="false">VLOOKUP(E876,Q:R,2,FALSE())</f>
        <v>#N/A</v>
      </c>
    </row>
    <row r="877" customFormat="false" ht="14.25" hidden="false" customHeight="true" outlineLevel="0" collapsed="false">
      <c r="A877" s="0" t="n">
        <v>876</v>
      </c>
      <c r="B877" s="0" t="n">
        <v>15</v>
      </c>
      <c r="C877" s="0" t="s">
        <v>1951</v>
      </c>
      <c r="D877" s="0" t="s">
        <v>532</v>
      </c>
      <c r="E877" s="0" t="s">
        <v>1952</v>
      </c>
      <c r="F877" s="0" t="n">
        <v>13</v>
      </c>
      <c r="G877" s="0" t="s">
        <v>1038</v>
      </c>
      <c r="H877" s="0" t="s">
        <v>1038</v>
      </c>
      <c r="I877" s="0" t="s">
        <v>1032</v>
      </c>
      <c r="J877" s="0" t="s">
        <v>1038</v>
      </c>
      <c r="N877" s="120" t="e">
        <f aca="false">VLOOKUP(E877,Q:R,2,FALSE())</f>
        <v>#N/A</v>
      </c>
    </row>
    <row r="878" customFormat="false" ht="14.25" hidden="false" customHeight="true" outlineLevel="0" collapsed="false">
      <c r="A878" s="0" t="n">
        <v>877</v>
      </c>
      <c r="B878" s="0" t="n">
        <v>15</v>
      </c>
      <c r="C878" s="0" t="s">
        <v>1953</v>
      </c>
      <c r="D878" s="0" t="s">
        <v>1121</v>
      </c>
      <c r="E878" s="0" t="s">
        <v>1954</v>
      </c>
      <c r="F878" s="0" t="s">
        <v>1038</v>
      </c>
      <c r="G878" s="0" t="s">
        <v>1038</v>
      </c>
      <c r="H878" s="0" t="s">
        <v>1038</v>
      </c>
      <c r="I878" s="0" t="s">
        <v>1038</v>
      </c>
      <c r="J878" s="0" t="s">
        <v>1038</v>
      </c>
      <c r="N878" s="120" t="e">
        <f aca="false">VLOOKUP(E878,Q:R,2,FALSE())</f>
        <v>#N/A</v>
      </c>
    </row>
    <row r="879" customFormat="false" ht="14.25" hidden="false" customHeight="true" outlineLevel="0" collapsed="false">
      <c r="A879" s="0" t="n">
        <v>878</v>
      </c>
      <c r="B879" s="0" t="n">
        <v>15</v>
      </c>
      <c r="C879" s="0" t="s">
        <v>1955</v>
      </c>
      <c r="D879" s="0" t="s">
        <v>1121</v>
      </c>
      <c r="E879" s="0" t="s">
        <v>1956</v>
      </c>
      <c r="F879" s="0" t="s">
        <v>1038</v>
      </c>
      <c r="G879" s="0" t="s">
        <v>1038</v>
      </c>
      <c r="H879" s="0" t="s">
        <v>1038</v>
      </c>
      <c r="I879" s="0" t="s">
        <v>1038</v>
      </c>
      <c r="J879" s="0" t="s">
        <v>1038</v>
      </c>
      <c r="N879" s="120" t="e">
        <f aca="false">VLOOKUP(E879,Q:R,2,FALSE())</f>
        <v>#N/A</v>
      </c>
    </row>
    <row r="880" customFormat="false" ht="14.25" hidden="false" customHeight="true" outlineLevel="0" collapsed="false">
      <c r="A880" s="0" t="n">
        <v>879</v>
      </c>
      <c r="B880" s="0" t="n">
        <v>15</v>
      </c>
      <c r="C880" s="0" t="s">
        <v>1957</v>
      </c>
      <c r="D880" s="0" t="s">
        <v>1121</v>
      </c>
      <c r="E880" s="0" t="s">
        <v>1958</v>
      </c>
      <c r="F880" s="0" t="s">
        <v>1038</v>
      </c>
      <c r="G880" s="0" t="s">
        <v>1038</v>
      </c>
      <c r="H880" s="0" t="s">
        <v>1038</v>
      </c>
      <c r="I880" s="0" t="s">
        <v>1038</v>
      </c>
      <c r="J880" s="0" t="s">
        <v>1038</v>
      </c>
      <c r="N880" s="120" t="e">
        <f aca="false">VLOOKUP(E880,Q:R,2,FALSE())</f>
        <v>#N/A</v>
      </c>
    </row>
    <row r="881" customFormat="false" ht="14.25" hidden="false" customHeight="true" outlineLevel="0" collapsed="false">
      <c r="A881" s="0" t="n">
        <v>880</v>
      </c>
      <c r="B881" s="0" t="n">
        <v>15</v>
      </c>
      <c r="C881" s="0" t="s">
        <v>1959</v>
      </c>
      <c r="D881" s="0" t="s">
        <v>1121</v>
      </c>
      <c r="E881" s="0" t="s">
        <v>1960</v>
      </c>
      <c r="F881" s="0" t="s">
        <v>1038</v>
      </c>
      <c r="G881" s="0" t="s">
        <v>1038</v>
      </c>
      <c r="H881" s="0" t="s">
        <v>1038</v>
      </c>
      <c r="I881" s="0" t="s">
        <v>1038</v>
      </c>
      <c r="J881" s="0" t="s">
        <v>1038</v>
      </c>
      <c r="N881" s="120" t="e">
        <f aca="false">VLOOKUP(E881,Q:R,2,FALSE())</f>
        <v>#N/A</v>
      </c>
    </row>
    <row r="882" customFormat="false" ht="14.25" hidden="false" customHeight="true" outlineLevel="0" collapsed="false">
      <c r="A882" s="0" t="n">
        <v>881</v>
      </c>
      <c r="B882" s="0" t="n">
        <v>15</v>
      </c>
      <c r="C882" s="0" t="s">
        <v>1961</v>
      </c>
      <c r="D882" s="0" t="s">
        <v>1121</v>
      </c>
      <c r="E882" s="0" t="s">
        <v>1962</v>
      </c>
      <c r="F882" s="0" t="s">
        <v>1038</v>
      </c>
      <c r="G882" s="0" t="s">
        <v>1038</v>
      </c>
      <c r="H882" s="0" t="s">
        <v>1038</v>
      </c>
      <c r="I882" s="0" t="s">
        <v>1038</v>
      </c>
      <c r="J882" s="0" t="s">
        <v>1038</v>
      </c>
      <c r="N882" s="120" t="e">
        <f aca="false">VLOOKUP(E882,Q:R,2,FALSE())</f>
        <v>#N/A</v>
      </c>
    </row>
    <row r="883" customFormat="false" ht="14.25" hidden="false" customHeight="true" outlineLevel="0" collapsed="false">
      <c r="A883" s="0" t="n">
        <v>882</v>
      </c>
      <c r="B883" s="0" t="n">
        <v>15</v>
      </c>
      <c r="C883" s="0" t="s">
        <v>1963</v>
      </c>
      <c r="D883" s="0" t="s">
        <v>512</v>
      </c>
      <c r="E883" s="0" t="s">
        <v>1964</v>
      </c>
      <c r="F883" s="0" t="n">
        <v>5</v>
      </c>
      <c r="G883" s="0" t="s">
        <v>1038</v>
      </c>
      <c r="H883" s="0" t="s">
        <v>1038</v>
      </c>
      <c r="I883" s="0" t="s">
        <v>1035</v>
      </c>
      <c r="J883" s="0" t="s">
        <v>1038</v>
      </c>
      <c r="N883" s="120" t="e">
        <f aca="false">VLOOKUP(E883,Q:R,2,FALSE())</f>
        <v>#N/A</v>
      </c>
    </row>
    <row r="884" customFormat="false" ht="14.25" hidden="false" customHeight="true" outlineLevel="0" collapsed="false">
      <c r="A884" s="0" t="n">
        <v>883</v>
      </c>
      <c r="B884" s="0" t="n">
        <v>15</v>
      </c>
      <c r="C884" s="0" t="s">
        <v>1965</v>
      </c>
      <c r="D884" s="0" t="s">
        <v>1121</v>
      </c>
      <c r="E884" s="0" t="s">
        <v>1966</v>
      </c>
      <c r="F884" s="0" t="s">
        <v>1038</v>
      </c>
      <c r="G884" s="0" t="s">
        <v>1038</v>
      </c>
      <c r="H884" s="0" t="s">
        <v>1038</v>
      </c>
      <c r="I884" s="0" t="s">
        <v>1038</v>
      </c>
      <c r="J884" s="0" t="s">
        <v>1038</v>
      </c>
      <c r="N884" s="120" t="e">
        <f aca="false">VLOOKUP(E884,Q:R,2,FALSE())</f>
        <v>#N/A</v>
      </c>
    </row>
    <row r="885" customFormat="false" ht="14.25" hidden="false" customHeight="true" outlineLevel="0" collapsed="false">
      <c r="A885" s="0" t="n">
        <v>884</v>
      </c>
      <c r="B885" s="0" t="n">
        <v>15</v>
      </c>
      <c r="C885" s="0" t="s">
        <v>721</v>
      </c>
      <c r="D885" s="0" t="s">
        <v>550</v>
      </c>
      <c r="E885" s="0" t="s">
        <v>1967</v>
      </c>
      <c r="F885" s="0" t="n">
        <v>13</v>
      </c>
      <c r="G885" s="0" t="s">
        <v>1038</v>
      </c>
      <c r="H885" s="0" t="s">
        <v>1038</v>
      </c>
      <c r="I885" s="0" t="s">
        <v>1031</v>
      </c>
      <c r="J885" s="0" t="s">
        <v>1038</v>
      </c>
      <c r="N885" s="120" t="e">
        <f aca="false">VLOOKUP(E885,Q:R,2,FALSE())</f>
        <v>#N/A</v>
      </c>
    </row>
    <row r="886" customFormat="false" ht="14.25" hidden="false" customHeight="true" outlineLevel="0" collapsed="false">
      <c r="A886" s="0" t="n">
        <v>885</v>
      </c>
      <c r="B886" s="0" t="n">
        <v>15</v>
      </c>
      <c r="C886" s="0" t="s">
        <v>1968</v>
      </c>
      <c r="D886" s="0" t="s">
        <v>534</v>
      </c>
      <c r="E886" s="0" t="s">
        <v>1969</v>
      </c>
      <c r="F886" s="0" t="n">
        <v>6</v>
      </c>
      <c r="G886" s="0" t="s">
        <v>1038</v>
      </c>
      <c r="H886" s="0" t="s">
        <v>1038</v>
      </c>
      <c r="I886" s="0" t="s">
        <v>1035</v>
      </c>
      <c r="J886" s="0" t="s">
        <v>1038</v>
      </c>
      <c r="N886" s="120" t="e">
        <f aca="false">VLOOKUP(E886,Q:R,2,FALSE())</f>
        <v>#N/A</v>
      </c>
    </row>
    <row r="887" customFormat="false" ht="14.25" hidden="false" customHeight="true" outlineLevel="0" collapsed="false">
      <c r="A887" s="0" t="n">
        <v>886</v>
      </c>
      <c r="B887" s="0" t="n">
        <v>15</v>
      </c>
      <c r="C887" s="0" t="s">
        <v>1970</v>
      </c>
      <c r="D887" s="0" t="s">
        <v>1121</v>
      </c>
      <c r="E887" s="0" t="s">
        <v>1971</v>
      </c>
      <c r="F887" s="0" t="s">
        <v>1038</v>
      </c>
      <c r="G887" s="0" t="s">
        <v>1038</v>
      </c>
      <c r="H887" s="0" t="s">
        <v>1038</v>
      </c>
      <c r="I887" s="0" t="s">
        <v>1038</v>
      </c>
      <c r="J887" s="0" t="s">
        <v>1038</v>
      </c>
    </row>
    <row r="888" customFormat="false" ht="14.25" hidden="false" customHeight="true" outlineLevel="0" collapsed="false">
      <c r="A888" s="0" t="n">
        <v>887</v>
      </c>
      <c r="B888" s="0" t="n">
        <v>15</v>
      </c>
      <c r="C888" s="0" t="s">
        <v>1972</v>
      </c>
      <c r="D888" s="0" t="s">
        <v>1121</v>
      </c>
      <c r="E888" s="0" t="s">
        <v>1973</v>
      </c>
      <c r="F888" s="0" t="s">
        <v>1038</v>
      </c>
      <c r="G888" s="0" t="s">
        <v>1038</v>
      </c>
      <c r="H888" s="0" t="s">
        <v>1038</v>
      </c>
      <c r="I888" s="0" t="s">
        <v>1038</v>
      </c>
      <c r="J888" s="0" t="s">
        <v>1038</v>
      </c>
    </row>
    <row r="889" customFormat="false" ht="14.25" hidden="false" customHeight="false" outlineLevel="0" collapsed="false">
      <c r="A889" s="0" t="n">
        <v>888</v>
      </c>
      <c r="B889" s="0" t="n">
        <v>15</v>
      </c>
      <c r="C889" s="0" t="s">
        <v>1974</v>
      </c>
      <c r="D889" s="0" t="s">
        <v>1121</v>
      </c>
      <c r="E889" s="0" t="s">
        <v>1975</v>
      </c>
      <c r="F889" s="0" t="s">
        <v>1038</v>
      </c>
      <c r="G889" s="0" t="s">
        <v>1038</v>
      </c>
      <c r="H889" s="0" t="s">
        <v>1038</v>
      </c>
      <c r="I889" s="0" t="s">
        <v>1038</v>
      </c>
      <c r="J889" s="0" t="s">
        <v>1038</v>
      </c>
    </row>
    <row r="890" customFormat="false" ht="14.25" hidden="false" customHeight="false" outlineLevel="0" collapsed="false">
      <c r="A890" s="0" t="n">
        <v>889</v>
      </c>
      <c r="B890" s="0" t="n">
        <v>15</v>
      </c>
      <c r="C890" s="0" t="s">
        <v>1976</v>
      </c>
      <c r="D890" s="0" t="s">
        <v>1121</v>
      </c>
      <c r="E890" s="0" t="s">
        <v>1977</v>
      </c>
      <c r="F890" s="0" t="s">
        <v>1038</v>
      </c>
      <c r="G890" s="0" t="s">
        <v>1038</v>
      </c>
      <c r="H890" s="0" t="s">
        <v>1038</v>
      </c>
      <c r="I890" s="0" t="s">
        <v>1038</v>
      </c>
      <c r="J890" s="0" t="s">
        <v>1038</v>
      </c>
    </row>
    <row r="891" customFormat="false" ht="14.25" hidden="false" customHeight="false" outlineLevel="0" collapsed="false">
      <c r="A891" s="0" t="n">
        <v>890</v>
      </c>
      <c r="B891" s="0" t="n">
        <v>15</v>
      </c>
      <c r="C891" s="0" t="s">
        <v>1978</v>
      </c>
      <c r="D891" s="0" t="s">
        <v>1121</v>
      </c>
      <c r="E891" s="0" t="s">
        <v>1979</v>
      </c>
      <c r="F891" s="0" t="s">
        <v>1038</v>
      </c>
      <c r="G891" s="0" t="s">
        <v>1038</v>
      </c>
      <c r="H891" s="0" t="s">
        <v>1038</v>
      </c>
      <c r="I891" s="0" t="s">
        <v>1038</v>
      </c>
      <c r="J891" s="0" t="s">
        <v>1038</v>
      </c>
    </row>
    <row r="892" customFormat="false" ht="14.25" hidden="false" customHeight="false" outlineLevel="0" collapsed="false">
      <c r="A892" s="0" t="n">
        <v>891</v>
      </c>
      <c r="B892" s="0" t="n">
        <v>15</v>
      </c>
      <c r="C892" s="0" t="s">
        <v>1980</v>
      </c>
      <c r="D892" s="0" t="s">
        <v>1121</v>
      </c>
      <c r="E892" s="0" t="s">
        <v>1981</v>
      </c>
      <c r="F892" s="0" t="s">
        <v>1038</v>
      </c>
      <c r="G892" s="0" t="s">
        <v>1038</v>
      </c>
      <c r="H892" s="0" t="s">
        <v>1038</v>
      </c>
      <c r="I892" s="0" t="s">
        <v>1038</v>
      </c>
      <c r="J892" s="0" t="s">
        <v>1038</v>
      </c>
    </row>
    <row r="893" customFormat="false" ht="14.25" hidden="false" customHeight="false" outlineLevel="0" collapsed="false">
      <c r="A893" s="0" t="n">
        <v>892</v>
      </c>
      <c r="B893" s="0" t="n">
        <v>15</v>
      </c>
      <c r="C893" s="0" t="s">
        <v>1982</v>
      </c>
      <c r="D893" s="0" t="s">
        <v>1121</v>
      </c>
      <c r="E893" s="0" t="s">
        <v>1983</v>
      </c>
      <c r="F893" s="0" t="s">
        <v>1038</v>
      </c>
      <c r="G893" s="0" t="s">
        <v>1038</v>
      </c>
      <c r="H893" s="0" t="s">
        <v>1038</v>
      </c>
      <c r="I893" s="0" t="s">
        <v>1038</v>
      </c>
      <c r="J893" s="0" t="s">
        <v>1038</v>
      </c>
    </row>
    <row r="894" customFormat="false" ht="14.25" hidden="false" customHeight="false" outlineLevel="0" collapsed="false">
      <c r="A894" s="0" t="n">
        <v>893</v>
      </c>
      <c r="B894" s="0" t="n">
        <v>15</v>
      </c>
      <c r="C894" s="0" t="s">
        <v>1984</v>
      </c>
      <c r="D894" s="0" t="s">
        <v>1121</v>
      </c>
      <c r="E894" s="0" t="s">
        <v>1985</v>
      </c>
      <c r="F894" s="0" t="s">
        <v>1038</v>
      </c>
      <c r="G894" s="0" t="s">
        <v>1038</v>
      </c>
      <c r="H894" s="0" t="s">
        <v>1038</v>
      </c>
      <c r="I894" s="0" t="s">
        <v>1038</v>
      </c>
      <c r="J894" s="0" t="s">
        <v>1038</v>
      </c>
    </row>
    <row r="895" customFormat="false" ht="14.25" hidden="false" customHeight="false" outlineLevel="0" collapsed="false">
      <c r="A895" s="0" t="n">
        <v>894</v>
      </c>
      <c r="B895" s="0" t="n">
        <v>15</v>
      </c>
      <c r="C895" s="0" t="s">
        <v>1986</v>
      </c>
      <c r="D895" s="0" t="s">
        <v>1121</v>
      </c>
      <c r="E895" s="0" t="s">
        <v>1987</v>
      </c>
      <c r="F895" s="0" t="s">
        <v>1038</v>
      </c>
      <c r="G895" s="0" t="s">
        <v>1038</v>
      </c>
      <c r="H895" s="0" t="s">
        <v>1038</v>
      </c>
      <c r="I895" s="0" t="s">
        <v>1038</v>
      </c>
      <c r="J895" s="0" t="s">
        <v>1038</v>
      </c>
    </row>
    <row r="896" customFormat="false" ht="14.25" hidden="false" customHeight="false" outlineLevel="0" collapsed="false">
      <c r="A896" s="0" t="n">
        <v>895</v>
      </c>
      <c r="B896" s="0" t="n">
        <v>15</v>
      </c>
      <c r="C896" s="0" t="s">
        <v>1988</v>
      </c>
      <c r="D896" s="0" t="s">
        <v>1121</v>
      </c>
      <c r="E896" s="0" t="s">
        <v>1989</v>
      </c>
      <c r="F896" s="0" t="s">
        <v>1038</v>
      </c>
      <c r="G896" s="0" t="s">
        <v>1038</v>
      </c>
      <c r="H896" s="0" t="s">
        <v>1038</v>
      </c>
      <c r="I896" s="0" t="s">
        <v>1038</v>
      </c>
      <c r="J896" s="0" t="s">
        <v>1038</v>
      </c>
    </row>
    <row r="897" customFormat="false" ht="14.25" hidden="false" customHeight="false" outlineLevel="0" collapsed="false">
      <c r="A897" s="0" t="n">
        <v>896</v>
      </c>
      <c r="B897" s="0" t="n">
        <v>15</v>
      </c>
      <c r="C897" s="0" t="s">
        <v>1990</v>
      </c>
      <c r="D897" s="0" t="s">
        <v>1121</v>
      </c>
      <c r="E897" s="0" t="s">
        <v>1991</v>
      </c>
      <c r="F897" s="0" t="s">
        <v>1038</v>
      </c>
      <c r="G897" s="0" t="s">
        <v>1038</v>
      </c>
      <c r="H897" s="0" t="s">
        <v>1038</v>
      </c>
      <c r="I897" s="0" t="s">
        <v>1038</v>
      </c>
      <c r="J897" s="0" t="s">
        <v>1038</v>
      </c>
    </row>
    <row r="898" customFormat="false" ht="14.25" hidden="false" customHeight="false" outlineLevel="0" collapsed="false">
      <c r="A898" s="0" t="n">
        <v>897</v>
      </c>
      <c r="B898" s="0" t="n">
        <v>15</v>
      </c>
      <c r="C898" s="0" t="s">
        <v>1992</v>
      </c>
      <c r="D898" s="0" t="s">
        <v>516</v>
      </c>
      <c r="E898" s="0" t="s">
        <v>1993</v>
      </c>
      <c r="F898" s="0" t="n">
        <v>7</v>
      </c>
      <c r="G898" s="0" t="s">
        <v>1038</v>
      </c>
      <c r="H898" s="0" t="s">
        <v>1038</v>
      </c>
      <c r="I898" s="0" t="s">
        <v>1035</v>
      </c>
      <c r="J898" s="0" t="s">
        <v>1038</v>
      </c>
    </row>
    <row r="899" customFormat="false" ht="14.25" hidden="false" customHeight="false" outlineLevel="0" collapsed="false">
      <c r="A899" s="0" t="n">
        <v>898</v>
      </c>
      <c r="B899" s="0" t="n">
        <v>15</v>
      </c>
      <c r="C899" s="0" t="s">
        <v>1994</v>
      </c>
      <c r="D899" s="0" t="s">
        <v>1121</v>
      </c>
      <c r="E899" s="0" t="s">
        <v>1995</v>
      </c>
      <c r="F899" s="0" t="s">
        <v>1038</v>
      </c>
      <c r="G899" s="0" t="s">
        <v>1038</v>
      </c>
      <c r="H899" s="0" t="s">
        <v>1038</v>
      </c>
      <c r="I899" s="0" t="s">
        <v>1038</v>
      </c>
      <c r="J899" s="0" t="s">
        <v>1038</v>
      </c>
    </row>
    <row r="900" customFormat="false" ht="14.25" hidden="false" customHeight="false" outlineLevel="0" collapsed="false">
      <c r="A900" s="0" t="n">
        <v>899</v>
      </c>
      <c r="B900" s="0" t="n">
        <v>15</v>
      </c>
      <c r="C900" s="0" t="s">
        <v>1996</v>
      </c>
      <c r="D900" s="0" t="s">
        <v>516</v>
      </c>
      <c r="E900" s="0" t="s">
        <v>1997</v>
      </c>
      <c r="F900" s="0" t="n">
        <v>7</v>
      </c>
      <c r="G900" s="0" t="s">
        <v>1038</v>
      </c>
      <c r="H900" s="0" t="s">
        <v>1038</v>
      </c>
      <c r="I900" s="0" t="s">
        <v>1031</v>
      </c>
      <c r="J900" s="0" t="s">
        <v>1038</v>
      </c>
    </row>
    <row r="901" customFormat="false" ht="14.25" hidden="false" customHeight="false" outlineLevel="0" collapsed="false">
      <c r="A901" s="0" t="n">
        <v>900</v>
      </c>
      <c r="B901" s="0" t="n">
        <v>15</v>
      </c>
      <c r="C901" s="0" t="s">
        <v>1998</v>
      </c>
      <c r="D901" s="0" t="s">
        <v>1121</v>
      </c>
      <c r="E901" s="0" t="s">
        <v>1999</v>
      </c>
      <c r="F901" s="0" t="s">
        <v>1038</v>
      </c>
      <c r="G901" s="0" t="s">
        <v>1038</v>
      </c>
      <c r="H901" s="0" t="s">
        <v>1038</v>
      </c>
      <c r="I901" s="0" t="s">
        <v>1038</v>
      </c>
      <c r="J901" s="0" t="s">
        <v>1038</v>
      </c>
    </row>
    <row r="902" customFormat="false" ht="14.25" hidden="false" customHeight="false" outlineLevel="0" collapsed="false">
      <c r="A902" s="0" t="n">
        <v>901</v>
      </c>
      <c r="B902" s="0" t="n">
        <v>15</v>
      </c>
      <c r="C902" s="0" t="s">
        <v>2000</v>
      </c>
      <c r="D902" s="0" t="s">
        <v>1121</v>
      </c>
      <c r="E902" s="0" t="s">
        <v>2001</v>
      </c>
      <c r="F902" s="0" t="s">
        <v>1038</v>
      </c>
      <c r="G902" s="0" t="s">
        <v>1038</v>
      </c>
      <c r="H902" s="0" t="s">
        <v>1038</v>
      </c>
      <c r="I902" s="0" t="s">
        <v>1038</v>
      </c>
      <c r="J902" s="0" t="s">
        <v>1038</v>
      </c>
    </row>
    <row r="903" customFormat="false" ht="14.25" hidden="false" customHeight="false" outlineLevel="0" collapsed="false">
      <c r="A903" s="0" t="n">
        <v>902</v>
      </c>
      <c r="B903" s="0" t="n">
        <v>15</v>
      </c>
      <c r="C903" s="0" t="s">
        <v>2002</v>
      </c>
      <c r="D903" s="0" t="s">
        <v>1121</v>
      </c>
      <c r="E903" s="0" t="s">
        <v>2003</v>
      </c>
      <c r="F903" s="0" t="s">
        <v>1038</v>
      </c>
      <c r="G903" s="0" t="s">
        <v>1038</v>
      </c>
      <c r="H903" s="0" t="s">
        <v>1038</v>
      </c>
      <c r="I903" s="0" t="s">
        <v>1038</v>
      </c>
      <c r="J903" s="0" t="s">
        <v>1038</v>
      </c>
    </row>
    <row r="904" customFormat="false" ht="14.25" hidden="false" customHeight="false" outlineLevel="0" collapsed="false">
      <c r="A904" s="0" t="n">
        <v>903</v>
      </c>
      <c r="B904" s="0" t="n">
        <v>15</v>
      </c>
      <c r="C904" s="0" t="s">
        <v>2004</v>
      </c>
      <c r="D904" s="0" t="s">
        <v>1121</v>
      </c>
      <c r="E904" s="0" t="s">
        <v>2005</v>
      </c>
      <c r="F904" s="0" t="s">
        <v>1038</v>
      </c>
      <c r="G904" s="0" t="s">
        <v>1038</v>
      </c>
      <c r="H904" s="0" t="s">
        <v>1038</v>
      </c>
      <c r="I904" s="0" t="s">
        <v>1038</v>
      </c>
      <c r="J904" s="0" t="s">
        <v>1038</v>
      </c>
    </row>
    <row r="905" customFormat="false" ht="14.25" hidden="false" customHeight="false" outlineLevel="0" collapsed="false">
      <c r="A905" s="0" t="n">
        <v>904</v>
      </c>
      <c r="B905" s="0" t="n">
        <v>15</v>
      </c>
      <c r="C905" s="0" t="s">
        <v>2006</v>
      </c>
      <c r="D905" s="0" t="s">
        <v>1121</v>
      </c>
      <c r="E905" s="0" t="s">
        <v>2007</v>
      </c>
      <c r="F905" s="0" t="s">
        <v>1038</v>
      </c>
      <c r="G905" s="0" t="s">
        <v>1038</v>
      </c>
      <c r="H905" s="0" t="s">
        <v>1038</v>
      </c>
      <c r="I905" s="0" t="s">
        <v>1038</v>
      </c>
      <c r="J905" s="0" t="s">
        <v>1038</v>
      </c>
    </row>
    <row r="906" customFormat="false" ht="14.25" hidden="false" customHeight="false" outlineLevel="0" collapsed="false">
      <c r="A906" s="0" t="n">
        <v>905</v>
      </c>
      <c r="B906" s="0" t="n">
        <v>15</v>
      </c>
      <c r="C906" s="0" t="s">
        <v>2008</v>
      </c>
      <c r="D906" s="0" t="s">
        <v>1121</v>
      </c>
      <c r="E906" s="0" t="s">
        <v>2009</v>
      </c>
      <c r="F906" s="0" t="s">
        <v>1038</v>
      </c>
      <c r="G906" s="0" t="s">
        <v>1038</v>
      </c>
      <c r="H906" s="0" t="s">
        <v>1038</v>
      </c>
      <c r="I906" s="0" t="s">
        <v>1038</v>
      </c>
      <c r="J906" s="0" t="s">
        <v>1038</v>
      </c>
    </row>
    <row r="907" customFormat="false" ht="14.25" hidden="false" customHeight="false" outlineLevel="0" collapsed="false">
      <c r="A907" s="0" t="n">
        <v>906</v>
      </c>
      <c r="B907" s="0" t="n">
        <v>15</v>
      </c>
      <c r="C907" s="0" t="s">
        <v>2010</v>
      </c>
      <c r="D907" s="0" t="s">
        <v>1121</v>
      </c>
      <c r="E907" s="0" t="s">
        <v>2011</v>
      </c>
      <c r="F907" s="0" t="s">
        <v>1038</v>
      </c>
      <c r="G907" s="0" t="s">
        <v>1038</v>
      </c>
      <c r="H907" s="0" t="s">
        <v>1038</v>
      </c>
      <c r="I907" s="0" t="s">
        <v>1038</v>
      </c>
      <c r="J907" s="0" t="s">
        <v>1038</v>
      </c>
    </row>
    <row r="908" customFormat="false" ht="14.25" hidden="false" customHeight="false" outlineLevel="0" collapsed="false">
      <c r="A908" s="0" t="n">
        <v>907</v>
      </c>
      <c r="B908" s="0" t="n">
        <v>15</v>
      </c>
      <c r="C908" s="0" t="s">
        <v>2012</v>
      </c>
      <c r="D908" s="0" t="s">
        <v>1121</v>
      </c>
      <c r="E908" s="0" t="s">
        <v>2013</v>
      </c>
      <c r="F908" s="0" t="s">
        <v>1038</v>
      </c>
      <c r="G908" s="0" t="s">
        <v>1038</v>
      </c>
      <c r="H908" s="0" t="s">
        <v>1038</v>
      </c>
      <c r="I908" s="0" t="s">
        <v>1038</v>
      </c>
      <c r="J908" s="0" t="s">
        <v>1038</v>
      </c>
    </row>
    <row r="909" customFormat="false" ht="14.25" hidden="false" customHeight="false" outlineLevel="0" collapsed="false">
      <c r="A909" s="0" t="n">
        <v>908</v>
      </c>
      <c r="B909" s="0" t="n">
        <v>15</v>
      </c>
      <c r="C909" s="0" t="s">
        <v>2014</v>
      </c>
      <c r="D909" s="0" t="s">
        <v>544</v>
      </c>
      <c r="E909" s="0" t="s">
        <v>2015</v>
      </c>
      <c r="F909" s="0" t="n">
        <v>9</v>
      </c>
      <c r="G909" s="0" t="s">
        <v>1038</v>
      </c>
      <c r="H909" s="0" t="s">
        <v>1038</v>
      </c>
      <c r="I909" s="0" t="s">
        <v>1035</v>
      </c>
      <c r="J909" s="0" t="s">
        <v>1038</v>
      </c>
    </row>
    <row r="910" customFormat="false" ht="14.25" hidden="false" customHeight="false" outlineLevel="0" collapsed="false">
      <c r="A910" s="0" t="n">
        <v>909</v>
      </c>
      <c r="B910" s="0" t="n">
        <v>15</v>
      </c>
      <c r="C910" s="0" t="s">
        <v>2016</v>
      </c>
      <c r="D910" s="0" t="s">
        <v>1121</v>
      </c>
      <c r="E910" s="0" t="s">
        <v>2017</v>
      </c>
      <c r="F910" s="0" t="s">
        <v>1038</v>
      </c>
      <c r="G910" s="0" t="s">
        <v>1038</v>
      </c>
      <c r="H910" s="0" t="s">
        <v>1038</v>
      </c>
      <c r="I910" s="0" t="s">
        <v>1038</v>
      </c>
      <c r="J910" s="0" t="s">
        <v>1038</v>
      </c>
    </row>
    <row r="911" customFormat="false" ht="14.25" hidden="false" customHeight="false" outlineLevel="0" collapsed="false">
      <c r="A911" s="0" t="n">
        <v>910</v>
      </c>
      <c r="B911" s="0" t="n">
        <v>15</v>
      </c>
      <c r="C911" s="0" t="s">
        <v>2018</v>
      </c>
      <c r="D911" s="0" t="s">
        <v>1121</v>
      </c>
      <c r="E911" s="0" t="s">
        <v>2019</v>
      </c>
      <c r="F911" s="0" t="s">
        <v>1038</v>
      </c>
      <c r="G911" s="0" t="s">
        <v>1038</v>
      </c>
      <c r="H911" s="0" t="s">
        <v>1038</v>
      </c>
      <c r="I911" s="0" t="s">
        <v>1038</v>
      </c>
      <c r="J911" s="0" t="s">
        <v>1038</v>
      </c>
    </row>
    <row r="912" customFormat="false" ht="14.25" hidden="false" customHeight="false" outlineLevel="0" collapsed="false">
      <c r="A912" s="0" t="n">
        <v>911</v>
      </c>
      <c r="B912" s="0" t="n">
        <v>15</v>
      </c>
      <c r="C912" s="0" t="s">
        <v>2020</v>
      </c>
      <c r="D912" s="0" t="s">
        <v>1121</v>
      </c>
      <c r="E912" s="0" t="s">
        <v>2021</v>
      </c>
      <c r="F912" s="0" t="s">
        <v>1038</v>
      </c>
      <c r="G912" s="0" t="s">
        <v>1038</v>
      </c>
      <c r="H912" s="0" t="s">
        <v>1038</v>
      </c>
      <c r="I912" s="0" t="s">
        <v>1038</v>
      </c>
      <c r="J912" s="0" t="s">
        <v>1038</v>
      </c>
    </row>
    <row r="913" customFormat="false" ht="14.25" hidden="false" customHeight="false" outlineLevel="0" collapsed="false">
      <c r="A913" s="0" t="n">
        <v>912</v>
      </c>
      <c r="B913" s="0" t="n">
        <v>15</v>
      </c>
      <c r="C913" s="0" t="s">
        <v>2022</v>
      </c>
      <c r="D913" s="0" t="s">
        <v>536</v>
      </c>
      <c r="E913" s="0" t="s">
        <v>2023</v>
      </c>
      <c r="F913" s="0" t="n">
        <v>11</v>
      </c>
      <c r="G913" s="0" t="s">
        <v>1038</v>
      </c>
      <c r="H913" s="0" t="s">
        <v>1038</v>
      </c>
      <c r="I913" s="0" t="s">
        <v>1035</v>
      </c>
      <c r="J913" s="0" t="s">
        <v>1038</v>
      </c>
    </row>
    <row r="914" customFormat="false" ht="14.25" hidden="false" customHeight="false" outlineLevel="0" collapsed="false">
      <c r="A914" s="0" t="n">
        <v>913</v>
      </c>
      <c r="B914" s="0" t="n">
        <v>15</v>
      </c>
      <c r="C914" s="0" t="s">
        <v>2024</v>
      </c>
      <c r="D914" s="0" t="s">
        <v>1121</v>
      </c>
      <c r="E914" s="0" t="s">
        <v>2025</v>
      </c>
      <c r="F914" s="0" t="s">
        <v>1038</v>
      </c>
      <c r="G914" s="0" t="s">
        <v>1038</v>
      </c>
      <c r="H914" s="0" t="s">
        <v>1038</v>
      </c>
      <c r="I914" s="0" t="s">
        <v>1038</v>
      </c>
      <c r="J914" s="0" t="s">
        <v>1038</v>
      </c>
    </row>
    <row r="915" customFormat="false" ht="14.25" hidden="false" customHeight="false" outlineLevel="0" collapsed="false">
      <c r="A915" s="0" t="n">
        <v>914</v>
      </c>
      <c r="B915" s="0" t="n">
        <v>15</v>
      </c>
      <c r="C915" s="0" t="s">
        <v>2026</v>
      </c>
      <c r="D915" s="0" t="s">
        <v>1121</v>
      </c>
      <c r="E915" s="0" t="s">
        <v>2027</v>
      </c>
      <c r="F915" s="0" t="s">
        <v>1038</v>
      </c>
      <c r="G915" s="0" t="s">
        <v>1038</v>
      </c>
      <c r="H915" s="0" t="s">
        <v>1038</v>
      </c>
      <c r="I915" s="0" t="s">
        <v>1038</v>
      </c>
      <c r="J915" s="0" t="s">
        <v>1038</v>
      </c>
    </row>
    <row r="916" customFormat="false" ht="14.25" hidden="false" customHeight="false" outlineLevel="0" collapsed="false">
      <c r="A916" s="0" t="n">
        <v>915</v>
      </c>
      <c r="B916" s="0" t="n">
        <v>15</v>
      </c>
      <c r="C916" s="0" t="s">
        <v>2028</v>
      </c>
      <c r="D916" s="0" t="s">
        <v>1121</v>
      </c>
      <c r="E916" s="0" t="s">
        <v>2029</v>
      </c>
      <c r="F916" s="0" t="s">
        <v>1038</v>
      </c>
      <c r="G916" s="0" t="s">
        <v>1038</v>
      </c>
      <c r="H916" s="0" t="s">
        <v>1038</v>
      </c>
      <c r="I916" s="0" t="s">
        <v>1038</v>
      </c>
      <c r="J916" s="0" t="s">
        <v>1038</v>
      </c>
    </row>
    <row r="917" customFormat="false" ht="14.25" hidden="false" customHeight="false" outlineLevel="0" collapsed="false">
      <c r="A917" s="0" t="n">
        <v>916</v>
      </c>
      <c r="B917" s="0" t="n">
        <v>15</v>
      </c>
      <c r="C917" s="0" t="s">
        <v>2030</v>
      </c>
      <c r="D917" s="0" t="s">
        <v>1121</v>
      </c>
      <c r="E917" s="0" t="s">
        <v>2031</v>
      </c>
      <c r="F917" s="0" t="s">
        <v>1038</v>
      </c>
      <c r="G917" s="0" t="s">
        <v>1038</v>
      </c>
      <c r="H917" s="0" t="s">
        <v>1038</v>
      </c>
      <c r="I917" s="0" t="s">
        <v>1038</v>
      </c>
      <c r="J917" s="0" t="n">
        <v>-631</v>
      </c>
    </row>
    <row r="918" customFormat="false" ht="14.25" hidden="false" customHeight="false" outlineLevel="0" collapsed="false">
      <c r="A918" s="0" t="n">
        <v>917</v>
      </c>
      <c r="B918" s="0" t="n">
        <v>15</v>
      </c>
      <c r="C918" s="0" t="s">
        <v>2032</v>
      </c>
      <c r="D918" s="0" t="s">
        <v>500</v>
      </c>
      <c r="E918" s="0" t="s">
        <v>2033</v>
      </c>
      <c r="F918" s="0" t="n">
        <v>10</v>
      </c>
      <c r="G918" s="0" t="s">
        <v>1038</v>
      </c>
      <c r="H918" s="0" t="s">
        <v>1038</v>
      </c>
      <c r="I918" s="0" t="s">
        <v>1032</v>
      </c>
      <c r="J918" s="0" t="s">
        <v>1038</v>
      </c>
    </row>
    <row r="919" customFormat="false" ht="14.25" hidden="false" customHeight="false" outlineLevel="0" collapsed="false">
      <c r="A919" s="0" t="n">
        <v>918</v>
      </c>
      <c r="B919" s="0" t="n">
        <v>16</v>
      </c>
      <c r="C919" s="0" t="s">
        <v>2034</v>
      </c>
      <c r="D919" s="0" t="s">
        <v>1121</v>
      </c>
      <c r="E919" s="0" t="s">
        <v>2035</v>
      </c>
      <c r="F919" s="0" t="s">
        <v>1038</v>
      </c>
      <c r="G919" s="0" t="s">
        <v>1038</v>
      </c>
      <c r="H919" s="0" t="s">
        <v>1038</v>
      </c>
      <c r="I919" s="0" t="s">
        <v>1038</v>
      </c>
      <c r="J919" s="0" t="s">
        <v>1038</v>
      </c>
    </row>
    <row r="920" customFormat="false" ht="14.25" hidden="false" customHeight="false" outlineLevel="0" collapsed="false">
      <c r="A920" s="0" t="n">
        <v>919</v>
      </c>
      <c r="B920" s="0" t="n">
        <v>16</v>
      </c>
      <c r="C920" s="0" t="s">
        <v>2036</v>
      </c>
      <c r="D920" s="0" t="s">
        <v>1121</v>
      </c>
      <c r="E920" s="0" t="s">
        <v>2037</v>
      </c>
      <c r="F920" s="0" t="s">
        <v>1038</v>
      </c>
      <c r="G920" s="0" t="s">
        <v>1038</v>
      </c>
      <c r="H920" s="0" t="s">
        <v>1038</v>
      </c>
      <c r="I920" s="0" t="s">
        <v>1038</v>
      </c>
      <c r="J920" s="0" t="s">
        <v>1038</v>
      </c>
    </row>
    <row r="921" customFormat="false" ht="14.25" hidden="false" customHeight="false" outlineLevel="0" collapsed="false">
      <c r="A921" s="0" t="n">
        <v>920</v>
      </c>
      <c r="B921" s="0" t="n">
        <v>16</v>
      </c>
      <c r="C921" s="0" t="s">
        <v>2038</v>
      </c>
      <c r="D921" s="0" t="s">
        <v>1121</v>
      </c>
      <c r="E921" s="0" t="s">
        <v>2039</v>
      </c>
      <c r="F921" s="0" t="s">
        <v>1038</v>
      </c>
      <c r="G921" s="0" t="s">
        <v>1038</v>
      </c>
      <c r="H921" s="0" t="s">
        <v>1038</v>
      </c>
      <c r="I921" s="0" t="s">
        <v>1038</v>
      </c>
      <c r="J921" s="0" t="s">
        <v>1038</v>
      </c>
    </row>
    <row r="922" customFormat="false" ht="14.25" hidden="false" customHeight="false" outlineLevel="0" collapsed="false">
      <c r="A922" s="0" t="n">
        <v>921</v>
      </c>
      <c r="B922" s="0" t="n">
        <v>16</v>
      </c>
      <c r="C922" s="0" t="s">
        <v>2040</v>
      </c>
      <c r="D922" s="0" t="s">
        <v>1121</v>
      </c>
      <c r="E922" s="0" t="s">
        <v>2041</v>
      </c>
      <c r="F922" s="0" t="s">
        <v>1038</v>
      </c>
      <c r="G922" s="0" t="s">
        <v>1038</v>
      </c>
      <c r="H922" s="0" t="s">
        <v>1038</v>
      </c>
      <c r="I922" s="0" t="s">
        <v>1038</v>
      </c>
      <c r="J922" s="0" t="s">
        <v>1038</v>
      </c>
    </row>
    <row r="923" customFormat="false" ht="14.25" hidden="false" customHeight="false" outlineLevel="0" collapsed="false">
      <c r="A923" s="0" t="n">
        <v>922</v>
      </c>
      <c r="B923" s="0" t="n">
        <v>16</v>
      </c>
      <c r="C923" s="0" t="s">
        <v>2042</v>
      </c>
      <c r="D923" s="0" t="s">
        <v>1121</v>
      </c>
      <c r="E923" s="0" t="s">
        <v>2043</v>
      </c>
      <c r="F923" s="0" t="s">
        <v>1038</v>
      </c>
      <c r="G923" s="0" t="s">
        <v>1038</v>
      </c>
      <c r="H923" s="0" t="s">
        <v>1038</v>
      </c>
      <c r="I923" s="0" t="s">
        <v>1038</v>
      </c>
      <c r="J923" s="0" t="s">
        <v>1038</v>
      </c>
    </row>
    <row r="924" customFormat="false" ht="14.25" hidden="false" customHeight="false" outlineLevel="0" collapsed="false">
      <c r="A924" s="0" t="n">
        <v>923</v>
      </c>
      <c r="B924" s="0" t="n">
        <v>16</v>
      </c>
      <c r="C924" s="0" t="s">
        <v>2044</v>
      </c>
      <c r="D924" s="0" t="s">
        <v>1121</v>
      </c>
      <c r="E924" s="0" t="s">
        <v>2045</v>
      </c>
      <c r="F924" s="0" t="s">
        <v>1038</v>
      </c>
      <c r="G924" s="0" t="s">
        <v>1038</v>
      </c>
      <c r="H924" s="0" t="s">
        <v>1038</v>
      </c>
      <c r="I924" s="0" t="s">
        <v>1038</v>
      </c>
      <c r="J924" s="0" t="s">
        <v>1038</v>
      </c>
    </row>
    <row r="925" customFormat="false" ht="14.25" hidden="false" customHeight="false" outlineLevel="0" collapsed="false">
      <c r="A925" s="0" t="n">
        <v>924</v>
      </c>
      <c r="B925" s="0" t="n">
        <v>16</v>
      </c>
      <c r="C925" s="0" t="s">
        <v>2046</v>
      </c>
      <c r="D925" s="0" t="s">
        <v>1121</v>
      </c>
      <c r="E925" s="0" t="s">
        <v>2047</v>
      </c>
      <c r="F925" s="0" t="s">
        <v>1038</v>
      </c>
      <c r="G925" s="0" t="s">
        <v>1038</v>
      </c>
      <c r="H925" s="0" t="s">
        <v>1038</v>
      </c>
      <c r="I925" s="0" t="s">
        <v>1038</v>
      </c>
      <c r="J925" s="0" t="s">
        <v>1038</v>
      </c>
    </row>
    <row r="926" customFormat="false" ht="14.25" hidden="false" customHeight="false" outlineLevel="0" collapsed="false">
      <c r="A926" s="0" t="n">
        <v>925</v>
      </c>
      <c r="B926" s="0" t="n">
        <v>16</v>
      </c>
      <c r="C926" s="0" t="s">
        <v>2048</v>
      </c>
      <c r="D926" s="0" t="s">
        <v>1121</v>
      </c>
      <c r="E926" s="0" t="s">
        <v>2049</v>
      </c>
      <c r="F926" s="0" t="s">
        <v>1038</v>
      </c>
      <c r="G926" s="0" t="s">
        <v>1038</v>
      </c>
      <c r="H926" s="0" t="s">
        <v>1038</v>
      </c>
      <c r="I926" s="0" t="s">
        <v>1038</v>
      </c>
      <c r="J926" s="0" t="s">
        <v>1038</v>
      </c>
    </row>
    <row r="927" customFormat="false" ht="14.25" hidden="false" customHeight="false" outlineLevel="0" collapsed="false">
      <c r="A927" s="0" t="n">
        <v>926</v>
      </c>
      <c r="B927" s="0" t="n">
        <v>16</v>
      </c>
      <c r="C927" s="0" t="s">
        <v>2050</v>
      </c>
      <c r="D927" s="0" t="s">
        <v>538</v>
      </c>
      <c r="E927" s="0" t="s">
        <v>2051</v>
      </c>
      <c r="F927" s="0" t="n">
        <v>8</v>
      </c>
      <c r="G927" s="0" t="s">
        <v>1038</v>
      </c>
      <c r="H927" s="0" t="s">
        <v>1038</v>
      </c>
      <c r="I927" s="0" t="s">
        <v>1032</v>
      </c>
      <c r="J927" s="0" t="s">
        <v>1038</v>
      </c>
    </row>
    <row r="928" customFormat="false" ht="14.25" hidden="false" customHeight="false" outlineLevel="0" collapsed="false">
      <c r="A928" s="0" t="n">
        <v>927</v>
      </c>
      <c r="B928" s="0" t="n">
        <v>16</v>
      </c>
      <c r="C928" s="0" t="s">
        <v>2052</v>
      </c>
      <c r="D928" s="0" t="s">
        <v>1121</v>
      </c>
      <c r="E928" s="0" t="s">
        <v>2053</v>
      </c>
      <c r="F928" s="0" t="s">
        <v>1038</v>
      </c>
      <c r="G928" s="0" t="s">
        <v>1038</v>
      </c>
      <c r="H928" s="0" t="s">
        <v>1038</v>
      </c>
      <c r="I928" s="0" t="s">
        <v>1038</v>
      </c>
      <c r="J928" s="0" t="s">
        <v>1038</v>
      </c>
    </row>
    <row r="929" customFormat="false" ht="14.25" hidden="false" customHeight="false" outlineLevel="0" collapsed="false">
      <c r="A929" s="0" t="n">
        <v>928</v>
      </c>
      <c r="B929" s="0" t="n">
        <v>16</v>
      </c>
      <c r="C929" s="0" t="s">
        <v>2054</v>
      </c>
      <c r="D929" s="0" t="s">
        <v>1121</v>
      </c>
      <c r="E929" s="0" t="s">
        <v>2055</v>
      </c>
      <c r="F929" s="0" t="s">
        <v>1038</v>
      </c>
      <c r="G929" s="0" t="s">
        <v>1038</v>
      </c>
      <c r="H929" s="0" t="s">
        <v>1038</v>
      </c>
      <c r="I929" s="0" t="s">
        <v>1038</v>
      </c>
      <c r="J929" s="0" t="s">
        <v>1038</v>
      </c>
    </row>
    <row r="930" customFormat="false" ht="14.25" hidden="false" customHeight="false" outlineLevel="0" collapsed="false">
      <c r="A930" s="0" t="n">
        <v>929</v>
      </c>
      <c r="B930" s="0" t="n">
        <v>16</v>
      </c>
      <c r="C930" s="0" t="s">
        <v>2056</v>
      </c>
      <c r="D930" s="0" t="s">
        <v>1121</v>
      </c>
      <c r="E930" s="0" t="s">
        <v>2057</v>
      </c>
      <c r="F930" s="0" t="s">
        <v>1038</v>
      </c>
      <c r="G930" s="0" t="s">
        <v>1038</v>
      </c>
      <c r="H930" s="0" t="s">
        <v>1038</v>
      </c>
      <c r="I930" s="0" t="s">
        <v>1038</v>
      </c>
      <c r="J930" s="0" t="s">
        <v>1038</v>
      </c>
    </row>
    <row r="931" customFormat="false" ht="14.25" hidden="false" customHeight="false" outlineLevel="0" collapsed="false">
      <c r="A931" s="0" t="n">
        <v>930</v>
      </c>
      <c r="B931" s="0" t="n">
        <v>16</v>
      </c>
      <c r="C931" s="0" t="s">
        <v>2058</v>
      </c>
      <c r="D931" s="0" t="s">
        <v>1121</v>
      </c>
      <c r="E931" s="0" t="s">
        <v>2059</v>
      </c>
      <c r="F931" s="0" t="s">
        <v>1038</v>
      </c>
      <c r="G931" s="0" t="s">
        <v>1038</v>
      </c>
      <c r="H931" s="0" t="s">
        <v>1038</v>
      </c>
      <c r="I931" s="0" t="s">
        <v>1038</v>
      </c>
      <c r="J931" s="0" t="s">
        <v>1038</v>
      </c>
    </row>
    <row r="932" customFormat="false" ht="14.25" hidden="false" customHeight="false" outlineLevel="0" collapsed="false">
      <c r="A932" s="0" t="n">
        <v>931</v>
      </c>
      <c r="B932" s="0" t="n">
        <v>16</v>
      </c>
      <c r="C932" s="0" t="s">
        <v>2060</v>
      </c>
      <c r="D932" s="0" t="s">
        <v>1121</v>
      </c>
      <c r="E932" s="0" t="s">
        <v>2061</v>
      </c>
      <c r="F932" s="0" t="s">
        <v>1038</v>
      </c>
      <c r="G932" s="0" t="s">
        <v>1038</v>
      </c>
      <c r="H932" s="0" t="s">
        <v>1038</v>
      </c>
      <c r="I932" s="0" t="s">
        <v>1038</v>
      </c>
      <c r="J932" s="0" t="s">
        <v>1038</v>
      </c>
    </row>
    <row r="933" customFormat="false" ht="14.25" hidden="false" customHeight="false" outlineLevel="0" collapsed="false">
      <c r="A933" s="0" t="n">
        <v>932</v>
      </c>
      <c r="B933" s="0" t="n">
        <v>16</v>
      </c>
      <c r="C933" s="0" t="s">
        <v>2062</v>
      </c>
      <c r="D933" s="0" t="s">
        <v>552</v>
      </c>
      <c r="E933" s="0" t="s">
        <v>2063</v>
      </c>
      <c r="F933" s="0" t="n">
        <v>11</v>
      </c>
      <c r="G933" s="0" t="s">
        <v>1038</v>
      </c>
      <c r="H933" s="0" t="s">
        <v>1038</v>
      </c>
      <c r="I933" s="0" t="s">
        <v>1035</v>
      </c>
      <c r="J933" s="0" t="s">
        <v>1038</v>
      </c>
    </row>
    <row r="934" customFormat="false" ht="14.25" hidden="false" customHeight="false" outlineLevel="0" collapsed="false">
      <c r="A934" s="0" t="n">
        <v>933</v>
      </c>
      <c r="B934" s="0" t="n">
        <v>16</v>
      </c>
      <c r="C934" s="0" t="s">
        <v>2064</v>
      </c>
      <c r="D934" s="0" t="s">
        <v>1121</v>
      </c>
      <c r="E934" s="0" t="s">
        <v>2065</v>
      </c>
      <c r="F934" s="0" t="s">
        <v>1038</v>
      </c>
      <c r="G934" s="0" t="s">
        <v>1038</v>
      </c>
      <c r="H934" s="0" t="s">
        <v>1038</v>
      </c>
      <c r="I934" s="0" t="s">
        <v>1038</v>
      </c>
      <c r="J934" s="0" t="s">
        <v>1038</v>
      </c>
    </row>
    <row r="935" customFormat="false" ht="14.25" hidden="false" customHeight="false" outlineLevel="0" collapsed="false">
      <c r="A935" s="0" t="n">
        <v>934</v>
      </c>
      <c r="B935" s="0" t="n">
        <v>16</v>
      </c>
      <c r="C935" s="0" t="s">
        <v>2066</v>
      </c>
      <c r="D935" s="0" t="s">
        <v>514</v>
      </c>
      <c r="E935" s="0" t="s">
        <v>2067</v>
      </c>
      <c r="F935" s="0" t="n">
        <v>10</v>
      </c>
      <c r="G935" s="0" t="s">
        <v>1038</v>
      </c>
      <c r="H935" s="0" t="s">
        <v>1038</v>
      </c>
      <c r="I935" s="0" t="s">
        <v>1031</v>
      </c>
      <c r="J935" s="0" t="s">
        <v>1038</v>
      </c>
    </row>
    <row r="936" customFormat="false" ht="14.25" hidden="false" customHeight="false" outlineLevel="0" collapsed="false">
      <c r="A936" s="0" t="n">
        <v>935</v>
      </c>
      <c r="B936" s="0" t="n">
        <v>16</v>
      </c>
      <c r="C936" s="0" t="s">
        <v>2068</v>
      </c>
      <c r="D936" s="0" t="s">
        <v>550</v>
      </c>
      <c r="E936" s="0" t="s">
        <v>2069</v>
      </c>
      <c r="F936" s="0" t="n">
        <v>13</v>
      </c>
      <c r="G936" s="0" t="s">
        <v>1038</v>
      </c>
      <c r="H936" s="0" t="s">
        <v>1038</v>
      </c>
      <c r="I936" s="0" t="s">
        <v>1031</v>
      </c>
      <c r="J936" s="0" t="s">
        <v>1038</v>
      </c>
    </row>
    <row r="937" customFormat="false" ht="14.25" hidden="false" customHeight="false" outlineLevel="0" collapsed="false">
      <c r="A937" s="0" t="n">
        <v>936</v>
      </c>
      <c r="B937" s="0" t="n">
        <v>16</v>
      </c>
      <c r="C937" s="0" t="s">
        <v>2070</v>
      </c>
      <c r="D937" s="0" t="s">
        <v>520</v>
      </c>
      <c r="E937" s="0" t="s">
        <v>2071</v>
      </c>
      <c r="F937" s="0" t="n">
        <v>11</v>
      </c>
      <c r="G937" s="0" t="s">
        <v>1038</v>
      </c>
      <c r="H937" s="0" t="s">
        <v>1038</v>
      </c>
      <c r="I937" s="0" t="s">
        <v>1032</v>
      </c>
      <c r="J937" s="0" t="s">
        <v>1038</v>
      </c>
    </row>
    <row r="938" customFormat="false" ht="14.25" hidden="false" customHeight="false" outlineLevel="0" collapsed="false">
      <c r="A938" s="0" t="n">
        <v>937</v>
      </c>
      <c r="B938" s="0" t="n">
        <v>16</v>
      </c>
      <c r="C938" s="0" t="s">
        <v>2072</v>
      </c>
      <c r="D938" s="0" t="s">
        <v>1121</v>
      </c>
      <c r="E938" s="0" t="s">
        <v>2073</v>
      </c>
      <c r="F938" s="0" t="s">
        <v>1038</v>
      </c>
      <c r="G938" s="0" t="s">
        <v>1038</v>
      </c>
      <c r="H938" s="0" t="s">
        <v>1038</v>
      </c>
      <c r="I938" s="0" t="s">
        <v>1038</v>
      </c>
      <c r="J938" s="0" t="s">
        <v>1038</v>
      </c>
    </row>
    <row r="939" customFormat="false" ht="14.25" hidden="false" customHeight="false" outlineLevel="0" collapsed="false">
      <c r="A939" s="0" t="n">
        <v>938</v>
      </c>
      <c r="B939" s="0" t="n">
        <v>16</v>
      </c>
      <c r="C939" s="0" t="s">
        <v>2074</v>
      </c>
      <c r="D939" s="0" t="s">
        <v>1121</v>
      </c>
      <c r="E939" s="0" t="s">
        <v>2075</v>
      </c>
      <c r="F939" s="0" t="s">
        <v>1038</v>
      </c>
      <c r="G939" s="0" t="s">
        <v>1038</v>
      </c>
      <c r="H939" s="0" t="s">
        <v>1038</v>
      </c>
      <c r="I939" s="0" t="s">
        <v>1038</v>
      </c>
      <c r="J939" s="0" t="s">
        <v>1038</v>
      </c>
    </row>
    <row r="940" customFormat="false" ht="14.25" hidden="false" customHeight="false" outlineLevel="0" collapsed="false">
      <c r="A940" s="0" t="n">
        <v>939</v>
      </c>
      <c r="B940" s="0" t="n">
        <v>16</v>
      </c>
      <c r="C940" s="0" t="s">
        <v>2076</v>
      </c>
      <c r="D940" s="0" t="s">
        <v>546</v>
      </c>
      <c r="E940" s="0" t="s">
        <v>2077</v>
      </c>
      <c r="F940" s="0" t="n">
        <v>14</v>
      </c>
      <c r="G940" s="0" t="s">
        <v>1038</v>
      </c>
      <c r="H940" s="0" t="s">
        <v>1038</v>
      </c>
      <c r="I940" s="0" t="s">
        <v>1031</v>
      </c>
      <c r="J940" s="0" t="s">
        <v>1038</v>
      </c>
    </row>
    <row r="941" customFormat="false" ht="14.25" hidden="false" customHeight="false" outlineLevel="0" collapsed="false">
      <c r="A941" s="0" t="n">
        <v>940</v>
      </c>
      <c r="B941" s="0" t="n">
        <v>16</v>
      </c>
      <c r="C941" s="0" t="s">
        <v>2078</v>
      </c>
      <c r="D941" s="0" t="s">
        <v>516</v>
      </c>
      <c r="E941" s="0" t="s">
        <v>2079</v>
      </c>
      <c r="F941" s="0" t="n">
        <v>7</v>
      </c>
      <c r="G941" s="0" t="s">
        <v>1038</v>
      </c>
      <c r="H941" s="0" t="s">
        <v>1038</v>
      </c>
      <c r="I941" s="0" t="s">
        <v>1035</v>
      </c>
      <c r="J941" s="0" t="s">
        <v>1038</v>
      </c>
    </row>
    <row r="942" customFormat="false" ht="14.25" hidden="false" customHeight="false" outlineLevel="0" collapsed="false">
      <c r="A942" s="0" t="n">
        <v>941</v>
      </c>
      <c r="B942" s="0" t="n">
        <v>16</v>
      </c>
      <c r="C942" s="0" t="s">
        <v>2080</v>
      </c>
      <c r="D942" s="0" t="s">
        <v>1121</v>
      </c>
      <c r="E942" s="0" t="s">
        <v>2081</v>
      </c>
      <c r="F942" s="0" t="s">
        <v>1038</v>
      </c>
      <c r="G942" s="0" t="s">
        <v>1038</v>
      </c>
      <c r="H942" s="0" t="s">
        <v>1038</v>
      </c>
      <c r="I942" s="0" t="s">
        <v>1038</v>
      </c>
      <c r="J942" s="0" t="s">
        <v>1038</v>
      </c>
    </row>
    <row r="943" customFormat="false" ht="14.25" hidden="false" customHeight="false" outlineLevel="0" collapsed="false">
      <c r="A943" s="0" t="n">
        <v>942</v>
      </c>
      <c r="B943" s="0" t="n">
        <v>16</v>
      </c>
      <c r="C943" s="0" t="s">
        <v>2082</v>
      </c>
      <c r="D943" s="0" t="s">
        <v>1121</v>
      </c>
      <c r="E943" s="0" t="s">
        <v>2083</v>
      </c>
      <c r="F943" s="0" t="s">
        <v>1038</v>
      </c>
      <c r="G943" s="0" t="s">
        <v>1038</v>
      </c>
      <c r="H943" s="0" t="s">
        <v>1038</v>
      </c>
      <c r="I943" s="0" t="s">
        <v>1038</v>
      </c>
      <c r="J943" s="0" t="s">
        <v>1038</v>
      </c>
    </row>
    <row r="944" customFormat="false" ht="14.25" hidden="false" customHeight="false" outlineLevel="0" collapsed="false">
      <c r="A944" s="0" t="n">
        <v>943</v>
      </c>
      <c r="B944" s="0" t="n">
        <v>16</v>
      </c>
      <c r="C944" s="0" t="s">
        <v>2084</v>
      </c>
      <c r="D944" s="0" t="s">
        <v>504</v>
      </c>
      <c r="E944" s="0" t="s">
        <v>2085</v>
      </c>
      <c r="F944" s="0" t="n">
        <v>8</v>
      </c>
      <c r="G944" s="0" t="s">
        <v>1038</v>
      </c>
      <c r="H944" s="0" t="s">
        <v>1038</v>
      </c>
      <c r="I944" s="0" t="s">
        <v>1032</v>
      </c>
      <c r="J944" s="0" t="s">
        <v>1038</v>
      </c>
    </row>
    <row r="945" customFormat="false" ht="14.25" hidden="false" customHeight="false" outlineLevel="0" collapsed="false">
      <c r="A945" s="0" t="n">
        <v>944</v>
      </c>
      <c r="B945" s="0" t="n">
        <v>16</v>
      </c>
      <c r="C945" s="0" t="s">
        <v>2086</v>
      </c>
      <c r="D945" s="0" t="s">
        <v>1121</v>
      </c>
      <c r="E945" s="0" t="s">
        <v>2087</v>
      </c>
      <c r="F945" s="0" t="s">
        <v>1038</v>
      </c>
      <c r="G945" s="0" t="s">
        <v>1038</v>
      </c>
      <c r="H945" s="0" t="s">
        <v>1038</v>
      </c>
      <c r="I945" s="0" t="s">
        <v>1038</v>
      </c>
      <c r="J945" s="0" t="s">
        <v>1038</v>
      </c>
    </row>
    <row r="946" customFormat="false" ht="14.25" hidden="false" customHeight="false" outlineLevel="0" collapsed="false">
      <c r="A946" s="0" t="n">
        <v>945</v>
      </c>
      <c r="B946" s="0" t="n">
        <v>16</v>
      </c>
      <c r="C946" s="0" t="s">
        <v>2088</v>
      </c>
      <c r="D946" s="0" t="s">
        <v>1121</v>
      </c>
      <c r="E946" s="0" t="s">
        <v>2089</v>
      </c>
      <c r="F946" s="0" t="s">
        <v>1038</v>
      </c>
      <c r="G946" s="0" t="s">
        <v>1038</v>
      </c>
      <c r="H946" s="0" t="s">
        <v>1038</v>
      </c>
      <c r="I946" s="0" t="s">
        <v>1038</v>
      </c>
      <c r="J946" s="0" t="s">
        <v>1038</v>
      </c>
    </row>
    <row r="947" customFormat="false" ht="14.25" hidden="false" customHeight="false" outlineLevel="0" collapsed="false">
      <c r="A947" s="0" t="n">
        <v>946</v>
      </c>
      <c r="B947" s="0" t="n">
        <v>16</v>
      </c>
      <c r="C947" s="0" t="s">
        <v>2090</v>
      </c>
      <c r="D947" s="0" t="s">
        <v>1121</v>
      </c>
      <c r="E947" s="0" t="s">
        <v>2091</v>
      </c>
      <c r="F947" s="0" t="s">
        <v>1038</v>
      </c>
      <c r="G947" s="0" t="s">
        <v>1038</v>
      </c>
      <c r="H947" s="0" t="s">
        <v>1038</v>
      </c>
      <c r="I947" s="0" t="s">
        <v>1038</v>
      </c>
      <c r="J947" s="0" t="s">
        <v>1038</v>
      </c>
    </row>
    <row r="948" customFormat="false" ht="14.25" hidden="false" customHeight="false" outlineLevel="0" collapsed="false">
      <c r="A948" s="0" t="n">
        <v>947</v>
      </c>
      <c r="B948" s="0" t="n">
        <v>16</v>
      </c>
      <c r="C948" s="0" t="s">
        <v>2092</v>
      </c>
      <c r="D948" s="0" t="s">
        <v>1121</v>
      </c>
      <c r="E948" s="0" t="s">
        <v>2093</v>
      </c>
      <c r="F948" s="0" t="s">
        <v>1038</v>
      </c>
      <c r="G948" s="0" t="s">
        <v>1038</v>
      </c>
      <c r="H948" s="0" t="s">
        <v>1038</v>
      </c>
      <c r="I948" s="0" t="s">
        <v>1038</v>
      </c>
      <c r="J948" s="0" t="s">
        <v>1038</v>
      </c>
    </row>
    <row r="949" customFormat="false" ht="14.25" hidden="false" customHeight="false" outlineLevel="0" collapsed="false">
      <c r="A949" s="0" t="n">
        <v>948</v>
      </c>
      <c r="B949" s="0" t="n">
        <v>16</v>
      </c>
      <c r="C949" s="0" t="s">
        <v>2094</v>
      </c>
      <c r="D949" s="0" t="s">
        <v>1121</v>
      </c>
      <c r="E949" s="0" t="s">
        <v>2095</v>
      </c>
      <c r="F949" s="0" t="s">
        <v>1038</v>
      </c>
      <c r="G949" s="0" t="s">
        <v>1038</v>
      </c>
      <c r="H949" s="0" t="s">
        <v>1038</v>
      </c>
      <c r="I949" s="0" t="s">
        <v>1038</v>
      </c>
      <c r="J949" s="0" t="s">
        <v>1038</v>
      </c>
    </row>
  </sheetData>
  <conditionalFormatting sqref="M2:M819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I16" activeCellId="0" sqref="I16"/>
    </sheetView>
  </sheetViews>
  <sheetFormatPr defaultColWidth="8.55859375" defaultRowHeight="14.25" zeroHeight="false" outlineLevelRow="0" outlineLevelCol="0"/>
  <cols>
    <col collapsed="false" customWidth="false" hidden="false" outlineLevel="0" max="8" min="1" style="53" width="8.56"/>
  </cols>
  <sheetData>
    <row r="1" customFormat="false" ht="14.25" hidden="false" customHeight="true" outlineLevel="0" collapsed="false">
      <c r="A1" s="53" t="str">
        <f aca="false">"RB"&amp;Scoring!$C$41+1</f>
        <v>RB26</v>
      </c>
      <c r="B1" s="120" t="n">
        <f aca="false">VLOOKUP(A1,ECR!Q:R,2,FALSE())</f>
        <v>144.996094117647</v>
      </c>
      <c r="C1" s="53" t="str">
        <f aca="false">LEFT(INDEX($A$1:$A$52,MATCH(LARGE($B$1:$B$52,1),$B$1:$B$52,0)),2)</f>
        <v>RB</v>
      </c>
      <c r="D1" s="114" t="s">
        <v>9</v>
      </c>
      <c r="E1" s="114" t="n">
        <f aca="false">COUNTIF(INDEX($C$1:$C$50,1):INDEX($C$1:$C$50,Scoring!F41),"RB")</f>
        <v>6</v>
      </c>
      <c r="F1" s="114" t="s">
        <v>10</v>
      </c>
      <c r="G1" s="114" t="n">
        <f aca="false">COUNTIF(INDEX($C$1:$C$50,1):INDEX($C$1:$C$50,Scoring!F41),"WR")</f>
        <v>8</v>
      </c>
      <c r="H1" s="114" t="s">
        <v>11</v>
      </c>
      <c r="I1" s="114" t="n">
        <f aca="false">COUNTIF(INDEX($C$1:$C$50,1):INDEX($C$1:$C$50,Scoring!F41),"TE")</f>
        <v>0</v>
      </c>
    </row>
    <row r="2" customFormat="false" ht="14.25" hidden="false" customHeight="true" outlineLevel="0" collapsed="false">
      <c r="A2" s="53" t="str">
        <f aca="false">"RB"&amp;Scoring!$C$41+2</f>
        <v>RB27</v>
      </c>
      <c r="B2" s="120" t="n">
        <f aca="false">VLOOKUP(A2,ECR!Q:R,2,FALSE())</f>
        <v>142.374196</v>
      </c>
      <c r="C2" s="53" t="str">
        <f aca="false">LEFT(INDEX($A$1:$A$52,MATCH(LARGE($B$1:$B$52,2),$B$1:$B$52,0)),2)</f>
        <v>RB</v>
      </c>
    </row>
    <row r="3" customFormat="false" ht="14.25" hidden="false" customHeight="true" outlineLevel="0" collapsed="false">
      <c r="A3" s="53" t="str">
        <f aca="false">"RB"&amp;Scoring!$C$41+3</f>
        <v>RB28</v>
      </c>
      <c r="B3" s="120" t="n">
        <f aca="false">VLOOKUP(A3,ECR!Q:R,2,FALSE())</f>
        <v>142.141256470588</v>
      </c>
      <c r="C3" s="53" t="str">
        <f aca="false">LEFT(INDEX($A$1:$A$52,MATCH(LARGE($B$1:$B$52,3),$B$1:$B$52,0)),2)</f>
        <v>RB</v>
      </c>
    </row>
    <row r="4" customFormat="false" ht="14.25" hidden="false" customHeight="true" outlineLevel="0" collapsed="false">
      <c r="A4" s="53" t="str">
        <f aca="false">"RB"&amp;Scoring!C41+4</f>
        <v>RB29</v>
      </c>
      <c r="B4" s="120" t="n">
        <f aca="false">VLOOKUP(A4,ECR!Q:R,2,FALSE())</f>
        <v>136.842979058824</v>
      </c>
      <c r="C4" s="53" t="str">
        <f aca="false">LEFT(INDEX($A$1:$A$52,MATCH(LARGE($B$1:$B$52,4),$B$1:$B$52,0)),2)</f>
        <v>WR</v>
      </c>
    </row>
    <row r="5" customFormat="false" ht="14.25" hidden="false" customHeight="true" outlineLevel="0" collapsed="false">
      <c r="A5" s="53" t="str">
        <f aca="false">"RB"&amp;Scoring!C41+5</f>
        <v>RB30</v>
      </c>
      <c r="B5" s="120" t="n">
        <f aca="false">VLOOKUP(A5,ECR!Q:R,2,FALSE())</f>
        <v>136.247315764706</v>
      </c>
      <c r="C5" s="53" t="str">
        <f aca="false">LEFT(INDEX($A$1:$A$52,MATCH(LARGE($B$1:$B$52,5),$B$1:$B$52,0)),2)</f>
        <v>WR</v>
      </c>
    </row>
    <row r="6" customFormat="false" ht="14.25" hidden="false" customHeight="true" outlineLevel="0" collapsed="false">
      <c r="A6" s="53" t="str">
        <f aca="false">"RB"&amp;Scoring!C41+6</f>
        <v>RB31</v>
      </c>
      <c r="B6" s="120" t="n">
        <f aca="false">VLOOKUP(A6,ECR!Q:R,2,FALSE())</f>
        <v>128.819469882353</v>
      </c>
      <c r="C6" s="53" t="str">
        <f aca="false">LEFT(INDEX($A$1:$A$52,MATCH(LARGE($B$1:$B$52,6),$B$1:$B$52,0)),2)</f>
        <v>RB</v>
      </c>
    </row>
    <row r="7" customFormat="false" ht="14.25" hidden="false" customHeight="true" outlineLevel="0" collapsed="false">
      <c r="A7" s="53" t="str">
        <f aca="false">"RB"&amp;Scoring!$C$41+7</f>
        <v>RB32</v>
      </c>
      <c r="B7" s="120" t="n">
        <f aca="false">VLOOKUP(A7,ECR!Q:R,2,FALSE())</f>
        <v>123.702155411765</v>
      </c>
      <c r="C7" s="53" t="str">
        <f aca="false">LEFT(INDEX($A$1:$A$52,MATCH(LARGE($B$1:$B$52,7),$B$1:$B$52,0)),2)</f>
        <v>RB</v>
      </c>
    </row>
    <row r="8" customFormat="false" ht="14.25" hidden="false" customHeight="true" outlineLevel="0" collapsed="false">
      <c r="A8" s="53" t="str">
        <f aca="false">"RB"&amp;Scoring!$C$41+8</f>
        <v>RB33</v>
      </c>
      <c r="B8" s="120" t="n">
        <f aca="false">VLOOKUP(A8,ECR!Q:R,2,FALSE())</f>
        <v>123.143471764706</v>
      </c>
      <c r="C8" s="53" t="str">
        <f aca="false">LEFT(INDEX($A$1:$A$52,MATCH(LARGE($B$1:$B$52,8),$B$1:$B$52,0)),2)</f>
        <v>WR</v>
      </c>
    </row>
    <row r="9" customFormat="false" ht="14.25" hidden="false" customHeight="true" outlineLevel="0" collapsed="false">
      <c r="A9" s="53" t="str">
        <f aca="false">"RB"&amp;Scoring!$C$41+9</f>
        <v>RB34</v>
      </c>
      <c r="B9" s="120" t="n">
        <f aca="false">VLOOKUP(A9,ECR!Q:R,2,FALSE())</f>
        <v>118.168820235294</v>
      </c>
      <c r="C9" s="53" t="str">
        <f aca="false">LEFT(INDEX($A$1:$A$52,MATCH(LARGE($B$1:$B$52,9),$B$1:$B$52,0)),2)</f>
        <v>WR</v>
      </c>
    </row>
    <row r="10" customFormat="false" ht="14.25" hidden="false" customHeight="true" outlineLevel="0" collapsed="false">
      <c r="A10" s="53" t="str">
        <f aca="false">"RB"&amp;Scoring!$C$41+10</f>
        <v>RB35</v>
      </c>
      <c r="B10" s="120" t="n">
        <f aca="false">VLOOKUP(A10,ECR!Q:R,2,FALSE())</f>
        <v>115.741193647059</v>
      </c>
      <c r="C10" s="53" t="str">
        <f aca="false">LEFT(INDEX($A$1:$A$52,MATCH(LARGE($B$1:$B$52,10),$B$1:$B$52,0)),2)</f>
        <v>WR</v>
      </c>
    </row>
    <row r="11" customFormat="false" ht="14.25" hidden="false" customHeight="true" outlineLevel="0" collapsed="false">
      <c r="A11" s="53" t="str">
        <f aca="false">"RB"&amp;Scoring!$C$41+11</f>
        <v>RB36</v>
      </c>
      <c r="B11" s="120" t="n">
        <f aca="false">VLOOKUP(A11,ECR!Q:R,2,FALSE())</f>
        <v>114.950209411765</v>
      </c>
      <c r="C11" s="53" t="str">
        <f aca="false">LEFT(INDEX($A$1:$A$52,MATCH(LARGE($B$1:$B$52,11),$B$1:$B$52,0)),2)</f>
        <v>RB</v>
      </c>
    </row>
    <row r="12" customFormat="false" ht="14.25" hidden="false" customHeight="true" outlineLevel="0" collapsed="false">
      <c r="A12" s="53" t="str">
        <f aca="false">"RB"&amp;Scoring!$C$41+12</f>
        <v>RB37</v>
      </c>
      <c r="B12" s="120" t="n">
        <f aca="false">VLOOKUP(A12,ECR!Q:R,2,FALSE())</f>
        <v>113.961806470588</v>
      </c>
      <c r="C12" s="53" t="str">
        <f aca="false">LEFT(INDEX($A$1:$A$52,MATCH(LARGE($B$1:$B$52,12),$B$1:$B$52,0)),2)</f>
        <v>WR</v>
      </c>
    </row>
    <row r="13" customFormat="false" ht="14.25" hidden="false" customHeight="true" outlineLevel="0" collapsed="false">
      <c r="A13" s="53" t="str">
        <f aca="false">"RB"&amp;Scoring!$C$41+13</f>
        <v>RB38</v>
      </c>
      <c r="B13" s="120" t="n">
        <f aca="false">VLOOKUP(A13,ECR!Q:R,2,FALSE())</f>
        <v>113.446174117647</v>
      </c>
      <c r="C13" s="53" t="str">
        <f aca="false">LEFT(INDEX($A$1:$A$52,MATCH(LARGE($B$1:$B$52,13),$B$1:$B$52,0)),2)</f>
        <v>WR</v>
      </c>
    </row>
    <row r="14" customFormat="false" ht="14.25" hidden="false" customHeight="true" outlineLevel="0" collapsed="false">
      <c r="A14" s="53" t="str">
        <f aca="false">"RB"&amp;Scoring!$C$41+14</f>
        <v>RB39</v>
      </c>
      <c r="B14" s="120" t="n">
        <f aca="false">VLOOKUP(A14,ECR!Q:R,2,FALSE())</f>
        <v>112.890752</v>
      </c>
      <c r="C14" s="53" t="str">
        <f aca="false">LEFT(INDEX($A$1:$A$52,MATCH(LARGE($B$1:$B$52,14),$B$1:$B$52,0)),2)</f>
        <v>WR</v>
      </c>
    </row>
    <row r="15" customFormat="false" ht="14.25" hidden="false" customHeight="true" outlineLevel="0" collapsed="false">
      <c r="A15" s="53" t="str">
        <f aca="false">"RB"&amp;Scoring!$C$41+15</f>
        <v>RB40</v>
      </c>
      <c r="B15" s="120" t="n">
        <f aca="false">VLOOKUP(A15,ECR!Q:R,2,FALSE())</f>
        <v>112.344448</v>
      </c>
      <c r="C15" s="53" t="str">
        <f aca="false">LEFT(INDEX($A$1:$A$52,MATCH(LARGE($B$1:$B$52,15),$B$1:$B$52,0)),2)</f>
        <v>WR</v>
      </c>
    </row>
    <row r="16" customFormat="false" ht="14.25" hidden="false" customHeight="true" outlineLevel="0" collapsed="false">
      <c r="A16" s="53" t="str">
        <f aca="false">"RB"&amp;Scoring!$C$41+16</f>
        <v>RB41</v>
      </c>
      <c r="B16" s="120" t="n">
        <f aca="false">VLOOKUP(A16,ECR!Q:R,2,FALSE())</f>
        <v>110.242529411765</v>
      </c>
      <c r="C16" s="53" t="str">
        <f aca="false">LEFT(INDEX($A$1:$A$52,MATCH(LARGE($B$1:$B$52,16),$B$1:$B$52,0)),2)</f>
        <v>RB</v>
      </c>
    </row>
    <row r="17" customFormat="false" ht="14.25" hidden="false" customHeight="true" outlineLevel="0" collapsed="false">
      <c r="A17" s="53" t="str">
        <f aca="false">"RB"&amp;Scoring!$C$41+17</f>
        <v>RB42</v>
      </c>
      <c r="B17" s="120" t="n">
        <f aca="false">VLOOKUP(A17,ECR!Q:R,2,FALSE())</f>
        <v>104.462863855294</v>
      </c>
      <c r="C17" s="53" t="str">
        <f aca="false">LEFT(INDEX($A$1:$A$52,MATCH(LARGE($B$1:$B$52,17),$B$1:$B$52,0)),2)</f>
        <v>RB</v>
      </c>
    </row>
    <row r="18" customFormat="false" ht="14.25" hidden="false" customHeight="true" outlineLevel="0" collapsed="false">
      <c r="A18" s="53" t="str">
        <f aca="false">"RB"&amp;Scoring!$C$41+18</f>
        <v>RB43</v>
      </c>
      <c r="B18" s="120" t="n">
        <f aca="false">VLOOKUP(A18,ECR!Q:R,2,FALSE())</f>
        <v>97.3137635294117</v>
      </c>
      <c r="C18" s="53" t="str">
        <f aca="false">LEFT(INDEX($A$1:$A$52,MATCH(LARGE($B$1:$B$52,18),$B$1:$B$52,0)),2)</f>
        <v>WR</v>
      </c>
    </row>
    <row r="19" customFormat="false" ht="14.25" hidden="false" customHeight="true" outlineLevel="0" collapsed="false">
      <c r="A19" s="53" t="str">
        <f aca="false">"RB"&amp;Scoring!$C$41+19</f>
        <v>RB44</v>
      </c>
      <c r="B19" s="120" t="n">
        <f aca="false">VLOOKUP(A19,ECR!Q:R,2,FALSE())</f>
        <v>96.9188235294118</v>
      </c>
      <c r="C19" s="53" t="str">
        <f aca="false">LEFT(INDEX($A$1:$A$52,MATCH(LARGE($B$1:$B$52,19),$B$1:$B$52,0)),2)</f>
        <v>WR</v>
      </c>
    </row>
    <row r="20" customFormat="false" ht="14.25" hidden="false" customHeight="true" outlineLevel="0" collapsed="false">
      <c r="A20" s="53" t="str">
        <f aca="false">"RB"&amp;Scoring!$C$41+20</f>
        <v>RB45</v>
      </c>
      <c r="B20" s="120" t="n">
        <f aca="false">VLOOKUP(A20,ECR!Q:R,2,FALSE())</f>
        <v>90.2948209411765</v>
      </c>
      <c r="C20" s="53" t="str">
        <f aca="false">LEFT(INDEX($A$1:$A$52,MATCH(LARGE($B$1:$B$52,20),$B$1:$B$52,0)),2)</f>
        <v>WR</v>
      </c>
    </row>
    <row r="21" customFormat="false" ht="14.25" hidden="false" customHeight="true" outlineLevel="0" collapsed="false">
      <c r="A21" s="53" t="str">
        <f aca="false">"WR"&amp;Scoring!$D$41+1</f>
        <v>WR26</v>
      </c>
      <c r="B21" s="120" t="n">
        <f aca="false">VLOOKUP(A21,ECR!Q:R,2,FALSE())</f>
        <v>139.921139647059</v>
      </c>
      <c r="C21" s="53" t="str">
        <f aca="false">LEFT(INDEX($A$1:$A$52,MATCH(LARGE($B$1:$B$52,21),$B$1:$B$52,0)),2)</f>
        <v>WR</v>
      </c>
    </row>
    <row r="22" customFormat="false" ht="14.25" hidden="false" customHeight="true" outlineLevel="0" collapsed="false">
      <c r="A22" s="53" t="str">
        <f aca="false">"WR"&amp;Scoring!$D$41+2</f>
        <v>WR27</v>
      </c>
      <c r="B22" s="120" t="n">
        <f aca="false">VLOOKUP(A22,ECR!Q:R,2,FALSE())</f>
        <v>139.00203</v>
      </c>
      <c r="C22" s="53" t="str">
        <f aca="false">LEFT(INDEX($A$1:$A$52,MATCH(LARGE($B$1:$B$52,22),$B$1:$B$52,0)),2)</f>
        <v>RB</v>
      </c>
    </row>
    <row r="23" customFormat="false" ht="14.25" hidden="false" customHeight="true" outlineLevel="0" collapsed="false">
      <c r="A23" s="53" t="str">
        <f aca="false">"WR"&amp;Scoring!$D$41+3</f>
        <v>WR28</v>
      </c>
      <c r="B23" s="120" t="n">
        <f aca="false">VLOOKUP(A23,ECR!Q:R,2,FALSE())</f>
        <v>134.534513235294</v>
      </c>
      <c r="C23" s="53" t="str">
        <f aca="false">LEFT(INDEX($A$1:$A$52,MATCH(LARGE($B$1:$B$52,23),$B$1:$B$52,0)),2)</f>
        <v>WR</v>
      </c>
    </row>
    <row r="24" customFormat="false" ht="14.25" hidden="false" customHeight="true" outlineLevel="0" collapsed="false">
      <c r="A24" s="53" t="str">
        <f aca="false">"WR"&amp;Scoring!$D$41+4</f>
        <v>WR29</v>
      </c>
      <c r="B24" s="120" t="n">
        <f aca="false">VLOOKUP(A24,ECR!Q:R,2,FALSE())</f>
        <v>129.834315882353</v>
      </c>
      <c r="C24" s="53" t="str">
        <f aca="false">LEFT(INDEX($A$1:$A$52,MATCH(LARGE($B$1:$B$52,24),$B$1:$B$52,0)),2)</f>
        <v>RB</v>
      </c>
    </row>
    <row r="25" customFormat="false" ht="14.25" hidden="false" customHeight="true" outlineLevel="0" collapsed="false">
      <c r="A25" s="53" t="str">
        <f aca="false">"WR"&amp;Scoring!$D$41+5</f>
        <v>WR30</v>
      </c>
      <c r="B25" s="120" t="n">
        <f aca="false">VLOOKUP(A25,ECR!Q:R,2,FALSE())</f>
        <v>128.902221647059</v>
      </c>
      <c r="C25" s="53" t="str">
        <f aca="false">LEFT(INDEX($A$1:$A$52,MATCH(LARGE($B$1:$B$52,25),$B$1:$B$52,0)),2)</f>
        <v>RB</v>
      </c>
    </row>
    <row r="26" customFormat="false" ht="14.25" hidden="false" customHeight="true" outlineLevel="0" collapsed="false">
      <c r="A26" s="53" t="str">
        <f aca="false">"WR"&amp;Scoring!$D$41+6</f>
        <v>WR31</v>
      </c>
      <c r="B26" s="120" t="n">
        <f aca="false">VLOOKUP(A26,ECR!Q:R,2,FALSE())</f>
        <v>128.045832705882</v>
      </c>
      <c r="C26" s="53" t="str">
        <f aca="false">LEFT(INDEX($A$1:$A$52,MATCH(LARGE($B$1:$B$52,26),$B$1:$B$52,0)),2)</f>
        <v>RB</v>
      </c>
    </row>
    <row r="27" customFormat="false" ht="14.25" hidden="false" customHeight="true" outlineLevel="0" collapsed="false">
      <c r="A27" s="53" t="str">
        <f aca="false">"WR"&amp;Scoring!$D$41+7</f>
        <v>WR32</v>
      </c>
      <c r="B27" s="120" t="n">
        <f aca="false">VLOOKUP(A27,ECR!Q:R,2,FALSE())</f>
        <v>127.945852941176</v>
      </c>
      <c r="C27" s="53" t="str">
        <f aca="false">LEFT(INDEX($A$1:$A$52,MATCH(LARGE($B$1:$B$52,27),$B$1:$B$52,0)),2)</f>
        <v>RB</v>
      </c>
    </row>
    <row r="28" customFormat="false" ht="14.25" hidden="false" customHeight="true" outlineLevel="0" collapsed="false">
      <c r="A28" s="53" t="str">
        <f aca="false">"WR"&amp;Scoring!$D$41+8</f>
        <v>WR33</v>
      </c>
      <c r="B28" s="120" t="n">
        <f aca="false">VLOOKUP(A28,ECR!Q:R,2,FALSE())</f>
        <v>127.613569044706</v>
      </c>
      <c r="C28" s="53" t="str">
        <f aca="false">LEFT(INDEX($A$1:$A$52,MATCH(LARGE($B$1:$B$52,28),$B$1:$B$52,0)),2)</f>
        <v>WR</v>
      </c>
    </row>
    <row r="29" customFormat="false" ht="14.25" hidden="false" customHeight="true" outlineLevel="0" collapsed="false">
      <c r="A29" s="53" t="str">
        <f aca="false">"WR"&amp;Scoring!$D$41+9</f>
        <v>WR34</v>
      </c>
      <c r="B29" s="120" t="n">
        <f aca="false">VLOOKUP(A29,ECR!Q:R,2,FALSE())</f>
        <v>126.598629932986</v>
      </c>
      <c r="C29" s="53" t="str">
        <f aca="false">LEFT(INDEX($A$1:$A$52,MATCH(LARGE($B$1:$B$52,29),$B$1:$B$52,0)),2)</f>
        <v>RB</v>
      </c>
    </row>
    <row r="30" customFormat="false" ht="14.25" hidden="false" customHeight="true" outlineLevel="0" collapsed="false">
      <c r="A30" s="53" t="str">
        <f aca="false">"WR"&amp;Scoring!$D$41+10</f>
        <v>WR35</v>
      </c>
      <c r="B30" s="120" t="n">
        <f aca="false">VLOOKUP(A30,ECR!Q:R,2,FALSE())</f>
        <v>121.293308711839</v>
      </c>
      <c r="C30" s="53" t="str">
        <f aca="false">LEFT(INDEX($A$1:$A$52,MATCH(LARGE($B$1:$B$52,30),$B$1:$B$52,0)),2)</f>
        <v>WR</v>
      </c>
    </row>
    <row r="31" customFormat="false" ht="14.25" hidden="false" customHeight="true" outlineLevel="0" collapsed="false">
      <c r="A31" s="53" t="str">
        <f aca="false">"WR"&amp;Scoring!$D$41+11</f>
        <v>WR36</v>
      </c>
      <c r="B31" s="120" t="n">
        <f aca="false">VLOOKUP(A31,ECR!Q:R,2,FALSE())</f>
        <v>121.283550588235</v>
      </c>
      <c r="C31" s="53" t="str">
        <f aca="false">LEFT(INDEX($A$1:$A$52,MATCH(LARGE($B$1:$B$52,31),$B$1:$B$52,0)),2)</f>
        <v>RB</v>
      </c>
    </row>
    <row r="32" customFormat="false" ht="14.25" hidden="false" customHeight="true" outlineLevel="0" collapsed="false">
      <c r="A32" s="53" t="str">
        <f aca="false">"WR"&amp;Scoring!$D$41+12</f>
        <v>WR37</v>
      </c>
      <c r="B32" s="120" t="n">
        <f aca="false">VLOOKUP(A32,ECR!Q:R,2,FALSE())</f>
        <v>119.056738705882</v>
      </c>
      <c r="C32" s="53" t="str">
        <f aca="false">LEFT(INDEX($A$1:$A$52,MATCH(LARGE($B$1:$B$52,32),$B$1:$B$52,0)),2)</f>
        <v>WR</v>
      </c>
    </row>
    <row r="33" customFormat="false" ht="14.25" hidden="false" customHeight="true" outlineLevel="0" collapsed="false">
      <c r="A33" s="53" t="str">
        <f aca="false">"WR"&amp;Scoring!$D$41+13</f>
        <v>WR38</v>
      </c>
      <c r="B33" s="120" t="n">
        <f aca="false">VLOOKUP(A33,ECR!Q:R,2,FALSE())</f>
        <v>118.274251675354</v>
      </c>
      <c r="C33" s="53" t="str">
        <f aca="false">LEFT(INDEX($A$1:$A$52,MATCH(LARGE($B$1:$B$52,33),$B$1:$B$52,0)),2)</f>
        <v>WR</v>
      </c>
    </row>
    <row r="34" customFormat="false" ht="14.25" hidden="false" customHeight="true" outlineLevel="0" collapsed="false">
      <c r="A34" s="53" t="str">
        <f aca="false">"WR"&amp;Scoring!$D$41+14</f>
        <v>WR39</v>
      </c>
      <c r="B34" s="120" t="n">
        <f aca="false">VLOOKUP(A34,ECR!Q:R,2,FALSE())</f>
        <v>116.208629932986</v>
      </c>
      <c r="C34" s="53" t="str">
        <f aca="false">LEFT(INDEX($A$1:$A$52,MATCH(LARGE($B$1:$B$52,34),$B$1:$B$52,0)),2)</f>
        <v>WR</v>
      </c>
    </row>
    <row r="35" customFormat="false" ht="14.25" hidden="false" customHeight="true" outlineLevel="0" collapsed="false">
      <c r="A35" s="53" t="str">
        <f aca="false">"WR"&amp;Scoring!$D$41+15</f>
        <v>WR40</v>
      </c>
      <c r="B35" s="120" t="n">
        <f aca="false">VLOOKUP(A35,ECR!Q:R,2,FALSE())</f>
        <v>113.16636366344</v>
      </c>
      <c r="C35" s="53" t="str">
        <f aca="false">LEFT(INDEX($A$1:$A$52,MATCH(LARGE($B$1:$B$52,35),$B$1:$B$52,0)),2)</f>
        <v>WR</v>
      </c>
    </row>
    <row r="36" customFormat="false" ht="14.25" hidden="false" customHeight="true" outlineLevel="0" collapsed="false">
      <c r="A36" s="53" t="str">
        <f aca="false">"WR"&amp;Scoring!$D$41+16</f>
        <v>WR41</v>
      </c>
      <c r="B36" s="120" t="n">
        <f aca="false">VLOOKUP(A36,ECR!Q:R,2,FALSE())</f>
        <v>112.533834698436</v>
      </c>
      <c r="C36" s="53" t="str">
        <f aca="false">LEFT(INDEX($A$1:$A$52,MATCH(LARGE($B$1:$B$52,36),$B$1:$B$52,0)),2)</f>
        <v>TE</v>
      </c>
    </row>
    <row r="37" customFormat="false" ht="14.25" hidden="false" customHeight="true" outlineLevel="0" collapsed="false">
      <c r="A37" s="53" t="str">
        <f aca="false">"WR"&amp;Scoring!$D$41+17</f>
        <v>WR42</v>
      </c>
      <c r="B37" s="120" t="n">
        <f aca="false">VLOOKUP(A37,ECR!Q:R,2,FALSE())</f>
        <v>112.291839761727</v>
      </c>
      <c r="C37" s="53" t="str">
        <f aca="false">LEFT(INDEX($A$1:$A$52,MATCH(LARGE($B$1:$B$52,37),$B$1:$B$52,0)),2)</f>
        <v>RB</v>
      </c>
    </row>
    <row r="38" customFormat="false" ht="14.25" hidden="false" customHeight="true" outlineLevel="0" collapsed="false">
      <c r="A38" s="53" t="str">
        <f aca="false">"WR"&amp;Scoring!$D$41+18</f>
        <v>WR43</v>
      </c>
      <c r="B38" s="120" t="n">
        <f aca="false">VLOOKUP(A38,ECR!Q:R,2,FALSE())</f>
        <v>111.706038719285</v>
      </c>
      <c r="C38" s="53" t="str">
        <f aca="false">LEFT(INDEX($A$1:$A$52,MATCH(LARGE($B$1:$B$52,38),$B$1:$B$52,0)),2)</f>
        <v>TE</v>
      </c>
    </row>
    <row r="39" customFormat="false" ht="14.25" hidden="false" customHeight="true" outlineLevel="0" collapsed="false">
      <c r="A39" s="53" t="str">
        <f aca="false">"WR"&amp;Scoring!$D$41+19</f>
        <v>WR44</v>
      </c>
      <c r="B39" s="120" t="n">
        <f aca="false">VLOOKUP(A39,ECR!Q:R,2,FALSE())</f>
        <v>111.272810411765</v>
      </c>
      <c r="C39" s="53" t="str">
        <f aca="false">LEFT(INDEX($A$1:$A$52,MATCH(LARGE($B$1:$B$52,39),$B$1:$B$52,0)),2)</f>
        <v>TE</v>
      </c>
    </row>
    <row r="40" customFormat="false" ht="14.25" hidden="false" customHeight="true" outlineLevel="0" collapsed="false">
      <c r="A40" s="53" t="str">
        <f aca="false">"WR"&amp;Scoring!$D$41+20</f>
        <v>WR45</v>
      </c>
      <c r="B40" s="120" t="n">
        <f aca="false">VLOOKUP(A40,ECR!Q:R,2,FALSE())</f>
        <v>110.520902647059</v>
      </c>
      <c r="C40" s="53" t="str">
        <f aca="false">LEFT(INDEX($A$1:$A$52,MATCH(LARGE($B$1:$B$52,40),$B$1:$B$52,0)),2)</f>
        <v>RB</v>
      </c>
    </row>
    <row r="41" customFormat="false" ht="14.25" hidden="false" customHeight="true" outlineLevel="0" collapsed="false">
      <c r="A41" s="53" t="str">
        <f aca="false">"TE"&amp;Scoring!$E$41+1</f>
        <v>TE13</v>
      </c>
      <c r="B41" s="120" t="n">
        <f aca="false">VLOOKUP(A41,ECR!Q:R,2,FALSE())</f>
        <v>110.289531529412</v>
      </c>
      <c r="C41" s="53" t="str">
        <f aca="false">LEFT(INDEX($A$1:$A$52,MATCH(LARGE($B$1:$B$52,41),$B$1:$B$52,0)),2)</f>
        <v>TE</v>
      </c>
    </row>
    <row r="42" customFormat="false" ht="14.25" hidden="false" customHeight="true" outlineLevel="0" collapsed="false">
      <c r="A42" s="53" t="str">
        <f aca="false">"TE"&amp;Scoring!$E$41+2</f>
        <v>TE14</v>
      </c>
      <c r="B42" s="120" t="n">
        <f aca="false">VLOOKUP(A42,ECR!Q:R,2,FALSE())</f>
        <v>108.911436294118</v>
      </c>
      <c r="C42" s="53" t="str">
        <f aca="false">LEFT(INDEX($A$1:$A$52,MATCH(LARGE($B$1:$B$52,42),$B$1:$B$52,0)),2)</f>
        <v>TE</v>
      </c>
    </row>
    <row r="43" customFormat="false" ht="14.25" hidden="false" customHeight="true" outlineLevel="0" collapsed="false">
      <c r="A43" s="53" t="str">
        <f aca="false">"TE"&amp;Scoring!$E$41+3</f>
        <v>TE15</v>
      </c>
      <c r="B43" s="120" t="n">
        <f aca="false">VLOOKUP(A43,ECR!Q:R,2,FALSE())</f>
        <v>106.457098352941</v>
      </c>
      <c r="C43" s="53" t="str">
        <f aca="false">LEFT(INDEX($A$1:$A$52,MATCH(LARGE($B$1:$B$52,43),$B$1:$B$52,0)),2)</f>
        <v>RB</v>
      </c>
    </row>
    <row r="44" customFormat="false" ht="14.25" hidden="false" customHeight="true" outlineLevel="0" collapsed="false">
      <c r="A44" s="53" t="str">
        <f aca="false">"TE"&amp;Scoring!$E$41+4</f>
        <v>TE16</v>
      </c>
      <c r="B44" s="120" t="n">
        <f aca="false">VLOOKUP(A44,ECR!Q:R,2,FALSE())</f>
        <v>100.483787529412</v>
      </c>
      <c r="C44" s="53" t="str">
        <f aca="false">LEFT(INDEX($A$1:$A$52,MATCH(LARGE($B$1:$B$52,44),$B$1:$B$52,0)),2)</f>
        <v>RB</v>
      </c>
    </row>
    <row r="45" customFormat="false" ht="14.25" hidden="false" customHeight="true" outlineLevel="0" collapsed="false">
      <c r="A45" s="53" t="str">
        <f aca="false">"TE"&amp;Scoring!$E$41+5</f>
        <v>TE17</v>
      </c>
      <c r="B45" s="120" t="n">
        <f aca="false">VLOOKUP(A45,ECR!Q:R,2,FALSE())</f>
        <v>100.381262647059</v>
      </c>
      <c r="C45" s="53" t="str">
        <f aca="false">LEFT(INDEX($A$1:$A$52,MATCH(LARGE($B$1:$B$52,45),$B$1:$B$52,0)),2)</f>
        <v>TE</v>
      </c>
    </row>
    <row r="46" customFormat="false" ht="14.25" hidden="false" customHeight="true" outlineLevel="0" collapsed="false">
      <c r="A46" s="53" t="str">
        <f aca="false">"TE"&amp;Scoring!$E$41+6</f>
        <v>TE18</v>
      </c>
      <c r="B46" s="120" t="n">
        <f aca="false">VLOOKUP(A46,ECR!Q:R,2,FALSE())</f>
        <v>96.61635</v>
      </c>
      <c r="C46" s="53" t="str">
        <f aca="false">LEFT(INDEX($A$1:$A$52,MATCH(LARGE($B$1:$B$52,46),$B$1:$B$52,0)),2)</f>
        <v>RB</v>
      </c>
    </row>
    <row r="47" customFormat="false" ht="14.25" hidden="false" customHeight="true" outlineLevel="0" collapsed="false">
      <c r="A47" s="53" t="str">
        <f aca="false">"TE"&amp;Scoring!$E$41+7</f>
        <v>TE19</v>
      </c>
      <c r="B47" s="120" t="n">
        <f aca="false">VLOOKUP(A47,ECR!Q:R,2,FALSE())</f>
        <v>90.2442188235294</v>
      </c>
      <c r="C47" s="53" t="str">
        <f aca="false">LEFT(INDEX($A$1:$A$52,MATCH(LARGE($B$1:$B$52,47),$B$1:$B$52,0)),2)</f>
        <v>TE</v>
      </c>
    </row>
    <row r="48" customFormat="false" ht="14.25" hidden="false" customHeight="true" outlineLevel="0" collapsed="false">
      <c r="A48" s="53" t="str">
        <f aca="false">"TE"&amp;Scoring!$E$41+8</f>
        <v>TE20</v>
      </c>
      <c r="B48" s="120" t="n">
        <f aca="false">VLOOKUP(A48,ECR!Q:R,2,FALSE())</f>
        <v>83.33</v>
      </c>
      <c r="C48" s="53" t="str">
        <f aca="false">LEFT(INDEX($A$1:$A$52,MATCH(LARGE($B$1:$B$52,48),$B$1:$B$52,0)),2)</f>
        <v>TE</v>
      </c>
    </row>
    <row r="49" customFormat="false" ht="14.25" hidden="false" customHeight="true" outlineLevel="0" collapsed="false">
      <c r="A49" s="53" t="str">
        <f aca="false">"TE"&amp;Scoring!$E$41+9</f>
        <v>TE21</v>
      </c>
      <c r="B49" s="120" t="n">
        <f aca="false">VLOOKUP(A49,ECR!Q:R,2,FALSE())</f>
        <v>82.4811764705882</v>
      </c>
      <c r="C49" s="53" t="str">
        <f aca="false">LEFT(INDEX($A$1:$A$52,MATCH(LARGE($B$1:$B$52,49),$B$1:$B$52,0)),2)</f>
        <v>TE</v>
      </c>
    </row>
    <row r="50" customFormat="false" ht="14.25" hidden="false" customHeight="true" outlineLevel="0" collapsed="false">
      <c r="A50" s="53" t="str">
        <f aca="false">"TE"&amp;Scoring!$E$41+10</f>
        <v>TE22</v>
      </c>
      <c r="B50" s="120" t="n">
        <f aca="false">VLOOKUP(A50,ECR!Q:R,2,FALSE())</f>
        <v>81.3111764705882</v>
      </c>
      <c r="C50" s="53" t="str">
        <f aca="false">LEFT(INDEX($A$1:$A$52,MATCH(LARGE($B$1:$B$52,50),$B$1:$B$52,0)),2)</f>
        <v>TE</v>
      </c>
    </row>
    <row r="51" customFormat="false" ht="14.25" hidden="false" customHeight="true" outlineLevel="0" collapsed="false">
      <c r="A51" s="53" t="str">
        <f aca="false">"TE"&amp;Scoring!$E$41+11</f>
        <v>TE23</v>
      </c>
      <c r="B51" s="120" t="n">
        <f aca="false">VLOOKUP(A51,ECR!Q:R,2,FALSE())</f>
        <v>80.7835294117647</v>
      </c>
      <c r="C51" s="53" t="str">
        <f aca="false">LEFT(INDEX($A$1:$A$52,MATCH(LARGE($B$1:$B$52,51),$B$1:$B$52,0)),2)</f>
        <v>TE</v>
      </c>
    </row>
    <row r="52" customFormat="false" ht="14.25" hidden="false" customHeight="true" outlineLevel="0" collapsed="false">
      <c r="A52" s="53" t="str">
        <f aca="false">"TE"&amp;Scoring!$E$41+12</f>
        <v>TE24</v>
      </c>
      <c r="B52" s="120" t="n">
        <f aca="false">VLOOKUP(A52,ECR!Q:R,2,FALSE())</f>
        <v>79.3121671764706</v>
      </c>
      <c r="C52" s="53" t="str">
        <f aca="false">LEFT(INDEX($A$1:$A$52,MATCH(LARGE($B$1:$B$52,52),$B$1:$B$52,0)),2)</f>
        <v>TE</v>
      </c>
    </row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6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51" activeCellId="0" sqref="A51"/>
    </sheetView>
  </sheetViews>
  <sheetFormatPr defaultColWidth="8.55859375" defaultRowHeight="14.25" zeroHeight="false" outlineLevelRow="0" outlineLevelCol="0"/>
  <cols>
    <col collapsed="false" customWidth="true" hidden="false" outlineLevel="0" max="2" min="2" style="53" width="21.22"/>
    <col collapsed="false" customWidth="true" hidden="false" outlineLevel="0" max="3" min="3" style="0" width="8.88"/>
    <col collapsed="false" customWidth="true" hidden="false" outlineLevel="0" max="4" min="4" style="0" width="15.56"/>
    <col collapsed="false" customWidth="true" hidden="false" outlineLevel="0" max="10" min="5" style="0" width="8.88"/>
    <col collapsed="false" customWidth="true" hidden="false" outlineLevel="0" max="11" min="11" style="0" width="20.33"/>
    <col collapsed="false" customWidth="true" hidden="false" outlineLevel="0" max="12" min="12" style="0" width="19.89"/>
    <col collapsed="false" customWidth="true" hidden="false" outlineLevel="0" max="13" min="13" style="0" width="19"/>
    <col collapsed="false" customWidth="true" hidden="false" outlineLevel="0" max="14" min="14" style="0" width="17"/>
    <col collapsed="false" customWidth="true" hidden="false" outlineLevel="0" max="15" min="15" style="0" width="19.66"/>
    <col collapsed="false" customWidth="true" hidden="false" outlineLevel="0" max="16" min="16" style="0" width="14.11"/>
  </cols>
  <sheetData>
    <row r="1" customFormat="false" ht="14.25" hidden="false" customHeight="true" outlineLevel="0" collapsed="false">
      <c r="A1" s="0" t="s">
        <v>2096</v>
      </c>
      <c r="B1" s="53" t="s">
        <v>2097</v>
      </c>
    </row>
    <row r="2" customFormat="false" ht="14.25" hidden="false" customHeight="true" outlineLevel="0" collapsed="false">
      <c r="A2" s="53" t="s">
        <v>132</v>
      </c>
      <c r="B2" s="121" t="n">
        <v>2.118</v>
      </c>
      <c r="D2" s="123"/>
      <c r="N2" s="53"/>
      <c r="O2" s="122"/>
    </row>
    <row r="3" customFormat="false" ht="14.25" hidden="false" customHeight="true" outlineLevel="0" collapsed="false">
      <c r="A3" s="53" t="s">
        <v>136</v>
      </c>
      <c r="B3" s="121" t="n">
        <v>2.0584</v>
      </c>
      <c r="D3" s="123"/>
      <c r="G3" s="124"/>
      <c r="H3" s="125"/>
      <c r="N3" s="53"/>
      <c r="O3" s="122"/>
    </row>
    <row r="4" customFormat="false" ht="14.25" hidden="false" customHeight="true" outlineLevel="0" collapsed="false">
      <c r="A4" s="53" t="s">
        <v>140</v>
      </c>
      <c r="B4" s="121" t="n">
        <v>2.0092</v>
      </c>
      <c r="D4" s="123"/>
      <c r="G4" s="124"/>
      <c r="H4" s="125"/>
      <c r="N4" s="53"/>
      <c r="O4" s="122"/>
    </row>
    <row r="5" customFormat="false" ht="14.25" hidden="false" customHeight="true" outlineLevel="0" collapsed="false">
      <c r="A5" s="53" t="s">
        <v>144</v>
      </c>
      <c r="B5" s="121" t="n">
        <v>1.9704</v>
      </c>
      <c r="D5" s="123"/>
      <c r="G5" s="124"/>
      <c r="H5" s="125"/>
      <c r="N5" s="53"/>
      <c r="O5" s="122"/>
    </row>
    <row r="6" customFormat="false" ht="14.25" hidden="false" customHeight="true" outlineLevel="0" collapsed="false">
      <c r="A6" s="53" t="s">
        <v>148</v>
      </c>
      <c r="B6" s="121" t="n">
        <v>1.942</v>
      </c>
      <c r="D6" s="123"/>
      <c r="G6" s="124"/>
      <c r="H6" s="125"/>
    </row>
    <row r="7" customFormat="false" ht="14.25" hidden="false" customHeight="true" outlineLevel="0" collapsed="false">
      <c r="A7" s="53" t="s">
        <v>152</v>
      </c>
      <c r="B7" s="121" t="n">
        <v>1.924</v>
      </c>
      <c r="D7" s="123"/>
      <c r="G7" s="124"/>
      <c r="H7" s="125"/>
    </row>
    <row r="8" customFormat="false" ht="14.25" hidden="false" customHeight="true" outlineLevel="0" collapsed="false">
      <c r="A8" s="53" t="s">
        <v>156</v>
      </c>
      <c r="B8" s="121" t="n">
        <v>1.9164</v>
      </c>
      <c r="D8" s="123"/>
      <c r="G8" s="124"/>
      <c r="H8" s="125"/>
    </row>
    <row r="9" customFormat="false" ht="14.25" hidden="false" customHeight="true" outlineLevel="0" collapsed="false">
      <c r="A9" s="53" t="s">
        <v>160</v>
      </c>
      <c r="B9" s="121" t="n">
        <v>1.9192</v>
      </c>
      <c r="D9" s="123"/>
      <c r="G9" s="124"/>
      <c r="H9" s="125"/>
    </row>
    <row r="10" customFormat="false" ht="14.25" hidden="false" customHeight="true" outlineLevel="0" collapsed="false">
      <c r="A10" s="53" t="s">
        <v>164</v>
      </c>
      <c r="B10" s="121" t="n">
        <v>1.9324</v>
      </c>
      <c r="D10" s="123"/>
      <c r="G10" s="124"/>
      <c r="H10" s="125"/>
    </row>
    <row r="11" customFormat="false" ht="14.25" hidden="false" customHeight="true" outlineLevel="0" collapsed="false">
      <c r="A11" s="53" t="s">
        <v>168</v>
      </c>
      <c r="B11" s="121" t="n">
        <v>1.956</v>
      </c>
      <c r="D11" s="123"/>
      <c r="G11" s="124"/>
      <c r="H11" s="125"/>
    </row>
    <row r="12" customFormat="false" ht="14.25" hidden="false" customHeight="true" outlineLevel="0" collapsed="false">
      <c r="A12" s="53" t="s">
        <v>172</v>
      </c>
      <c r="B12" s="121" t="n">
        <v>1.99</v>
      </c>
      <c r="D12" s="123"/>
      <c r="G12" s="124"/>
      <c r="H12" s="125"/>
    </row>
    <row r="13" customFormat="false" ht="14.25" hidden="false" customHeight="true" outlineLevel="0" collapsed="false">
      <c r="A13" s="53" t="s">
        <v>176</v>
      </c>
      <c r="B13" s="121" t="n">
        <v>2.0344</v>
      </c>
      <c r="D13" s="123"/>
      <c r="G13" s="124"/>
      <c r="H13" s="125"/>
    </row>
    <row r="14" customFormat="false" ht="14.25" hidden="false" customHeight="true" outlineLevel="0" collapsed="false">
      <c r="A14" s="53" t="s">
        <v>180</v>
      </c>
      <c r="B14" s="121" t="n">
        <v>2.0892</v>
      </c>
      <c r="D14" s="123"/>
      <c r="G14" s="124"/>
      <c r="H14" s="125"/>
    </row>
    <row r="15" customFormat="false" ht="14.25" hidden="false" customHeight="true" outlineLevel="0" collapsed="false">
      <c r="A15" s="53" t="s">
        <v>184</v>
      </c>
      <c r="B15" s="121" t="n">
        <v>2.1544</v>
      </c>
      <c r="D15" s="123"/>
      <c r="G15" s="124"/>
      <c r="H15" s="125"/>
    </row>
    <row r="16" customFormat="false" ht="14.25" hidden="false" customHeight="true" outlineLevel="0" collapsed="false">
      <c r="A16" s="53" t="s">
        <v>188</v>
      </c>
      <c r="B16" s="121" t="n">
        <v>2.23</v>
      </c>
      <c r="D16" s="123"/>
      <c r="G16" s="124"/>
      <c r="H16" s="125"/>
    </row>
    <row r="17" customFormat="false" ht="14.25" hidden="false" customHeight="true" outlineLevel="0" collapsed="false">
      <c r="A17" s="53" t="s">
        <v>192</v>
      </c>
      <c r="B17" s="121" t="n">
        <v>2.316</v>
      </c>
      <c r="D17" s="123"/>
      <c r="G17" s="124"/>
      <c r="H17" s="125"/>
    </row>
    <row r="18" customFormat="false" ht="14.25" hidden="false" customHeight="true" outlineLevel="0" collapsed="false">
      <c r="A18" s="53" t="s">
        <v>196</v>
      </c>
      <c r="B18" s="121" t="n">
        <v>2.4124</v>
      </c>
      <c r="D18" s="123"/>
      <c r="G18" s="124"/>
      <c r="H18" s="125"/>
    </row>
    <row r="19" customFormat="false" ht="14.25" hidden="false" customHeight="true" outlineLevel="0" collapsed="false">
      <c r="A19" s="53" t="s">
        <v>200</v>
      </c>
      <c r="B19" s="121" t="n">
        <v>2.5192</v>
      </c>
      <c r="D19" s="123"/>
      <c r="G19" s="124"/>
      <c r="H19" s="125"/>
    </row>
    <row r="20" customFormat="false" ht="14.25" hidden="false" customHeight="true" outlineLevel="0" collapsed="false">
      <c r="A20" s="53" t="s">
        <v>204</v>
      </c>
      <c r="B20" s="121" t="n">
        <v>2.6364</v>
      </c>
      <c r="D20" s="123"/>
      <c r="G20" s="124"/>
      <c r="H20" s="125"/>
    </row>
    <row r="21" customFormat="false" ht="14.25" hidden="false" customHeight="true" outlineLevel="0" collapsed="false">
      <c r="A21" s="53" t="s">
        <v>208</v>
      </c>
      <c r="B21" s="121" t="n">
        <v>2.764</v>
      </c>
      <c r="D21" s="123"/>
      <c r="G21" s="124"/>
      <c r="H21" s="125"/>
    </row>
    <row r="22" customFormat="false" ht="14.25" hidden="false" customHeight="true" outlineLevel="0" collapsed="false">
      <c r="A22" s="53" t="s">
        <v>212</v>
      </c>
      <c r="B22" s="121" t="n">
        <v>2.902</v>
      </c>
      <c r="D22" s="123"/>
      <c r="G22" s="124"/>
      <c r="H22" s="125"/>
    </row>
    <row r="23" customFormat="false" ht="14.25" hidden="false" customHeight="true" outlineLevel="0" collapsed="false">
      <c r="A23" s="53" t="s">
        <v>216</v>
      </c>
      <c r="B23" s="121" t="n">
        <v>3.0504</v>
      </c>
      <c r="D23" s="123"/>
      <c r="G23" s="124"/>
      <c r="H23" s="125"/>
    </row>
    <row r="24" customFormat="false" ht="14.25" hidden="false" customHeight="true" outlineLevel="0" collapsed="false">
      <c r="A24" s="53" t="s">
        <v>220</v>
      </c>
      <c r="B24" s="121" t="n">
        <v>3.2</v>
      </c>
      <c r="D24" s="123"/>
      <c r="G24" s="124"/>
      <c r="H24" s="125"/>
    </row>
    <row r="25" customFormat="false" ht="14.25" hidden="false" customHeight="true" outlineLevel="0" collapsed="false">
      <c r="A25" s="53" t="s">
        <v>224</v>
      </c>
      <c r="B25" s="121" t="n">
        <v>3.2</v>
      </c>
      <c r="D25" s="123"/>
      <c r="G25" s="124"/>
      <c r="H25" s="125"/>
    </row>
    <row r="26" customFormat="false" ht="14.25" hidden="false" customHeight="true" outlineLevel="0" collapsed="false">
      <c r="A26" s="53" t="s">
        <v>228</v>
      </c>
      <c r="B26" s="121" t="n">
        <v>3.2</v>
      </c>
      <c r="D26" s="123"/>
      <c r="G26" s="124"/>
      <c r="H26" s="125"/>
    </row>
    <row r="27" customFormat="false" ht="14.25" hidden="false" customHeight="true" outlineLevel="0" collapsed="false">
      <c r="A27" s="53" t="s">
        <v>232</v>
      </c>
      <c r="B27" s="121" t="n">
        <v>3.2</v>
      </c>
      <c r="D27" s="123"/>
      <c r="G27" s="124"/>
      <c r="H27" s="125"/>
    </row>
    <row r="28" customFormat="false" ht="14.25" hidden="false" customHeight="true" outlineLevel="0" collapsed="false">
      <c r="A28" s="53" t="s">
        <v>236</v>
      </c>
      <c r="B28" s="121" t="n">
        <v>3.2</v>
      </c>
      <c r="D28" s="123"/>
      <c r="G28" s="124"/>
      <c r="H28" s="125"/>
    </row>
    <row r="29" customFormat="false" ht="14.25" hidden="false" customHeight="true" outlineLevel="0" collapsed="false">
      <c r="A29" s="53" t="s">
        <v>240</v>
      </c>
      <c r="B29" s="121" t="n">
        <v>3.2</v>
      </c>
      <c r="D29" s="123"/>
      <c r="G29" s="124"/>
      <c r="H29" s="125"/>
    </row>
    <row r="30" customFormat="false" ht="14.25" hidden="false" customHeight="true" outlineLevel="0" collapsed="false">
      <c r="A30" s="53" t="s">
        <v>244</v>
      </c>
      <c r="B30" s="121" t="n">
        <v>3.2</v>
      </c>
      <c r="D30" s="123"/>
      <c r="G30" s="124"/>
      <c r="H30" s="125"/>
    </row>
    <row r="31" customFormat="false" ht="14.25" hidden="false" customHeight="true" outlineLevel="0" collapsed="false">
      <c r="A31" s="53" t="s">
        <v>248</v>
      </c>
      <c r="B31" s="121" t="n">
        <v>3.2</v>
      </c>
      <c r="D31" s="123"/>
      <c r="G31" s="124"/>
      <c r="H31" s="125"/>
    </row>
    <row r="32" customFormat="false" ht="14.25" hidden="false" customHeight="true" outlineLevel="0" collapsed="false">
      <c r="A32" s="53" t="s">
        <v>252</v>
      </c>
      <c r="B32" s="121" t="n">
        <v>3.2</v>
      </c>
      <c r="D32" s="123"/>
      <c r="G32" s="124"/>
      <c r="H32" s="125"/>
    </row>
    <row r="33" customFormat="false" ht="14.25" hidden="false" customHeight="true" outlineLevel="0" collapsed="false">
      <c r="A33" s="53" t="s">
        <v>256</v>
      </c>
      <c r="B33" s="121" t="n">
        <v>3.2</v>
      </c>
      <c r="D33" s="123"/>
      <c r="G33" s="124"/>
      <c r="H33" s="125"/>
    </row>
    <row r="34" customFormat="false" ht="14.25" hidden="false" customHeight="true" outlineLevel="0" collapsed="false">
      <c r="A34" s="53" t="s">
        <v>260</v>
      </c>
      <c r="B34" s="121" t="n">
        <f aca="false">B33</f>
        <v>3.2</v>
      </c>
      <c r="D34" s="123"/>
      <c r="G34" s="124"/>
      <c r="H34" s="125"/>
    </row>
    <row r="35" customFormat="false" ht="14.25" hidden="false" customHeight="true" outlineLevel="0" collapsed="false">
      <c r="A35" s="53" t="s">
        <v>264</v>
      </c>
      <c r="B35" s="121" t="n">
        <f aca="false">B34</f>
        <v>3.2</v>
      </c>
      <c r="D35" s="123"/>
      <c r="G35" s="124"/>
      <c r="H35" s="124"/>
    </row>
    <row r="36" customFormat="false" ht="14.25" hidden="false" customHeight="true" outlineLevel="0" collapsed="false">
      <c r="A36" s="53" t="s">
        <v>268</v>
      </c>
      <c r="B36" s="121" t="n">
        <f aca="false">B35</f>
        <v>3.2</v>
      </c>
      <c r="D36" s="123"/>
      <c r="G36" s="124"/>
      <c r="H36" s="124"/>
    </row>
    <row r="37" customFormat="false" ht="14.25" hidden="false" customHeight="true" outlineLevel="0" collapsed="false">
      <c r="A37" s="53" t="s">
        <v>272</v>
      </c>
      <c r="B37" s="121" t="n">
        <f aca="false">B36</f>
        <v>3.2</v>
      </c>
      <c r="D37" s="123"/>
      <c r="G37" s="124"/>
      <c r="H37" s="124"/>
    </row>
    <row r="38" customFormat="false" ht="14.25" hidden="false" customHeight="true" outlineLevel="0" collapsed="false">
      <c r="A38" s="53" t="s">
        <v>276</v>
      </c>
      <c r="B38" s="121" t="n">
        <f aca="false">B37</f>
        <v>3.2</v>
      </c>
      <c r="D38" s="123"/>
      <c r="G38" s="124"/>
      <c r="H38" s="124"/>
    </row>
    <row r="39" customFormat="false" ht="14.25" hidden="false" customHeight="true" outlineLevel="0" collapsed="false">
      <c r="A39" s="53" t="s">
        <v>280</v>
      </c>
      <c r="B39" s="121" t="n">
        <f aca="false">B38</f>
        <v>3.2</v>
      </c>
      <c r="D39" s="123"/>
      <c r="G39" s="124"/>
      <c r="H39" s="124"/>
    </row>
    <row r="40" customFormat="false" ht="14.25" hidden="false" customHeight="true" outlineLevel="0" collapsed="false">
      <c r="A40" s="53" t="s">
        <v>284</v>
      </c>
      <c r="B40" s="121" t="n">
        <f aca="false">B39</f>
        <v>3.2</v>
      </c>
      <c r="D40" s="123"/>
      <c r="G40" s="124"/>
      <c r="H40" s="124"/>
    </row>
    <row r="41" customFormat="false" ht="14.25" hidden="false" customHeight="true" outlineLevel="0" collapsed="false">
      <c r="A41" s="53" t="s">
        <v>288</v>
      </c>
      <c r="B41" s="121" t="n">
        <f aca="false">B40</f>
        <v>3.2</v>
      </c>
      <c r="D41" s="123"/>
      <c r="G41" s="124"/>
      <c r="H41" s="124"/>
    </row>
    <row r="42" customFormat="false" ht="14.25" hidden="false" customHeight="true" outlineLevel="0" collapsed="false">
      <c r="A42" s="53" t="s">
        <v>292</v>
      </c>
      <c r="B42" s="121" t="n">
        <f aca="false">B41</f>
        <v>3.2</v>
      </c>
      <c r="D42" s="123"/>
      <c r="G42" s="124"/>
      <c r="H42" s="124"/>
    </row>
    <row r="43" customFormat="false" ht="14.25" hidden="false" customHeight="true" outlineLevel="0" collapsed="false">
      <c r="A43" s="53" t="s">
        <v>296</v>
      </c>
      <c r="B43" s="121" t="n">
        <f aca="false">B42</f>
        <v>3.2</v>
      </c>
      <c r="D43" s="123"/>
      <c r="G43" s="124"/>
      <c r="H43" s="124"/>
    </row>
    <row r="44" customFormat="false" ht="14.25" hidden="false" customHeight="true" outlineLevel="0" collapsed="false">
      <c r="A44" s="53" t="s">
        <v>300</v>
      </c>
      <c r="B44" s="121" t="n">
        <f aca="false">B43</f>
        <v>3.2</v>
      </c>
      <c r="D44" s="123"/>
      <c r="G44" s="124"/>
      <c r="H44" s="124"/>
    </row>
    <row r="45" customFormat="false" ht="14.25" hidden="false" customHeight="true" outlineLevel="0" collapsed="false">
      <c r="A45" s="53" t="s">
        <v>304</v>
      </c>
      <c r="B45" s="121" t="n">
        <f aca="false">B44</f>
        <v>3.2</v>
      </c>
      <c r="D45" s="123"/>
      <c r="G45" s="124"/>
      <c r="H45" s="124"/>
    </row>
    <row r="46" customFormat="false" ht="14.25" hidden="false" customHeight="true" outlineLevel="0" collapsed="false">
      <c r="A46" s="53" t="s">
        <v>308</v>
      </c>
      <c r="B46" s="121" t="n">
        <f aca="false">B45</f>
        <v>3.2</v>
      </c>
      <c r="D46" s="123"/>
      <c r="G46" s="124"/>
      <c r="H46" s="124"/>
    </row>
    <row r="47" customFormat="false" ht="14.25" hidden="false" customHeight="true" outlineLevel="0" collapsed="false">
      <c r="A47" s="53" t="s">
        <v>312</v>
      </c>
      <c r="B47" s="121" t="n">
        <f aca="false">B46</f>
        <v>3.2</v>
      </c>
      <c r="D47" s="123"/>
      <c r="G47" s="124"/>
      <c r="H47" s="124"/>
    </row>
    <row r="48" customFormat="false" ht="14.25" hidden="false" customHeight="true" outlineLevel="0" collapsed="false">
      <c r="A48" s="53" t="s">
        <v>316</v>
      </c>
      <c r="B48" s="121" t="n">
        <f aca="false">B47</f>
        <v>3.2</v>
      </c>
      <c r="D48" s="123"/>
      <c r="G48" s="124"/>
      <c r="H48" s="124"/>
    </row>
    <row r="49" customFormat="false" ht="14.25" hidden="false" customHeight="true" outlineLevel="0" collapsed="false">
      <c r="A49" s="53" t="s">
        <v>320</v>
      </c>
      <c r="B49" s="121" t="n">
        <f aca="false">B48</f>
        <v>3.2</v>
      </c>
      <c r="D49" s="123"/>
      <c r="G49" s="124"/>
      <c r="H49" s="124"/>
    </row>
    <row r="50" customFormat="false" ht="14.25" hidden="false" customHeight="true" outlineLevel="0" collapsed="false">
      <c r="A50" s="53" t="s">
        <v>1342</v>
      </c>
      <c r="B50" s="121" t="n">
        <f aca="false">B49</f>
        <v>3.2</v>
      </c>
      <c r="D50" s="123"/>
      <c r="G50" s="124"/>
      <c r="H50" s="124"/>
    </row>
    <row r="51" customFormat="false" ht="14.25" hidden="false" customHeight="true" outlineLevel="0" collapsed="false">
      <c r="A51" s="53" t="s">
        <v>1371</v>
      </c>
      <c r="B51" s="121" t="n">
        <f aca="false">B50</f>
        <v>3.2</v>
      </c>
      <c r="D51" s="123"/>
      <c r="G51" s="124"/>
      <c r="H51" s="124"/>
    </row>
    <row r="52" customFormat="false" ht="14.25" hidden="false" customHeight="true" outlineLevel="0" collapsed="false">
      <c r="A52" s="53" t="s">
        <v>133</v>
      </c>
      <c r="B52" s="121" t="n">
        <v>2.5514</v>
      </c>
      <c r="D52" s="123"/>
      <c r="G52" s="124"/>
      <c r="H52" s="124"/>
    </row>
    <row r="53" customFormat="false" ht="14.25" hidden="false" customHeight="true" outlineLevel="0" collapsed="false">
      <c r="A53" s="53" t="s">
        <v>137</v>
      </c>
      <c r="B53" s="121" t="n">
        <v>2.55</v>
      </c>
      <c r="D53" s="123"/>
      <c r="G53" s="124"/>
      <c r="H53" s="124"/>
    </row>
    <row r="54" customFormat="false" ht="14.25" hidden="false" customHeight="true" outlineLevel="0" collapsed="false">
      <c r="A54" s="53" t="s">
        <v>141</v>
      </c>
      <c r="B54" s="121" t="n">
        <v>2.5498</v>
      </c>
      <c r="D54" s="123"/>
      <c r="G54" s="124"/>
      <c r="H54" s="124"/>
    </row>
    <row r="55" customFormat="false" ht="14.25" hidden="false" customHeight="true" outlineLevel="0" collapsed="false">
      <c r="A55" s="53" t="s">
        <v>145</v>
      </c>
      <c r="B55" s="121" t="n">
        <v>2.5508</v>
      </c>
      <c r="D55" s="123"/>
      <c r="G55" s="124"/>
      <c r="H55" s="124"/>
    </row>
    <row r="56" customFormat="false" ht="14.25" hidden="false" customHeight="true" outlineLevel="0" collapsed="false">
      <c r="A56" s="53" t="s">
        <v>149</v>
      </c>
      <c r="B56" s="121" t="n">
        <v>2.553</v>
      </c>
      <c r="D56" s="123"/>
      <c r="G56" s="124"/>
      <c r="H56" s="124"/>
    </row>
    <row r="57" customFormat="false" ht="14.25" hidden="false" customHeight="true" outlineLevel="0" collapsed="false">
      <c r="A57" s="53" t="s">
        <v>153</v>
      </c>
      <c r="B57" s="121" t="n">
        <v>2.5564</v>
      </c>
      <c r="D57" s="123"/>
      <c r="G57" s="124"/>
      <c r="H57" s="124"/>
    </row>
    <row r="58" customFormat="false" ht="14.25" hidden="false" customHeight="true" outlineLevel="0" collapsed="false">
      <c r="A58" s="53" t="s">
        <v>157</v>
      </c>
      <c r="B58" s="121" t="n">
        <v>2.561</v>
      </c>
      <c r="D58" s="123"/>
      <c r="G58" s="124"/>
      <c r="H58" s="124"/>
    </row>
    <row r="59" customFormat="false" ht="14.25" hidden="false" customHeight="true" outlineLevel="0" collapsed="false">
      <c r="A59" s="53" t="s">
        <v>161</v>
      </c>
      <c r="B59" s="121" t="n">
        <v>2.5668</v>
      </c>
      <c r="D59" s="123"/>
      <c r="G59" s="124"/>
      <c r="H59" s="124"/>
    </row>
    <row r="60" customFormat="false" ht="14.25" hidden="false" customHeight="true" outlineLevel="0" collapsed="false">
      <c r="A60" s="53" t="s">
        <v>165</v>
      </c>
      <c r="B60" s="121" t="n">
        <v>2.5738</v>
      </c>
      <c r="D60" s="123"/>
      <c r="G60" s="124"/>
      <c r="H60" s="124"/>
    </row>
    <row r="61" customFormat="false" ht="14.25" hidden="false" customHeight="true" outlineLevel="0" collapsed="false">
      <c r="A61" s="53" t="s">
        <v>169</v>
      </c>
      <c r="B61" s="121" t="n">
        <v>2.582</v>
      </c>
      <c r="D61" s="123"/>
      <c r="G61" s="124"/>
      <c r="H61" s="124"/>
    </row>
    <row r="62" customFormat="false" ht="14.25" hidden="false" customHeight="true" outlineLevel="0" collapsed="false">
      <c r="A62" s="53" t="s">
        <v>173</v>
      </c>
      <c r="B62" s="121" t="n">
        <v>2.5914</v>
      </c>
      <c r="D62" s="123"/>
      <c r="G62" s="124"/>
      <c r="H62" s="124"/>
    </row>
    <row r="63" customFormat="false" ht="14.25" hidden="false" customHeight="true" outlineLevel="0" collapsed="false">
      <c r="A63" s="53" t="s">
        <v>177</v>
      </c>
      <c r="B63" s="121" t="n">
        <v>2.602</v>
      </c>
      <c r="D63" s="123"/>
      <c r="G63" s="124"/>
      <c r="H63" s="124"/>
    </row>
    <row r="64" customFormat="false" ht="14.25" hidden="false" customHeight="true" outlineLevel="0" collapsed="false">
      <c r="A64" s="53" t="s">
        <v>181</v>
      </c>
      <c r="B64" s="121" t="n">
        <v>2.6138</v>
      </c>
      <c r="D64" s="123"/>
      <c r="G64" s="124"/>
      <c r="H64" s="124"/>
    </row>
    <row r="65" customFormat="false" ht="14.25" hidden="false" customHeight="true" outlineLevel="0" collapsed="false">
      <c r="A65" s="53" t="s">
        <v>185</v>
      </c>
      <c r="B65" s="121" t="n">
        <v>2.6268</v>
      </c>
      <c r="D65" s="123"/>
      <c r="G65" s="124"/>
      <c r="H65" s="124"/>
    </row>
    <row r="66" customFormat="false" ht="14.25" hidden="false" customHeight="true" outlineLevel="0" collapsed="false">
      <c r="A66" s="53" t="s">
        <v>189</v>
      </c>
      <c r="B66" s="121" t="n">
        <v>2.641</v>
      </c>
      <c r="D66" s="123"/>
      <c r="G66" s="124"/>
      <c r="H66" s="124"/>
    </row>
    <row r="67" customFormat="false" ht="14.25" hidden="false" customHeight="true" outlineLevel="0" collapsed="false">
      <c r="A67" s="53" t="s">
        <v>193</v>
      </c>
      <c r="B67" s="121" t="n">
        <v>2.6564</v>
      </c>
      <c r="D67" s="123"/>
      <c r="G67" s="124"/>
      <c r="H67" s="124"/>
    </row>
    <row r="68" customFormat="false" ht="14.25" hidden="false" customHeight="true" outlineLevel="0" collapsed="false">
      <c r="A68" s="53" t="s">
        <v>197</v>
      </c>
      <c r="B68" s="121" t="n">
        <v>2.673</v>
      </c>
      <c r="D68" s="123"/>
      <c r="G68" s="124"/>
      <c r="H68" s="124"/>
    </row>
    <row r="69" customFormat="false" ht="14.25" hidden="false" customHeight="true" outlineLevel="0" collapsed="false">
      <c r="A69" s="53" t="s">
        <v>201</v>
      </c>
      <c r="B69" s="121" t="n">
        <v>2.6908</v>
      </c>
      <c r="D69" s="123"/>
      <c r="G69" s="124"/>
      <c r="H69" s="124"/>
    </row>
    <row r="70" customFormat="false" ht="14.25" hidden="false" customHeight="true" outlineLevel="0" collapsed="false">
      <c r="A70" s="53" t="s">
        <v>205</v>
      </c>
      <c r="B70" s="121" t="n">
        <v>2.7098</v>
      </c>
      <c r="D70" s="123"/>
      <c r="G70" s="124"/>
      <c r="H70" s="124"/>
    </row>
    <row r="71" customFormat="false" ht="14.25" hidden="false" customHeight="true" outlineLevel="0" collapsed="false">
      <c r="A71" s="53" t="s">
        <v>209</v>
      </c>
      <c r="B71" s="121" t="n">
        <v>2.73</v>
      </c>
      <c r="D71" s="123"/>
      <c r="G71" s="124"/>
      <c r="H71" s="124"/>
    </row>
    <row r="72" customFormat="false" ht="14.25" hidden="false" customHeight="true" outlineLevel="0" collapsed="false">
      <c r="A72" s="53" t="s">
        <v>213</v>
      </c>
      <c r="B72" s="121" t="n">
        <v>2.7514</v>
      </c>
      <c r="D72" s="123"/>
      <c r="G72" s="124"/>
      <c r="H72" s="124"/>
    </row>
    <row r="73" customFormat="false" ht="14.25" hidden="false" customHeight="true" outlineLevel="0" collapsed="false">
      <c r="A73" s="53" t="s">
        <v>217</v>
      </c>
      <c r="B73" s="121" t="n">
        <v>2.774</v>
      </c>
      <c r="D73" s="123"/>
      <c r="G73" s="124"/>
      <c r="H73" s="124"/>
    </row>
    <row r="74" customFormat="false" ht="14.25" hidden="false" customHeight="true" outlineLevel="0" collapsed="false">
      <c r="A74" s="53" t="s">
        <v>221</v>
      </c>
      <c r="B74" s="121" t="n">
        <v>2.7978</v>
      </c>
      <c r="D74" s="123"/>
      <c r="G74" s="124"/>
      <c r="H74" s="124"/>
    </row>
    <row r="75" customFormat="false" ht="14.25" hidden="false" customHeight="true" outlineLevel="0" collapsed="false">
      <c r="A75" s="53" t="s">
        <v>225</v>
      </c>
      <c r="B75" s="121" t="n">
        <v>2.8228</v>
      </c>
      <c r="D75" s="123"/>
      <c r="G75" s="124"/>
      <c r="H75" s="124"/>
    </row>
    <row r="76" customFormat="false" ht="14.25" hidden="false" customHeight="true" outlineLevel="0" collapsed="false">
      <c r="A76" s="53" t="s">
        <v>229</v>
      </c>
      <c r="B76" s="121" t="n">
        <v>2.849</v>
      </c>
      <c r="D76" s="123"/>
      <c r="G76" s="124"/>
      <c r="H76" s="124"/>
    </row>
    <row r="77" customFormat="false" ht="14.25" hidden="false" customHeight="true" outlineLevel="0" collapsed="false">
      <c r="A77" s="53" t="s">
        <v>233</v>
      </c>
      <c r="B77" s="121" t="n">
        <v>2.8764</v>
      </c>
      <c r="D77" s="123"/>
      <c r="G77" s="124"/>
      <c r="H77" s="124"/>
    </row>
    <row r="78" customFormat="false" ht="14.25" hidden="false" customHeight="true" outlineLevel="0" collapsed="false">
      <c r="A78" s="53" t="s">
        <v>237</v>
      </c>
      <c r="B78" s="121" t="n">
        <v>2.905</v>
      </c>
      <c r="D78" s="123"/>
      <c r="G78" s="124"/>
      <c r="H78" s="124"/>
    </row>
    <row r="79" customFormat="false" ht="14.25" hidden="false" customHeight="true" outlineLevel="0" collapsed="false">
      <c r="A79" s="53" t="s">
        <v>241</v>
      </c>
      <c r="B79" s="121" t="n">
        <v>2.9348</v>
      </c>
      <c r="D79" s="123"/>
      <c r="G79" s="124"/>
      <c r="H79" s="124"/>
    </row>
    <row r="80" customFormat="false" ht="14.25" hidden="false" customHeight="true" outlineLevel="0" collapsed="false">
      <c r="A80" s="53" t="s">
        <v>245</v>
      </c>
      <c r="B80" s="121" t="n">
        <v>2.9658</v>
      </c>
      <c r="D80" s="123"/>
      <c r="G80" s="124"/>
      <c r="H80" s="124"/>
    </row>
    <row r="81" customFormat="false" ht="14.25" hidden="false" customHeight="true" outlineLevel="0" collapsed="false">
      <c r="A81" s="53" t="s">
        <v>249</v>
      </c>
      <c r="B81" s="121" t="n">
        <v>2.998</v>
      </c>
      <c r="D81" s="123"/>
      <c r="G81" s="124"/>
      <c r="H81" s="124"/>
    </row>
    <row r="82" customFormat="false" ht="14.25" hidden="false" customHeight="true" outlineLevel="0" collapsed="false">
      <c r="A82" s="53" t="s">
        <v>253</v>
      </c>
      <c r="B82" s="121" t="n">
        <v>3.0314</v>
      </c>
      <c r="D82" s="123"/>
      <c r="G82" s="124"/>
      <c r="H82" s="124"/>
    </row>
    <row r="83" customFormat="false" ht="14.25" hidden="false" customHeight="true" outlineLevel="0" collapsed="false">
      <c r="A83" s="53" t="s">
        <v>257</v>
      </c>
      <c r="B83" s="121" t="n">
        <v>3.066</v>
      </c>
      <c r="D83" s="123"/>
      <c r="G83" s="124"/>
      <c r="H83" s="124"/>
    </row>
    <row r="84" customFormat="false" ht="14.25" hidden="false" customHeight="true" outlineLevel="0" collapsed="false">
      <c r="A84" s="53" t="s">
        <v>261</v>
      </c>
      <c r="B84" s="121" t="n">
        <v>3.1018</v>
      </c>
      <c r="D84" s="123"/>
      <c r="G84" s="124"/>
      <c r="H84" s="124"/>
    </row>
    <row r="85" customFormat="false" ht="14.25" hidden="false" customHeight="true" outlineLevel="0" collapsed="false">
      <c r="A85" s="53" t="s">
        <v>265</v>
      </c>
      <c r="B85" s="121" t="n">
        <v>3.1388</v>
      </c>
      <c r="D85" s="123"/>
      <c r="G85" s="124"/>
      <c r="H85" s="124"/>
    </row>
    <row r="86" customFormat="false" ht="14.25" hidden="false" customHeight="true" outlineLevel="0" collapsed="false">
      <c r="A86" s="53" t="s">
        <v>269</v>
      </c>
      <c r="B86" s="121" t="n">
        <v>3.177</v>
      </c>
      <c r="D86" s="123"/>
      <c r="G86" s="124"/>
      <c r="H86" s="124"/>
    </row>
    <row r="87" customFormat="false" ht="14.25" hidden="false" customHeight="true" outlineLevel="0" collapsed="false">
      <c r="A87" s="53" t="s">
        <v>273</v>
      </c>
      <c r="B87" s="121" t="n">
        <v>3.2164</v>
      </c>
      <c r="D87" s="123"/>
      <c r="G87" s="124"/>
      <c r="H87" s="124"/>
    </row>
    <row r="88" customFormat="false" ht="14.25" hidden="false" customHeight="true" outlineLevel="0" collapsed="false">
      <c r="A88" s="53" t="s">
        <v>277</v>
      </c>
      <c r="B88" s="121" t="n">
        <v>3.257</v>
      </c>
      <c r="D88" s="123"/>
      <c r="G88" s="124"/>
      <c r="H88" s="124"/>
    </row>
    <row r="89" customFormat="false" ht="14.25" hidden="false" customHeight="true" outlineLevel="0" collapsed="false">
      <c r="A89" s="53" t="s">
        <v>281</v>
      </c>
      <c r="B89" s="121" t="n">
        <v>3.2988</v>
      </c>
      <c r="D89" s="123"/>
      <c r="G89" s="124"/>
      <c r="H89" s="124"/>
    </row>
    <row r="90" customFormat="false" ht="14.25" hidden="false" customHeight="true" outlineLevel="0" collapsed="false">
      <c r="A90" s="53" t="s">
        <v>285</v>
      </c>
      <c r="B90" s="121" t="n">
        <v>3.3418</v>
      </c>
      <c r="D90" s="123"/>
      <c r="G90" s="124"/>
      <c r="H90" s="124"/>
    </row>
    <row r="91" customFormat="false" ht="14.25" hidden="false" customHeight="true" outlineLevel="0" collapsed="false">
      <c r="A91" s="53" t="s">
        <v>289</v>
      </c>
      <c r="B91" s="121" t="n">
        <v>3.386</v>
      </c>
      <c r="D91" s="123"/>
      <c r="G91" s="124"/>
      <c r="H91" s="124"/>
    </row>
    <row r="92" customFormat="false" ht="14.25" hidden="false" customHeight="true" outlineLevel="0" collapsed="false">
      <c r="A92" s="53" t="s">
        <v>293</v>
      </c>
      <c r="B92" s="121" t="n">
        <v>3.4314</v>
      </c>
      <c r="D92" s="123"/>
      <c r="G92" s="124"/>
      <c r="H92" s="124"/>
    </row>
    <row r="93" customFormat="false" ht="14.25" hidden="false" customHeight="true" outlineLevel="0" collapsed="false">
      <c r="A93" s="53" t="s">
        <v>297</v>
      </c>
      <c r="B93" s="121" t="n">
        <v>3.478</v>
      </c>
      <c r="D93" s="123"/>
      <c r="G93" s="124"/>
      <c r="H93" s="124"/>
    </row>
    <row r="94" customFormat="false" ht="14.25" hidden="false" customHeight="true" outlineLevel="0" collapsed="false">
      <c r="A94" s="53" t="s">
        <v>301</v>
      </c>
      <c r="B94" s="121" t="n">
        <v>3.5258</v>
      </c>
      <c r="D94" s="123"/>
      <c r="G94" s="124"/>
      <c r="H94" s="124"/>
    </row>
    <row r="95" customFormat="false" ht="14.25" hidden="false" customHeight="true" outlineLevel="0" collapsed="false">
      <c r="A95" s="53" t="s">
        <v>305</v>
      </c>
      <c r="B95" s="121" t="n">
        <v>3.5748</v>
      </c>
      <c r="D95" s="123"/>
      <c r="G95" s="124"/>
      <c r="H95" s="124"/>
    </row>
    <row r="96" customFormat="false" ht="14.25" hidden="false" customHeight="true" outlineLevel="0" collapsed="false">
      <c r="A96" s="53" t="s">
        <v>309</v>
      </c>
      <c r="B96" s="121" t="n">
        <v>3.625</v>
      </c>
      <c r="D96" s="123"/>
      <c r="G96" s="124"/>
      <c r="H96" s="124"/>
    </row>
    <row r="97" customFormat="false" ht="14.25" hidden="false" customHeight="true" outlineLevel="0" collapsed="false">
      <c r="A97" s="53" t="s">
        <v>313</v>
      </c>
      <c r="B97" s="121" t="n">
        <v>3.6764</v>
      </c>
      <c r="D97" s="123"/>
      <c r="G97" s="124"/>
      <c r="H97" s="124"/>
    </row>
    <row r="98" customFormat="false" ht="14.25" hidden="false" customHeight="true" outlineLevel="0" collapsed="false">
      <c r="A98" s="53" t="s">
        <v>317</v>
      </c>
      <c r="B98" s="121" t="n">
        <v>3.729</v>
      </c>
      <c r="D98" s="123"/>
      <c r="G98" s="124"/>
      <c r="H98" s="124"/>
    </row>
    <row r="99" customFormat="false" ht="14.25" hidden="false" customHeight="true" outlineLevel="0" collapsed="false">
      <c r="A99" s="53" t="s">
        <v>321</v>
      </c>
      <c r="B99" s="121" t="n">
        <v>3.7828</v>
      </c>
      <c r="D99" s="123"/>
      <c r="G99" s="124"/>
      <c r="H99" s="124"/>
    </row>
    <row r="100" customFormat="false" ht="14.25" hidden="false" customHeight="true" outlineLevel="0" collapsed="false">
      <c r="A100" s="53" t="s">
        <v>324</v>
      </c>
      <c r="B100" s="121" t="n">
        <v>3.8378</v>
      </c>
      <c r="D100" s="123"/>
      <c r="G100" s="124"/>
      <c r="H100" s="124"/>
    </row>
    <row r="101" customFormat="false" ht="14.25" hidden="false" customHeight="true" outlineLevel="0" collapsed="false">
      <c r="A101" s="53" t="s">
        <v>327</v>
      </c>
      <c r="B101" s="121" t="n">
        <v>3.894</v>
      </c>
      <c r="D101" s="123"/>
      <c r="G101" s="124"/>
      <c r="H101" s="124"/>
    </row>
    <row r="102" customFormat="false" ht="14.25" hidden="false" customHeight="true" outlineLevel="0" collapsed="false">
      <c r="A102" s="53" t="s">
        <v>330</v>
      </c>
      <c r="B102" s="121" t="n">
        <v>3.9514</v>
      </c>
      <c r="D102" s="123"/>
      <c r="G102" s="124"/>
      <c r="H102" s="124"/>
    </row>
    <row r="103" customFormat="false" ht="14.25" hidden="false" customHeight="true" outlineLevel="0" collapsed="false">
      <c r="A103" s="53" t="s">
        <v>333</v>
      </c>
      <c r="B103" s="121" t="n">
        <v>4</v>
      </c>
      <c r="D103" s="123"/>
      <c r="G103" s="124"/>
      <c r="H103" s="124"/>
    </row>
    <row r="104" customFormat="false" ht="14.25" hidden="false" customHeight="true" outlineLevel="0" collapsed="false">
      <c r="A104" s="53" t="s">
        <v>336</v>
      </c>
      <c r="B104" s="121" t="n">
        <v>4</v>
      </c>
      <c r="D104" s="123"/>
      <c r="G104" s="124"/>
      <c r="H104" s="124"/>
    </row>
    <row r="105" customFormat="false" ht="14.25" hidden="false" customHeight="true" outlineLevel="0" collapsed="false">
      <c r="A105" s="53" t="s">
        <v>339</v>
      </c>
      <c r="B105" s="121" t="n">
        <v>4</v>
      </c>
      <c r="D105" s="123"/>
      <c r="G105" s="124"/>
      <c r="H105" s="124"/>
    </row>
    <row r="106" customFormat="false" ht="14.25" hidden="false" customHeight="true" outlineLevel="0" collapsed="false">
      <c r="A106" s="53" t="s">
        <v>342</v>
      </c>
      <c r="B106" s="121" t="n">
        <v>4</v>
      </c>
      <c r="D106" s="123"/>
      <c r="G106" s="124"/>
      <c r="H106" s="124"/>
    </row>
    <row r="107" customFormat="false" ht="14.25" hidden="false" customHeight="true" outlineLevel="0" collapsed="false">
      <c r="A107" s="53" t="s">
        <v>345</v>
      </c>
      <c r="B107" s="121" t="n">
        <v>4</v>
      </c>
      <c r="D107" s="123"/>
      <c r="G107" s="124"/>
      <c r="H107" s="124"/>
    </row>
    <row r="108" customFormat="false" ht="14.25" hidden="false" customHeight="true" outlineLevel="0" collapsed="false">
      <c r="A108" s="53" t="s">
        <v>348</v>
      </c>
      <c r="B108" s="121" t="n">
        <v>4</v>
      </c>
      <c r="D108" s="123"/>
      <c r="G108" s="124"/>
      <c r="H108" s="124"/>
    </row>
    <row r="109" customFormat="false" ht="14.25" hidden="false" customHeight="true" outlineLevel="0" collapsed="false">
      <c r="A109" s="53" t="s">
        <v>351</v>
      </c>
      <c r="B109" s="121" t="n">
        <v>4</v>
      </c>
      <c r="D109" s="123"/>
      <c r="G109" s="124"/>
      <c r="H109" s="124"/>
    </row>
    <row r="110" customFormat="false" ht="14.25" hidden="false" customHeight="true" outlineLevel="0" collapsed="false">
      <c r="A110" s="53" t="s">
        <v>354</v>
      </c>
      <c r="B110" s="121" t="n">
        <v>4</v>
      </c>
      <c r="D110" s="123"/>
      <c r="G110" s="124"/>
      <c r="H110" s="124"/>
    </row>
    <row r="111" customFormat="false" ht="14.25" hidden="false" customHeight="true" outlineLevel="0" collapsed="false">
      <c r="A111" s="53" t="s">
        <v>357</v>
      </c>
      <c r="B111" s="121" t="n">
        <v>4</v>
      </c>
      <c r="D111" s="123"/>
      <c r="G111" s="124"/>
      <c r="H111" s="124"/>
    </row>
    <row r="112" customFormat="false" ht="14.25" hidden="false" customHeight="true" outlineLevel="0" collapsed="false">
      <c r="A112" s="53" t="s">
        <v>360</v>
      </c>
      <c r="B112" s="121" t="n">
        <v>4</v>
      </c>
      <c r="D112" s="123"/>
      <c r="G112" s="124"/>
      <c r="H112" s="124"/>
    </row>
    <row r="113" customFormat="false" ht="14.25" hidden="false" customHeight="true" outlineLevel="0" collapsed="false">
      <c r="A113" s="53" t="s">
        <v>363</v>
      </c>
      <c r="B113" s="121" t="n">
        <v>4</v>
      </c>
      <c r="D113" s="123"/>
      <c r="G113" s="124"/>
      <c r="H113" s="124"/>
    </row>
    <row r="114" customFormat="false" ht="14.25" hidden="false" customHeight="true" outlineLevel="0" collapsed="false">
      <c r="A114" s="53" t="s">
        <v>366</v>
      </c>
      <c r="B114" s="121" t="n">
        <v>4</v>
      </c>
      <c r="D114" s="123"/>
      <c r="G114" s="124"/>
      <c r="H114" s="124"/>
    </row>
    <row r="115" customFormat="false" ht="14.25" hidden="false" customHeight="true" outlineLevel="0" collapsed="false">
      <c r="A115" s="53" t="s">
        <v>369</v>
      </c>
      <c r="B115" s="121" t="n">
        <v>4</v>
      </c>
      <c r="D115" s="123"/>
      <c r="G115" s="124"/>
      <c r="H115" s="124"/>
    </row>
    <row r="116" customFormat="false" ht="14.25" hidden="false" customHeight="true" outlineLevel="0" collapsed="false">
      <c r="A116" s="53" t="s">
        <v>372</v>
      </c>
      <c r="B116" s="121" t="n">
        <v>4</v>
      </c>
      <c r="D116" s="123"/>
      <c r="G116" s="124"/>
      <c r="H116" s="124"/>
    </row>
    <row r="117" customFormat="false" ht="14.25" hidden="false" customHeight="true" outlineLevel="0" collapsed="false">
      <c r="A117" s="53" t="s">
        <v>375</v>
      </c>
      <c r="B117" s="121" t="n">
        <v>4</v>
      </c>
      <c r="D117" s="123"/>
      <c r="G117" s="124"/>
      <c r="H117" s="124"/>
    </row>
    <row r="118" customFormat="false" ht="14.25" hidden="false" customHeight="true" outlineLevel="0" collapsed="false">
      <c r="A118" s="53" t="s">
        <v>378</v>
      </c>
      <c r="B118" s="121" t="n">
        <v>4</v>
      </c>
      <c r="D118" s="123"/>
      <c r="G118" s="124"/>
      <c r="H118" s="124"/>
    </row>
    <row r="119" customFormat="false" ht="14.25" hidden="false" customHeight="true" outlineLevel="0" collapsed="false">
      <c r="A119" s="53" t="s">
        <v>381</v>
      </c>
      <c r="B119" s="121" t="n">
        <v>4</v>
      </c>
      <c r="D119" s="123"/>
      <c r="G119" s="124"/>
      <c r="H119" s="124"/>
    </row>
    <row r="120" customFormat="false" ht="14.25" hidden="false" customHeight="true" outlineLevel="0" collapsed="false">
      <c r="A120" s="53" t="s">
        <v>384</v>
      </c>
      <c r="B120" s="121" t="n">
        <v>4</v>
      </c>
      <c r="D120" s="123"/>
      <c r="G120" s="124"/>
      <c r="H120" s="124"/>
    </row>
    <row r="121" customFormat="false" ht="14.25" hidden="false" customHeight="true" outlineLevel="0" collapsed="false">
      <c r="A121" s="53" t="s">
        <v>387</v>
      </c>
      <c r="B121" s="121" t="n">
        <v>4</v>
      </c>
      <c r="D121" s="123"/>
      <c r="G121" s="124"/>
      <c r="H121" s="124"/>
    </row>
    <row r="122" customFormat="false" ht="14.25" hidden="false" customHeight="true" outlineLevel="0" collapsed="false">
      <c r="A122" s="53" t="s">
        <v>390</v>
      </c>
      <c r="B122" s="121" t="n">
        <v>4</v>
      </c>
      <c r="D122" s="123"/>
      <c r="G122" s="124"/>
      <c r="H122" s="124"/>
    </row>
    <row r="123" customFormat="false" ht="14.25" hidden="false" customHeight="true" outlineLevel="0" collapsed="false">
      <c r="A123" s="53" t="s">
        <v>393</v>
      </c>
      <c r="B123" s="121" t="n">
        <v>4</v>
      </c>
      <c r="D123" s="123"/>
      <c r="G123" s="124"/>
      <c r="H123" s="124"/>
    </row>
    <row r="124" customFormat="false" ht="14.25" hidden="false" customHeight="true" outlineLevel="0" collapsed="false">
      <c r="A124" s="53" t="s">
        <v>396</v>
      </c>
      <c r="B124" s="121" t="n">
        <v>4</v>
      </c>
      <c r="D124" s="123"/>
      <c r="G124" s="124"/>
      <c r="H124" s="124"/>
    </row>
    <row r="125" customFormat="false" ht="14.25" hidden="false" customHeight="true" outlineLevel="0" collapsed="false">
      <c r="A125" s="53" t="s">
        <v>399</v>
      </c>
      <c r="B125" s="121" t="n">
        <v>4</v>
      </c>
      <c r="D125" s="123"/>
      <c r="G125" s="124"/>
      <c r="H125" s="124"/>
    </row>
    <row r="126" customFormat="false" ht="14.25" hidden="false" customHeight="true" outlineLevel="0" collapsed="false">
      <c r="A126" s="53" t="s">
        <v>402</v>
      </c>
      <c r="B126" s="121" t="n">
        <v>4</v>
      </c>
      <c r="D126" s="123"/>
      <c r="G126" s="124"/>
      <c r="H126" s="124"/>
    </row>
    <row r="127" customFormat="false" ht="14.25" hidden="false" customHeight="true" outlineLevel="0" collapsed="false">
      <c r="A127" s="53" t="s">
        <v>405</v>
      </c>
      <c r="B127" s="121" t="n">
        <v>4</v>
      </c>
      <c r="D127" s="123"/>
      <c r="G127" s="124"/>
      <c r="H127" s="124"/>
    </row>
    <row r="128" customFormat="false" ht="14.25" hidden="false" customHeight="true" outlineLevel="0" collapsed="false">
      <c r="A128" s="53" t="s">
        <v>408</v>
      </c>
      <c r="B128" s="121" t="n">
        <v>4</v>
      </c>
      <c r="D128" s="123"/>
      <c r="G128" s="124"/>
      <c r="H128" s="124"/>
    </row>
    <row r="129" customFormat="false" ht="14.25" hidden="false" customHeight="true" outlineLevel="0" collapsed="false">
      <c r="A129" s="53" t="s">
        <v>411</v>
      </c>
      <c r="B129" s="121" t="n">
        <v>4</v>
      </c>
      <c r="D129" s="123"/>
      <c r="G129" s="124"/>
      <c r="H129" s="124"/>
    </row>
    <row r="130" customFormat="false" ht="14.25" hidden="false" customHeight="true" outlineLevel="0" collapsed="false">
      <c r="A130" s="53" t="s">
        <v>414</v>
      </c>
      <c r="B130" s="121" t="n">
        <v>4</v>
      </c>
      <c r="D130" s="123"/>
      <c r="G130" s="124"/>
      <c r="H130" s="124"/>
    </row>
    <row r="131" customFormat="false" ht="14.25" hidden="false" customHeight="true" outlineLevel="0" collapsed="false">
      <c r="A131" s="53" t="s">
        <v>417</v>
      </c>
      <c r="B131" s="121" t="n">
        <v>4</v>
      </c>
      <c r="D131" s="123"/>
      <c r="G131" s="124"/>
      <c r="H131" s="124"/>
    </row>
    <row r="132" customFormat="false" ht="14.25" hidden="false" customHeight="true" outlineLevel="0" collapsed="false">
      <c r="A132" s="53" t="s">
        <v>420</v>
      </c>
      <c r="B132" s="121" t="n">
        <f aca="false">B131</f>
        <v>4</v>
      </c>
      <c r="D132" s="123"/>
      <c r="G132" s="124"/>
      <c r="H132" s="124"/>
    </row>
    <row r="133" customFormat="false" ht="14.25" hidden="false" customHeight="true" outlineLevel="0" collapsed="false">
      <c r="A133" s="53" t="s">
        <v>423</v>
      </c>
      <c r="B133" s="121" t="n">
        <f aca="false">B132</f>
        <v>4</v>
      </c>
      <c r="D133" s="123"/>
      <c r="G133" s="124"/>
      <c r="H133" s="124"/>
    </row>
    <row r="134" customFormat="false" ht="14.25" hidden="false" customHeight="true" outlineLevel="0" collapsed="false">
      <c r="A134" s="53" t="s">
        <v>426</v>
      </c>
      <c r="B134" s="121" t="n">
        <f aca="false">B133</f>
        <v>4</v>
      </c>
      <c r="D134" s="123"/>
      <c r="G134" s="124"/>
      <c r="H134" s="124"/>
    </row>
    <row r="135" customFormat="false" ht="14.25" hidden="false" customHeight="true" outlineLevel="0" collapsed="false">
      <c r="A135" s="53" t="s">
        <v>429</v>
      </c>
      <c r="B135" s="121" t="n">
        <f aca="false">B134</f>
        <v>4</v>
      </c>
      <c r="D135" s="123"/>
      <c r="G135" s="124"/>
      <c r="H135" s="124"/>
    </row>
    <row r="136" customFormat="false" ht="14.25" hidden="false" customHeight="true" outlineLevel="0" collapsed="false">
      <c r="A136" s="53" t="s">
        <v>432</v>
      </c>
      <c r="B136" s="121" t="n">
        <f aca="false">B135</f>
        <v>4</v>
      </c>
      <c r="D136" s="123"/>
      <c r="G136" s="124"/>
      <c r="H136" s="124"/>
    </row>
    <row r="137" customFormat="false" ht="14.25" hidden="false" customHeight="true" outlineLevel="0" collapsed="false">
      <c r="A137" s="53" t="s">
        <v>435</v>
      </c>
      <c r="B137" s="121" t="n">
        <f aca="false">B136</f>
        <v>4</v>
      </c>
      <c r="D137" s="123"/>
      <c r="G137" s="124"/>
      <c r="H137" s="124"/>
    </row>
    <row r="138" customFormat="false" ht="14.25" hidden="false" customHeight="true" outlineLevel="0" collapsed="false">
      <c r="A138" s="53" t="s">
        <v>438</v>
      </c>
      <c r="B138" s="121" t="n">
        <f aca="false">B137</f>
        <v>4</v>
      </c>
      <c r="D138" s="123"/>
      <c r="G138" s="124"/>
      <c r="H138" s="124"/>
    </row>
    <row r="139" customFormat="false" ht="14.25" hidden="false" customHeight="true" outlineLevel="0" collapsed="false">
      <c r="A139" s="53" t="s">
        <v>441</v>
      </c>
      <c r="B139" s="121" t="n">
        <f aca="false">B138</f>
        <v>4</v>
      </c>
      <c r="D139" s="123"/>
      <c r="G139" s="124"/>
      <c r="H139" s="124"/>
    </row>
    <row r="140" customFormat="false" ht="14.25" hidden="false" customHeight="true" outlineLevel="0" collapsed="false">
      <c r="A140" s="53" t="s">
        <v>444</v>
      </c>
      <c r="B140" s="121" t="n">
        <f aca="false">B139</f>
        <v>4</v>
      </c>
      <c r="D140" s="123"/>
      <c r="G140" s="124"/>
      <c r="H140" s="124"/>
    </row>
    <row r="141" customFormat="false" ht="14.25" hidden="false" customHeight="true" outlineLevel="0" collapsed="false">
      <c r="A141" s="53" t="s">
        <v>447</v>
      </c>
      <c r="B141" s="121" t="n">
        <f aca="false">B140</f>
        <v>4</v>
      </c>
      <c r="D141" s="123"/>
      <c r="G141" s="124"/>
      <c r="H141" s="124"/>
    </row>
    <row r="142" customFormat="false" ht="14.25" hidden="false" customHeight="true" outlineLevel="0" collapsed="false">
      <c r="A142" s="53" t="s">
        <v>450</v>
      </c>
      <c r="B142" s="121" t="n">
        <f aca="false">B141</f>
        <v>4</v>
      </c>
      <c r="D142" s="123"/>
      <c r="G142" s="124"/>
      <c r="H142" s="124"/>
    </row>
    <row r="143" customFormat="false" ht="14.25" hidden="false" customHeight="true" outlineLevel="0" collapsed="false">
      <c r="A143" s="53" t="s">
        <v>453</v>
      </c>
      <c r="B143" s="121" t="n">
        <f aca="false">B142</f>
        <v>4</v>
      </c>
      <c r="D143" s="123"/>
      <c r="G143" s="124"/>
      <c r="H143" s="124"/>
    </row>
    <row r="144" customFormat="false" ht="14.25" hidden="false" customHeight="true" outlineLevel="0" collapsed="false">
      <c r="A144" s="53" t="s">
        <v>456</v>
      </c>
      <c r="B144" s="121" t="n">
        <f aca="false">B143</f>
        <v>4</v>
      </c>
      <c r="D144" s="123"/>
      <c r="G144" s="124"/>
      <c r="H144" s="124"/>
    </row>
    <row r="145" customFormat="false" ht="14.25" hidden="false" customHeight="true" outlineLevel="0" collapsed="false">
      <c r="A145" s="53" t="s">
        <v>459</v>
      </c>
      <c r="B145" s="121" t="n">
        <f aca="false">B144</f>
        <v>4</v>
      </c>
      <c r="D145" s="123"/>
      <c r="G145" s="124"/>
      <c r="H145" s="124"/>
    </row>
    <row r="146" customFormat="false" ht="14.25" hidden="false" customHeight="true" outlineLevel="0" collapsed="false">
      <c r="A146" s="53" t="s">
        <v>462</v>
      </c>
      <c r="B146" s="121" t="n">
        <f aca="false">B145</f>
        <v>4</v>
      </c>
      <c r="D146" s="123"/>
      <c r="G146" s="124"/>
      <c r="H146" s="124"/>
    </row>
    <row r="147" customFormat="false" ht="14.25" hidden="false" customHeight="true" outlineLevel="0" collapsed="false">
      <c r="A147" s="53" t="s">
        <v>465</v>
      </c>
      <c r="B147" s="121" t="n">
        <f aca="false">B146</f>
        <v>4</v>
      </c>
      <c r="D147" s="123"/>
      <c r="G147" s="124"/>
      <c r="H147" s="124"/>
    </row>
    <row r="148" customFormat="false" ht="14.25" hidden="false" customHeight="true" outlineLevel="0" collapsed="false">
      <c r="A148" s="53" t="s">
        <v>468</v>
      </c>
      <c r="B148" s="121" t="n">
        <f aca="false">B147</f>
        <v>4</v>
      </c>
      <c r="D148" s="123"/>
      <c r="G148" s="124"/>
      <c r="H148" s="124"/>
    </row>
    <row r="149" customFormat="false" ht="14.25" hidden="false" customHeight="true" outlineLevel="0" collapsed="false">
      <c r="A149" s="53" t="s">
        <v>471</v>
      </c>
      <c r="B149" s="121" t="n">
        <f aca="false">B148</f>
        <v>4</v>
      </c>
      <c r="D149" s="123"/>
      <c r="G149" s="124"/>
      <c r="H149" s="124"/>
    </row>
    <row r="150" customFormat="false" ht="14.25" hidden="false" customHeight="true" outlineLevel="0" collapsed="false">
      <c r="A150" s="53" t="s">
        <v>474</v>
      </c>
      <c r="B150" s="121" t="n">
        <f aca="false">B149</f>
        <v>4</v>
      </c>
      <c r="D150" s="123"/>
      <c r="G150" s="124"/>
      <c r="H150" s="124"/>
    </row>
    <row r="151" customFormat="false" ht="14.25" hidden="false" customHeight="true" outlineLevel="0" collapsed="false">
      <c r="A151" s="53" t="s">
        <v>477</v>
      </c>
      <c r="B151" s="121" t="n">
        <f aca="false">B150</f>
        <v>4</v>
      </c>
      <c r="D151" s="123"/>
      <c r="G151" s="124"/>
      <c r="H151" s="124"/>
    </row>
    <row r="152" customFormat="false" ht="14.25" hidden="false" customHeight="true" outlineLevel="0" collapsed="false">
      <c r="A152" s="53" t="s">
        <v>1144</v>
      </c>
      <c r="B152" s="121" t="n">
        <f aca="false">B151</f>
        <v>4</v>
      </c>
      <c r="D152" s="123"/>
      <c r="G152" s="124"/>
      <c r="H152" s="124"/>
    </row>
    <row r="153" customFormat="false" ht="14.25" hidden="false" customHeight="true" outlineLevel="0" collapsed="false">
      <c r="A153" s="53" t="s">
        <v>1148</v>
      </c>
      <c r="B153" s="121" t="n">
        <f aca="false">B152</f>
        <v>4</v>
      </c>
      <c r="D153" s="123"/>
      <c r="G153" s="124"/>
      <c r="H153" s="124"/>
    </row>
    <row r="154" customFormat="false" ht="14.25" hidden="false" customHeight="true" outlineLevel="0" collapsed="false">
      <c r="A154" s="53" t="s">
        <v>1160</v>
      </c>
      <c r="B154" s="121" t="n">
        <f aca="false">B153</f>
        <v>4</v>
      </c>
      <c r="D154" s="123"/>
      <c r="G154" s="124"/>
      <c r="H154" s="124"/>
    </row>
    <row r="155" customFormat="false" ht="14.25" hidden="false" customHeight="true" outlineLevel="0" collapsed="false">
      <c r="A155" s="53" t="s">
        <v>1161</v>
      </c>
      <c r="B155" s="121" t="n">
        <f aca="false">B154</f>
        <v>4</v>
      </c>
      <c r="D155" s="123"/>
      <c r="G155" s="124"/>
      <c r="H155" s="124"/>
    </row>
    <row r="156" customFormat="false" ht="14.25" hidden="false" customHeight="true" outlineLevel="0" collapsed="false">
      <c r="A156" s="53" t="s">
        <v>1172</v>
      </c>
      <c r="B156" s="121" t="n">
        <f aca="false">B155</f>
        <v>4</v>
      </c>
      <c r="D156" s="123"/>
      <c r="G156" s="124"/>
      <c r="H156" s="124"/>
    </row>
    <row r="157" customFormat="false" ht="14.25" hidden="false" customHeight="true" outlineLevel="0" collapsed="false">
      <c r="A157" s="53" t="s">
        <v>1177</v>
      </c>
      <c r="B157" s="121" t="n">
        <f aca="false">B156</f>
        <v>4</v>
      </c>
      <c r="D157" s="123"/>
      <c r="G157" s="124"/>
      <c r="H157" s="124"/>
    </row>
    <row r="158" customFormat="false" ht="14.25" hidden="false" customHeight="true" outlineLevel="0" collapsed="false">
      <c r="A158" s="53" t="s">
        <v>1186</v>
      </c>
      <c r="B158" s="121" t="n">
        <f aca="false">B157</f>
        <v>4</v>
      </c>
      <c r="D158" s="123"/>
      <c r="G158" s="124"/>
      <c r="H158" s="124"/>
    </row>
    <row r="159" customFormat="false" ht="14.25" hidden="false" customHeight="true" outlineLevel="0" collapsed="false">
      <c r="A159" s="53" t="s">
        <v>1188</v>
      </c>
      <c r="B159" s="121" t="n">
        <f aca="false">B158</f>
        <v>4</v>
      </c>
      <c r="D159" s="123"/>
      <c r="G159" s="124"/>
      <c r="H159" s="124"/>
    </row>
    <row r="160" customFormat="false" ht="14.25" hidden="false" customHeight="true" outlineLevel="0" collapsed="false">
      <c r="A160" s="53" t="s">
        <v>1191</v>
      </c>
      <c r="B160" s="121" t="n">
        <f aca="false">B159</f>
        <v>4</v>
      </c>
      <c r="D160" s="123"/>
      <c r="G160" s="124"/>
      <c r="H160" s="124"/>
    </row>
    <row r="161" customFormat="false" ht="14.25" hidden="false" customHeight="true" outlineLevel="0" collapsed="false">
      <c r="A161" s="53" t="s">
        <v>1198</v>
      </c>
      <c r="B161" s="121" t="n">
        <f aca="false">B160</f>
        <v>4</v>
      </c>
      <c r="D161" s="123"/>
      <c r="G161" s="124"/>
      <c r="H161" s="124"/>
    </row>
    <row r="162" customFormat="false" ht="14.25" hidden="false" customHeight="true" outlineLevel="0" collapsed="false">
      <c r="A162" s="53" t="s">
        <v>1199</v>
      </c>
      <c r="B162" s="121" t="n">
        <f aca="false">B161</f>
        <v>4</v>
      </c>
      <c r="D162" s="123"/>
      <c r="G162" s="124"/>
      <c r="H162" s="124"/>
    </row>
    <row r="163" customFormat="false" ht="14.25" hidden="false" customHeight="true" outlineLevel="0" collapsed="false">
      <c r="A163" s="53" t="s">
        <v>1200</v>
      </c>
      <c r="B163" s="121" t="n">
        <f aca="false">B162</f>
        <v>4</v>
      </c>
      <c r="D163" s="123"/>
      <c r="G163" s="124"/>
      <c r="H163" s="124"/>
    </row>
    <row r="164" customFormat="false" ht="14.25" hidden="false" customHeight="true" outlineLevel="0" collapsed="false">
      <c r="A164" s="53" t="s">
        <v>1203</v>
      </c>
      <c r="B164" s="121" t="n">
        <f aca="false">B163</f>
        <v>4</v>
      </c>
      <c r="D164" s="123"/>
      <c r="G164" s="124"/>
      <c r="H164" s="124"/>
    </row>
    <row r="165" customFormat="false" ht="14.25" hidden="false" customHeight="true" outlineLevel="0" collapsed="false">
      <c r="A165" s="53" t="s">
        <v>1211</v>
      </c>
      <c r="B165" s="121" t="n">
        <f aca="false">B164</f>
        <v>4</v>
      </c>
      <c r="D165" s="123"/>
      <c r="G165" s="124"/>
      <c r="H165" s="124"/>
    </row>
    <row r="166" customFormat="false" ht="14.25" hidden="false" customHeight="true" outlineLevel="0" collapsed="false">
      <c r="A166" s="53" t="s">
        <v>1214</v>
      </c>
      <c r="B166" s="121" t="n">
        <f aca="false">B165</f>
        <v>4</v>
      </c>
      <c r="D166" s="123"/>
      <c r="G166" s="124"/>
      <c r="H166" s="124"/>
    </row>
    <row r="167" customFormat="false" ht="14.25" hidden="false" customHeight="true" outlineLevel="0" collapsed="false">
      <c r="A167" s="53" t="s">
        <v>1218</v>
      </c>
      <c r="B167" s="121" t="n">
        <f aca="false">B166</f>
        <v>4</v>
      </c>
      <c r="D167" s="123"/>
      <c r="G167" s="124"/>
      <c r="H167" s="124"/>
    </row>
    <row r="168" customFormat="false" ht="14.25" hidden="false" customHeight="true" outlineLevel="0" collapsed="false">
      <c r="A168" s="53" t="s">
        <v>1221</v>
      </c>
      <c r="B168" s="121" t="n">
        <f aca="false">B167</f>
        <v>4</v>
      </c>
      <c r="D168" s="123"/>
      <c r="G168" s="124"/>
      <c r="H168" s="124"/>
    </row>
    <row r="169" customFormat="false" ht="14.25" hidden="false" customHeight="true" outlineLevel="0" collapsed="false">
      <c r="A169" s="53" t="s">
        <v>1224</v>
      </c>
      <c r="B169" s="121" t="n">
        <f aca="false">B168</f>
        <v>4</v>
      </c>
      <c r="D169" s="123"/>
      <c r="G169" s="124"/>
      <c r="H169" s="124"/>
    </row>
    <row r="170" customFormat="false" ht="14.25" hidden="false" customHeight="true" outlineLevel="0" collapsed="false">
      <c r="A170" s="53" t="s">
        <v>1228</v>
      </c>
      <c r="B170" s="121" t="n">
        <f aca="false">B169</f>
        <v>4</v>
      </c>
      <c r="D170" s="123"/>
      <c r="G170" s="124"/>
      <c r="H170" s="124"/>
    </row>
    <row r="171" customFormat="false" ht="14.25" hidden="false" customHeight="true" outlineLevel="0" collapsed="false">
      <c r="A171" s="53" t="s">
        <v>1234</v>
      </c>
      <c r="B171" s="121" t="n">
        <f aca="false">B170</f>
        <v>4</v>
      </c>
      <c r="D171" s="123"/>
      <c r="G171" s="124"/>
      <c r="H171" s="124"/>
    </row>
    <row r="172" customFormat="false" ht="14.25" hidden="false" customHeight="true" outlineLevel="0" collapsed="false">
      <c r="A172" s="53" t="s">
        <v>134</v>
      </c>
      <c r="B172" s="121" t="n">
        <v>1.8321</v>
      </c>
      <c r="D172" s="123"/>
      <c r="G172" s="124"/>
      <c r="H172" s="124"/>
    </row>
    <row r="173" customFormat="false" ht="14.25" hidden="false" customHeight="true" outlineLevel="0" collapsed="false">
      <c r="A173" s="53" t="s">
        <v>138</v>
      </c>
      <c r="B173" s="121" t="n">
        <v>1.8986</v>
      </c>
      <c r="D173" s="123"/>
      <c r="G173" s="124"/>
      <c r="H173" s="124"/>
    </row>
    <row r="174" customFormat="false" ht="14.25" hidden="false" customHeight="true" outlineLevel="0" collapsed="false">
      <c r="A174" s="53" t="s">
        <v>142</v>
      </c>
      <c r="B174" s="121" t="n">
        <v>1.9645</v>
      </c>
      <c r="D174" s="123"/>
      <c r="G174" s="124"/>
      <c r="H174" s="124"/>
    </row>
    <row r="175" customFormat="false" ht="14.25" hidden="false" customHeight="true" outlineLevel="0" collapsed="false">
      <c r="A175" s="53" t="s">
        <v>146</v>
      </c>
      <c r="B175" s="121" t="n">
        <v>2.0298</v>
      </c>
      <c r="D175" s="123"/>
      <c r="G175" s="124"/>
      <c r="H175" s="124"/>
    </row>
    <row r="176" customFormat="false" ht="14.25" hidden="false" customHeight="true" outlineLevel="0" collapsed="false">
      <c r="A176" s="53" t="s">
        <v>150</v>
      </c>
      <c r="B176" s="121" t="n">
        <v>2.0945</v>
      </c>
      <c r="D176" s="123"/>
      <c r="G176" s="124"/>
      <c r="H176" s="124"/>
    </row>
    <row r="177" customFormat="false" ht="14.25" hidden="false" customHeight="true" outlineLevel="0" collapsed="false">
      <c r="A177" s="53" t="s">
        <v>154</v>
      </c>
      <c r="B177" s="121" t="n">
        <v>2.1586</v>
      </c>
      <c r="D177" s="123"/>
      <c r="G177" s="124"/>
      <c r="H177" s="124"/>
    </row>
    <row r="178" customFormat="false" ht="14.25" hidden="false" customHeight="true" outlineLevel="0" collapsed="false">
      <c r="A178" s="53" t="s">
        <v>158</v>
      </c>
      <c r="B178" s="121" t="n">
        <v>2.2221</v>
      </c>
      <c r="D178" s="123"/>
      <c r="G178" s="124"/>
      <c r="H178" s="124"/>
    </row>
    <row r="179" customFormat="false" ht="14.25" hidden="false" customHeight="true" outlineLevel="0" collapsed="false">
      <c r="A179" s="53" t="s">
        <v>162</v>
      </c>
      <c r="B179" s="121" t="n">
        <v>2.285</v>
      </c>
      <c r="D179" s="123"/>
      <c r="G179" s="124"/>
      <c r="H179" s="124"/>
    </row>
    <row r="180" customFormat="false" ht="14.25" hidden="false" customHeight="true" outlineLevel="0" collapsed="false">
      <c r="A180" s="53" t="s">
        <v>166</v>
      </c>
      <c r="B180" s="121" t="n">
        <v>2.3473</v>
      </c>
      <c r="D180" s="123"/>
      <c r="G180" s="124"/>
      <c r="H180" s="124"/>
    </row>
    <row r="181" customFormat="false" ht="14.25" hidden="false" customHeight="true" outlineLevel="0" collapsed="false">
      <c r="A181" s="53" t="s">
        <v>170</v>
      </c>
      <c r="B181" s="121" t="n">
        <v>2.409</v>
      </c>
      <c r="D181" s="123"/>
      <c r="G181" s="124"/>
      <c r="H181" s="124"/>
    </row>
    <row r="182" customFormat="false" ht="14.25" hidden="false" customHeight="true" outlineLevel="0" collapsed="false">
      <c r="A182" s="53" t="s">
        <v>174</v>
      </c>
      <c r="B182" s="121" t="n">
        <v>2.4701</v>
      </c>
      <c r="D182" s="123"/>
      <c r="G182" s="124"/>
      <c r="H182" s="124"/>
    </row>
    <row r="183" customFormat="false" ht="14.25" hidden="false" customHeight="true" outlineLevel="0" collapsed="false">
      <c r="A183" s="53" t="s">
        <v>178</v>
      </c>
      <c r="B183" s="121" t="n">
        <v>2.5306</v>
      </c>
      <c r="D183" s="123"/>
      <c r="G183" s="124"/>
      <c r="H183" s="124"/>
    </row>
    <row r="184" customFormat="false" ht="14.25" hidden="false" customHeight="true" outlineLevel="0" collapsed="false">
      <c r="A184" s="53" t="s">
        <v>182</v>
      </c>
      <c r="B184" s="121" t="n">
        <v>2.5905</v>
      </c>
      <c r="D184" s="123"/>
      <c r="G184" s="124"/>
      <c r="H184" s="124"/>
    </row>
    <row r="185" customFormat="false" ht="14.25" hidden="false" customHeight="true" outlineLevel="0" collapsed="false">
      <c r="A185" s="53" t="s">
        <v>186</v>
      </c>
      <c r="B185" s="121" t="n">
        <v>2.6498</v>
      </c>
      <c r="D185" s="123"/>
      <c r="G185" s="124"/>
      <c r="H185" s="124"/>
    </row>
    <row r="186" customFormat="false" ht="14.25" hidden="false" customHeight="true" outlineLevel="0" collapsed="false">
      <c r="A186" s="53" t="s">
        <v>190</v>
      </c>
      <c r="B186" s="121" t="n">
        <v>2.7085</v>
      </c>
      <c r="D186" s="123"/>
      <c r="G186" s="124"/>
      <c r="H186" s="124"/>
    </row>
    <row r="187" customFormat="false" ht="14.25" hidden="false" customHeight="true" outlineLevel="0" collapsed="false">
      <c r="A187" s="53" t="s">
        <v>194</v>
      </c>
      <c r="B187" s="121" t="n">
        <v>2.7666</v>
      </c>
      <c r="D187" s="123"/>
      <c r="G187" s="124"/>
      <c r="H187" s="124"/>
    </row>
    <row r="188" customFormat="false" ht="14.25" hidden="false" customHeight="true" outlineLevel="0" collapsed="false">
      <c r="A188" s="53" t="s">
        <v>198</v>
      </c>
      <c r="B188" s="121" t="n">
        <v>2.8241</v>
      </c>
      <c r="D188" s="123"/>
      <c r="G188" s="124"/>
      <c r="H188" s="124"/>
    </row>
    <row r="189" customFormat="false" ht="14.25" hidden="false" customHeight="true" outlineLevel="0" collapsed="false">
      <c r="A189" s="53" t="s">
        <v>202</v>
      </c>
      <c r="B189" s="121" t="n">
        <v>2.881</v>
      </c>
      <c r="D189" s="123"/>
      <c r="G189" s="124"/>
      <c r="H189" s="124"/>
    </row>
    <row r="190" customFormat="false" ht="14.25" hidden="false" customHeight="true" outlineLevel="0" collapsed="false">
      <c r="A190" s="53" t="s">
        <v>206</v>
      </c>
      <c r="B190" s="121" t="n">
        <v>2.9373</v>
      </c>
      <c r="D190" s="123"/>
      <c r="G190" s="124"/>
      <c r="H190" s="124"/>
    </row>
    <row r="191" customFormat="false" ht="14.25" hidden="false" customHeight="true" outlineLevel="0" collapsed="false">
      <c r="A191" s="53" t="s">
        <v>210</v>
      </c>
      <c r="B191" s="121" t="n">
        <v>2.993</v>
      </c>
      <c r="D191" s="123"/>
      <c r="G191" s="124"/>
      <c r="H191" s="124"/>
    </row>
    <row r="192" customFormat="false" ht="14.25" hidden="false" customHeight="true" outlineLevel="0" collapsed="false">
      <c r="A192" s="53" t="s">
        <v>214</v>
      </c>
      <c r="B192" s="121" t="n">
        <v>3.0481</v>
      </c>
      <c r="D192" s="123"/>
      <c r="G192" s="124"/>
      <c r="H192" s="124"/>
    </row>
    <row r="193" customFormat="false" ht="14.25" hidden="false" customHeight="true" outlineLevel="0" collapsed="false">
      <c r="A193" s="53" t="s">
        <v>218</v>
      </c>
      <c r="B193" s="121" t="n">
        <v>3.1026</v>
      </c>
      <c r="D193" s="123"/>
      <c r="G193" s="124"/>
      <c r="H193" s="124"/>
    </row>
    <row r="194" customFormat="false" ht="14.25" hidden="false" customHeight="true" outlineLevel="0" collapsed="false">
      <c r="A194" s="53" t="s">
        <v>222</v>
      </c>
      <c r="B194" s="121" t="n">
        <v>3.1565</v>
      </c>
      <c r="D194" s="123"/>
      <c r="G194" s="124"/>
      <c r="H194" s="124"/>
    </row>
    <row r="195" customFormat="false" ht="14.25" hidden="false" customHeight="true" outlineLevel="0" collapsed="false">
      <c r="A195" s="53" t="s">
        <v>226</v>
      </c>
      <c r="B195" s="121" t="n">
        <v>3.2098</v>
      </c>
      <c r="D195" s="123"/>
      <c r="G195" s="124"/>
      <c r="H195" s="124"/>
    </row>
    <row r="196" customFormat="false" ht="14.25" hidden="false" customHeight="true" outlineLevel="0" collapsed="false">
      <c r="A196" s="53" t="s">
        <v>230</v>
      </c>
      <c r="B196" s="121" t="n">
        <v>3.2625</v>
      </c>
      <c r="D196" s="123"/>
      <c r="G196" s="124"/>
      <c r="H196" s="124"/>
    </row>
    <row r="197" customFormat="false" ht="14.25" hidden="false" customHeight="true" outlineLevel="0" collapsed="false">
      <c r="A197" s="53" t="s">
        <v>234</v>
      </c>
      <c r="B197" s="121" t="n">
        <v>3.3146</v>
      </c>
      <c r="D197" s="123"/>
      <c r="G197" s="124"/>
      <c r="H197" s="124"/>
    </row>
    <row r="198" customFormat="false" ht="14.25" hidden="false" customHeight="true" outlineLevel="0" collapsed="false">
      <c r="A198" s="53" t="s">
        <v>238</v>
      </c>
      <c r="B198" s="121" t="n">
        <v>3.3661</v>
      </c>
      <c r="D198" s="123"/>
      <c r="G198" s="124"/>
      <c r="H198" s="124"/>
    </row>
    <row r="199" customFormat="false" ht="14.25" hidden="false" customHeight="true" outlineLevel="0" collapsed="false">
      <c r="A199" s="53" t="s">
        <v>242</v>
      </c>
      <c r="B199" s="121" t="n">
        <v>3.417</v>
      </c>
      <c r="D199" s="123"/>
      <c r="G199" s="124"/>
      <c r="H199" s="124"/>
    </row>
    <row r="200" customFormat="false" ht="14.25" hidden="false" customHeight="true" outlineLevel="0" collapsed="false">
      <c r="A200" s="53" t="s">
        <v>246</v>
      </c>
      <c r="B200" s="121" t="n">
        <v>3.4673</v>
      </c>
      <c r="D200" s="123"/>
      <c r="G200" s="124"/>
      <c r="H200" s="124"/>
    </row>
    <row r="201" customFormat="false" ht="14.25" hidden="false" customHeight="true" outlineLevel="0" collapsed="false">
      <c r="A201" s="53" t="s">
        <v>250</v>
      </c>
      <c r="B201" s="121" t="n">
        <v>3.517</v>
      </c>
      <c r="D201" s="123"/>
      <c r="G201" s="124"/>
      <c r="H201" s="124"/>
    </row>
    <row r="202" customFormat="false" ht="14.25" hidden="false" customHeight="true" outlineLevel="0" collapsed="false">
      <c r="A202" s="53" t="s">
        <v>254</v>
      </c>
      <c r="B202" s="121" t="n">
        <v>3.5661</v>
      </c>
      <c r="D202" s="123"/>
      <c r="G202" s="124"/>
      <c r="H202" s="124"/>
    </row>
    <row r="203" customFormat="false" ht="14.25" hidden="false" customHeight="true" outlineLevel="0" collapsed="false">
      <c r="A203" s="53" t="s">
        <v>258</v>
      </c>
      <c r="B203" s="121" t="n">
        <v>3.6146</v>
      </c>
      <c r="D203" s="123"/>
      <c r="G203" s="124"/>
      <c r="H203" s="124"/>
    </row>
    <row r="204" customFormat="false" ht="14.25" hidden="false" customHeight="true" outlineLevel="0" collapsed="false">
      <c r="A204" s="53" t="s">
        <v>262</v>
      </c>
      <c r="B204" s="121" t="n">
        <v>3.6625</v>
      </c>
      <c r="D204" s="123"/>
      <c r="G204" s="124"/>
      <c r="H204" s="124"/>
    </row>
    <row r="205" customFormat="false" ht="14.25" hidden="false" customHeight="true" outlineLevel="0" collapsed="false">
      <c r="A205" s="53" t="s">
        <v>266</v>
      </c>
      <c r="B205" s="121" t="n">
        <v>3.7098</v>
      </c>
      <c r="D205" s="123"/>
      <c r="G205" s="124"/>
      <c r="H205" s="124"/>
    </row>
    <row r="206" customFormat="false" ht="14.25" hidden="false" customHeight="true" outlineLevel="0" collapsed="false">
      <c r="A206" s="53" t="s">
        <v>270</v>
      </c>
      <c r="B206" s="121" t="n">
        <v>3.7565</v>
      </c>
      <c r="D206" s="123"/>
      <c r="G206" s="124"/>
      <c r="H206" s="124"/>
    </row>
    <row r="207" customFormat="false" ht="14.25" hidden="false" customHeight="true" outlineLevel="0" collapsed="false">
      <c r="A207" s="53" t="s">
        <v>274</v>
      </c>
      <c r="B207" s="121" t="n">
        <v>3.8026</v>
      </c>
      <c r="D207" s="123"/>
      <c r="G207" s="124"/>
      <c r="H207" s="124"/>
    </row>
    <row r="208" customFormat="false" ht="14.25" hidden="false" customHeight="true" outlineLevel="0" collapsed="false">
      <c r="A208" s="53" t="s">
        <v>278</v>
      </c>
      <c r="B208" s="121" t="n">
        <v>3.8481</v>
      </c>
      <c r="D208" s="123"/>
      <c r="G208" s="124"/>
      <c r="H208" s="124"/>
    </row>
    <row r="209" customFormat="false" ht="14.25" hidden="false" customHeight="true" outlineLevel="0" collapsed="false">
      <c r="A209" s="53" t="s">
        <v>282</v>
      </c>
      <c r="B209" s="121" t="n">
        <v>3.84810126582278</v>
      </c>
      <c r="D209" s="123"/>
      <c r="G209" s="124"/>
      <c r="H209" s="124"/>
    </row>
    <row r="210" customFormat="false" ht="14.25" hidden="false" customHeight="true" outlineLevel="0" collapsed="false">
      <c r="A210" s="53" t="s">
        <v>286</v>
      </c>
      <c r="B210" s="121" t="n">
        <v>3.84810126582278</v>
      </c>
      <c r="D210" s="123"/>
      <c r="G210" s="124"/>
      <c r="H210" s="124"/>
    </row>
    <row r="211" customFormat="false" ht="14.25" hidden="false" customHeight="true" outlineLevel="0" collapsed="false">
      <c r="A211" s="53" t="s">
        <v>290</v>
      </c>
      <c r="B211" s="121" t="n">
        <v>3.84810126582278</v>
      </c>
      <c r="D211" s="123"/>
      <c r="G211" s="124"/>
      <c r="H211" s="124"/>
    </row>
    <row r="212" customFormat="false" ht="14.25" hidden="false" customHeight="true" outlineLevel="0" collapsed="false">
      <c r="A212" s="53" t="s">
        <v>294</v>
      </c>
      <c r="B212" s="121" t="n">
        <v>3.84810126582278</v>
      </c>
      <c r="D212" s="123"/>
      <c r="G212" s="124"/>
      <c r="H212" s="124"/>
    </row>
    <row r="213" customFormat="false" ht="14.25" hidden="false" customHeight="true" outlineLevel="0" collapsed="false">
      <c r="A213" s="53" t="s">
        <v>298</v>
      </c>
      <c r="B213" s="121" t="n">
        <v>3.84810126582278</v>
      </c>
      <c r="D213" s="123"/>
      <c r="G213" s="124"/>
      <c r="H213" s="124"/>
    </row>
    <row r="214" customFormat="false" ht="14.25" hidden="false" customHeight="true" outlineLevel="0" collapsed="false">
      <c r="A214" s="53" t="s">
        <v>302</v>
      </c>
      <c r="B214" s="121" t="n">
        <v>3.84810126582278</v>
      </c>
      <c r="D214" s="123"/>
      <c r="G214" s="124"/>
      <c r="H214" s="124"/>
    </row>
    <row r="215" customFormat="false" ht="14.25" hidden="false" customHeight="true" outlineLevel="0" collapsed="false">
      <c r="A215" s="53" t="s">
        <v>306</v>
      </c>
      <c r="B215" s="121" t="n">
        <v>3.84810126582278</v>
      </c>
      <c r="D215" s="123"/>
      <c r="G215" s="124"/>
      <c r="H215" s="124"/>
    </row>
    <row r="216" customFormat="false" ht="14.25" hidden="false" customHeight="true" outlineLevel="0" collapsed="false">
      <c r="A216" s="53" t="s">
        <v>310</v>
      </c>
      <c r="B216" s="121" t="n">
        <v>3.84810126582278</v>
      </c>
      <c r="D216" s="123"/>
      <c r="G216" s="124"/>
      <c r="H216" s="124"/>
    </row>
    <row r="217" customFormat="false" ht="14.25" hidden="false" customHeight="true" outlineLevel="0" collapsed="false">
      <c r="A217" s="53" t="s">
        <v>314</v>
      </c>
      <c r="B217" s="121" t="n">
        <v>3.84810126582278</v>
      </c>
      <c r="D217" s="123"/>
      <c r="G217" s="124"/>
      <c r="H217" s="124"/>
    </row>
    <row r="218" customFormat="false" ht="14.25" hidden="false" customHeight="true" outlineLevel="0" collapsed="false">
      <c r="A218" s="53" t="s">
        <v>318</v>
      </c>
      <c r="B218" s="121" t="n">
        <v>3.84810126582278</v>
      </c>
      <c r="D218" s="123"/>
      <c r="G218" s="124"/>
      <c r="H218" s="124"/>
    </row>
    <row r="219" customFormat="false" ht="14.25" hidden="false" customHeight="true" outlineLevel="0" collapsed="false">
      <c r="A219" s="53" t="s">
        <v>322</v>
      </c>
      <c r="B219" s="121" t="n">
        <v>3.84810126582278</v>
      </c>
      <c r="D219" s="123"/>
      <c r="G219" s="124"/>
      <c r="H219" s="124"/>
    </row>
    <row r="220" customFormat="false" ht="14.25" hidden="false" customHeight="true" outlineLevel="0" collapsed="false">
      <c r="A220" s="53" t="s">
        <v>325</v>
      </c>
      <c r="B220" s="121" t="n">
        <v>3.84810126582278</v>
      </c>
      <c r="D220" s="123"/>
      <c r="G220" s="124"/>
      <c r="H220" s="124"/>
    </row>
    <row r="221" customFormat="false" ht="14.25" hidden="false" customHeight="true" outlineLevel="0" collapsed="false">
      <c r="A221" s="53" t="s">
        <v>328</v>
      </c>
      <c r="B221" s="121" t="n">
        <v>3.84810126582278</v>
      </c>
      <c r="D221" s="123"/>
      <c r="G221" s="124"/>
      <c r="H221" s="124"/>
    </row>
    <row r="222" customFormat="false" ht="14.25" hidden="false" customHeight="true" outlineLevel="0" collapsed="false">
      <c r="A222" s="53" t="s">
        <v>331</v>
      </c>
      <c r="B222" s="121" t="n">
        <v>3.84810126582278</v>
      </c>
      <c r="D222" s="123"/>
      <c r="G222" s="124"/>
      <c r="H222" s="124"/>
    </row>
    <row r="223" customFormat="false" ht="14.25" hidden="false" customHeight="true" outlineLevel="0" collapsed="false">
      <c r="A223" s="53" t="s">
        <v>334</v>
      </c>
      <c r="B223" s="121" t="n">
        <v>3.84810126582278</v>
      </c>
      <c r="D223" s="123"/>
      <c r="G223" s="124"/>
      <c r="H223" s="124"/>
    </row>
    <row r="224" customFormat="false" ht="14.25" hidden="false" customHeight="true" outlineLevel="0" collapsed="false">
      <c r="A224" s="53" t="s">
        <v>337</v>
      </c>
      <c r="B224" s="121" t="n">
        <v>3.84810126582278</v>
      </c>
      <c r="D224" s="123"/>
      <c r="G224" s="124"/>
      <c r="H224" s="124"/>
    </row>
    <row r="225" customFormat="false" ht="14.25" hidden="false" customHeight="true" outlineLevel="0" collapsed="false">
      <c r="A225" s="53" t="s">
        <v>340</v>
      </c>
      <c r="B225" s="121" t="n">
        <v>3.84810126582278</v>
      </c>
      <c r="D225" s="123"/>
      <c r="G225" s="124"/>
      <c r="H225" s="124"/>
    </row>
    <row r="226" customFormat="false" ht="14.25" hidden="false" customHeight="true" outlineLevel="0" collapsed="false">
      <c r="A226" s="53" t="s">
        <v>343</v>
      </c>
      <c r="B226" s="121" t="n">
        <v>3.84810126582278</v>
      </c>
      <c r="D226" s="123"/>
      <c r="G226" s="124"/>
      <c r="H226" s="124"/>
    </row>
    <row r="227" customFormat="false" ht="14.25" hidden="false" customHeight="true" outlineLevel="0" collapsed="false">
      <c r="A227" s="53" t="s">
        <v>346</v>
      </c>
      <c r="B227" s="121" t="n">
        <v>3.84810126582278</v>
      </c>
      <c r="D227" s="123"/>
      <c r="G227" s="124"/>
      <c r="H227" s="124"/>
    </row>
    <row r="228" customFormat="false" ht="14.25" hidden="false" customHeight="true" outlineLevel="0" collapsed="false">
      <c r="A228" s="53" t="s">
        <v>349</v>
      </c>
      <c r="B228" s="121" t="n">
        <v>3.84810126582278</v>
      </c>
      <c r="D228" s="123"/>
      <c r="G228" s="124"/>
      <c r="H228" s="124"/>
    </row>
    <row r="229" customFormat="false" ht="14.25" hidden="false" customHeight="true" outlineLevel="0" collapsed="false">
      <c r="A229" s="53" t="s">
        <v>352</v>
      </c>
      <c r="B229" s="121" t="n">
        <v>3.84810126582278</v>
      </c>
      <c r="D229" s="123"/>
      <c r="G229" s="124"/>
      <c r="H229" s="124"/>
    </row>
    <row r="230" customFormat="false" ht="14.25" hidden="false" customHeight="true" outlineLevel="0" collapsed="false">
      <c r="A230" s="53" t="s">
        <v>355</v>
      </c>
      <c r="B230" s="121" t="n">
        <v>3.84810126582278</v>
      </c>
      <c r="D230" s="123"/>
      <c r="G230" s="124"/>
      <c r="H230" s="124"/>
    </row>
    <row r="231" customFormat="false" ht="14.25" hidden="false" customHeight="true" outlineLevel="0" collapsed="false">
      <c r="A231" s="53" t="s">
        <v>358</v>
      </c>
      <c r="B231" s="121" t="n">
        <v>3.84810126582278</v>
      </c>
      <c r="D231" s="123"/>
      <c r="G231" s="124"/>
      <c r="H231" s="124"/>
    </row>
    <row r="232" customFormat="false" ht="14.25" hidden="false" customHeight="true" outlineLevel="0" collapsed="false">
      <c r="A232" s="53" t="s">
        <v>361</v>
      </c>
      <c r="B232" s="121" t="n">
        <v>3.84810126582278</v>
      </c>
      <c r="D232" s="123"/>
      <c r="G232" s="124"/>
      <c r="H232" s="124"/>
    </row>
    <row r="233" customFormat="false" ht="14.25" hidden="false" customHeight="true" outlineLevel="0" collapsed="false">
      <c r="A233" s="53" t="s">
        <v>364</v>
      </c>
      <c r="B233" s="121" t="n">
        <v>3.84810126582278</v>
      </c>
      <c r="D233" s="123"/>
      <c r="G233" s="124"/>
      <c r="H233" s="124"/>
    </row>
    <row r="234" customFormat="false" ht="14.25" hidden="false" customHeight="true" outlineLevel="0" collapsed="false">
      <c r="A234" s="53" t="s">
        <v>367</v>
      </c>
      <c r="B234" s="121" t="n">
        <v>3.84810126582278</v>
      </c>
      <c r="D234" s="123"/>
      <c r="G234" s="124"/>
      <c r="H234" s="124"/>
    </row>
    <row r="235" customFormat="false" ht="14.25" hidden="false" customHeight="true" outlineLevel="0" collapsed="false">
      <c r="A235" s="53" t="s">
        <v>370</v>
      </c>
      <c r="B235" s="121" t="n">
        <v>3.84810126582278</v>
      </c>
      <c r="D235" s="123"/>
      <c r="G235" s="124"/>
      <c r="H235" s="124"/>
    </row>
    <row r="236" customFormat="false" ht="14.25" hidden="false" customHeight="true" outlineLevel="0" collapsed="false">
      <c r="A236" s="53" t="s">
        <v>373</v>
      </c>
      <c r="B236" s="121" t="n">
        <v>3.84810126582278</v>
      </c>
      <c r="D236" s="123"/>
      <c r="G236" s="124"/>
      <c r="H236" s="124"/>
    </row>
    <row r="237" customFormat="false" ht="14.25" hidden="false" customHeight="true" outlineLevel="0" collapsed="false">
      <c r="A237" s="53" t="s">
        <v>376</v>
      </c>
      <c r="B237" s="121" t="n">
        <v>3.84810126582278</v>
      </c>
      <c r="D237" s="123"/>
      <c r="G237" s="124"/>
      <c r="H237" s="124"/>
    </row>
    <row r="238" customFormat="false" ht="14.25" hidden="false" customHeight="true" outlineLevel="0" collapsed="false">
      <c r="A238" s="53" t="s">
        <v>379</v>
      </c>
      <c r="B238" s="121" t="n">
        <v>3.84810126582278</v>
      </c>
      <c r="D238" s="123"/>
      <c r="G238" s="124"/>
      <c r="H238" s="124"/>
    </row>
    <row r="239" customFormat="false" ht="14.25" hidden="false" customHeight="true" outlineLevel="0" collapsed="false">
      <c r="A239" s="53" t="s">
        <v>382</v>
      </c>
      <c r="B239" s="121" t="n">
        <v>3.84810126582278</v>
      </c>
      <c r="D239" s="123"/>
      <c r="G239" s="124"/>
      <c r="H239" s="124"/>
    </row>
    <row r="240" customFormat="false" ht="14.25" hidden="false" customHeight="true" outlineLevel="0" collapsed="false">
      <c r="A240" s="53" t="s">
        <v>385</v>
      </c>
      <c r="B240" s="121" t="n">
        <v>3.84810126582278</v>
      </c>
      <c r="D240" s="123"/>
      <c r="G240" s="124"/>
      <c r="H240" s="124"/>
    </row>
    <row r="241" customFormat="false" ht="14.25" hidden="false" customHeight="true" outlineLevel="0" collapsed="false">
      <c r="A241" s="53" t="s">
        <v>388</v>
      </c>
      <c r="B241" s="121" t="n">
        <v>3.84810126582278</v>
      </c>
      <c r="D241" s="123"/>
      <c r="G241" s="124"/>
      <c r="H241" s="124"/>
    </row>
    <row r="242" customFormat="false" ht="14.25" hidden="false" customHeight="true" outlineLevel="0" collapsed="false">
      <c r="A242" s="53" t="s">
        <v>391</v>
      </c>
      <c r="B242" s="121" t="n">
        <v>3.84810126582278</v>
      </c>
      <c r="D242" s="123"/>
      <c r="G242" s="124"/>
      <c r="H242" s="124"/>
    </row>
    <row r="243" customFormat="false" ht="14.25" hidden="false" customHeight="true" outlineLevel="0" collapsed="false">
      <c r="A243" s="53" t="s">
        <v>394</v>
      </c>
      <c r="B243" s="121" t="n">
        <v>3.84810126582278</v>
      </c>
      <c r="D243" s="123"/>
      <c r="G243" s="124"/>
      <c r="H243" s="124"/>
    </row>
    <row r="244" customFormat="false" ht="14.25" hidden="false" customHeight="true" outlineLevel="0" collapsed="false">
      <c r="A244" s="53" t="s">
        <v>397</v>
      </c>
      <c r="B244" s="121" t="n">
        <v>3.84810126582278</v>
      </c>
      <c r="D244" s="123"/>
      <c r="G244" s="124"/>
      <c r="H244" s="124"/>
    </row>
    <row r="245" customFormat="false" ht="14.25" hidden="false" customHeight="true" outlineLevel="0" collapsed="false">
      <c r="A245" s="53" t="s">
        <v>400</v>
      </c>
      <c r="B245" s="121" t="n">
        <v>3.84810126582278</v>
      </c>
      <c r="D245" s="123"/>
      <c r="G245" s="124"/>
      <c r="H245" s="124"/>
    </row>
    <row r="246" customFormat="false" ht="14.25" hidden="false" customHeight="true" outlineLevel="0" collapsed="false">
      <c r="A246" s="53" t="s">
        <v>403</v>
      </c>
      <c r="B246" s="121" t="n">
        <v>3.84810126582278</v>
      </c>
      <c r="D246" s="123"/>
      <c r="G246" s="124"/>
      <c r="H246" s="124"/>
    </row>
    <row r="247" customFormat="false" ht="14.25" hidden="false" customHeight="true" outlineLevel="0" collapsed="false">
      <c r="A247" s="53" t="s">
        <v>406</v>
      </c>
      <c r="B247" s="121" t="n">
        <v>3.84810126582278</v>
      </c>
      <c r="D247" s="123"/>
      <c r="G247" s="124"/>
      <c r="H247" s="124"/>
    </row>
    <row r="248" customFormat="false" ht="14.25" hidden="false" customHeight="true" outlineLevel="0" collapsed="false">
      <c r="A248" s="53" t="s">
        <v>409</v>
      </c>
      <c r="B248" s="121" t="n">
        <v>3.84810126582278</v>
      </c>
      <c r="D248" s="123"/>
      <c r="G248" s="124"/>
      <c r="H248" s="124"/>
    </row>
    <row r="249" customFormat="false" ht="14.25" hidden="false" customHeight="true" outlineLevel="0" collapsed="false">
      <c r="A249" s="53" t="s">
        <v>412</v>
      </c>
      <c r="B249" s="121" t="n">
        <v>3.84810126582278</v>
      </c>
      <c r="D249" s="123"/>
      <c r="G249" s="124"/>
      <c r="H249" s="124"/>
    </row>
    <row r="250" customFormat="false" ht="14.25" hidden="false" customHeight="true" outlineLevel="0" collapsed="false">
      <c r="A250" s="53" t="s">
        <v>415</v>
      </c>
      <c r="B250" s="121" t="n">
        <v>3.84810126582278</v>
      </c>
      <c r="D250" s="123"/>
      <c r="G250" s="124"/>
      <c r="H250" s="124"/>
    </row>
    <row r="251" customFormat="false" ht="14.25" hidden="false" customHeight="true" outlineLevel="0" collapsed="false">
      <c r="A251" s="53" t="s">
        <v>418</v>
      </c>
      <c r="B251" s="121" t="n">
        <v>3.84810126582278</v>
      </c>
      <c r="D251" s="123"/>
      <c r="G251" s="124"/>
      <c r="H251" s="124"/>
    </row>
    <row r="252" customFormat="false" ht="14.25" hidden="false" customHeight="true" outlineLevel="0" collapsed="false">
      <c r="A252" s="53" t="s">
        <v>421</v>
      </c>
      <c r="B252" s="121" t="n">
        <f aca="false">B251</f>
        <v>3.84810126582278</v>
      </c>
      <c r="D252" s="123"/>
      <c r="G252" s="124"/>
      <c r="H252" s="124"/>
    </row>
    <row r="253" customFormat="false" ht="14.25" hidden="false" customHeight="true" outlineLevel="0" collapsed="false">
      <c r="A253" s="53" t="s">
        <v>424</v>
      </c>
      <c r="B253" s="121" t="n">
        <f aca="false">B252</f>
        <v>3.84810126582278</v>
      </c>
      <c r="D253" s="123"/>
      <c r="G253" s="124"/>
      <c r="H253" s="124"/>
    </row>
    <row r="254" customFormat="false" ht="14.25" hidden="false" customHeight="true" outlineLevel="0" collapsed="false">
      <c r="A254" s="53" t="s">
        <v>427</v>
      </c>
      <c r="B254" s="121" t="n">
        <f aca="false">B253</f>
        <v>3.84810126582278</v>
      </c>
      <c r="D254" s="123"/>
      <c r="G254" s="124"/>
      <c r="H254" s="124"/>
    </row>
    <row r="255" customFormat="false" ht="14.25" hidden="false" customHeight="true" outlineLevel="0" collapsed="false">
      <c r="A255" s="53" t="s">
        <v>430</v>
      </c>
      <c r="B255" s="121" t="n">
        <f aca="false">B254</f>
        <v>3.84810126582278</v>
      </c>
      <c r="D255" s="123"/>
      <c r="G255" s="124"/>
      <c r="H255" s="124"/>
    </row>
    <row r="256" customFormat="false" ht="14.25" hidden="false" customHeight="true" outlineLevel="0" collapsed="false">
      <c r="A256" s="53" t="s">
        <v>433</v>
      </c>
      <c r="B256" s="121" t="n">
        <f aca="false">B255</f>
        <v>3.84810126582278</v>
      </c>
      <c r="D256" s="123"/>
      <c r="G256" s="124"/>
      <c r="H256" s="124"/>
    </row>
    <row r="257" customFormat="false" ht="14.25" hidden="false" customHeight="true" outlineLevel="0" collapsed="false">
      <c r="A257" s="53" t="s">
        <v>436</v>
      </c>
      <c r="B257" s="121" t="n">
        <f aca="false">B256</f>
        <v>3.84810126582278</v>
      </c>
      <c r="D257" s="123"/>
      <c r="G257" s="124"/>
      <c r="H257" s="124"/>
    </row>
    <row r="258" customFormat="false" ht="14.25" hidden="false" customHeight="true" outlineLevel="0" collapsed="false">
      <c r="A258" s="53" t="s">
        <v>439</v>
      </c>
      <c r="B258" s="121" t="n">
        <f aca="false">B257</f>
        <v>3.84810126582278</v>
      </c>
      <c r="D258" s="123"/>
      <c r="G258" s="124"/>
      <c r="H258" s="124"/>
    </row>
    <row r="259" customFormat="false" ht="14.25" hidden="false" customHeight="true" outlineLevel="0" collapsed="false">
      <c r="A259" s="53" t="s">
        <v>442</v>
      </c>
      <c r="B259" s="121" t="n">
        <f aca="false">B258</f>
        <v>3.84810126582278</v>
      </c>
      <c r="D259" s="123"/>
      <c r="G259" s="124"/>
      <c r="H259" s="124"/>
    </row>
    <row r="260" customFormat="false" ht="14.25" hidden="false" customHeight="true" outlineLevel="0" collapsed="false">
      <c r="A260" s="53" t="s">
        <v>445</v>
      </c>
      <c r="B260" s="121" t="n">
        <f aca="false">B259</f>
        <v>3.84810126582278</v>
      </c>
      <c r="D260" s="123"/>
      <c r="G260" s="124"/>
      <c r="H260" s="124"/>
    </row>
    <row r="261" customFormat="false" ht="14.25" hidden="false" customHeight="true" outlineLevel="0" collapsed="false">
      <c r="A261" s="53" t="s">
        <v>448</v>
      </c>
      <c r="B261" s="121" t="n">
        <f aca="false">B260</f>
        <v>3.84810126582278</v>
      </c>
      <c r="D261" s="123"/>
      <c r="G261" s="124"/>
      <c r="H261" s="124"/>
    </row>
    <row r="262" customFormat="false" ht="14.25" hidden="false" customHeight="true" outlineLevel="0" collapsed="false">
      <c r="A262" s="53" t="s">
        <v>451</v>
      </c>
      <c r="B262" s="121" t="n">
        <f aca="false">B261</f>
        <v>3.84810126582278</v>
      </c>
      <c r="D262" s="123"/>
      <c r="G262" s="124"/>
      <c r="H262" s="124"/>
    </row>
    <row r="263" customFormat="false" ht="14.25" hidden="false" customHeight="true" outlineLevel="0" collapsed="false">
      <c r="A263" s="53" t="s">
        <v>454</v>
      </c>
      <c r="B263" s="121" t="n">
        <f aca="false">B262</f>
        <v>3.84810126582278</v>
      </c>
      <c r="D263" s="123"/>
      <c r="G263" s="124"/>
      <c r="H263" s="124"/>
    </row>
    <row r="264" customFormat="false" ht="14.25" hidden="false" customHeight="true" outlineLevel="0" collapsed="false">
      <c r="A264" s="53" t="s">
        <v>457</v>
      </c>
      <c r="B264" s="121" t="n">
        <f aca="false">B263</f>
        <v>3.84810126582278</v>
      </c>
      <c r="D264" s="123"/>
      <c r="G264" s="124"/>
      <c r="H264" s="124"/>
    </row>
    <row r="265" customFormat="false" ht="14.25" hidden="false" customHeight="true" outlineLevel="0" collapsed="false">
      <c r="A265" s="53" t="s">
        <v>460</v>
      </c>
      <c r="B265" s="121" t="n">
        <f aca="false">B264</f>
        <v>3.84810126582278</v>
      </c>
      <c r="D265" s="123"/>
      <c r="G265" s="124"/>
      <c r="H265" s="124"/>
    </row>
    <row r="266" customFormat="false" ht="14.25" hidden="false" customHeight="true" outlineLevel="0" collapsed="false">
      <c r="A266" s="53" t="s">
        <v>463</v>
      </c>
      <c r="B266" s="121" t="n">
        <f aca="false">B265</f>
        <v>3.84810126582278</v>
      </c>
      <c r="D266" s="123"/>
      <c r="G266" s="124"/>
      <c r="H266" s="124"/>
    </row>
    <row r="267" customFormat="false" ht="14.25" hidden="false" customHeight="true" outlineLevel="0" collapsed="false">
      <c r="A267" s="53" t="s">
        <v>466</v>
      </c>
      <c r="B267" s="121" t="n">
        <f aca="false">B266</f>
        <v>3.84810126582278</v>
      </c>
      <c r="D267" s="123"/>
      <c r="G267" s="124"/>
      <c r="H267" s="124"/>
    </row>
    <row r="268" customFormat="false" ht="14.25" hidden="false" customHeight="true" outlineLevel="0" collapsed="false">
      <c r="A268" s="53" t="s">
        <v>469</v>
      </c>
      <c r="B268" s="121" t="n">
        <f aca="false">B267</f>
        <v>3.84810126582278</v>
      </c>
      <c r="D268" s="123"/>
      <c r="G268" s="124"/>
      <c r="H268" s="124"/>
    </row>
    <row r="269" customFormat="false" ht="14.25" hidden="false" customHeight="true" outlineLevel="0" collapsed="false">
      <c r="A269" s="53" t="s">
        <v>472</v>
      </c>
      <c r="B269" s="121" t="n">
        <f aca="false">B268</f>
        <v>3.84810126582278</v>
      </c>
      <c r="D269" s="123"/>
      <c r="G269" s="124"/>
      <c r="H269" s="124"/>
    </row>
    <row r="270" customFormat="false" ht="14.25" hidden="false" customHeight="true" outlineLevel="0" collapsed="false">
      <c r="A270" s="53" t="s">
        <v>475</v>
      </c>
      <c r="B270" s="121" t="n">
        <f aca="false">B269</f>
        <v>3.84810126582278</v>
      </c>
      <c r="D270" s="123"/>
      <c r="G270" s="124"/>
      <c r="H270" s="124"/>
    </row>
    <row r="271" customFormat="false" ht="14.25" hidden="false" customHeight="true" outlineLevel="0" collapsed="false">
      <c r="A271" s="53" t="s">
        <v>478</v>
      </c>
      <c r="B271" s="121" t="n">
        <f aca="false">B270</f>
        <v>3.84810126582278</v>
      </c>
      <c r="D271" s="123"/>
      <c r="G271" s="124"/>
      <c r="H271" s="124"/>
    </row>
    <row r="272" customFormat="false" ht="14.25" hidden="false" customHeight="true" outlineLevel="0" collapsed="false">
      <c r="A272" s="53" t="s">
        <v>1106</v>
      </c>
      <c r="B272" s="121" t="n">
        <f aca="false">B271</f>
        <v>3.84810126582278</v>
      </c>
      <c r="D272" s="123"/>
      <c r="G272" s="124"/>
      <c r="H272" s="124"/>
    </row>
    <row r="273" customFormat="false" ht="14.25" hidden="false" customHeight="true" outlineLevel="0" collapsed="false">
      <c r="A273" s="53" t="s">
        <v>1107</v>
      </c>
      <c r="B273" s="121" t="n">
        <f aca="false">B272</f>
        <v>3.84810126582278</v>
      </c>
      <c r="D273" s="123"/>
      <c r="G273" s="124"/>
      <c r="H273" s="124"/>
    </row>
    <row r="274" customFormat="false" ht="14.25" hidden="false" customHeight="true" outlineLevel="0" collapsed="false">
      <c r="A274" s="53" t="s">
        <v>1108</v>
      </c>
      <c r="B274" s="121" t="n">
        <f aca="false">B273</f>
        <v>3.84810126582278</v>
      </c>
      <c r="D274" s="123"/>
      <c r="G274" s="124"/>
      <c r="H274" s="124"/>
    </row>
    <row r="275" customFormat="false" ht="14.25" hidden="false" customHeight="true" outlineLevel="0" collapsed="false">
      <c r="A275" s="53" t="s">
        <v>1113</v>
      </c>
      <c r="B275" s="121" t="n">
        <f aca="false">B274</f>
        <v>3.84810126582278</v>
      </c>
      <c r="D275" s="123"/>
      <c r="G275" s="124"/>
      <c r="H275" s="124"/>
    </row>
    <row r="276" customFormat="false" ht="14.25" hidden="false" customHeight="true" outlineLevel="0" collapsed="false">
      <c r="A276" s="53" t="s">
        <v>1116</v>
      </c>
      <c r="B276" s="121" t="n">
        <f aca="false">B275</f>
        <v>3.84810126582278</v>
      </c>
      <c r="D276" s="123"/>
      <c r="G276" s="124"/>
      <c r="H276" s="124"/>
    </row>
    <row r="277" customFormat="false" ht="14.25" hidden="false" customHeight="true" outlineLevel="0" collapsed="false">
      <c r="A277" s="53" t="s">
        <v>1118</v>
      </c>
      <c r="B277" s="121" t="n">
        <f aca="false">B276</f>
        <v>3.84810126582278</v>
      </c>
      <c r="D277" s="123"/>
      <c r="G277" s="124"/>
      <c r="H277" s="124"/>
    </row>
    <row r="278" customFormat="false" ht="14.25" hidden="false" customHeight="true" outlineLevel="0" collapsed="false">
      <c r="A278" s="53" t="s">
        <v>1119</v>
      </c>
      <c r="B278" s="121" t="n">
        <f aca="false">B277</f>
        <v>3.84810126582278</v>
      </c>
      <c r="D278" s="123"/>
      <c r="G278" s="124"/>
      <c r="H278" s="124"/>
    </row>
    <row r="279" customFormat="false" ht="14.25" hidden="false" customHeight="true" outlineLevel="0" collapsed="false">
      <c r="A279" s="53" t="s">
        <v>1124</v>
      </c>
      <c r="B279" s="121" t="n">
        <f aca="false">B278</f>
        <v>3.84810126582278</v>
      </c>
      <c r="D279" s="123"/>
      <c r="G279" s="124"/>
      <c r="H279" s="124"/>
    </row>
    <row r="280" customFormat="false" ht="14.25" hidden="false" customHeight="true" outlineLevel="0" collapsed="false">
      <c r="A280" s="53" t="s">
        <v>1125</v>
      </c>
      <c r="B280" s="121" t="n">
        <f aca="false">B279</f>
        <v>3.84810126582278</v>
      </c>
      <c r="D280" s="123"/>
      <c r="G280" s="124"/>
      <c r="H280" s="124"/>
    </row>
    <row r="281" customFormat="false" ht="14.25" hidden="false" customHeight="true" outlineLevel="0" collapsed="false">
      <c r="A281" s="53" t="s">
        <v>1127</v>
      </c>
      <c r="B281" s="121" t="n">
        <f aca="false">B280</f>
        <v>3.84810126582278</v>
      </c>
      <c r="D281" s="123"/>
      <c r="G281" s="124"/>
      <c r="H281" s="124"/>
    </row>
    <row r="282" customFormat="false" ht="14.25" hidden="false" customHeight="true" outlineLevel="0" collapsed="false">
      <c r="A282" s="53" t="s">
        <v>1134</v>
      </c>
      <c r="B282" s="121" t="n">
        <f aca="false">B281</f>
        <v>3.84810126582278</v>
      </c>
      <c r="D282" s="123"/>
      <c r="G282" s="124"/>
      <c r="H282" s="124"/>
    </row>
    <row r="283" customFormat="false" ht="14.25" hidden="false" customHeight="true" outlineLevel="0" collapsed="false">
      <c r="A283" s="53" t="s">
        <v>1135</v>
      </c>
      <c r="B283" s="121" t="n">
        <f aca="false">B282</f>
        <v>3.84810126582278</v>
      </c>
      <c r="D283" s="123"/>
      <c r="G283" s="124"/>
      <c r="H283" s="124"/>
    </row>
    <row r="284" customFormat="false" ht="14.25" hidden="false" customHeight="true" outlineLevel="0" collapsed="false">
      <c r="A284" s="53" t="s">
        <v>1138</v>
      </c>
      <c r="B284" s="121" t="n">
        <f aca="false">B283</f>
        <v>3.84810126582278</v>
      </c>
      <c r="D284" s="123"/>
      <c r="G284" s="124"/>
      <c r="H284" s="124"/>
    </row>
    <row r="285" customFormat="false" ht="14.25" hidden="false" customHeight="true" outlineLevel="0" collapsed="false">
      <c r="A285" s="53" t="s">
        <v>1139</v>
      </c>
      <c r="B285" s="121" t="n">
        <f aca="false">B284</f>
        <v>3.84810126582278</v>
      </c>
      <c r="D285" s="123"/>
      <c r="G285" s="124"/>
      <c r="H285" s="124"/>
    </row>
    <row r="286" customFormat="false" ht="14.25" hidden="false" customHeight="true" outlineLevel="0" collapsed="false">
      <c r="A286" s="53" t="s">
        <v>1140</v>
      </c>
      <c r="B286" s="121" t="n">
        <f aca="false">B285</f>
        <v>3.84810126582278</v>
      </c>
      <c r="D286" s="123"/>
      <c r="G286" s="124"/>
      <c r="H286" s="124"/>
    </row>
    <row r="287" customFormat="false" ht="14.25" hidden="false" customHeight="true" outlineLevel="0" collapsed="false">
      <c r="A287" s="53" t="s">
        <v>1141</v>
      </c>
      <c r="B287" s="121" t="n">
        <f aca="false">B286</f>
        <v>3.84810126582278</v>
      </c>
      <c r="D287" s="123"/>
      <c r="G287" s="124"/>
      <c r="H287" s="124"/>
    </row>
    <row r="288" customFormat="false" ht="14.25" hidden="false" customHeight="true" outlineLevel="0" collapsed="false">
      <c r="A288" s="53" t="s">
        <v>1142</v>
      </c>
      <c r="B288" s="121" t="n">
        <f aca="false">B287</f>
        <v>3.84810126582278</v>
      </c>
      <c r="D288" s="123"/>
      <c r="G288" s="124"/>
      <c r="H288" s="124"/>
    </row>
    <row r="289" customFormat="false" ht="14.25" hidden="false" customHeight="true" outlineLevel="0" collapsed="false">
      <c r="A289" s="53" t="s">
        <v>1147</v>
      </c>
      <c r="B289" s="121" t="n">
        <f aca="false">B288</f>
        <v>3.84810126582278</v>
      </c>
      <c r="D289" s="123"/>
      <c r="G289" s="124"/>
      <c r="H289" s="124"/>
    </row>
    <row r="290" customFormat="false" ht="14.25" hidden="false" customHeight="true" outlineLevel="0" collapsed="false">
      <c r="A290" s="53" t="s">
        <v>1151</v>
      </c>
      <c r="B290" s="121" t="n">
        <f aca="false">B289</f>
        <v>3.84810126582278</v>
      </c>
      <c r="D290" s="123"/>
      <c r="G290" s="124"/>
      <c r="H290" s="124"/>
    </row>
    <row r="291" customFormat="false" ht="14.25" hidden="false" customHeight="true" outlineLevel="0" collapsed="false">
      <c r="A291" s="53" t="s">
        <v>1152</v>
      </c>
      <c r="B291" s="121" t="n">
        <f aca="false">B290</f>
        <v>3.84810126582278</v>
      </c>
      <c r="D291" s="123"/>
      <c r="G291" s="124"/>
      <c r="H291" s="124"/>
    </row>
    <row r="292" customFormat="false" ht="14.25" hidden="false" customHeight="true" outlineLevel="0" collapsed="false">
      <c r="A292" s="53" t="s">
        <v>1153</v>
      </c>
      <c r="B292" s="121" t="n">
        <f aca="false">B291</f>
        <v>3.84810126582278</v>
      </c>
      <c r="D292" s="123"/>
      <c r="G292" s="124"/>
      <c r="H292" s="124"/>
    </row>
    <row r="293" customFormat="false" ht="14.25" hidden="false" customHeight="true" outlineLevel="0" collapsed="false">
      <c r="A293" s="53" t="s">
        <v>1154</v>
      </c>
      <c r="B293" s="121" t="n">
        <f aca="false">B292</f>
        <v>3.84810126582278</v>
      </c>
      <c r="D293" s="123"/>
      <c r="G293" s="124"/>
      <c r="H293" s="124"/>
    </row>
    <row r="294" customFormat="false" ht="14.25" hidden="false" customHeight="true" outlineLevel="0" collapsed="false">
      <c r="A294" s="53" t="s">
        <v>1155</v>
      </c>
      <c r="B294" s="121" t="n">
        <f aca="false">B293</f>
        <v>3.84810126582278</v>
      </c>
      <c r="D294" s="123"/>
      <c r="G294" s="124"/>
      <c r="H294" s="124"/>
    </row>
    <row r="295" customFormat="false" ht="14.25" hidden="false" customHeight="true" outlineLevel="0" collapsed="false">
      <c r="A295" s="53" t="s">
        <v>1156</v>
      </c>
      <c r="B295" s="121" t="n">
        <f aca="false">B294</f>
        <v>3.84810126582278</v>
      </c>
      <c r="D295" s="123"/>
      <c r="G295" s="124"/>
      <c r="H295" s="124"/>
    </row>
    <row r="296" customFormat="false" ht="14.25" hidden="false" customHeight="true" outlineLevel="0" collapsed="false">
      <c r="A296" s="53" t="s">
        <v>1157</v>
      </c>
      <c r="B296" s="121" t="n">
        <f aca="false">B295</f>
        <v>3.84810126582278</v>
      </c>
      <c r="D296" s="123"/>
      <c r="G296" s="124"/>
      <c r="H296" s="124"/>
    </row>
    <row r="297" customFormat="false" ht="14.25" hidden="false" customHeight="true" outlineLevel="0" collapsed="false">
      <c r="A297" s="53" t="s">
        <v>1158</v>
      </c>
      <c r="B297" s="121" t="n">
        <f aca="false">B296</f>
        <v>3.84810126582278</v>
      </c>
      <c r="D297" s="123"/>
      <c r="G297" s="124"/>
      <c r="H297" s="124"/>
    </row>
    <row r="298" customFormat="false" ht="14.25" hidden="false" customHeight="true" outlineLevel="0" collapsed="false">
      <c r="A298" s="53" t="s">
        <v>1159</v>
      </c>
      <c r="B298" s="121" t="n">
        <f aca="false">B297</f>
        <v>3.84810126582278</v>
      </c>
      <c r="D298" s="123"/>
      <c r="G298" s="124"/>
      <c r="H298" s="124"/>
    </row>
    <row r="299" customFormat="false" ht="14.25" hidden="false" customHeight="true" outlineLevel="0" collapsed="false">
      <c r="A299" s="53" t="s">
        <v>1162</v>
      </c>
      <c r="B299" s="121" t="n">
        <f aca="false">B298</f>
        <v>3.84810126582278</v>
      </c>
      <c r="D299" s="123"/>
      <c r="G299" s="124"/>
      <c r="H299" s="124"/>
    </row>
    <row r="300" customFormat="false" ht="14.25" hidden="false" customHeight="true" outlineLevel="0" collapsed="false">
      <c r="A300" s="53" t="s">
        <v>1166</v>
      </c>
      <c r="B300" s="121" t="n">
        <f aca="false">B299</f>
        <v>3.84810126582278</v>
      </c>
      <c r="D300" s="123"/>
      <c r="G300" s="124"/>
      <c r="H300" s="124"/>
    </row>
    <row r="301" customFormat="false" ht="14.25" hidden="false" customHeight="true" outlineLevel="0" collapsed="false">
      <c r="A301" s="53" t="s">
        <v>1167</v>
      </c>
      <c r="B301" s="121" t="n">
        <f aca="false">B300</f>
        <v>3.84810126582278</v>
      </c>
      <c r="D301" s="123"/>
      <c r="G301" s="124"/>
      <c r="H301" s="124"/>
    </row>
    <row r="302" customFormat="false" ht="14.25" hidden="false" customHeight="true" outlineLevel="0" collapsed="false">
      <c r="A302" s="53" t="s">
        <v>1171</v>
      </c>
      <c r="B302" s="121" t="n">
        <f aca="false">B301</f>
        <v>3.84810126582278</v>
      </c>
      <c r="D302" s="123"/>
      <c r="G302" s="124"/>
      <c r="H302" s="124"/>
    </row>
    <row r="303" customFormat="false" ht="14.25" hidden="false" customHeight="true" outlineLevel="0" collapsed="false">
      <c r="A303" s="53" t="s">
        <v>1175</v>
      </c>
      <c r="B303" s="121" t="n">
        <f aca="false">B302</f>
        <v>3.84810126582278</v>
      </c>
      <c r="D303" s="123"/>
      <c r="G303" s="124"/>
      <c r="H303" s="124"/>
    </row>
    <row r="304" customFormat="false" ht="14.25" hidden="false" customHeight="true" outlineLevel="0" collapsed="false">
      <c r="A304" s="53" t="s">
        <v>1178</v>
      </c>
      <c r="B304" s="121" t="n">
        <f aca="false">B303</f>
        <v>3.84810126582278</v>
      </c>
      <c r="D304" s="123"/>
      <c r="G304" s="124"/>
      <c r="H304" s="124"/>
    </row>
    <row r="305" customFormat="false" ht="14.25" hidden="false" customHeight="true" outlineLevel="0" collapsed="false">
      <c r="A305" s="53" t="s">
        <v>1179</v>
      </c>
      <c r="B305" s="121" t="n">
        <f aca="false">B304</f>
        <v>3.84810126582278</v>
      </c>
      <c r="D305" s="123"/>
      <c r="G305" s="124"/>
      <c r="H305" s="124"/>
    </row>
    <row r="306" customFormat="false" ht="14.25" hidden="false" customHeight="true" outlineLevel="0" collapsed="false">
      <c r="A306" s="53" t="s">
        <v>1182</v>
      </c>
      <c r="B306" s="121" t="n">
        <f aca="false">B305</f>
        <v>3.84810126582278</v>
      </c>
      <c r="D306" s="123"/>
      <c r="G306" s="124"/>
      <c r="H306" s="124"/>
    </row>
    <row r="307" customFormat="false" ht="14.25" hidden="false" customHeight="true" outlineLevel="0" collapsed="false">
      <c r="A307" s="53" t="s">
        <v>1185</v>
      </c>
      <c r="B307" s="121" t="n">
        <f aca="false">B306</f>
        <v>3.84810126582278</v>
      </c>
      <c r="D307" s="123"/>
      <c r="G307" s="124"/>
      <c r="H307" s="124"/>
    </row>
    <row r="308" customFormat="false" ht="14.25" hidden="false" customHeight="true" outlineLevel="0" collapsed="false">
      <c r="A308" s="53" t="s">
        <v>1187</v>
      </c>
      <c r="B308" s="121" t="n">
        <f aca="false">B307</f>
        <v>3.84810126582278</v>
      </c>
      <c r="D308" s="123"/>
      <c r="G308" s="124"/>
      <c r="H308" s="124"/>
    </row>
    <row r="309" customFormat="false" ht="14.25" hidden="false" customHeight="true" outlineLevel="0" collapsed="false">
      <c r="A309" s="53" t="s">
        <v>1189</v>
      </c>
      <c r="B309" s="121" t="n">
        <f aca="false">B308</f>
        <v>3.84810126582278</v>
      </c>
      <c r="D309" s="123"/>
      <c r="G309" s="124"/>
      <c r="H309" s="124"/>
    </row>
    <row r="310" customFormat="false" ht="14.25" hidden="false" customHeight="true" outlineLevel="0" collapsed="false">
      <c r="A310" s="53" t="s">
        <v>1192</v>
      </c>
      <c r="B310" s="121" t="n">
        <f aca="false">B309</f>
        <v>3.84810126582278</v>
      </c>
      <c r="D310" s="123"/>
      <c r="G310" s="124"/>
      <c r="H310" s="124"/>
    </row>
    <row r="311" customFormat="false" ht="14.25" hidden="false" customHeight="true" outlineLevel="0" collapsed="false">
      <c r="A311" s="53" t="s">
        <v>1194</v>
      </c>
      <c r="B311" s="121" t="n">
        <f aca="false">B310</f>
        <v>3.84810126582278</v>
      </c>
      <c r="D311" s="123"/>
      <c r="G311" s="124"/>
      <c r="H311" s="124"/>
    </row>
    <row r="312" customFormat="false" ht="14.25" hidden="false" customHeight="true" outlineLevel="0" collapsed="false">
      <c r="A312" s="53" t="s">
        <v>1196</v>
      </c>
      <c r="B312" s="121" t="n">
        <f aca="false">B311</f>
        <v>3.84810126582278</v>
      </c>
      <c r="D312" s="123"/>
      <c r="G312" s="124"/>
      <c r="H312" s="124"/>
    </row>
    <row r="313" customFormat="false" ht="14.25" hidden="false" customHeight="true" outlineLevel="0" collapsed="false">
      <c r="A313" s="53" t="s">
        <v>1201</v>
      </c>
      <c r="B313" s="121" t="n">
        <f aca="false">B312</f>
        <v>3.84810126582278</v>
      </c>
      <c r="D313" s="123"/>
      <c r="G313" s="124"/>
      <c r="H313" s="124"/>
    </row>
    <row r="314" customFormat="false" ht="14.25" hidden="false" customHeight="true" outlineLevel="0" collapsed="false">
      <c r="A314" s="53" t="s">
        <v>1204</v>
      </c>
      <c r="B314" s="121" t="n">
        <f aca="false">B313</f>
        <v>3.84810126582278</v>
      </c>
      <c r="D314" s="123"/>
      <c r="G314" s="124"/>
      <c r="H314" s="124"/>
    </row>
    <row r="315" customFormat="false" ht="14.25" hidden="false" customHeight="true" outlineLevel="0" collapsed="false">
      <c r="A315" s="53" t="s">
        <v>1205</v>
      </c>
      <c r="B315" s="121" t="n">
        <f aca="false">B314</f>
        <v>3.84810126582278</v>
      </c>
      <c r="D315" s="123"/>
      <c r="G315" s="124"/>
      <c r="H315" s="124"/>
    </row>
    <row r="316" customFormat="false" ht="14.25" hidden="false" customHeight="true" outlineLevel="0" collapsed="false">
      <c r="A316" s="53" t="s">
        <v>1217</v>
      </c>
      <c r="B316" s="121" t="n">
        <f aca="false">B315</f>
        <v>3.84810126582278</v>
      </c>
      <c r="D316" s="123"/>
      <c r="G316" s="124"/>
      <c r="H316" s="124"/>
    </row>
    <row r="317" customFormat="false" ht="14.25" hidden="false" customHeight="true" outlineLevel="0" collapsed="false">
      <c r="A317" s="53" t="s">
        <v>1222</v>
      </c>
      <c r="B317" s="121" t="n">
        <f aca="false">B316</f>
        <v>3.84810126582278</v>
      </c>
      <c r="D317" s="123"/>
      <c r="G317" s="124"/>
      <c r="H317" s="124"/>
    </row>
    <row r="318" customFormat="false" ht="14.25" hidden="false" customHeight="true" outlineLevel="0" collapsed="false">
      <c r="A318" s="53" t="s">
        <v>1226</v>
      </c>
      <c r="B318" s="121" t="n">
        <f aca="false">B317</f>
        <v>3.84810126582278</v>
      </c>
      <c r="D318" s="123"/>
      <c r="G318" s="124"/>
      <c r="H318" s="124"/>
    </row>
    <row r="319" customFormat="false" ht="14.25" hidden="false" customHeight="true" outlineLevel="0" collapsed="false">
      <c r="A319" s="53" t="s">
        <v>1232</v>
      </c>
      <c r="B319" s="121" t="n">
        <f aca="false">B318</f>
        <v>3.84810126582278</v>
      </c>
      <c r="D319" s="123"/>
      <c r="G319" s="124"/>
      <c r="H319" s="124"/>
    </row>
    <row r="320" customFormat="false" ht="14.25" hidden="false" customHeight="true" outlineLevel="0" collapsed="false">
      <c r="A320" s="53" t="s">
        <v>1233</v>
      </c>
      <c r="B320" s="121" t="n">
        <f aca="false">B319</f>
        <v>3.84810126582278</v>
      </c>
      <c r="D320" s="123"/>
      <c r="G320" s="124"/>
      <c r="H320" s="124"/>
    </row>
    <row r="321" customFormat="false" ht="14.25" hidden="false" customHeight="true" outlineLevel="0" collapsed="false">
      <c r="A321" s="53" t="s">
        <v>1243</v>
      </c>
      <c r="B321" s="121" t="n">
        <f aca="false">B320</f>
        <v>3.84810126582278</v>
      </c>
      <c r="D321" s="123"/>
      <c r="G321" s="124"/>
      <c r="H321" s="124"/>
    </row>
    <row r="322" customFormat="false" ht="14.25" hidden="false" customHeight="true" outlineLevel="0" collapsed="false">
      <c r="A322" s="53" t="s">
        <v>1245</v>
      </c>
      <c r="B322" s="121" t="n">
        <f aca="false">B321</f>
        <v>3.84810126582278</v>
      </c>
      <c r="D322" s="123"/>
      <c r="G322" s="124"/>
      <c r="H322" s="124"/>
    </row>
    <row r="323" customFormat="false" ht="14.25" hidden="false" customHeight="true" outlineLevel="0" collapsed="false">
      <c r="A323" s="53" t="s">
        <v>1251</v>
      </c>
      <c r="B323" s="121" t="n">
        <f aca="false">B322</f>
        <v>3.84810126582278</v>
      </c>
      <c r="D323" s="123"/>
      <c r="G323" s="124"/>
      <c r="H323" s="124"/>
    </row>
    <row r="324" customFormat="false" ht="14.25" hidden="false" customHeight="true" outlineLevel="0" collapsed="false">
      <c r="A324" s="53" t="s">
        <v>1252</v>
      </c>
      <c r="B324" s="121" t="n">
        <f aca="false">B323</f>
        <v>3.84810126582278</v>
      </c>
      <c r="D324" s="123"/>
      <c r="G324" s="124"/>
      <c r="H324" s="124"/>
    </row>
    <row r="325" customFormat="false" ht="14.25" hidden="false" customHeight="true" outlineLevel="0" collapsed="false">
      <c r="A325" s="53" t="s">
        <v>1256</v>
      </c>
      <c r="B325" s="121" t="n">
        <f aca="false">B324</f>
        <v>3.84810126582278</v>
      </c>
      <c r="D325" s="123"/>
      <c r="G325" s="124"/>
      <c r="H325" s="124"/>
    </row>
    <row r="326" customFormat="false" ht="14.25" hidden="false" customHeight="true" outlineLevel="0" collapsed="false">
      <c r="A326" s="53" t="s">
        <v>1262</v>
      </c>
      <c r="B326" s="121" t="n">
        <f aca="false">B325</f>
        <v>3.84810126582278</v>
      </c>
      <c r="D326" s="123"/>
      <c r="G326" s="124"/>
      <c r="H326" s="124"/>
    </row>
    <row r="327" customFormat="false" ht="14.25" hidden="false" customHeight="true" outlineLevel="0" collapsed="false">
      <c r="A327" s="53" t="s">
        <v>1282</v>
      </c>
      <c r="B327" s="121" t="n">
        <f aca="false">B326</f>
        <v>3.84810126582278</v>
      </c>
      <c r="D327" s="123"/>
      <c r="G327" s="124"/>
      <c r="H327" s="124"/>
    </row>
    <row r="328" customFormat="false" ht="14.25" hidden="false" customHeight="true" outlineLevel="0" collapsed="false">
      <c r="A328" s="53" t="s">
        <v>1289</v>
      </c>
      <c r="B328" s="121" t="n">
        <f aca="false">B327</f>
        <v>3.84810126582278</v>
      </c>
      <c r="D328" s="123"/>
      <c r="G328" s="124"/>
      <c r="H328" s="124"/>
    </row>
    <row r="329" customFormat="false" ht="14.25" hidden="false" customHeight="true" outlineLevel="0" collapsed="false">
      <c r="A329" s="53" t="s">
        <v>1293</v>
      </c>
      <c r="B329" s="121" t="n">
        <f aca="false">B328</f>
        <v>3.84810126582278</v>
      </c>
      <c r="D329" s="123"/>
      <c r="G329" s="124"/>
      <c r="H329" s="124"/>
    </row>
    <row r="330" customFormat="false" ht="14.25" hidden="false" customHeight="true" outlineLevel="0" collapsed="false">
      <c r="A330" s="53" t="s">
        <v>1295</v>
      </c>
      <c r="B330" s="121" t="n">
        <f aca="false">B329</f>
        <v>3.84810126582278</v>
      </c>
      <c r="D330" s="123"/>
      <c r="G330" s="124"/>
      <c r="H330" s="124"/>
    </row>
    <row r="331" customFormat="false" ht="14.25" hidden="false" customHeight="true" outlineLevel="0" collapsed="false">
      <c r="A331" s="53" t="s">
        <v>1296</v>
      </c>
      <c r="B331" s="121" t="n">
        <f aca="false">B330</f>
        <v>3.84810126582278</v>
      </c>
      <c r="D331" s="123"/>
      <c r="G331" s="124"/>
      <c r="H331" s="124"/>
    </row>
    <row r="332" customFormat="false" ht="14.25" hidden="false" customHeight="true" outlineLevel="0" collapsed="false">
      <c r="A332" s="53" t="s">
        <v>1299</v>
      </c>
      <c r="B332" s="121" t="n">
        <f aca="false">B331</f>
        <v>3.84810126582278</v>
      </c>
      <c r="D332" s="123"/>
      <c r="G332" s="124"/>
      <c r="H332" s="124"/>
    </row>
    <row r="333" customFormat="false" ht="14.25" hidden="false" customHeight="true" outlineLevel="0" collapsed="false">
      <c r="A333" s="53" t="s">
        <v>1301</v>
      </c>
      <c r="B333" s="121" t="n">
        <f aca="false">B332</f>
        <v>3.84810126582278</v>
      </c>
      <c r="D333" s="123"/>
      <c r="G333" s="124"/>
      <c r="H333" s="124"/>
    </row>
    <row r="334" customFormat="false" ht="14.25" hidden="false" customHeight="true" outlineLevel="0" collapsed="false">
      <c r="A334" s="53" t="s">
        <v>1304</v>
      </c>
      <c r="B334" s="121" t="n">
        <f aca="false">B333</f>
        <v>3.84810126582278</v>
      </c>
      <c r="D334" s="123"/>
      <c r="G334" s="124"/>
      <c r="H334" s="124"/>
    </row>
    <row r="335" customFormat="false" ht="14.25" hidden="false" customHeight="true" outlineLevel="0" collapsed="false">
      <c r="A335" s="53" t="s">
        <v>1306</v>
      </c>
      <c r="B335" s="121" t="n">
        <f aca="false">B334</f>
        <v>3.84810126582278</v>
      </c>
      <c r="D335" s="123"/>
      <c r="G335" s="124"/>
      <c r="H335" s="124"/>
    </row>
    <row r="336" customFormat="false" ht="14.25" hidden="false" customHeight="true" outlineLevel="0" collapsed="false">
      <c r="A336" s="53" t="s">
        <v>1309</v>
      </c>
      <c r="B336" s="121" t="n">
        <f aca="false">B335</f>
        <v>3.84810126582278</v>
      </c>
      <c r="D336" s="123"/>
      <c r="G336" s="124"/>
      <c r="H336" s="124"/>
    </row>
    <row r="337" customFormat="false" ht="14.25" hidden="false" customHeight="true" outlineLevel="0" collapsed="false">
      <c r="A337" s="53" t="s">
        <v>1310</v>
      </c>
      <c r="B337" s="121" t="n">
        <f aca="false">B336</f>
        <v>3.84810126582278</v>
      </c>
      <c r="D337" s="123"/>
      <c r="G337" s="124"/>
      <c r="H337" s="124"/>
    </row>
    <row r="338" customFormat="false" ht="14.25" hidden="false" customHeight="true" outlineLevel="0" collapsed="false">
      <c r="A338" s="53" t="s">
        <v>1313</v>
      </c>
      <c r="B338" s="121" t="n">
        <f aca="false">B337</f>
        <v>3.84810126582278</v>
      </c>
      <c r="D338" s="123"/>
      <c r="G338" s="124"/>
      <c r="H338" s="124"/>
    </row>
    <row r="339" customFormat="false" ht="14.25" hidden="false" customHeight="true" outlineLevel="0" collapsed="false">
      <c r="A339" s="53" t="s">
        <v>1314</v>
      </c>
      <c r="B339" s="121" t="n">
        <f aca="false">B338</f>
        <v>3.84810126582278</v>
      </c>
      <c r="D339" s="123"/>
      <c r="G339" s="124"/>
      <c r="H339" s="124"/>
    </row>
    <row r="340" customFormat="false" ht="14.25" hidden="false" customHeight="true" outlineLevel="0" collapsed="false">
      <c r="A340" s="53" t="s">
        <v>1319</v>
      </c>
      <c r="B340" s="121" t="n">
        <f aca="false">B339</f>
        <v>3.84810126582278</v>
      </c>
      <c r="D340" s="123"/>
      <c r="G340" s="124"/>
      <c r="H340" s="124"/>
    </row>
    <row r="341" customFormat="false" ht="14.25" hidden="false" customHeight="true" outlineLevel="0" collapsed="false">
      <c r="A341" s="53" t="s">
        <v>1321</v>
      </c>
      <c r="B341" s="121" t="n">
        <f aca="false">B340</f>
        <v>3.84810126582278</v>
      </c>
      <c r="D341" s="123"/>
      <c r="G341" s="124"/>
      <c r="H341" s="124"/>
    </row>
    <row r="342" customFormat="false" ht="14.25" hidden="false" customHeight="true" outlineLevel="0" collapsed="false">
      <c r="A342" s="53" t="s">
        <v>1328</v>
      </c>
      <c r="B342" s="121" t="n">
        <f aca="false">B341</f>
        <v>3.84810126582278</v>
      </c>
      <c r="D342" s="123"/>
      <c r="G342" s="124"/>
      <c r="H342" s="124"/>
    </row>
    <row r="343" customFormat="false" ht="14.25" hidden="false" customHeight="true" outlineLevel="0" collapsed="false">
      <c r="A343" s="53" t="s">
        <v>1330</v>
      </c>
      <c r="B343" s="121" t="n">
        <f aca="false">B342</f>
        <v>3.84810126582278</v>
      </c>
      <c r="D343" s="123"/>
      <c r="G343" s="124"/>
      <c r="H343" s="124"/>
    </row>
    <row r="344" customFormat="false" ht="14.25" hidden="false" customHeight="true" outlineLevel="0" collapsed="false">
      <c r="A344" s="53" t="s">
        <v>1332</v>
      </c>
      <c r="B344" s="121" t="n">
        <f aca="false">B343</f>
        <v>3.84810126582278</v>
      </c>
      <c r="D344" s="123"/>
      <c r="G344" s="124"/>
      <c r="H344" s="124"/>
    </row>
    <row r="345" customFormat="false" ht="14.25" hidden="false" customHeight="true" outlineLevel="0" collapsed="false">
      <c r="A345" s="53" t="s">
        <v>1337</v>
      </c>
      <c r="B345" s="121" t="n">
        <f aca="false">B344</f>
        <v>3.84810126582278</v>
      </c>
      <c r="D345" s="123"/>
      <c r="G345" s="124"/>
      <c r="H345" s="124"/>
    </row>
    <row r="346" customFormat="false" ht="14.25" hidden="false" customHeight="true" outlineLevel="0" collapsed="false">
      <c r="A346" s="53" t="s">
        <v>1345</v>
      </c>
      <c r="B346" s="121" t="n">
        <f aca="false">B345</f>
        <v>3.84810126582278</v>
      </c>
      <c r="D346" s="123"/>
      <c r="G346" s="124"/>
      <c r="H346" s="124"/>
    </row>
    <row r="347" customFormat="false" ht="14.25" hidden="false" customHeight="true" outlineLevel="0" collapsed="false">
      <c r="A347" s="53" t="s">
        <v>1352</v>
      </c>
      <c r="B347" s="121" t="n">
        <f aca="false">B346</f>
        <v>3.84810126582278</v>
      </c>
      <c r="D347" s="123"/>
      <c r="G347" s="124"/>
      <c r="H347" s="124"/>
    </row>
    <row r="348" customFormat="false" ht="14.25" hidden="false" customHeight="true" outlineLevel="0" collapsed="false">
      <c r="A348" s="53" t="s">
        <v>1354</v>
      </c>
      <c r="B348" s="121" t="n">
        <f aca="false">B347</f>
        <v>3.84810126582278</v>
      </c>
      <c r="D348" s="123"/>
      <c r="G348" s="124"/>
      <c r="H348" s="124"/>
    </row>
    <row r="349" customFormat="false" ht="14.25" hidden="false" customHeight="true" outlineLevel="0" collapsed="false">
      <c r="A349" s="53" t="s">
        <v>1357</v>
      </c>
      <c r="B349" s="121" t="n">
        <f aca="false">B348</f>
        <v>3.84810126582278</v>
      </c>
      <c r="D349" s="123"/>
      <c r="G349" s="124"/>
      <c r="H349" s="124"/>
    </row>
    <row r="350" customFormat="false" ht="14.25" hidden="false" customHeight="true" outlineLevel="0" collapsed="false">
      <c r="A350" s="53" t="s">
        <v>1361</v>
      </c>
      <c r="B350" s="121" t="n">
        <f aca="false">B349</f>
        <v>3.84810126582278</v>
      </c>
      <c r="D350" s="123"/>
      <c r="G350" s="124"/>
      <c r="H350" s="124"/>
    </row>
    <row r="351" customFormat="false" ht="14.25" hidden="false" customHeight="true" outlineLevel="0" collapsed="false">
      <c r="A351" s="53" t="s">
        <v>1364</v>
      </c>
      <c r="B351" s="121" t="n">
        <f aca="false">B350</f>
        <v>3.84810126582278</v>
      </c>
      <c r="D351" s="123"/>
      <c r="G351" s="124"/>
      <c r="H351" s="124"/>
    </row>
    <row r="352" customFormat="false" ht="14.25" hidden="false" customHeight="true" outlineLevel="0" collapsed="false">
      <c r="A352" s="53" t="s">
        <v>1367</v>
      </c>
      <c r="B352" s="121" t="n">
        <f aca="false">B351</f>
        <v>3.84810126582278</v>
      </c>
      <c r="D352" s="123"/>
      <c r="G352" s="124"/>
      <c r="H352" s="124"/>
    </row>
    <row r="353" customFormat="false" ht="14.25" hidden="false" customHeight="true" outlineLevel="0" collapsed="false">
      <c r="A353" s="53" t="s">
        <v>1368</v>
      </c>
      <c r="B353" s="121" t="n">
        <f aca="false">B352</f>
        <v>3.84810126582278</v>
      </c>
      <c r="D353" s="123"/>
      <c r="G353" s="124"/>
      <c r="H353" s="124"/>
    </row>
    <row r="354" customFormat="false" ht="14.25" hidden="false" customHeight="true" outlineLevel="0" collapsed="false">
      <c r="A354" s="53" t="s">
        <v>1369</v>
      </c>
      <c r="B354" s="121" t="n">
        <f aca="false">B353</f>
        <v>3.84810126582278</v>
      </c>
      <c r="D354" s="123"/>
      <c r="G354" s="124"/>
      <c r="H354" s="124"/>
    </row>
    <row r="355" customFormat="false" ht="14.25" hidden="false" customHeight="true" outlineLevel="0" collapsed="false">
      <c r="A355" s="53" t="s">
        <v>1375</v>
      </c>
      <c r="B355" s="121" t="n">
        <f aca="false">B354</f>
        <v>3.84810126582278</v>
      </c>
      <c r="D355" s="123"/>
      <c r="G355" s="124"/>
      <c r="H355" s="124"/>
    </row>
    <row r="356" customFormat="false" ht="14.25" hidden="false" customHeight="true" outlineLevel="0" collapsed="false">
      <c r="A356" s="53" t="s">
        <v>1377</v>
      </c>
      <c r="B356" s="121" t="n">
        <f aca="false">B355</f>
        <v>3.84810126582278</v>
      </c>
      <c r="D356" s="123"/>
      <c r="G356" s="124"/>
      <c r="H356" s="124"/>
    </row>
    <row r="357" customFormat="false" ht="14.25" hidden="false" customHeight="true" outlineLevel="0" collapsed="false">
      <c r="A357" s="53" t="s">
        <v>1381</v>
      </c>
      <c r="B357" s="121" t="n">
        <f aca="false">B356</f>
        <v>3.84810126582278</v>
      </c>
      <c r="D357" s="123"/>
      <c r="G357" s="124"/>
      <c r="H357" s="124"/>
    </row>
    <row r="358" customFormat="false" ht="14.25" hidden="false" customHeight="true" outlineLevel="0" collapsed="false">
      <c r="A358" s="53" t="s">
        <v>1383</v>
      </c>
      <c r="B358" s="121" t="n">
        <f aca="false">B357</f>
        <v>3.84810126582278</v>
      </c>
      <c r="D358" s="123"/>
      <c r="G358" s="124"/>
      <c r="H358" s="124"/>
    </row>
    <row r="359" customFormat="false" ht="14.25" hidden="false" customHeight="true" outlineLevel="0" collapsed="false">
      <c r="A359" s="53" t="s">
        <v>1385</v>
      </c>
      <c r="B359" s="121" t="n">
        <f aca="false">B358</f>
        <v>3.84810126582278</v>
      </c>
      <c r="D359" s="123"/>
      <c r="G359" s="124"/>
      <c r="H359" s="124"/>
    </row>
    <row r="360" customFormat="false" ht="14.25" hidden="false" customHeight="true" outlineLevel="0" collapsed="false">
      <c r="A360" s="53" t="s">
        <v>1387</v>
      </c>
      <c r="B360" s="121" t="n">
        <f aca="false">B359</f>
        <v>3.84810126582278</v>
      </c>
      <c r="D360" s="123"/>
      <c r="G360" s="124"/>
      <c r="H360" s="124"/>
    </row>
    <row r="361" customFormat="false" ht="14.25" hidden="false" customHeight="true" outlineLevel="0" collapsed="false">
      <c r="A361" s="53" t="s">
        <v>1391</v>
      </c>
      <c r="B361" s="121" t="n">
        <f aca="false">B360</f>
        <v>3.84810126582278</v>
      </c>
      <c r="D361" s="123"/>
      <c r="G361" s="124"/>
      <c r="H361" s="124"/>
    </row>
    <row r="362" customFormat="false" ht="14.25" hidden="false" customHeight="true" outlineLevel="0" collapsed="false">
      <c r="A362" s="53" t="s">
        <v>1397</v>
      </c>
      <c r="B362" s="121" t="n">
        <f aca="false">B361</f>
        <v>3.84810126582278</v>
      </c>
      <c r="D362" s="123"/>
      <c r="G362" s="124"/>
      <c r="H362" s="124"/>
    </row>
    <row r="363" customFormat="false" ht="14.25" hidden="false" customHeight="true" outlineLevel="0" collapsed="false">
      <c r="A363" s="53" t="s">
        <v>1399</v>
      </c>
      <c r="B363" s="121" t="n">
        <f aca="false">B362</f>
        <v>3.84810126582278</v>
      </c>
      <c r="D363" s="123"/>
      <c r="G363" s="124"/>
      <c r="H363" s="124"/>
    </row>
    <row r="364" customFormat="false" ht="14.25" hidden="false" customHeight="true" outlineLevel="0" collapsed="false">
      <c r="A364" s="53" t="s">
        <v>1401</v>
      </c>
      <c r="B364" s="121" t="n">
        <f aca="false">B363</f>
        <v>3.84810126582278</v>
      </c>
      <c r="D364" s="123"/>
      <c r="G364" s="124"/>
      <c r="H364" s="124"/>
    </row>
    <row r="365" customFormat="false" ht="14.25" hidden="false" customHeight="true" outlineLevel="0" collapsed="false">
      <c r="A365" s="53" t="s">
        <v>1405</v>
      </c>
      <c r="B365" s="121" t="n">
        <f aca="false">B364</f>
        <v>3.84810126582278</v>
      </c>
      <c r="D365" s="123"/>
      <c r="G365" s="124"/>
      <c r="H365" s="124"/>
    </row>
    <row r="366" customFormat="false" ht="14.25" hidden="false" customHeight="true" outlineLevel="0" collapsed="false">
      <c r="A366" s="53" t="s">
        <v>1406</v>
      </c>
      <c r="B366" s="121" t="n">
        <f aca="false">B365</f>
        <v>3.84810126582278</v>
      </c>
      <c r="D366" s="123"/>
      <c r="G366" s="124"/>
      <c r="H366" s="124"/>
    </row>
    <row r="367" customFormat="false" ht="14.25" hidden="false" customHeight="true" outlineLevel="0" collapsed="false">
      <c r="A367" s="53" t="s">
        <v>1409</v>
      </c>
      <c r="B367" s="121" t="n">
        <f aca="false">B366</f>
        <v>3.84810126582278</v>
      </c>
      <c r="D367" s="123"/>
      <c r="G367" s="124"/>
      <c r="H367" s="124"/>
    </row>
    <row r="368" customFormat="false" ht="14.25" hidden="false" customHeight="true" outlineLevel="0" collapsed="false">
      <c r="A368" s="53" t="s">
        <v>1417</v>
      </c>
      <c r="B368" s="121" t="n">
        <f aca="false">B367</f>
        <v>3.84810126582278</v>
      </c>
      <c r="D368" s="123"/>
      <c r="G368" s="124"/>
      <c r="H368" s="124"/>
    </row>
    <row r="369" customFormat="false" ht="14.25" hidden="false" customHeight="true" outlineLevel="0" collapsed="false">
      <c r="A369" s="53" t="s">
        <v>1423</v>
      </c>
      <c r="B369" s="121" t="n">
        <f aca="false">B368</f>
        <v>3.84810126582278</v>
      </c>
      <c r="D369" s="123"/>
      <c r="G369" s="124"/>
      <c r="H369" s="124"/>
    </row>
    <row r="370" customFormat="false" ht="14.25" hidden="false" customHeight="true" outlineLevel="0" collapsed="false">
      <c r="A370" s="53" t="s">
        <v>1427</v>
      </c>
      <c r="B370" s="121" t="n">
        <f aca="false">B369</f>
        <v>3.84810126582278</v>
      </c>
      <c r="D370" s="123"/>
      <c r="G370" s="124"/>
      <c r="H370" s="124"/>
    </row>
    <row r="371" customFormat="false" ht="14.25" hidden="false" customHeight="true" outlineLevel="0" collapsed="false">
      <c r="A371" s="53" t="s">
        <v>1434</v>
      </c>
      <c r="B371" s="121" t="n">
        <f aca="false">B370</f>
        <v>3.84810126582278</v>
      </c>
      <c r="D371" s="123"/>
      <c r="G371" s="124"/>
      <c r="H371" s="124"/>
    </row>
    <row r="372" customFormat="false" ht="14.25" hidden="false" customHeight="true" outlineLevel="0" collapsed="false">
      <c r="A372" s="53" t="s">
        <v>135</v>
      </c>
      <c r="B372" s="122" t="n">
        <v>2.2011</v>
      </c>
      <c r="D372" s="123"/>
      <c r="G372" s="124"/>
      <c r="H372" s="124"/>
    </row>
    <row r="373" customFormat="false" ht="14.25" hidden="false" customHeight="true" outlineLevel="0" collapsed="false">
      <c r="A373" s="53" t="s">
        <v>139</v>
      </c>
      <c r="B373" s="122" t="n">
        <v>2.1186</v>
      </c>
      <c r="D373" s="123"/>
      <c r="G373" s="124"/>
      <c r="H373" s="124"/>
    </row>
    <row r="374" customFormat="false" ht="14.25" hidden="false" customHeight="true" outlineLevel="0" collapsed="false">
      <c r="A374" s="53" t="s">
        <v>143</v>
      </c>
      <c r="B374" s="122" t="n">
        <v>2.0485</v>
      </c>
      <c r="D374" s="123"/>
      <c r="G374" s="124"/>
      <c r="H374" s="124"/>
    </row>
    <row r="375" customFormat="false" ht="14.25" hidden="false" customHeight="true" outlineLevel="0" collapsed="false">
      <c r="A375" s="53" t="s">
        <v>147</v>
      </c>
      <c r="B375" s="122" t="n">
        <v>1.9908</v>
      </c>
      <c r="D375" s="123"/>
      <c r="G375" s="124"/>
      <c r="H375" s="124"/>
    </row>
    <row r="376" customFormat="false" ht="14.25" hidden="false" customHeight="true" outlineLevel="0" collapsed="false">
      <c r="A376" s="53" t="s">
        <v>151</v>
      </c>
      <c r="B376" s="122" t="n">
        <v>1.9455</v>
      </c>
      <c r="D376" s="123"/>
      <c r="G376" s="124"/>
      <c r="H376" s="124"/>
    </row>
    <row r="377" customFormat="false" ht="14.25" hidden="false" customHeight="true" outlineLevel="0" collapsed="false">
      <c r="A377" s="53" t="s">
        <v>155</v>
      </c>
      <c r="B377" s="122" t="n">
        <v>1.9126</v>
      </c>
      <c r="D377" s="123"/>
      <c r="G377" s="124"/>
      <c r="H377" s="124"/>
    </row>
    <row r="378" customFormat="false" ht="14.25" hidden="false" customHeight="true" outlineLevel="0" collapsed="false">
      <c r="A378" s="53" t="s">
        <v>159</v>
      </c>
      <c r="B378" s="122" t="n">
        <v>1.8921</v>
      </c>
      <c r="D378" s="123"/>
      <c r="G378" s="124"/>
      <c r="H378" s="124"/>
    </row>
    <row r="379" customFormat="false" ht="14.25" hidden="false" customHeight="true" outlineLevel="0" collapsed="false">
      <c r="A379" s="53" t="s">
        <v>163</v>
      </c>
      <c r="B379" s="122" t="n">
        <v>1.884</v>
      </c>
      <c r="D379" s="123"/>
      <c r="G379" s="124"/>
      <c r="H379" s="124"/>
    </row>
    <row r="380" customFormat="false" ht="14.25" hidden="false" customHeight="true" outlineLevel="0" collapsed="false">
      <c r="A380" s="53" t="s">
        <v>167</v>
      </c>
      <c r="B380" s="122" t="n">
        <v>1.8883</v>
      </c>
      <c r="D380" s="123"/>
      <c r="G380" s="124"/>
      <c r="H380" s="124"/>
    </row>
    <row r="381" customFormat="false" ht="14.25" hidden="false" customHeight="true" outlineLevel="0" collapsed="false">
      <c r="A381" s="53" t="s">
        <v>171</v>
      </c>
      <c r="B381" s="122" t="n">
        <v>1.905</v>
      </c>
      <c r="D381" s="123"/>
      <c r="G381" s="124"/>
      <c r="H381" s="124"/>
    </row>
    <row r="382" customFormat="false" ht="14.25" hidden="false" customHeight="true" outlineLevel="0" collapsed="false">
      <c r="A382" s="53" t="s">
        <v>175</v>
      </c>
      <c r="B382" s="122" t="n">
        <v>1.9341</v>
      </c>
      <c r="D382" s="123"/>
      <c r="G382" s="124"/>
      <c r="H382" s="124"/>
    </row>
    <row r="383" customFormat="false" ht="14.25" hidden="false" customHeight="true" outlineLevel="0" collapsed="false">
      <c r="A383" s="53" t="s">
        <v>179</v>
      </c>
      <c r="B383" s="122" t="n">
        <v>1.9756</v>
      </c>
      <c r="D383" s="123"/>
      <c r="G383" s="124"/>
      <c r="H383" s="124"/>
    </row>
    <row r="384" customFormat="false" ht="14.25" hidden="false" customHeight="true" outlineLevel="0" collapsed="false">
      <c r="A384" s="53" t="s">
        <v>183</v>
      </c>
      <c r="B384" s="122" t="n">
        <v>2.0295</v>
      </c>
      <c r="D384" s="123"/>
      <c r="G384" s="124"/>
      <c r="H384" s="124"/>
    </row>
    <row r="385" customFormat="false" ht="14.25" hidden="false" customHeight="true" outlineLevel="0" collapsed="false">
      <c r="A385" s="53" t="s">
        <v>187</v>
      </c>
      <c r="B385" s="122" t="n">
        <v>2.0958</v>
      </c>
      <c r="D385" s="123"/>
      <c r="G385" s="124"/>
      <c r="H385" s="124"/>
    </row>
    <row r="386" customFormat="false" ht="14.25" hidden="false" customHeight="true" outlineLevel="0" collapsed="false">
      <c r="A386" s="53" t="s">
        <v>191</v>
      </c>
      <c r="B386" s="122" t="n">
        <v>2.1745</v>
      </c>
      <c r="D386" s="123"/>
      <c r="G386" s="124"/>
      <c r="H386" s="124"/>
    </row>
    <row r="387" customFormat="false" ht="14.25" hidden="false" customHeight="true" outlineLevel="0" collapsed="false">
      <c r="A387" s="53" t="s">
        <v>195</v>
      </c>
      <c r="B387" s="122" t="n">
        <v>2.2656</v>
      </c>
      <c r="D387" s="123"/>
      <c r="G387" s="124"/>
      <c r="H387" s="124"/>
    </row>
    <row r="388" customFormat="false" ht="14.25" hidden="false" customHeight="true" outlineLevel="0" collapsed="false">
      <c r="A388" s="53" t="s">
        <v>199</v>
      </c>
      <c r="B388" s="122" t="n">
        <v>2.3691</v>
      </c>
      <c r="D388" s="123"/>
      <c r="G388" s="124"/>
      <c r="H388" s="124"/>
    </row>
    <row r="389" customFormat="false" ht="14.25" hidden="false" customHeight="true" outlineLevel="0" collapsed="false">
      <c r="A389" s="53" t="s">
        <v>203</v>
      </c>
      <c r="B389" s="122" t="n">
        <v>2.485</v>
      </c>
      <c r="D389" s="123"/>
      <c r="G389" s="124"/>
      <c r="H389" s="124"/>
    </row>
    <row r="390" customFormat="false" ht="14.25" hidden="false" customHeight="true" outlineLevel="0" collapsed="false">
      <c r="A390" s="53" t="s">
        <v>207</v>
      </c>
      <c r="B390" s="122" t="n">
        <v>2.6133</v>
      </c>
      <c r="D390" s="123"/>
      <c r="G390" s="124"/>
      <c r="H390" s="124"/>
    </row>
    <row r="391" customFormat="false" ht="14.25" hidden="false" customHeight="true" outlineLevel="0" collapsed="false">
      <c r="A391" s="53" t="s">
        <v>211</v>
      </c>
      <c r="B391" s="122" t="n">
        <v>2.754</v>
      </c>
      <c r="D391" s="123"/>
      <c r="G391" s="124"/>
      <c r="H391" s="124"/>
    </row>
    <row r="392" customFormat="false" ht="14.25" hidden="false" customHeight="true" outlineLevel="0" collapsed="false">
      <c r="A392" s="53" t="s">
        <v>215</v>
      </c>
      <c r="B392" s="122" t="n">
        <v>2.9071</v>
      </c>
      <c r="D392" s="123"/>
      <c r="G392" s="124"/>
      <c r="H392" s="124"/>
    </row>
    <row r="393" customFormat="false" ht="14.25" hidden="false" customHeight="true" outlineLevel="0" collapsed="false">
      <c r="A393" s="53" t="s">
        <v>219</v>
      </c>
      <c r="B393" s="122" t="n">
        <v>3</v>
      </c>
      <c r="D393" s="123"/>
      <c r="G393" s="124"/>
      <c r="H393" s="124"/>
    </row>
    <row r="394" customFormat="false" ht="14.25" hidden="false" customHeight="true" outlineLevel="0" collapsed="false">
      <c r="A394" s="53" t="s">
        <v>223</v>
      </c>
      <c r="B394" s="122" t="n">
        <v>3</v>
      </c>
      <c r="D394" s="123"/>
      <c r="G394" s="124"/>
      <c r="H394" s="124"/>
    </row>
    <row r="395" customFormat="false" ht="14.25" hidden="false" customHeight="true" outlineLevel="0" collapsed="false">
      <c r="A395" s="53" t="s">
        <v>227</v>
      </c>
      <c r="B395" s="122" t="n">
        <v>3</v>
      </c>
      <c r="D395" s="123"/>
      <c r="G395" s="124"/>
      <c r="H395" s="124"/>
    </row>
    <row r="396" customFormat="false" ht="14.25" hidden="false" customHeight="true" outlineLevel="0" collapsed="false">
      <c r="A396" s="53" t="s">
        <v>231</v>
      </c>
      <c r="B396" s="122" t="n">
        <v>3</v>
      </c>
      <c r="D396" s="123"/>
      <c r="G396" s="124"/>
      <c r="H396" s="124"/>
    </row>
    <row r="397" customFormat="false" ht="14.25" hidden="false" customHeight="true" outlineLevel="0" collapsed="false">
      <c r="A397" s="53" t="s">
        <v>235</v>
      </c>
      <c r="B397" s="122" t="n">
        <v>3</v>
      </c>
      <c r="D397" s="123"/>
      <c r="G397" s="124"/>
      <c r="H397" s="124"/>
    </row>
    <row r="398" customFormat="false" ht="14.25" hidden="false" customHeight="true" outlineLevel="0" collapsed="false">
      <c r="A398" s="53" t="s">
        <v>239</v>
      </c>
      <c r="B398" s="122" t="n">
        <v>3</v>
      </c>
      <c r="D398" s="123"/>
      <c r="G398" s="124"/>
      <c r="H398" s="124"/>
    </row>
    <row r="399" customFormat="false" ht="14.25" hidden="false" customHeight="true" outlineLevel="0" collapsed="false">
      <c r="A399" s="53" t="s">
        <v>243</v>
      </c>
      <c r="B399" s="122" t="n">
        <v>3</v>
      </c>
      <c r="D399" s="123"/>
      <c r="G399" s="124"/>
      <c r="H399" s="124"/>
    </row>
    <row r="400" customFormat="false" ht="14.25" hidden="false" customHeight="true" outlineLevel="0" collapsed="false">
      <c r="A400" s="53" t="s">
        <v>247</v>
      </c>
      <c r="B400" s="122" t="n">
        <f aca="false">B399</f>
        <v>3</v>
      </c>
      <c r="D400" s="123"/>
      <c r="G400" s="124"/>
      <c r="H400" s="124"/>
    </row>
    <row r="401" customFormat="false" ht="14.25" hidden="false" customHeight="true" outlineLevel="0" collapsed="false">
      <c r="A401" s="53" t="s">
        <v>251</v>
      </c>
      <c r="B401" s="122" t="n">
        <f aca="false">B400</f>
        <v>3</v>
      </c>
      <c r="D401" s="123"/>
      <c r="G401" s="124"/>
      <c r="H401" s="124"/>
    </row>
    <row r="402" customFormat="false" ht="14.25" hidden="false" customHeight="true" outlineLevel="0" collapsed="false">
      <c r="A402" s="53" t="s">
        <v>255</v>
      </c>
      <c r="B402" s="122" t="n">
        <f aca="false">B401</f>
        <v>3</v>
      </c>
      <c r="D402" s="123"/>
      <c r="G402" s="124"/>
      <c r="H402" s="124"/>
    </row>
    <row r="403" customFormat="false" ht="14.25" hidden="false" customHeight="true" outlineLevel="0" collapsed="false">
      <c r="A403" s="53" t="s">
        <v>259</v>
      </c>
      <c r="B403" s="122" t="n">
        <f aca="false">B402</f>
        <v>3</v>
      </c>
      <c r="D403" s="123"/>
      <c r="G403" s="124"/>
      <c r="H403" s="124"/>
    </row>
    <row r="404" customFormat="false" ht="14.25" hidden="false" customHeight="true" outlineLevel="0" collapsed="false">
      <c r="A404" s="53" t="s">
        <v>263</v>
      </c>
      <c r="B404" s="122" t="n">
        <f aca="false">B403</f>
        <v>3</v>
      </c>
      <c r="D404" s="123"/>
      <c r="G404" s="124"/>
      <c r="H404" s="124"/>
    </row>
    <row r="405" customFormat="false" ht="14.25" hidden="false" customHeight="true" outlineLevel="0" collapsed="false">
      <c r="A405" s="53" t="s">
        <v>267</v>
      </c>
      <c r="B405" s="122" t="n">
        <f aca="false">B404</f>
        <v>3</v>
      </c>
      <c r="D405" s="123"/>
      <c r="G405" s="124"/>
      <c r="H405" s="124"/>
    </row>
    <row r="406" customFormat="false" ht="14.25" hidden="false" customHeight="true" outlineLevel="0" collapsed="false">
      <c r="A406" s="53" t="s">
        <v>271</v>
      </c>
      <c r="B406" s="122" t="n">
        <f aca="false">B405</f>
        <v>3</v>
      </c>
      <c r="D406" s="123"/>
      <c r="G406" s="124"/>
      <c r="H406" s="124"/>
    </row>
    <row r="407" customFormat="false" ht="14.25" hidden="false" customHeight="true" outlineLevel="0" collapsed="false">
      <c r="A407" s="53" t="s">
        <v>275</v>
      </c>
      <c r="B407" s="122" t="n">
        <f aca="false">B406</f>
        <v>3</v>
      </c>
      <c r="D407" s="123"/>
      <c r="G407" s="124"/>
      <c r="H407" s="124"/>
    </row>
    <row r="408" customFormat="false" ht="14.25" hidden="false" customHeight="true" outlineLevel="0" collapsed="false">
      <c r="A408" s="53" t="s">
        <v>279</v>
      </c>
      <c r="B408" s="122" t="n">
        <f aca="false">B407</f>
        <v>3</v>
      </c>
      <c r="D408" s="123"/>
      <c r="G408" s="124"/>
      <c r="H408" s="124"/>
    </row>
    <row r="409" customFormat="false" ht="14.25" hidden="false" customHeight="true" outlineLevel="0" collapsed="false">
      <c r="A409" s="53" t="s">
        <v>283</v>
      </c>
      <c r="B409" s="122" t="n">
        <f aca="false">B408</f>
        <v>3</v>
      </c>
      <c r="D409" s="123"/>
      <c r="G409" s="124"/>
      <c r="H409" s="124"/>
    </row>
    <row r="410" customFormat="false" ht="14.25" hidden="false" customHeight="true" outlineLevel="0" collapsed="false">
      <c r="A410" s="53" t="s">
        <v>287</v>
      </c>
      <c r="B410" s="122" t="n">
        <f aca="false">B409</f>
        <v>3</v>
      </c>
      <c r="D410" s="123"/>
      <c r="G410" s="124"/>
      <c r="H410" s="124"/>
    </row>
    <row r="411" customFormat="false" ht="14.25" hidden="false" customHeight="true" outlineLevel="0" collapsed="false">
      <c r="A411" s="53" t="s">
        <v>291</v>
      </c>
      <c r="B411" s="122" t="n">
        <f aca="false">B410</f>
        <v>3</v>
      </c>
      <c r="D411" s="123"/>
      <c r="G411" s="124"/>
      <c r="H411" s="124"/>
    </row>
    <row r="412" customFormat="false" ht="14.25" hidden="false" customHeight="true" outlineLevel="0" collapsed="false">
      <c r="A412" s="53" t="s">
        <v>295</v>
      </c>
      <c r="B412" s="122" t="n">
        <f aca="false">B411</f>
        <v>3</v>
      </c>
      <c r="D412" s="123"/>
      <c r="G412" s="124"/>
      <c r="H412" s="124"/>
    </row>
    <row r="413" customFormat="false" ht="14.25" hidden="false" customHeight="true" outlineLevel="0" collapsed="false">
      <c r="A413" s="53" t="s">
        <v>299</v>
      </c>
      <c r="B413" s="122" t="n">
        <f aca="false">B412</f>
        <v>3</v>
      </c>
      <c r="D413" s="123"/>
      <c r="G413" s="124"/>
      <c r="H413" s="124"/>
    </row>
    <row r="414" customFormat="false" ht="14.25" hidden="false" customHeight="true" outlineLevel="0" collapsed="false">
      <c r="A414" s="53" t="s">
        <v>303</v>
      </c>
      <c r="B414" s="122" t="n">
        <f aca="false">B413</f>
        <v>3</v>
      </c>
      <c r="D414" s="123"/>
      <c r="G414" s="124"/>
      <c r="H414" s="124"/>
    </row>
    <row r="415" customFormat="false" ht="14.25" hidden="false" customHeight="true" outlineLevel="0" collapsed="false">
      <c r="A415" s="53" t="s">
        <v>307</v>
      </c>
      <c r="B415" s="122" t="n">
        <f aca="false">B414</f>
        <v>3</v>
      </c>
      <c r="D415" s="123"/>
      <c r="G415" s="124"/>
      <c r="H415" s="124"/>
    </row>
    <row r="416" customFormat="false" ht="14.25" hidden="false" customHeight="true" outlineLevel="0" collapsed="false">
      <c r="A416" s="53" t="s">
        <v>311</v>
      </c>
      <c r="B416" s="122" t="n">
        <f aca="false">B415</f>
        <v>3</v>
      </c>
      <c r="D416" s="123"/>
      <c r="G416" s="124"/>
      <c r="H416" s="124"/>
    </row>
    <row r="417" customFormat="false" ht="14.25" hidden="false" customHeight="true" outlineLevel="0" collapsed="false">
      <c r="A417" s="53" t="s">
        <v>315</v>
      </c>
      <c r="B417" s="122" t="n">
        <f aca="false">B416</f>
        <v>3</v>
      </c>
      <c r="D417" s="123"/>
      <c r="G417" s="124"/>
      <c r="H417" s="124"/>
    </row>
    <row r="418" customFormat="false" ht="14.25" hidden="false" customHeight="true" outlineLevel="0" collapsed="false">
      <c r="A418" s="53" t="s">
        <v>319</v>
      </c>
      <c r="B418" s="122" t="n">
        <f aca="false">B417</f>
        <v>3</v>
      </c>
      <c r="D418" s="123"/>
      <c r="G418" s="124"/>
      <c r="H418" s="124"/>
    </row>
    <row r="419" customFormat="false" ht="14.25" hidden="false" customHeight="true" outlineLevel="0" collapsed="false">
      <c r="A419" s="53" t="s">
        <v>323</v>
      </c>
      <c r="B419" s="122" t="n">
        <f aca="false">B418</f>
        <v>3</v>
      </c>
      <c r="D419" s="123"/>
      <c r="G419" s="124"/>
      <c r="H419" s="124"/>
    </row>
    <row r="420" customFormat="false" ht="14.25" hidden="false" customHeight="true" outlineLevel="0" collapsed="false">
      <c r="A420" s="53" t="s">
        <v>326</v>
      </c>
      <c r="B420" s="122" t="n">
        <f aca="false">B419</f>
        <v>3</v>
      </c>
      <c r="D420" s="123"/>
      <c r="G420" s="124"/>
      <c r="H420" s="124"/>
    </row>
    <row r="421" customFormat="false" ht="14.25" hidden="false" customHeight="true" outlineLevel="0" collapsed="false">
      <c r="A421" s="53" t="s">
        <v>329</v>
      </c>
      <c r="B421" s="122" t="n">
        <f aca="false">B420</f>
        <v>3</v>
      </c>
      <c r="D421" s="123"/>
      <c r="G421" s="124"/>
      <c r="H421" s="124"/>
    </row>
    <row r="422" customFormat="false" ht="14.25" hidden="false" customHeight="true" outlineLevel="0" collapsed="false">
      <c r="A422" s="0" t="s">
        <v>1374</v>
      </c>
      <c r="B422" s="121" t="n">
        <f aca="false">$B$34</f>
        <v>3.2</v>
      </c>
      <c r="G422" s="124"/>
      <c r="H422" s="124"/>
    </row>
    <row r="423" customFormat="false" ht="14.25" hidden="false" customHeight="true" outlineLevel="0" collapsed="false">
      <c r="A423" s="0" t="s">
        <v>1388</v>
      </c>
      <c r="B423" s="121" t="n">
        <f aca="false">$B$34</f>
        <v>3.2</v>
      </c>
      <c r="G423" s="124"/>
      <c r="H423" s="124"/>
    </row>
    <row r="424" customFormat="false" ht="14.25" hidden="false" customHeight="true" outlineLevel="0" collapsed="false">
      <c r="A424" s="0" t="s">
        <v>1389</v>
      </c>
      <c r="B424" s="121" t="n">
        <f aca="false">$B$34</f>
        <v>3.2</v>
      </c>
      <c r="G424" s="124"/>
      <c r="H424" s="124"/>
    </row>
    <row r="425" customFormat="false" ht="14.25" hidden="false" customHeight="true" outlineLevel="0" collapsed="false">
      <c r="A425" s="0" t="s">
        <v>1390</v>
      </c>
      <c r="B425" s="121" t="n">
        <f aca="false">$B$34</f>
        <v>3.2</v>
      </c>
      <c r="G425" s="124"/>
      <c r="H425" s="124"/>
    </row>
    <row r="426" customFormat="false" ht="14.25" hidden="false" customHeight="true" outlineLevel="0" collapsed="false">
      <c r="A426" s="0" t="s">
        <v>1398</v>
      </c>
      <c r="B426" s="121" t="n">
        <f aca="false">$B$34</f>
        <v>3.2</v>
      </c>
      <c r="G426" s="124"/>
      <c r="H426" s="124"/>
    </row>
    <row r="427" customFormat="false" ht="14.25" hidden="false" customHeight="true" outlineLevel="0" collapsed="false">
      <c r="A427" s="0" t="s">
        <v>1435</v>
      </c>
      <c r="B427" s="121" t="n">
        <f aca="false">$B$34</f>
        <v>3.2</v>
      </c>
      <c r="G427" s="124"/>
      <c r="H427" s="124"/>
    </row>
    <row r="428" customFormat="false" ht="14.25" hidden="false" customHeight="true" outlineLevel="0" collapsed="false">
      <c r="A428" s="0" t="s">
        <v>1449</v>
      </c>
      <c r="B428" s="121" t="n">
        <f aca="false">$B$34</f>
        <v>3.2</v>
      </c>
      <c r="G428" s="124"/>
      <c r="H428" s="124"/>
    </row>
    <row r="429" customFormat="false" ht="14.25" hidden="false" customHeight="true" outlineLevel="0" collapsed="false">
      <c r="A429" s="0" t="s">
        <v>1490</v>
      </c>
      <c r="B429" s="121" t="n">
        <f aca="false">$B$34</f>
        <v>3.2</v>
      </c>
      <c r="G429" s="124"/>
      <c r="H429" s="124"/>
    </row>
    <row r="430" customFormat="false" ht="14.25" hidden="false" customHeight="true" outlineLevel="0" collapsed="false">
      <c r="A430" s="0" t="s">
        <v>1505</v>
      </c>
      <c r="B430" s="121" t="n">
        <f aca="false">$B$34</f>
        <v>3.2</v>
      </c>
      <c r="G430" s="124"/>
      <c r="H430" s="124"/>
    </row>
    <row r="431" customFormat="false" ht="14.25" hidden="false" customHeight="true" outlineLevel="0" collapsed="false">
      <c r="A431" s="0" t="s">
        <v>1510</v>
      </c>
      <c r="B431" s="121" t="n">
        <f aca="false">$B$34</f>
        <v>3.2</v>
      </c>
      <c r="G431" s="124"/>
      <c r="H431" s="124"/>
    </row>
    <row r="432" customFormat="false" ht="14.25" hidden="false" customHeight="true" outlineLevel="0" collapsed="false">
      <c r="A432" s="0" t="s">
        <v>1511</v>
      </c>
      <c r="B432" s="121" t="n">
        <f aca="false">$B$34</f>
        <v>3.2</v>
      </c>
      <c r="G432" s="124"/>
      <c r="H432" s="124"/>
    </row>
    <row r="433" customFormat="false" ht="14.25" hidden="false" customHeight="true" outlineLevel="0" collapsed="false">
      <c r="A433" s="0" t="s">
        <v>1520</v>
      </c>
      <c r="B433" s="121" t="n">
        <f aca="false">$B$34</f>
        <v>3.2</v>
      </c>
      <c r="G433" s="124"/>
      <c r="H433" s="124"/>
    </row>
    <row r="434" customFormat="false" ht="14.25" hidden="false" customHeight="true" outlineLevel="0" collapsed="false">
      <c r="A434" s="0" t="s">
        <v>1521</v>
      </c>
      <c r="B434" s="121" t="n">
        <f aca="false">$B$34</f>
        <v>3.2</v>
      </c>
      <c r="G434" s="124"/>
      <c r="H434" s="124"/>
    </row>
    <row r="435" customFormat="false" ht="14.25" hidden="false" customHeight="true" outlineLevel="0" collapsed="false">
      <c r="A435" s="0" t="s">
        <v>1523</v>
      </c>
      <c r="B435" s="121" t="n">
        <f aca="false">$B$34</f>
        <v>3.2</v>
      </c>
      <c r="G435" s="124"/>
      <c r="H435" s="124"/>
    </row>
    <row r="436" customFormat="false" ht="14.25" hidden="false" customHeight="true" outlineLevel="0" collapsed="false">
      <c r="A436" s="0" t="s">
        <v>1526</v>
      </c>
      <c r="B436" s="121" t="n">
        <f aca="false">$B$34</f>
        <v>3.2</v>
      </c>
      <c r="G436" s="124"/>
      <c r="H436" s="124"/>
    </row>
    <row r="437" customFormat="false" ht="14.25" hidden="false" customHeight="true" outlineLevel="0" collapsed="false">
      <c r="A437" s="0" t="s">
        <v>1536</v>
      </c>
      <c r="B437" s="121" t="n">
        <f aca="false">$B$34</f>
        <v>3.2</v>
      </c>
      <c r="G437" s="124"/>
      <c r="H437" s="124"/>
    </row>
    <row r="438" customFormat="false" ht="14.25" hidden="false" customHeight="true" outlineLevel="0" collapsed="false">
      <c r="A438" s="0" t="s">
        <v>1537</v>
      </c>
      <c r="B438" s="121" t="n">
        <f aca="false">$B$34</f>
        <v>3.2</v>
      </c>
      <c r="G438" s="124"/>
      <c r="H438" s="124"/>
    </row>
    <row r="439" customFormat="false" ht="14.25" hidden="false" customHeight="true" outlineLevel="0" collapsed="false">
      <c r="A439" s="0" t="s">
        <v>1560</v>
      </c>
      <c r="B439" s="121" t="n">
        <f aca="false">$B$34</f>
        <v>3.2</v>
      </c>
      <c r="G439" s="124"/>
      <c r="H439" s="124"/>
    </row>
    <row r="440" customFormat="false" ht="14.25" hidden="false" customHeight="true" outlineLevel="0" collapsed="false">
      <c r="A440" s="0" t="s">
        <v>1563</v>
      </c>
      <c r="B440" s="121" t="n">
        <f aca="false">$B$34</f>
        <v>3.2</v>
      </c>
      <c r="G440" s="124"/>
      <c r="H440" s="124"/>
    </row>
    <row r="441" customFormat="false" ht="14.25" hidden="false" customHeight="true" outlineLevel="0" collapsed="false">
      <c r="A441" s="0" t="s">
        <v>1565</v>
      </c>
      <c r="B441" s="121" t="n">
        <f aca="false">$B$34</f>
        <v>3.2</v>
      </c>
      <c r="G441" s="124"/>
      <c r="H441" s="124"/>
    </row>
    <row r="442" customFormat="false" ht="14.25" hidden="false" customHeight="true" outlineLevel="0" collapsed="false">
      <c r="A442" s="0" t="s">
        <v>1567</v>
      </c>
      <c r="B442" s="121" t="n">
        <f aca="false">$B$34</f>
        <v>3.2</v>
      </c>
      <c r="G442" s="124"/>
      <c r="H442" s="124"/>
    </row>
    <row r="443" customFormat="false" ht="14.25" hidden="false" customHeight="true" outlineLevel="0" collapsed="false">
      <c r="A443" s="0" t="s">
        <v>1569</v>
      </c>
      <c r="B443" s="121" t="n">
        <f aca="false">$B$34</f>
        <v>3.2</v>
      </c>
    </row>
    <row r="444" customFormat="false" ht="14.25" hidden="false" customHeight="true" outlineLevel="0" collapsed="false">
      <c r="A444" s="0" t="s">
        <v>1571</v>
      </c>
      <c r="B444" s="121" t="n">
        <f aca="false">$B$34</f>
        <v>3.2</v>
      </c>
    </row>
    <row r="445" customFormat="false" ht="14.25" hidden="false" customHeight="true" outlineLevel="0" collapsed="false">
      <c r="A445" s="0" t="s">
        <v>1573</v>
      </c>
      <c r="B445" s="121" t="n">
        <f aca="false">$B$34</f>
        <v>3.2</v>
      </c>
    </row>
    <row r="446" customFormat="false" ht="14.25" hidden="false" customHeight="true" outlineLevel="0" collapsed="false">
      <c r="A446" s="0" t="s">
        <v>1579</v>
      </c>
      <c r="B446" s="121" t="n">
        <f aca="false">$B$34</f>
        <v>3.2</v>
      </c>
    </row>
    <row r="447" customFormat="false" ht="14.25" hidden="false" customHeight="true" outlineLevel="0" collapsed="false">
      <c r="A447" s="0" t="s">
        <v>1242</v>
      </c>
      <c r="B447" s="121" t="n">
        <f aca="false">$B$112</f>
        <v>4</v>
      </c>
    </row>
    <row r="448" customFormat="false" ht="14.25" hidden="false" customHeight="true" outlineLevel="0" collapsed="false">
      <c r="A448" s="0" t="s">
        <v>1244</v>
      </c>
      <c r="B448" s="121" t="n">
        <f aca="false">$B$112</f>
        <v>4</v>
      </c>
    </row>
    <row r="449" customFormat="false" ht="14.25" hidden="false" customHeight="true" outlineLevel="0" collapsed="false">
      <c r="A449" s="0" t="s">
        <v>1246</v>
      </c>
      <c r="B449" s="121" t="n">
        <f aca="false">$B$112</f>
        <v>4</v>
      </c>
    </row>
    <row r="450" customFormat="false" ht="14.25" hidden="false" customHeight="true" outlineLevel="0" collapsed="false">
      <c r="A450" s="0" t="s">
        <v>1247</v>
      </c>
      <c r="B450" s="121" t="n">
        <f aca="false">$B$112</f>
        <v>4</v>
      </c>
    </row>
    <row r="451" customFormat="false" ht="14.25" hidden="false" customHeight="true" outlineLevel="0" collapsed="false">
      <c r="A451" s="0" t="s">
        <v>1248</v>
      </c>
      <c r="B451" s="121" t="n">
        <f aca="false">$B$112</f>
        <v>4</v>
      </c>
    </row>
    <row r="452" customFormat="false" ht="14.25" hidden="false" customHeight="true" outlineLevel="0" collapsed="false">
      <c r="A452" s="0" t="s">
        <v>1254</v>
      </c>
      <c r="B452" s="121" t="n">
        <f aca="false">$B$112</f>
        <v>4</v>
      </c>
    </row>
    <row r="453" customFormat="false" ht="14.25" hidden="false" customHeight="true" outlineLevel="0" collapsed="false">
      <c r="A453" s="0" t="s">
        <v>1255</v>
      </c>
      <c r="B453" s="121" t="n">
        <f aca="false">$B$112</f>
        <v>4</v>
      </c>
    </row>
    <row r="454" customFormat="false" ht="14.25" hidden="false" customHeight="true" outlineLevel="0" collapsed="false">
      <c r="A454" s="0" t="s">
        <v>1260</v>
      </c>
      <c r="B454" s="121" t="n">
        <f aca="false">$B$112</f>
        <v>4</v>
      </c>
    </row>
    <row r="455" customFormat="false" ht="14.25" hidden="false" customHeight="true" outlineLevel="0" collapsed="false">
      <c r="A455" s="0" t="s">
        <v>1266</v>
      </c>
      <c r="B455" s="121" t="n">
        <f aca="false">$B$112</f>
        <v>4</v>
      </c>
    </row>
    <row r="456" customFormat="false" ht="14.25" hidden="false" customHeight="true" outlineLevel="0" collapsed="false">
      <c r="A456" s="0" t="s">
        <v>1276</v>
      </c>
      <c r="B456" s="121" t="n">
        <f aca="false">$B$112</f>
        <v>4</v>
      </c>
    </row>
    <row r="457" customFormat="false" ht="14.25" hidden="false" customHeight="true" outlineLevel="0" collapsed="false">
      <c r="A457" s="0" t="s">
        <v>1278</v>
      </c>
      <c r="B457" s="121" t="n">
        <f aca="false">$B$112</f>
        <v>4</v>
      </c>
    </row>
    <row r="458" customFormat="false" ht="14.25" hidden="false" customHeight="true" outlineLevel="0" collapsed="false">
      <c r="A458" s="0" t="s">
        <v>1280</v>
      </c>
      <c r="B458" s="121" t="n">
        <f aca="false">$B$112</f>
        <v>4</v>
      </c>
    </row>
    <row r="459" customFormat="false" ht="14.25" hidden="false" customHeight="true" outlineLevel="0" collapsed="false">
      <c r="A459" s="0" t="s">
        <v>1284</v>
      </c>
      <c r="B459" s="121" t="n">
        <f aca="false">$B$112</f>
        <v>4</v>
      </c>
    </row>
    <row r="460" customFormat="false" ht="14.25" hidden="false" customHeight="true" outlineLevel="0" collapsed="false">
      <c r="A460" s="0" t="s">
        <v>1292</v>
      </c>
      <c r="B460" s="121" t="n">
        <f aca="false">$B$112</f>
        <v>4</v>
      </c>
    </row>
    <row r="461" customFormat="false" ht="14.25" hidden="false" customHeight="true" outlineLevel="0" collapsed="false">
      <c r="A461" s="0" t="s">
        <v>1297</v>
      </c>
      <c r="B461" s="121" t="n">
        <f aca="false">$B$112</f>
        <v>4</v>
      </c>
    </row>
    <row r="462" customFormat="false" ht="14.25" hidden="false" customHeight="true" outlineLevel="0" collapsed="false">
      <c r="A462" s="0" t="s">
        <v>1308</v>
      </c>
      <c r="B462" s="121" t="n">
        <f aca="false">$B$112</f>
        <v>4</v>
      </c>
    </row>
    <row r="463" customFormat="false" ht="14.25" hidden="false" customHeight="true" outlineLevel="0" collapsed="false">
      <c r="A463" s="0" t="s">
        <v>1316</v>
      </c>
      <c r="B463" s="121" t="n">
        <f aca="false">$B$112</f>
        <v>4</v>
      </c>
    </row>
    <row r="464" customFormat="false" ht="14.25" hidden="false" customHeight="true" outlineLevel="0" collapsed="false">
      <c r="A464" s="0" t="s">
        <v>1318</v>
      </c>
      <c r="B464" s="121" t="n">
        <f aca="false">$B$112</f>
        <v>4</v>
      </c>
    </row>
    <row r="465" customFormat="false" ht="14.25" hidden="false" customHeight="true" outlineLevel="0" collapsed="false">
      <c r="A465" s="0" t="s">
        <v>1323</v>
      </c>
      <c r="B465" s="121" t="n">
        <f aca="false">$B$112</f>
        <v>4</v>
      </c>
    </row>
    <row r="466" customFormat="false" ht="14.25" hidden="false" customHeight="true" outlineLevel="0" collapsed="false">
      <c r="A466" s="0" t="s">
        <v>1324</v>
      </c>
      <c r="B466" s="121" t="n">
        <f aca="false">$B$112</f>
        <v>4</v>
      </c>
    </row>
    <row r="467" customFormat="false" ht="14.25" hidden="false" customHeight="true" outlineLevel="0" collapsed="false">
      <c r="A467" s="0" t="s">
        <v>1326</v>
      </c>
      <c r="B467" s="121" t="n">
        <f aca="false">$B$112</f>
        <v>4</v>
      </c>
    </row>
    <row r="468" customFormat="false" ht="14.25" hidden="false" customHeight="true" outlineLevel="0" collapsed="false">
      <c r="A468" s="0" t="s">
        <v>1331</v>
      </c>
      <c r="B468" s="121" t="n">
        <f aca="false">$B$112</f>
        <v>4</v>
      </c>
    </row>
    <row r="469" customFormat="false" ht="14.25" hidden="false" customHeight="true" outlineLevel="0" collapsed="false">
      <c r="A469" s="0" t="s">
        <v>1334</v>
      </c>
      <c r="B469" s="121" t="n">
        <f aca="false">$B$112</f>
        <v>4</v>
      </c>
    </row>
    <row r="470" customFormat="false" ht="14.25" hidden="false" customHeight="true" outlineLevel="0" collapsed="false">
      <c r="A470" s="0" t="s">
        <v>1339</v>
      </c>
      <c r="B470" s="121" t="n">
        <f aca="false">$B$112</f>
        <v>4</v>
      </c>
    </row>
    <row r="471" customFormat="false" ht="14.25" hidden="false" customHeight="true" outlineLevel="0" collapsed="false">
      <c r="A471" s="0" t="s">
        <v>1341</v>
      </c>
      <c r="B471" s="121" t="n">
        <f aca="false">$B$112</f>
        <v>4</v>
      </c>
    </row>
    <row r="472" customFormat="false" ht="14.25" hidden="false" customHeight="true" outlineLevel="0" collapsed="false">
      <c r="A472" s="0" t="s">
        <v>1347</v>
      </c>
      <c r="B472" s="121" t="n">
        <f aca="false">$B$112</f>
        <v>4</v>
      </c>
    </row>
    <row r="473" customFormat="false" ht="14.25" hidden="false" customHeight="true" outlineLevel="0" collapsed="false">
      <c r="A473" s="0" t="s">
        <v>1356</v>
      </c>
      <c r="B473" s="121" t="n">
        <f aca="false">$B$112</f>
        <v>4</v>
      </c>
    </row>
    <row r="474" customFormat="false" ht="14.25" hidden="false" customHeight="true" outlineLevel="0" collapsed="false">
      <c r="A474" s="0" t="s">
        <v>1373</v>
      </c>
      <c r="B474" s="121" t="n">
        <f aca="false">$B$112</f>
        <v>4</v>
      </c>
    </row>
    <row r="475" customFormat="false" ht="14.25" hidden="false" customHeight="true" outlineLevel="0" collapsed="false">
      <c r="A475" s="0" t="s">
        <v>1379</v>
      </c>
      <c r="B475" s="121" t="n">
        <f aca="false">$B$112</f>
        <v>4</v>
      </c>
    </row>
    <row r="476" customFormat="false" ht="14.25" hidden="false" customHeight="true" outlineLevel="0" collapsed="false">
      <c r="A476" s="0" t="s">
        <v>1404</v>
      </c>
      <c r="B476" s="121" t="n">
        <f aca="false">$B$112</f>
        <v>4</v>
      </c>
    </row>
    <row r="477" customFormat="false" ht="14.25" hidden="false" customHeight="true" outlineLevel="0" collapsed="false">
      <c r="A477" s="0" t="s">
        <v>1414</v>
      </c>
      <c r="B477" s="121" t="n">
        <f aca="false">$B$112</f>
        <v>4</v>
      </c>
    </row>
    <row r="478" customFormat="false" ht="14.25" hidden="false" customHeight="true" outlineLevel="0" collapsed="false">
      <c r="A478" s="0" t="s">
        <v>1425</v>
      </c>
      <c r="B478" s="121" t="n">
        <f aca="false">$B$112</f>
        <v>4</v>
      </c>
    </row>
    <row r="479" customFormat="false" ht="14.25" hidden="false" customHeight="true" outlineLevel="0" collapsed="false">
      <c r="A479" s="0" t="s">
        <v>1428</v>
      </c>
      <c r="B479" s="121" t="n">
        <f aca="false">$B$112</f>
        <v>4</v>
      </c>
    </row>
    <row r="480" customFormat="false" ht="14.25" hidden="false" customHeight="true" outlineLevel="0" collapsed="false">
      <c r="A480" s="0" t="s">
        <v>1430</v>
      </c>
      <c r="B480" s="121" t="n">
        <f aca="false">$B$112</f>
        <v>4</v>
      </c>
    </row>
    <row r="481" customFormat="false" ht="14.25" hidden="false" customHeight="true" outlineLevel="0" collapsed="false">
      <c r="A481" s="0" t="s">
        <v>1432</v>
      </c>
      <c r="B481" s="121" t="n">
        <f aca="false">$B$112</f>
        <v>4</v>
      </c>
    </row>
    <row r="482" customFormat="false" ht="14.25" hidden="false" customHeight="true" outlineLevel="0" collapsed="false">
      <c r="A482" s="0" t="s">
        <v>1440</v>
      </c>
      <c r="B482" s="121" t="n">
        <f aca="false">$B$112</f>
        <v>4</v>
      </c>
    </row>
    <row r="483" customFormat="false" ht="14.25" hidden="false" customHeight="true" outlineLevel="0" collapsed="false">
      <c r="A483" s="0" t="s">
        <v>1446</v>
      </c>
      <c r="B483" s="121" t="n">
        <f aca="false">$B$112</f>
        <v>4</v>
      </c>
    </row>
    <row r="484" customFormat="false" ht="14.25" hidden="false" customHeight="true" outlineLevel="0" collapsed="false">
      <c r="A484" s="0" t="s">
        <v>1456</v>
      </c>
      <c r="B484" s="121" t="n">
        <f aca="false">$B$112</f>
        <v>4</v>
      </c>
    </row>
    <row r="485" customFormat="false" ht="14.25" hidden="false" customHeight="true" outlineLevel="0" collapsed="false">
      <c r="A485" s="0" t="s">
        <v>1469</v>
      </c>
      <c r="B485" s="121" t="n">
        <f aca="false">$B$112</f>
        <v>4</v>
      </c>
    </row>
    <row r="486" customFormat="false" ht="14.25" hidden="false" customHeight="true" outlineLevel="0" collapsed="false">
      <c r="A486" s="0" t="s">
        <v>1481</v>
      </c>
      <c r="B486" s="121" t="n">
        <f aca="false">$B$112</f>
        <v>4</v>
      </c>
    </row>
    <row r="487" customFormat="false" ht="14.25" hidden="false" customHeight="true" outlineLevel="0" collapsed="false">
      <c r="A487" s="0" t="s">
        <v>1438</v>
      </c>
      <c r="B487" s="121" t="n">
        <f aca="false">$B$252</f>
        <v>3.84810126582278</v>
      </c>
    </row>
    <row r="488" customFormat="false" ht="14.25" hidden="false" customHeight="true" outlineLevel="0" collapsed="false">
      <c r="A488" s="0" t="s">
        <v>1442</v>
      </c>
      <c r="B488" s="121" t="n">
        <f aca="false">$B$252</f>
        <v>3.84810126582278</v>
      </c>
    </row>
    <row r="489" customFormat="false" ht="14.25" hidden="false" customHeight="true" outlineLevel="0" collapsed="false">
      <c r="A489" s="0" t="s">
        <v>1444</v>
      </c>
      <c r="B489" s="121" t="n">
        <f aca="false">$B$252</f>
        <v>3.84810126582278</v>
      </c>
    </row>
    <row r="490" customFormat="false" ht="14.25" hidden="false" customHeight="true" outlineLevel="0" collapsed="false">
      <c r="A490" s="0" t="s">
        <v>1447</v>
      </c>
      <c r="B490" s="121" t="n">
        <f aca="false">$B$252</f>
        <v>3.84810126582278</v>
      </c>
    </row>
    <row r="491" customFormat="false" ht="14.25" hidden="false" customHeight="true" outlineLevel="0" collapsed="false">
      <c r="A491" s="0" t="s">
        <v>1452</v>
      </c>
      <c r="B491" s="121" t="n">
        <f aca="false">$B$252</f>
        <v>3.84810126582278</v>
      </c>
    </row>
    <row r="492" customFormat="false" ht="14.25" hidden="false" customHeight="true" outlineLevel="0" collapsed="false">
      <c r="A492" s="0" t="s">
        <v>1454</v>
      </c>
      <c r="B492" s="121" t="n">
        <f aca="false">$B$252</f>
        <v>3.84810126582278</v>
      </c>
    </row>
    <row r="493" customFormat="false" ht="14.25" hidden="false" customHeight="true" outlineLevel="0" collapsed="false">
      <c r="A493" s="0" t="s">
        <v>1460</v>
      </c>
      <c r="B493" s="121" t="n">
        <f aca="false">$B$252</f>
        <v>3.84810126582278</v>
      </c>
    </row>
    <row r="494" customFormat="false" ht="14.25" hidden="false" customHeight="true" outlineLevel="0" collapsed="false">
      <c r="A494" s="0" t="s">
        <v>1465</v>
      </c>
      <c r="B494" s="121" t="n">
        <f aca="false">$B$252</f>
        <v>3.84810126582278</v>
      </c>
    </row>
    <row r="495" customFormat="false" ht="14.25" hidden="false" customHeight="true" outlineLevel="0" collapsed="false">
      <c r="A495" s="0" t="s">
        <v>1476</v>
      </c>
      <c r="B495" s="121" t="n">
        <f aca="false">$B$252</f>
        <v>3.84810126582278</v>
      </c>
    </row>
    <row r="496" customFormat="false" ht="14.25" hidden="false" customHeight="true" outlineLevel="0" collapsed="false">
      <c r="A496" s="0" t="s">
        <v>1478</v>
      </c>
      <c r="B496" s="121" t="n">
        <f aca="false">$B$252</f>
        <v>3.84810126582278</v>
      </c>
    </row>
    <row r="497" customFormat="false" ht="14.25" hidden="false" customHeight="true" outlineLevel="0" collapsed="false">
      <c r="A497" s="0" t="s">
        <v>1479</v>
      </c>
      <c r="B497" s="121" t="n">
        <f aca="false">$B$252</f>
        <v>3.84810126582278</v>
      </c>
    </row>
    <row r="498" customFormat="false" ht="14.25" hidden="false" customHeight="true" outlineLevel="0" collapsed="false">
      <c r="A498" s="0" t="s">
        <v>1482</v>
      </c>
      <c r="B498" s="121" t="n">
        <f aca="false">$B$252</f>
        <v>3.84810126582278</v>
      </c>
    </row>
    <row r="499" customFormat="false" ht="14.25" hidden="false" customHeight="true" outlineLevel="0" collapsed="false">
      <c r="A499" s="0" t="s">
        <v>1484</v>
      </c>
      <c r="B499" s="121" t="n">
        <f aca="false">$B$252</f>
        <v>3.84810126582278</v>
      </c>
    </row>
    <row r="500" customFormat="false" ht="14.25" hidden="false" customHeight="true" outlineLevel="0" collapsed="false">
      <c r="A500" s="0" t="s">
        <v>1486</v>
      </c>
      <c r="B500" s="121" t="n">
        <f aca="false">$B$252</f>
        <v>3.84810126582278</v>
      </c>
    </row>
    <row r="501" customFormat="false" ht="14.25" hidden="false" customHeight="true" outlineLevel="0" collapsed="false">
      <c r="A501" s="0" t="s">
        <v>332</v>
      </c>
      <c r="B501" s="122" t="n">
        <f aca="false">$B$372</f>
        <v>2.2011</v>
      </c>
    </row>
    <row r="502" customFormat="false" ht="14.25" hidden="false" customHeight="true" outlineLevel="0" collapsed="false">
      <c r="A502" s="0" t="s">
        <v>335</v>
      </c>
      <c r="B502" s="122" t="n">
        <f aca="false">$B$372</f>
        <v>2.2011</v>
      </c>
    </row>
    <row r="503" customFormat="false" ht="14.25" hidden="false" customHeight="true" outlineLevel="0" collapsed="false">
      <c r="A503" s="0" t="s">
        <v>338</v>
      </c>
      <c r="B503" s="122" t="n">
        <f aca="false">$B$372</f>
        <v>2.2011</v>
      </c>
    </row>
    <row r="504" customFormat="false" ht="14.25" hidden="false" customHeight="true" outlineLevel="0" collapsed="false">
      <c r="A504" s="0" t="s">
        <v>341</v>
      </c>
      <c r="B504" s="122" t="n">
        <f aca="false">$B$372</f>
        <v>2.2011</v>
      </c>
    </row>
    <row r="505" customFormat="false" ht="14.25" hidden="false" customHeight="true" outlineLevel="0" collapsed="false">
      <c r="A505" s="0" t="s">
        <v>344</v>
      </c>
      <c r="B505" s="122" t="n">
        <f aca="false">$B$372</f>
        <v>2.2011</v>
      </c>
    </row>
    <row r="506" customFormat="false" ht="14.25" hidden="false" customHeight="true" outlineLevel="0" collapsed="false">
      <c r="A506" s="0" t="s">
        <v>347</v>
      </c>
      <c r="B506" s="122" t="n">
        <f aca="false">$B$372</f>
        <v>2.2011</v>
      </c>
    </row>
    <row r="507" customFormat="false" ht="14.25" hidden="false" customHeight="true" outlineLevel="0" collapsed="false">
      <c r="A507" s="0" t="s">
        <v>350</v>
      </c>
      <c r="B507" s="122" t="n">
        <f aca="false">$B$372</f>
        <v>2.2011</v>
      </c>
    </row>
    <row r="508" customFormat="false" ht="14.25" hidden="false" customHeight="true" outlineLevel="0" collapsed="false">
      <c r="A508" s="0" t="s">
        <v>353</v>
      </c>
      <c r="B508" s="122" t="n">
        <f aca="false">$B$372</f>
        <v>2.2011</v>
      </c>
    </row>
    <row r="509" customFormat="false" ht="14.25" hidden="false" customHeight="true" outlineLevel="0" collapsed="false">
      <c r="A509" s="0" t="s">
        <v>356</v>
      </c>
      <c r="B509" s="122" t="n">
        <f aca="false">$B$372</f>
        <v>2.2011</v>
      </c>
    </row>
    <row r="510" customFormat="false" ht="14.25" hidden="false" customHeight="true" outlineLevel="0" collapsed="false">
      <c r="A510" s="0" t="s">
        <v>359</v>
      </c>
      <c r="B510" s="122" t="n">
        <f aca="false">$B$372</f>
        <v>2.2011</v>
      </c>
    </row>
    <row r="511" customFormat="false" ht="14.25" hidden="false" customHeight="true" outlineLevel="0" collapsed="false">
      <c r="A511" s="0" t="s">
        <v>362</v>
      </c>
      <c r="B511" s="122" t="n">
        <f aca="false">$B$372</f>
        <v>2.2011</v>
      </c>
    </row>
    <row r="512" customFormat="false" ht="14.25" hidden="false" customHeight="true" outlineLevel="0" collapsed="false">
      <c r="A512" s="0" t="s">
        <v>365</v>
      </c>
      <c r="B512" s="122" t="n">
        <f aca="false">$B$372</f>
        <v>2.2011</v>
      </c>
    </row>
    <row r="513" customFormat="false" ht="14.25" hidden="false" customHeight="true" outlineLevel="0" collapsed="false">
      <c r="A513" s="0" t="s">
        <v>368</v>
      </c>
      <c r="B513" s="122" t="n">
        <f aca="false">$B$372</f>
        <v>2.2011</v>
      </c>
    </row>
    <row r="514" customFormat="false" ht="14.25" hidden="false" customHeight="true" outlineLevel="0" collapsed="false">
      <c r="A514" s="0" t="s">
        <v>371</v>
      </c>
      <c r="B514" s="122" t="n">
        <f aca="false">$B$372</f>
        <v>2.2011</v>
      </c>
    </row>
    <row r="515" customFormat="false" ht="14.25" hidden="false" customHeight="true" outlineLevel="0" collapsed="false">
      <c r="A515" s="0" t="s">
        <v>374</v>
      </c>
      <c r="B515" s="122" t="n">
        <f aca="false">$B$372</f>
        <v>2.2011</v>
      </c>
    </row>
    <row r="516" customFormat="false" ht="14.25" hidden="false" customHeight="true" outlineLevel="0" collapsed="false">
      <c r="A516" s="0" t="s">
        <v>377</v>
      </c>
      <c r="B516" s="122" t="n">
        <f aca="false">$B$372</f>
        <v>2.2011</v>
      </c>
    </row>
    <row r="517" customFormat="false" ht="14.25" hidden="false" customHeight="true" outlineLevel="0" collapsed="false">
      <c r="A517" s="0" t="s">
        <v>380</v>
      </c>
      <c r="B517" s="122" t="n">
        <f aca="false">$B$372</f>
        <v>2.2011</v>
      </c>
    </row>
    <row r="518" customFormat="false" ht="14.25" hidden="false" customHeight="true" outlineLevel="0" collapsed="false">
      <c r="A518" s="0" t="s">
        <v>383</v>
      </c>
      <c r="B518" s="122" t="n">
        <f aca="false">$B$372</f>
        <v>2.2011</v>
      </c>
    </row>
    <row r="519" customFormat="false" ht="14.25" hidden="false" customHeight="true" outlineLevel="0" collapsed="false">
      <c r="A519" s="0" t="s">
        <v>386</v>
      </c>
      <c r="B519" s="122" t="n">
        <f aca="false">$B$372</f>
        <v>2.2011</v>
      </c>
    </row>
    <row r="520" customFormat="false" ht="14.25" hidden="false" customHeight="true" outlineLevel="0" collapsed="false">
      <c r="A520" s="0" t="s">
        <v>389</v>
      </c>
      <c r="B520" s="122" t="n">
        <f aca="false">$B$372</f>
        <v>2.2011</v>
      </c>
    </row>
    <row r="521" customFormat="false" ht="14.25" hidden="false" customHeight="true" outlineLevel="0" collapsed="false">
      <c r="A521" s="0" t="s">
        <v>392</v>
      </c>
      <c r="B521" s="122" t="n">
        <f aca="false">$B$372</f>
        <v>2.2011</v>
      </c>
    </row>
    <row r="522" customFormat="false" ht="14.25" hidden="false" customHeight="true" outlineLevel="0" collapsed="false">
      <c r="A522" s="0" t="s">
        <v>395</v>
      </c>
      <c r="B522" s="122" t="n">
        <f aca="false">$B$372</f>
        <v>2.2011</v>
      </c>
    </row>
    <row r="523" customFormat="false" ht="14.25" hidden="false" customHeight="true" outlineLevel="0" collapsed="false">
      <c r="A523" s="0" t="s">
        <v>398</v>
      </c>
      <c r="B523" s="122" t="n">
        <f aca="false">$B$372</f>
        <v>2.2011</v>
      </c>
    </row>
    <row r="524" customFormat="false" ht="14.25" hidden="false" customHeight="true" outlineLevel="0" collapsed="false">
      <c r="A524" s="0" t="s">
        <v>401</v>
      </c>
      <c r="B524" s="122" t="n">
        <f aca="false">$B$372</f>
        <v>2.2011</v>
      </c>
    </row>
    <row r="525" customFormat="false" ht="14.25" hidden="false" customHeight="true" outlineLevel="0" collapsed="false">
      <c r="A525" s="0" t="s">
        <v>404</v>
      </c>
      <c r="B525" s="122" t="n">
        <f aca="false">$B$372</f>
        <v>2.2011</v>
      </c>
    </row>
    <row r="526" customFormat="false" ht="14.25" hidden="false" customHeight="true" outlineLevel="0" collapsed="false">
      <c r="A526" s="0" t="s">
        <v>407</v>
      </c>
      <c r="B526" s="122" t="n">
        <f aca="false">$B$372</f>
        <v>2.2011</v>
      </c>
    </row>
    <row r="527" customFormat="false" ht="14.25" hidden="false" customHeight="true" outlineLevel="0" collapsed="false">
      <c r="A527" s="0" t="s">
        <v>410</v>
      </c>
      <c r="B527" s="122" t="n">
        <f aca="false">$B$372</f>
        <v>2.2011</v>
      </c>
    </row>
    <row r="528" customFormat="false" ht="14.25" hidden="false" customHeight="true" outlineLevel="0" collapsed="false">
      <c r="A528" s="0" t="s">
        <v>413</v>
      </c>
      <c r="B528" s="122" t="n">
        <f aca="false">$B$372</f>
        <v>2.2011</v>
      </c>
    </row>
    <row r="529" customFormat="false" ht="14.25" hidden="false" customHeight="true" outlineLevel="0" collapsed="false">
      <c r="A529" s="0" t="s">
        <v>416</v>
      </c>
      <c r="B529" s="122" t="n">
        <f aca="false">$B$372</f>
        <v>2.2011</v>
      </c>
    </row>
    <row r="530" customFormat="false" ht="14.25" hidden="false" customHeight="true" outlineLevel="0" collapsed="false">
      <c r="A530" s="0" t="s">
        <v>419</v>
      </c>
      <c r="B530" s="122" t="n">
        <f aca="false">$B$372</f>
        <v>2.2011</v>
      </c>
    </row>
    <row r="531" customFormat="false" ht="14.25" hidden="false" customHeight="true" outlineLevel="0" collapsed="false">
      <c r="A531" s="0" t="s">
        <v>422</v>
      </c>
      <c r="B531" s="122" t="n">
        <f aca="false">$B$372</f>
        <v>2.2011</v>
      </c>
    </row>
    <row r="532" customFormat="false" ht="14.25" hidden="false" customHeight="true" outlineLevel="0" collapsed="false">
      <c r="A532" s="0" t="s">
        <v>425</v>
      </c>
      <c r="B532" s="122" t="n">
        <f aca="false">$B$372</f>
        <v>2.2011</v>
      </c>
    </row>
    <row r="533" customFormat="false" ht="14.25" hidden="false" customHeight="true" outlineLevel="0" collapsed="false">
      <c r="A533" s="0" t="s">
        <v>428</v>
      </c>
      <c r="B533" s="122" t="n">
        <f aca="false">$B$372</f>
        <v>2.2011</v>
      </c>
    </row>
    <row r="534" customFormat="false" ht="14.25" hidden="false" customHeight="true" outlineLevel="0" collapsed="false">
      <c r="A534" s="0" t="s">
        <v>431</v>
      </c>
      <c r="B534" s="122" t="n">
        <f aca="false">$B$372</f>
        <v>2.2011</v>
      </c>
    </row>
    <row r="535" customFormat="false" ht="14.25" hidden="false" customHeight="true" outlineLevel="0" collapsed="false">
      <c r="A535" s="0" t="s">
        <v>434</v>
      </c>
      <c r="B535" s="122" t="n">
        <f aca="false">$B$372</f>
        <v>2.2011</v>
      </c>
    </row>
    <row r="536" customFormat="false" ht="14.25" hidden="false" customHeight="true" outlineLevel="0" collapsed="false">
      <c r="A536" s="0" t="s">
        <v>437</v>
      </c>
      <c r="B536" s="122" t="n">
        <f aca="false">$B$372</f>
        <v>2.2011</v>
      </c>
    </row>
    <row r="537" customFormat="false" ht="14.25" hidden="false" customHeight="true" outlineLevel="0" collapsed="false">
      <c r="A537" s="0" t="s">
        <v>440</v>
      </c>
      <c r="B537" s="122" t="n">
        <f aca="false">$B$372</f>
        <v>2.2011</v>
      </c>
    </row>
    <row r="538" customFormat="false" ht="14.25" hidden="false" customHeight="true" outlineLevel="0" collapsed="false">
      <c r="A538" s="0" t="s">
        <v>443</v>
      </c>
      <c r="B538" s="122" t="n">
        <f aca="false">$B$372</f>
        <v>2.2011</v>
      </c>
    </row>
    <row r="539" customFormat="false" ht="14.25" hidden="false" customHeight="true" outlineLevel="0" collapsed="false">
      <c r="A539" s="0" t="s">
        <v>446</v>
      </c>
      <c r="B539" s="122" t="n">
        <f aca="false">$B$372</f>
        <v>2.2011</v>
      </c>
    </row>
    <row r="540" customFormat="false" ht="14.25" hidden="false" customHeight="true" outlineLevel="0" collapsed="false">
      <c r="A540" s="0" t="s">
        <v>449</v>
      </c>
      <c r="B540" s="122" t="n">
        <f aca="false">$B$372</f>
        <v>2.2011</v>
      </c>
    </row>
    <row r="541" customFormat="false" ht="14.25" hidden="false" customHeight="true" outlineLevel="0" collapsed="false">
      <c r="A541" s="0" t="s">
        <v>452</v>
      </c>
      <c r="B541" s="122" t="n">
        <f aca="false">$B$372</f>
        <v>2.2011</v>
      </c>
    </row>
    <row r="542" customFormat="false" ht="14.25" hidden="false" customHeight="true" outlineLevel="0" collapsed="false">
      <c r="A542" s="0" t="s">
        <v>455</v>
      </c>
      <c r="B542" s="122" t="n">
        <f aca="false">$B$372</f>
        <v>2.2011</v>
      </c>
    </row>
    <row r="543" customFormat="false" ht="14.25" hidden="false" customHeight="true" outlineLevel="0" collapsed="false">
      <c r="A543" s="0" t="s">
        <v>458</v>
      </c>
      <c r="B543" s="122" t="n">
        <f aca="false">$B$372</f>
        <v>2.2011</v>
      </c>
    </row>
    <row r="544" customFormat="false" ht="14.25" hidden="false" customHeight="true" outlineLevel="0" collapsed="false">
      <c r="A544" s="0" t="s">
        <v>461</v>
      </c>
      <c r="B544" s="122" t="n">
        <f aca="false">$B$372</f>
        <v>2.2011</v>
      </c>
    </row>
    <row r="545" customFormat="false" ht="14.25" hidden="false" customHeight="true" outlineLevel="0" collapsed="false">
      <c r="A545" s="0" t="s">
        <v>464</v>
      </c>
      <c r="B545" s="122" t="n">
        <f aca="false">$B$372</f>
        <v>2.2011</v>
      </c>
    </row>
    <row r="546" customFormat="false" ht="14.25" hidden="false" customHeight="true" outlineLevel="0" collapsed="false">
      <c r="A546" s="0" t="s">
        <v>467</v>
      </c>
      <c r="B546" s="122" t="n">
        <f aca="false">$B$372</f>
        <v>2.2011</v>
      </c>
    </row>
    <row r="547" customFormat="false" ht="14.25" hidden="false" customHeight="true" outlineLevel="0" collapsed="false">
      <c r="A547" s="0" t="s">
        <v>470</v>
      </c>
      <c r="B547" s="122" t="n">
        <f aca="false">$B$372</f>
        <v>2.2011</v>
      </c>
    </row>
    <row r="548" customFormat="false" ht="14.25" hidden="false" customHeight="true" outlineLevel="0" collapsed="false">
      <c r="A548" s="0" t="s">
        <v>473</v>
      </c>
      <c r="B548" s="122" t="n">
        <f aca="false">$B$372</f>
        <v>2.2011</v>
      </c>
    </row>
    <row r="549" customFormat="false" ht="14.25" hidden="false" customHeight="true" outlineLevel="0" collapsed="false">
      <c r="A549" s="0" t="s">
        <v>476</v>
      </c>
      <c r="B549" s="122" t="n">
        <f aca="false">$B$372</f>
        <v>2.2011</v>
      </c>
    </row>
    <row r="550" customFormat="false" ht="14.25" hidden="false" customHeight="true" outlineLevel="0" collapsed="false">
      <c r="A550" s="0" t="s">
        <v>479</v>
      </c>
      <c r="B550" s="122" t="n">
        <f aca="false">$B$372</f>
        <v>2.2011</v>
      </c>
    </row>
    <row r="551" customFormat="false" ht="14.25" hidden="false" customHeight="true" outlineLevel="0" collapsed="false">
      <c r="A551" s="0" t="s">
        <v>1348</v>
      </c>
      <c r="B551" s="122" t="n">
        <f aca="false">$B$372</f>
        <v>2.2011</v>
      </c>
    </row>
    <row r="552" customFormat="false" ht="14.25" hidden="false" customHeight="true" outlineLevel="0" collapsed="false">
      <c r="A552" s="0" t="s">
        <v>1349</v>
      </c>
      <c r="B552" s="122" t="n">
        <f aca="false">$B$372</f>
        <v>2.2011</v>
      </c>
    </row>
    <row r="553" customFormat="false" ht="14.25" hidden="false" customHeight="true" outlineLevel="0" collapsed="false">
      <c r="A553" s="0" t="s">
        <v>1350</v>
      </c>
      <c r="B553" s="122" t="n">
        <f aca="false">$B$372</f>
        <v>2.2011</v>
      </c>
    </row>
    <row r="554" customFormat="false" ht="14.25" hidden="false" customHeight="true" outlineLevel="0" collapsed="false">
      <c r="A554" s="0" t="s">
        <v>1353</v>
      </c>
      <c r="B554" s="122" t="n">
        <f aca="false">$B$372</f>
        <v>2.2011</v>
      </c>
    </row>
    <row r="555" customFormat="false" ht="14.25" hidden="false" customHeight="true" outlineLevel="0" collapsed="false">
      <c r="A555" s="0" t="s">
        <v>1359</v>
      </c>
      <c r="B555" s="122" t="n">
        <f aca="false">$B$372</f>
        <v>2.2011</v>
      </c>
    </row>
    <row r="556" customFormat="false" ht="14.25" hidden="false" customHeight="true" outlineLevel="0" collapsed="false">
      <c r="A556" s="0" t="s">
        <v>1360</v>
      </c>
      <c r="B556" s="122" t="n">
        <f aca="false">$B$372</f>
        <v>2.2011</v>
      </c>
    </row>
    <row r="557" customFormat="false" ht="14.25" hidden="false" customHeight="true" outlineLevel="0" collapsed="false">
      <c r="A557" s="0" t="s">
        <v>1362</v>
      </c>
      <c r="B557" s="122" t="n">
        <f aca="false">$B$372</f>
        <v>2.2011</v>
      </c>
    </row>
    <row r="558" customFormat="false" ht="14.25" hidden="false" customHeight="true" outlineLevel="0" collapsed="false">
      <c r="A558" s="0" t="s">
        <v>1365</v>
      </c>
      <c r="B558" s="122" t="n">
        <f aca="false">$B$372</f>
        <v>2.2011</v>
      </c>
    </row>
    <row r="559" customFormat="false" ht="14.25" hidden="false" customHeight="true" outlineLevel="0" collapsed="false">
      <c r="A559" s="0" t="s">
        <v>1370</v>
      </c>
      <c r="B559" s="122" t="n">
        <f aca="false">$B$372</f>
        <v>2.2011</v>
      </c>
    </row>
    <row r="560" customFormat="false" ht="14.25" hidden="false" customHeight="true" outlineLevel="0" collapsed="false">
      <c r="A560" s="0" t="s">
        <v>1392</v>
      </c>
      <c r="B560" s="122" t="n">
        <f aca="false">$B$372</f>
        <v>2.2011</v>
      </c>
    </row>
    <row r="561" customFormat="false" ht="14.25" hidden="false" customHeight="true" outlineLevel="0" collapsed="false">
      <c r="A561" s="0" t="s">
        <v>1394</v>
      </c>
      <c r="B561" s="122" t="n">
        <f aca="false">$B$372</f>
        <v>2.2011</v>
      </c>
    </row>
    <row r="562" customFormat="false" ht="14.25" hidden="false" customHeight="true" outlineLevel="0" collapsed="false">
      <c r="A562" s="0" t="s">
        <v>1396</v>
      </c>
      <c r="B562" s="122" t="n">
        <f aca="false">$B$372</f>
        <v>2.2011</v>
      </c>
    </row>
    <row r="563" customFormat="false" ht="14.25" hidden="false" customHeight="true" outlineLevel="0" collapsed="false">
      <c r="A563" s="0" t="s">
        <v>1402</v>
      </c>
      <c r="B563" s="122" t="n">
        <f aca="false">$B$372</f>
        <v>2.2011</v>
      </c>
    </row>
  </sheetData>
  <conditionalFormatting sqref="K1:K104857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1:L1048576 M2">
    <cfRule type="expression" priority="3" aboveAverage="0" equalAverage="0" bottom="0" percent="0" rank="0" text="" dxfId="570">
      <formula>ISERROR(L1)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8.88"/>
  </cols>
  <sheetData>
    <row r="1" customFormat="false" ht="15" hidden="false" customHeight="true" outlineLevel="0" collapsed="false">
      <c r="A1" s="0" t="s">
        <v>1017</v>
      </c>
      <c r="B1" s="0" t="s">
        <v>1019</v>
      </c>
    </row>
    <row r="2" customFormat="false" ht="15" hidden="false" customHeight="true" outlineLevel="0" collapsed="false">
      <c r="A2" s="0" t="s">
        <v>613</v>
      </c>
      <c r="B2" s="0" t="s">
        <v>133</v>
      </c>
    </row>
    <row r="3" customFormat="false" ht="15" hidden="false" customHeight="true" outlineLevel="0" collapsed="false">
      <c r="A3" s="0" t="s">
        <v>758</v>
      </c>
      <c r="B3" s="0" t="s">
        <v>134</v>
      </c>
    </row>
    <row r="4" customFormat="false" ht="15" hidden="false" customHeight="true" outlineLevel="0" collapsed="false">
      <c r="A4" s="0" t="s">
        <v>793</v>
      </c>
      <c r="B4" s="0" t="s">
        <v>138</v>
      </c>
    </row>
    <row r="5" customFormat="false" ht="15" hidden="false" customHeight="true" outlineLevel="0" collapsed="false">
      <c r="A5" s="0" t="s">
        <v>779</v>
      </c>
      <c r="B5" s="0" t="s">
        <v>142</v>
      </c>
    </row>
    <row r="6" customFormat="false" ht="15" hidden="false" customHeight="true" outlineLevel="0" collapsed="false">
      <c r="A6" s="0" t="s">
        <v>625</v>
      </c>
      <c r="B6" s="0" t="s">
        <v>137</v>
      </c>
    </row>
    <row r="7" customFormat="false" ht="15" hidden="false" customHeight="true" outlineLevel="0" collapsed="false">
      <c r="A7" s="0" t="s">
        <v>772</v>
      </c>
      <c r="B7" s="0" t="s">
        <v>146</v>
      </c>
    </row>
    <row r="8" customFormat="false" ht="15" hidden="false" customHeight="true" outlineLevel="0" collapsed="false">
      <c r="A8" s="0" t="s">
        <v>921</v>
      </c>
      <c r="B8" s="0" t="s">
        <v>135</v>
      </c>
    </row>
    <row r="9" customFormat="false" ht="15" hidden="false" customHeight="true" outlineLevel="0" collapsed="false">
      <c r="A9" s="0" t="s">
        <v>799</v>
      </c>
      <c r="B9" s="0" t="s">
        <v>150</v>
      </c>
    </row>
    <row r="10" customFormat="false" ht="15" hidden="false" customHeight="true" outlineLevel="0" collapsed="false">
      <c r="A10" s="0" t="s">
        <v>549</v>
      </c>
      <c r="B10" s="0" t="s">
        <v>132</v>
      </c>
    </row>
    <row r="11" customFormat="false" ht="15" hidden="false" customHeight="true" outlineLevel="0" collapsed="false">
      <c r="A11" s="0" t="s">
        <v>953</v>
      </c>
      <c r="B11" s="0" t="s">
        <v>139</v>
      </c>
    </row>
    <row r="12" customFormat="false" ht="15" hidden="false" customHeight="true" outlineLevel="0" collapsed="false">
      <c r="A12" s="0" t="s">
        <v>780</v>
      </c>
      <c r="B12" s="0" t="s">
        <v>154</v>
      </c>
    </row>
    <row r="13" customFormat="false" ht="15" hidden="false" customHeight="true" outlineLevel="0" collapsed="false">
      <c r="A13" s="0" t="s">
        <v>670</v>
      </c>
      <c r="B13" s="0" t="s">
        <v>141</v>
      </c>
    </row>
    <row r="14" customFormat="false" ht="15" hidden="false" customHeight="true" outlineLevel="0" collapsed="false">
      <c r="A14" s="0" t="s">
        <v>796</v>
      </c>
      <c r="B14" s="0" t="s">
        <v>158</v>
      </c>
    </row>
    <row r="15" customFormat="false" ht="15" hidden="false" customHeight="true" outlineLevel="0" collapsed="false">
      <c r="A15" s="0" t="s">
        <v>794</v>
      </c>
      <c r="B15" s="0" t="s">
        <v>162</v>
      </c>
    </row>
    <row r="16" customFormat="false" ht="15" hidden="false" customHeight="true" outlineLevel="0" collapsed="false">
      <c r="A16" s="0" t="s">
        <v>797</v>
      </c>
      <c r="B16" s="0" t="s">
        <v>166</v>
      </c>
    </row>
    <row r="17" customFormat="false" ht="15" hidden="false" customHeight="true" outlineLevel="0" collapsed="false">
      <c r="A17" s="0" t="s">
        <v>693</v>
      </c>
      <c r="B17" s="0" t="s">
        <v>145</v>
      </c>
    </row>
    <row r="18" customFormat="false" ht="15" hidden="false" customHeight="true" outlineLevel="0" collapsed="false">
      <c r="A18" s="0" t="s">
        <v>674</v>
      </c>
      <c r="B18" s="0" t="s">
        <v>149</v>
      </c>
    </row>
    <row r="19" customFormat="false" ht="15" hidden="false" customHeight="true" outlineLevel="0" collapsed="false">
      <c r="A19" s="0" t="s">
        <v>767</v>
      </c>
      <c r="B19" s="0" t="s">
        <v>170</v>
      </c>
    </row>
    <row r="20" customFormat="false" ht="15" hidden="false" customHeight="true" outlineLevel="0" collapsed="false">
      <c r="A20" s="0" t="s">
        <v>691</v>
      </c>
      <c r="B20" s="0" t="s">
        <v>153</v>
      </c>
    </row>
    <row r="21" customFormat="false" ht="15" hidden="false" customHeight="true" outlineLevel="0" collapsed="false">
      <c r="A21" s="0" t="s">
        <v>1170</v>
      </c>
      <c r="B21" s="0" t="s">
        <v>174</v>
      </c>
    </row>
    <row r="22" customFormat="false" ht="15" hidden="false" customHeight="true" outlineLevel="0" collapsed="false">
      <c r="A22" s="0" t="s">
        <v>857</v>
      </c>
      <c r="B22" s="0" t="s">
        <v>178</v>
      </c>
    </row>
    <row r="23" customFormat="false" ht="15" hidden="false" customHeight="true" outlineLevel="0" collapsed="false">
      <c r="A23" s="0" t="s">
        <v>559</v>
      </c>
      <c r="B23" s="0" t="s">
        <v>136</v>
      </c>
    </row>
    <row r="24" customFormat="false" ht="15" hidden="false" customHeight="true" outlineLevel="0" collapsed="false">
      <c r="A24" s="0" t="s">
        <v>822</v>
      </c>
      <c r="B24" s="0" t="s">
        <v>182</v>
      </c>
    </row>
    <row r="25" customFormat="false" ht="15" hidden="false" customHeight="true" outlineLevel="0" collapsed="false">
      <c r="A25" s="0" t="s">
        <v>817</v>
      </c>
      <c r="B25" s="0" t="s">
        <v>186</v>
      </c>
    </row>
    <row r="26" customFormat="false" ht="15" hidden="false" customHeight="true" outlineLevel="0" collapsed="false">
      <c r="A26" s="0" t="s">
        <v>814</v>
      </c>
      <c r="B26" s="0" t="s">
        <v>190</v>
      </c>
    </row>
    <row r="27" customFormat="false" ht="15" hidden="false" customHeight="true" outlineLevel="0" collapsed="false">
      <c r="A27" s="0" t="s">
        <v>785</v>
      </c>
      <c r="B27" s="0" t="s">
        <v>194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0" t="s">
        <v>655</v>
      </c>
      <c r="B29" s="0" t="s">
        <v>157</v>
      </c>
    </row>
    <row r="30" customFormat="false" ht="15" hidden="false" customHeight="true" outlineLevel="0" collapsed="false">
      <c r="A30" s="0" t="s">
        <v>649</v>
      </c>
      <c r="B30" s="0" t="s">
        <v>161</v>
      </c>
    </row>
    <row r="31" customFormat="false" ht="15" hidden="false" customHeight="true" outlineLevel="0" collapsed="false">
      <c r="A31" s="0" t="s">
        <v>694</v>
      </c>
      <c r="B31" s="0" t="s">
        <v>165</v>
      </c>
    </row>
    <row r="32" customFormat="false" ht="15" hidden="false" customHeight="true" outlineLevel="0" collapsed="false">
      <c r="A32" s="0" t="s">
        <v>980</v>
      </c>
      <c r="B32" s="0" t="s">
        <v>143</v>
      </c>
    </row>
    <row r="33" customFormat="false" ht="15" hidden="false" customHeight="true" outlineLevel="0" collapsed="false">
      <c r="A33" s="0" t="s">
        <v>950</v>
      </c>
      <c r="B33" s="0" t="s">
        <v>147</v>
      </c>
    </row>
    <row r="34" customFormat="false" ht="15" hidden="false" customHeight="true" outlineLevel="0" collapsed="false">
      <c r="A34" s="0" t="s">
        <v>984</v>
      </c>
      <c r="B34" s="0" t="s">
        <v>151</v>
      </c>
    </row>
    <row r="35" customFormat="false" ht="15" hidden="false" customHeight="true" outlineLevel="0" collapsed="false">
      <c r="A35" s="0" t="s">
        <v>849</v>
      </c>
      <c r="B35" s="0" t="s">
        <v>198</v>
      </c>
    </row>
    <row r="36" customFormat="false" ht="15" hidden="false" customHeight="true" outlineLevel="0" collapsed="false">
      <c r="A36" s="0" t="s">
        <v>558</v>
      </c>
      <c r="B36" s="0" t="s">
        <v>140</v>
      </c>
    </row>
    <row r="37" customFormat="false" ht="15" hidden="false" customHeight="true" outlineLevel="0" collapsed="false">
      <c r="A37" s="0" t="s">
        <v>675</v>
      </c>
      <c r="B37" s="0" t="s">
        <v>169</v>
      </c>
    </row>
    <row r="38" customFormat="false" ht="15" hidden="false" customHeight="true" outlineLevel="0" collapsed="false">
      <c r="A38" s="0" t="s">
        <v>809</v>
      </c>
      <c r="B38" s="0" t="s">
        <v>202</v>
      </c>
    </row>
    <row r="39" customFormat="false" ht="15" hidden="false" customHeight="true" outlineLevel="0" collapsed="false">
      <c r="A39" s="0" t="s">
        <v>681</v>
      </c>
      <c r="B39" s="0" t="s">
        <v>173</v>
      </c>
    </row>
    <row r="40" customFormat="false" ht="15" hidden="false" customHeight="true" outlineLevel="0" collapsed="false">
      <c r="A40" s="0" t="s">
        <v>854</v>
      </c>
      <c r="B40" s="0" t="s">
        <v>206</v>
      </c>
    </row>
    <row r="41" customFormat="false" ht="15" hidden="false" customHeight="true" outlineLevel="0" collapsed="false">
      <c r="A41" s="0" t="s">
        <v>689</v>
      </c>
      <c r="B41" s="0" t="s">
        <v>177</v>
      </c>
    </row>
    <row r="42" customFormat="false" ht="15" hidden="false" customHeight="true" outlineLevel="0" collapsed="false">
      <c r="A42" s="0" t="s">
        <v>584</v>
      </c>
      <c r="B42" s="0" t="s">
        <v>144</v>
      </c>
    </row>
    <row r="43" customFormat="false" ht="15" hidden="false" customHeight="true" outlineLevel="0" collapsed="false">
      <c r="A43" s="0" t="s">
        <v>829</v>
      </c>
      <c r="B43" s="0" t="s">
        <v>210</v>
      </c>
    </row>
    <row r="44" customFormat="false" ht="15" hidden="false" customHeight="true" outlineLevel="0" collapsed="false">
      <c r="A44" s="0" t="s">
        <v>998</v>
      </c>
      <c r="B44" s="0" t="s">
        <v>155</v>
      </c>
    </row>
    <row r="45" customFormat="false" ht="15" hidden="false" customHeight="true" outlineLevel="0" collapsed="false">
      <c r="A45" s="0" t="s">
        <v>1213</v>
      </c>
      <c r="B45" s="0" t="s">
        <v>181</v>
      </c>
    </row>
    <row r="46" customFormat="false" ht="15" hidden="false" customHeight="true" outlineLevel="0" collapsed="false">
      <c r="A46" s="0" t="s">
        <v>587</v>
      </c>
      <c r="B46" s="0" t="s">
        <v>148</v>
      </c>
    </row>
    <row r="47" customFormat="false" ht="15" hidden="false" customHeight="true" outlineLevel="0" collapsed="false">
      <c r="A47" s="0" t="s">
        <v>586</v>
      </c>
      <c r="B47" s="0" t="s">
        <v>152</v>
      </c>
    </row>
    <row r="48" customFormat="false" ht="15" hidden="false" customHeight="true" outlineLevel="0" collapsed="false">
      <c r="A48" s="0" t="s">
        <v>958</v>
      </c>
      <c r="B48" s="0" t="s">
        <v>159</v>
      </c>
    </row>
    <row r="49" customFormat="false" ht="15" hidden="false" customHeight="true" outlineLevel="0" collapsed="false">
      <c r="A49" s="0" t="s">
        <v>848</v>
      </c>
      <c r="B49" s="0" t="s">
        <v>214</v>
      </c>
    </row>
    <row r="50" customFormat="false" ht="15" hidden="false" customHeight="true" outlineLevel="0" collapsed="false">
      <c r="A50" s="0" t="s">
        <v>798</v>
      </c>
      <c r="B50" s="0" t="s">
        <v>218</v>
      </c>
    </row>
    <row r="51" customFormat="false" ht="15" hidden="false" customHeight="true" outlineLevel="0" collapsed="false">
      <c r="A51" s="0" t="s">
        <v>1190</v>
      </c>
      <c r="B51" s="0" t="s">
        <v>185</v>
      </c>
    </row>
    <row r="52" customFormat="false" ht="15" hidden="false" customHeight="true" outlineLevel="0" collapsed="false">
      <c r="A52" s="0" t="s">
        <v>1302</v>
      </c>
      <c r="B52" s="0" t="s">
        <v>156</v>
      </c>
    </row>
    <row r="53" customFormat="false" ht="15" hidden="false" customHeight="true" outlineLevel="0" collapsed="false">
      <c r="A53" s="0" t="s">
        <v>989</v>
      </c>
      <c r="B53" s="0" t="s">
        <v>163</v>
      </c>
    </row>
    <row r="54" customFormat="false" ht="15" hidden="false" customHeight="true" outlineLevel="0" collapsed="false">
      <c r="A54" s="0" t="s">
        <v>1568</v>
      </c>
      <c r="B54" s="0" t="s">
        <v>160</v>
      </c>
    </row>
    <row r="55" customFormat="false" ht="15" hidden="false" customHeight="true" outlineLevel="0" collapsed="false">
      <c r="A55" s="0" t="s">
        <v>1333</v>
      </c>
      <c r="B55" s="0" t="s">
        <v>189</v>
      </c>
    </row>
    <row r="56" customFormat="false" ht="15" hidden="false" customHeight="true" outlineLevel="0" collapsed="false">
      <c r="A56" s="0" t="s">
        <v>1225</v>
      </c>
      <c r="B56" s="0" t="s">
        <v>222</v>
      </c>
    </row>
    <row r="57" customFormat="false" ht="15" hidden="false" customHeight="true" outlineLevel="0" collapsed="false">
      <c r="A57" s="0" t="s">
        <v>838</v>
      </c>
      <c r="B57" s="0" t="s">
        <v>226</v>
      </c>
    </row>
    <row r="58" customFormat="false" ht="15" hidden="false" customHeight="true" outlineLevel="0" collapsed="false">
      <c r="A58" s="0" t="s">
        <v>863</v>
      </c>
      <c r="B58" s="0" t="s">
        <v>230</v>
      </c>
    </row>
    <row r="59" customFormat="false" ht="15" hidden="false" customHeight="true" outlineLevel="0" collapsed="false">
      <c r="A59" s="0" t="s">
        <v>988</v>
      </c>
      <c r="B59" s="0" t="s">
        <v>167</v>
      </c>
    </row>
    <row r="60" customFormat="false" ht="15" hidden="false" customHeight="true" outlineLevel="0" collapsed="false">
      <c r="A60" s="0" t="s">
        <v>1193</v>
      </c>
      <c r="B60" s="0" t="s">
        <v>234</v>
      </c>
    </row>
    <row r="61" customFormat="false" ht="15" hidden="false" customHeight="true" outlineLevel="0" collapsed="false">
      <c r="A61" s="0" t="s">
        <v>1690</v>
      </c>
      <c r="B61" s="0" t="s">
        <v>193</v>
      </c>
    </row>
    <row r="62" customFormat="false" ht="15" hidden="false" customHeight="true" outlineLevel="0" collapsed="false">
      <c r="A62" s="0" t="s">
        <v>879</v>
      </c>
      <c r="B62" s="0" t="s">
        <v>238</v>
      </c>
    </row>
    <row r="63" customFormat="false" ht="15" hidden="false" customHeight="true" outlineLevel="0" collapsed="false">
      <c r="A63" s="0" t="s">
        <v>1283</v>
      </c>
      <c r="B63" s="0" t="s">
        <v>197</v>
      </c>
    </row>
    <row r="64" customFormat="false" ht="15" hidden="false" customHeight="true" outlineLevel="0" collapsed="false">
      <c r="A64" s="0" t="s">
        <v>816</v>
      </c>
      <c r="B64" s="0" t="s">
        <v>242</v>
      </c>
    </row>
    <row r="65" customFormat="false" ht="15" hidden="false" customHeight="true" outlineLevel="0" collapsed="false">
      <c r="A65" s="0" t="s">
        <v>852</v>
      </c>
      <c r="B65" s="0" t="s">
        <v>246</v>
      </c>
    </row>
    <row r="66" customFormat="false" ht="15" hidden="false" customHeight="true" outlineLevel="0" collapsed="false">
      <c r="A66" s="0" t="s">
        <v>1542</v>
      </c>
      <c r="B66" s="0" t="s">
        <v>201</v>
      </c>
    </row>
    <row r="67" customFormat="false" ht="15" hidden="false" customHeight="true" outlineLevel="0" collapsed="false">
      <c r="A67" s="0" t="s">
        <v>962</v>
      </c>
      <c r="B67" s="0" t="s">
        <v>171</v>
      </c>
    </row>
    <row r="68" customFormat="false" ht="15" hidden="false" customHeight="true" outlineLevel="0" collapsed="false">
      <c r="A68" s="0" t="s">
        <v>968</v>
      </c>
      <c r="B68" s="0" t="s">
        <v>175</v>
      </c>
    </row>
    <row r="69" customFormat="false" ht="15" hidden="false" customHeight="true" outlineLevel="0" collapsed="false">
      <c r="A69" s="0" t="s">
        <v>2018</v>
      </c>
      <c r="B69" s="0" t="s">
        <v>205</v>
      </c>
    </row>
    <row r="70" customFormat="false" ht="15" hidden="false" customHeight="true" outlineLevel="0" collapsed="false">
      <c r="A70" s="0" t="s">
        <v>875</v>
      </c>
      <c r="B70" s="0" t="s">
        <v>250</v>
      </c>
    </row>
    <row r="71" customFormat="false" ht="15" hidden="false" customHeight="true" outlineLevel="0" collapsed="false">
      <c r="A71" s="0" t="s">
        <v>1346</v>
      </c>
      <c r="B71" s="0" t="s">
        <v>209</v>
      </c>
    </row>
    <row r="72" customFormat="false" ht="15" hidden="false" customHeight="true" outlineLevel="0" collapsed="false">
      <c r="A72" s="0" t="s">
        <v>1386</v>
      </c>
      <c r="B72" s="0" t="s">
        <v>254</v>
      </c>
    </row>
    <row r="73" customFormat="false" ht="15" hidden="false" customHeight="true" outlineLevel="0" collapsed="false">
      <c r="A73" s="0" t="s">
        <v>1311</v>
      </c>
      <c r="B73" s="0" t="s">
        <v>179</v>
      </c>
    </row>
    <row r="74" customFormat="false" ht="15" hidden="false" customHeight="true" outlineLevel="0" collapsed="false">
      <c r="A74" s="0" t="s">
        <v>1212</v>
      </c>
      <c r="B74" s="0" t="s">
        <v>183</v>
      </c>
    </row>
    <row r="75" customFormat="false" ht="15" hidden="false" customHeight="true" outlineLevel="0" collapsed="false">
      <c r="A75" s="0" t="s">
        <v>1583</v>
      </c>
      <c r="B75" s="0" t="s">
        <v>258</v>
      </c>
    </row>
    <row r="76" customFormat="false" ht="15" hidden="false" customHeight="true" outlineLevel="0" collapsed="false">
      <c r="A76" s="0" t="s">
        <v>1974</v>
      </c>
      <c r="B76" s="0" t="s">
        <v>213</v>
      </c>
    </row>
    <row r="77" customFormat="false" ht="15" hidden="false" customHeight="true" outlineLevel="0" collapsed="false">
      <c r="A77" s="0" t="s">
        <v>1013</v>
      </c>
      <c r="B77" s="0" t="s">
        <v>187</v>
      </c>
    </row>
    <row r="78" customFormat="false" ht="15" hidden="false" customHeight="true" outlineLevel="0" collapsed="false">
      <c r="A78" s="0" t="s">
        <v>2028</v>
      </c>
      <c r="B78" s="0" t="s">
        <v>217</v>
      </c>
    </row>
    <row r="79" customFormat="false" ht="15" hidden="false" customHeight="true" outlineLevel="0" collapsed="false">
      <c r="A79" s="0" t="s">
        <v>2098</v>
      </c>
      <c r="B79" s="0" t="s">
        <v>164</v>
      </c>
    </row>
    <row r="80" customFormat="false" ht="15" hidden="false" customHeight="true" outlineLevel="0" collapsed="false">
      <c r="A80" s="0" t="s">
        <v>1825</v>
      </c>
      <c r="B80" s="0" t="s">
        <v>221</v>
      </c>
    </row>
    <row r="81" customFormat="false" ht="15" hidden="false" customHeight="true" outlineLevel="0" collapsed="false">
      <c r="A81" s="0" t="s">
        <v>885</v>
      </c>
      <c r="B81" s="0" t="s">
        <v>262</v>
      </c>
    </row>
    <row r="82" customFormat="false" ht="15" hidden="false" customHeight="true" outlineLevel="0" collapsed="false">
      <c r="A82" s="0" t="s">
        <v>2099</v>
      </c>
      <c r="B82" s="0" t="s">
        <v>168</v>
      </c>
    </row>
    <row r="83" customFormat="false" ht="15" hidden="false" customHeight="true" outlineLevel="0" collapsed="false">
      <c r="A83" s="0" t="s">
        <v>2100</v>
      </c>
      <c r="B83" s="0" t="s">
        <v>266</v>
      </c>
    </row>
    <row r="84" customFormat="false" ht="15" hidden="false" customHeight="true" outlineLevel="0" collapsed="false">
      <c r="A84" s="0" t="s">
        <v>1506</v>
      </c>
      <c r="B84" s="0" t="s">
        <v>225</v>
      </c>
    </row>
    <row r="85" customFormat="false" ht="15" hidden="false" customHeight="true" outlineLevel="0" collapsed="false">
      <c r="A85" s="0" t="s">
        <v>2101</v>
      </c>
      <c r="B85" s="0" t="s">
        <v>270</v>
      </c>
    </row>
    <row r="86" customFormat="false" ht="15" hidden="false" customHeight="true" outlineLevel="0" collapsed="false">
      <c r="A86" s="0" t="s">
        <v>2102</v>
      </c>
      <c r="B86" s="0" t="s">
        <v>274</v>
      </c>
    </row>
    <row r="87" customFormat="false" ht="15" hidden="false" customHeight="true" outlineLevel="0" collapsed="false">
      <c r="A87" s="0" t="s">
        <v>942</v>
      </c>
      <c r="B87" s="0" t="s">
        <v>191</v>
      </c>
    </row>
    <row r="88" customFormat="false" ht="15" hidden="false" customHeight="true" outlineLevel="0" collapsed="false">
      <c r="A88" s="0" t="s">
        <v>2103</v>
      </c>
      <c r="B88" s="0" t="s">
        <v>278</v>
      </c>
    </row>
    <row r="89" customFormat="false" ht="15" hidden="false" customHeight="true" outlineLevel="0" collapsed="false">
      <c r="A89" s="0" t="s">
        <v>2014</v>
      </c>
      <c r="B89" s="0" t="s">
        <v>282</v>
      </c>
    </row>
    <row r="90" customFormat="false" ht="15" hidden="false" customHeight="true" outlineLevel="0" collapsed="false">
      <c r="A90" s="0" t="s">
        <v>992</v>
      </c>
      <c r="B90" s="0" t="s">
        <v>195</v>
      </c>
    </row>
    <row r="91" customFormat="false" ht="15" hidden="false" customHeight="true" outlineLevel="0" collapsed="false">
      <c r="A91" s="0" t="s">
        <v>2104</v>
      </c>
      <c r="B91" s="0" t="s">
        <v>229</v>
      </c>
    </row>
    <row r="92" customFormat="false" ht="15" hidden="false" customHeight="true" outlineLevel="0" collapsed="false">
      <c r="A92" s="0" t="s">
        <v>1776</v>
      </c>
      <c r="B92" s="0" t="s">
        <v>199</v>
      </c>
    </row>
    <row r="93" customFormat="false" ht="15" hidden="false" customHeight="true" outlineLevel="0" collapsed="false"/>
    <row r="94" customFormat="false" ht="15" hidden="false" customHeight="true" outlineLevel="0" collapsed="false">
      <c r="A94" s="0" t="s">
        <v>1811</v>
      </c>
      <c r="B94" s="0" t="s">
        <v>286</v>
      </c>
    </row>
    <row r="95" customFormat="false" ht="15" hidden="false" customHeight="true" outlineLevel="0" collapsed="false">
      <c r="A95" s="0" t="s">
        <v>710</v>
      </c>
      <c r="B95" s="0" t="s">
        <v>203</v>
      </c>
    </row>
    <row r="96" customFormat="false" ht="15" hidden="false" customHeight="true" outlineLevel="0" collapsed="false">
      <c r="A96" s="0" t="s">
        <v>2105</v>
      </c>
      <c r="B96" s="0" t="s">
        <v>290</v>
      </c>
    </row>
    <row r="97" customFormat="false" ht="15" hidden="false" customHeight="true" outlineLevel="0" collapsed="false">
      <c r="A97" s="0" t="s">
        <v>2106</v>
      </c>
      <c r="B97" s="0" t="s">
        <v>172</v>
      </c>
    </row>
    <row r="98" customFormat="false" ht="15" hidden="false" customHeight="true" outlineLevel="0" collapsed="false">
      <c r="A98" s="0" t="s">
        <v>1715</v>
      </c>
      <c r="B98" s="0" t="s">
        <v>176</v>
      </c>
    </row>
    <row r="99" customFormat="false" ht="15" hidden="false" customHeight="true" outlineLevel="0" collapsed="false">
      <c r="A99" s="0" t="s">
        <v>973</v>
      </c>
      <c r="B99" s="0" t="s">
        <v>207</v>
      </c>
    </row>
    <row r="100" customFormat="false" ht="15" hidden="false" customHeight="true" outlineLevel="0" collapsed="false">
      <c r="A100" s="0" t="s">
        <v>2107</v>
      </c>
      <c r="B100" s="0" t="s">
        <v>233</v>
      </c>
    </row>
    <row r="101" customFormat="false" ht="15" hidden="false" customHeight="true" outlineLevel="0" collapsed="false">
      <c r="A101" s="0" t="s">
        <v>2108</v>
      </c>
      <c r="B101" s="0" t="s">
        <v>211</v>
      </c>
    </row>
    <row r="102" customFormat="false" ht="15" hidden="false" customHeight="true" outlineLevel="0" collapsed="false">
      <c r="A102" s="0" t="s">
        <v>2109</v>
      </c>
      <c r="B102" s="0" t="s">
        <v>294</v>
      </c>
    </row>
    <row r="103" customFormat="false" ht="15" hidden="false" customHeight="true" outlineLevel="0" collapsed="false">
      <c r="A103" s="0" t="s">
        <v>1660</v>
      </c>
      <c r="B103" s="0" t="s">
        <v>180</v>
      </c>
    </row>
    <row r="104" customFormat="false" ht="15" hidden="false" customHeight="true" outlineLevel="0" collapsed="false">
      <c r="A104" s="0" t="s">
        <v>2110</v>
      </c>
      <c r="B104" s="0" t="s">
        <v>184</v>
      </c>
    </row>
    <row r="105" customFormat="false" ht="15" hidden="false" customHeight="true" outlineLevel="0" collapsed="false">
      <c r="A105" s="0" t="s">
        <v>2111</v>
      </c>
      <c r="B105" s="0" t="s">
        <v>188</v>
      </c>
    </row>
    <row r="106" customFormat="false" ht="15" hidden="false" customHeight="true" outlineLevel="0" collapsed="false">
      <c r="A106" s="0" t="s">
        <v>708</v>
      </c>
      <c r="B106" s="0" t="s">
        <v>237</v>
      </c>
    </row>
    <row r="107" customFormat="false" ht="15" hidden="false" customHeight="true" outlineLevel="0" collapsed="false">
      <c r="A107" s="0" t="s">
        <v>2112</v>
      </c>
      <c r="B107" s="0" t="s">
        <v>192</v>
      </c>
    </row>
    <row r="108" customFormat="false" ht="15" hidden="false" customHeight="true" outlineLevel="0" collapsed="false">
      <c r="A108" s="0" t="s">
        <v>1459</v>
      </c>
      <c r="B108" s="0" t="s">
        <v>298</v>
      </c>
    </row>
    <row r="109" customFormat="false" ht="15" hidden="false" customHeight="true" outlineLevel="0" collapsed="false">
      <c r="A109" s="0" t="s">
        <v>2113</v>
      </c>
      <c r="B109" s="0" t="s">
        <v>215</v>
      </c>
    </row>
    <row r="110" customFormat="false" ht="15" hidden="false" customHeight="true" outlineLevel="0" collapsed="false">
      <c r="A110" s="0" t="s">
        <v>579</v>
      </c>
      <c r="B110" s="0" t="s">
        <v>196</v>
      </c>
    </row>
    <row r="111" customFormat="false" ht="15" hidden="false" customHeight="true" outlineLevel="0" collapsed="false">
      <c r="A111" s="0" t="s">
        <v>2114</v>
      </c>
      <c r="B111" s="0" t="s">
        <v>302</v>
      </c>
    </row>
    <row r="112" customFormat="false" ht="15" hidden="false" customHeight="true" outlineLevel="0" collapsed="false">
      <c r="A112" s="0" t="s">
        <v>2115</v>
      </c>
      <c r="B112" s="0" t="s">
        <v>306</v>
      </c>
    </row>
    <row r="113" customFormat="false" ht="15" hidden="false" customHeight="true" outlineLevel="0" collapsed="false">
      <c r="A113" s="0" t="s">
        <v>1907</v>
      </c>
      <c r="B113" s="0" t="s">
        <v>241</v>
      </c>
    </row>
    <row r="114" customFormat="false" ht="15" hidden="false" customHeight="true" outlineLevel="0" collapsed="false">
      <c r="A114" s="0" t="s">
        <v>2116</v>
      </c>
      <c r="B114" s="0" t="s">
        <v>245</v>
      </c>
    </row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2025-07-31T16:01:58Z</dcterms:created>
  <dc:creator>aaron smith</dc:creator>
  <dc:description/>
  <dc:language>en-US</dc:language>
  <cp:lastModifiedBy/>
  <cp:lastPrinted>2026-08-24T12:33:20Z</cp:lastPrinted>
  <dcterms:modified xsi:type="dcterms:W3CDTF">2026-09-05T17:34:47Z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